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53\Desktop\聚合物复合材料导热模型的构建\模型推导主要文件\体心立方模型推导\文章\NCOMMS-第二次审稿意见回复\"/>
    </mc:Choice>
  </mc:AlternateContent>
  <xr:revisionPtr revIDLastSave="0" documentId="13_ncr:1_{75B841AA-3379-45E8-B402-6364E032AFA8}" xr6:coauthVersionLast="47" xr6:coauthVersionMax="47" xr10:uidLastSave="{00000000-0000-0000-0000-000000000000}"/>
  <bookViews>
    <workbookView xWindow="-98" yWindow="-98" windowWidth="21795" windowHeight="12975" activeTab="11" xr2:uid="{CB987662-2531-41DF-83CB-76AF490C4503}"/>
  </bookViews>
  <sheets>
    <sheet name="fig2a" sheetId="1" r:id="rId1"/>
    <sheet name="fig2b" sheetId="2" r:id="rId2"/>
    <sheet name="fig3a" sheetId="3" r:id="rId3"/>
    <sheet name="fig3b" sheetId="4" r:id="rId4"/>
    <sheet name="fig3c" sheetId="5" r:id="rId5"/>
    <sheet name="fig4b" sheetId="6" r:id="rId6"/>
    <sheet name="SI_fig1" sheetId="7" r:id="rId7"/>
    <sheet name="SI_fig9" sheetId="8" r:id="rId8"/>
    <sheet name="SI_fig10" sheetId="9" r:id="rId9"/>
    <sheet name="SI_fig11" sheetId="10" r:id="rId10"/>
    <sheet name="SI_fig12-18" sheetId="12" r:id="rId11"/>
    <sheet name="SI_fig19" sheetId="11" r:id="rId12"/>
    <sheet name="SI_fig20" sheetId="13" r:id="rId13"/>
    <sheet name="SI_fig21" sheetId="14" r:id="rId14"/>
    <sheet name="SI_fig22" sheetId="15" r:id="rId15"/>
    <sheet name="SI_fig23" sheetId="17" r:id="rId16"/>
    <sheet name="SI_fig24" sheetId="16" r:id="rId17"/>
    <sheet name="TableS4" sheetId="18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" i="2"/>
  <c r="C2" i="2"/>
  <c r="I2" i="18"/>
  <c r="F2" i="18"/>
  <c r="O2" i="18"/>
  <c r="U2" i="18"/>
  <c r="R2" i="18"/>
  <c r="L2" i="18"/>
  <c r="C2" i="18"/>
  <c r="S3" i="16"/>
  <c r="S4" i="16"/>
  <c r="S5" i="16"/>
  <c r="S6" i="16"/>
  <c r="S7" i="16"/>
  <c r="S8" i="16"/>
  <c r="S9" i="16"/>
  <c r="S10" i="16"/>
  <c r="S11" i="16"/>
  <c r="S12" i="16"/>
  <c r="S13" i="16"/>
  <c r="S14" i="16"/>
  <c r="S15" i="16"/>
  <c r="S16" i="16"/>
  <c r="S17" i="16"/>
  <c r="S18" i="16"/>
  <c r="S19" i="16"/>
  <c r="S20" i="16"/>
  <c r="S21" i="16"/>
  <c r="S22" i="16"/>
  <c r="S23" i="16"/>
  <c r="S24" i="16"/>
  <c r="S25" i="16"/>
  <c r="S26" i="16"/>
  <c r="S27" i="16"/>
  <c r="S28" i="16"/>
  <c r="S29" i="16"/>
  <c r="S30" i="16"/>
  <c r="S31" i="16"/>
  <c r="S32" i="16"/>
  <c r="S33" i="16"/>
  <c r="S34" i="16"/>
  <c r="S35" i="16"/>
  <c r="S36" i="16"/>
  <c r="S37" i="16"/>
  <c r="S38" i="16"/>
  <c r="S39" i="16"/>
  <c r="S40" i="16"/>
  <c r="S41" i="16"/>
  <c r="S42" i="16"/>
  <c r="S43" i="16"/>
  <c r="S44" i="16"/>
  <c r="S45" i="16"/>
  <c r="S46" i="16"/>
  <c r="S47" i="16"/>
  <c r="S48" i="16"/>
  <c r="S49" i="16"/>
  <c r="S50" i="16"/>
  <c r="S51" i="16"/>
  <c r="S52" i="16"/>
  <c r="S53" i="16"/>
  <c r="S54" i="16"/>
  <c r="S55" i="16"/>
  <c r="S56" i="16"/>
  <c r="S57" i="16"/>
  <c r="S58" i="16"/>
  <c r="S59" i="16"/>
  <c r="S60" i="16"/>
  <c r="S61" i="16"/>
  <c r="S62" i="16"/>
  <c r="S63" i="16"/>
  <c r="S64" i="16"/>
  <c r="S65" i="16"/>
  <c r="S66" i="16"/>
  <c r="S67" i="16"/>
  <c r="S68" i="16"/>
  <c r="S69" i="16"/>
  <c r="S70" i="16"/>
  <c r="S71" i="16"/>
  <c r="S72" i="16"/>
  <c r="S73" i="16"/>
  <c r="S74" i="16"/>
  <c r="S75" i="16"/>
  <c r="S76" i="16"/>
  <c r="S77" i="16"/>
  <c r="S78" i="16"/>
  <c r="S79" i="16"/>
  <c r="S80" i="16"/>
  <c r="S81" i="16"/>
  <c r="S82" i="16"/>
  <c r="S83" i="16"/>
  <c r="S84" i="16"/>
  <c r="S85" i="16"/>
  <c r="S86" i="16"/>
  <c r="S87" i="16"/>
  <c r="S88" i="16"/>
  <c r="V2" i="16"/>
  <c r="X24" i="16" s="1"/>
  <c r="S2" i="16"/>
  <c r="R2" i="16"/>
  <c r="T18" i="16" s="1"/>
  <c r="F2" i="2" l="1"/>
  <c r="T32" i="16"/>
  <c r="T17" i="16"/>
  <c r="T12" i="16"/>
  <c r="T33" i="16"/>
  <c r="T79" i="16"/>
  <c r="T65" i="16"/>
  <c r="T47" i="16"/>
  <c r="T29" i="16"/>
  <c r="T76" i="16"/>
  <c r="T59" i="16"/>
  <c r="T41" i="16"/>
  <c r="T25" i="16"/>
  <c r="T9" i="16"/>
  <c r="T30" i="16"/>
  <c r="T77" i="16"/>
  <c r="T11" i="16"/>
  <c r="T73" i="16"/>
  <c r="T88" i="16"/>
  <c r="T72" i="16"/>
  <c r="T56" i="16"/>
  <c r="T40" i="16"/>
  <c r="T24" i="16"/>
  <c r="T8" i="16"/>
  <c r="T49" i="16"/>
  <c r="T31" i="16"/>
  <c r="T13" i="16"/>
  <c r="T27" i="16"/>
  <c r="T74" i="16"/>
  <c r="T71" i="16"/>
  <c r="T39" i="16"/>
  <c r="T23" i="16"/>
  <c r="T7" i="16"/>
  <c r="T15" i="16"/>
  <c r="T78" i="16"/>
  <c r="T45" i="16"/>
  <c r="T43" i="16"/>
  <c r="T86" i="16"/>
  <c r="T6" i="16"/>
  <c r="T48" i="16"/>
  <c r="T14" i="16"/>
  <c r="T44" i="16"/>
  <c r="T42" i="16"/>
  <c r="T53" i="16"/>
  <c r="T21" i="16"/>
  <c r="T5" i="16"/>
  <c r="T16" i="16"/>
  <c r="T62" i="16"/>
  <c r="T28" i="16"/>
  <c r="T10" i="16"/>
  <c r="T87" i="16"/>
  <c r="T70" i="16"/>
  <c r="T22" i="16"/>
  <c r="T85" i="16"/>
  <c r="T69" i="16"/>
  <c r="T37" i="16"/>
  <c r="T84" i="16"/>
  <c r="T68" i="16"/>
  <c r="T52" i="16"/>
  <c r="T36" i="16"/>
  <c r="T20" i="16"/>
  <c r="T4" i="16"/>
  <c r="T80" i="16"/>
  <c r="T63" i="16"/>
  <c r="T61" i="16"/>
  <c r="T58" i="16"/>
  <c r="T57" i="16"/>
  <c r="T55" i="16"/>
  <c r="T38" i="16"/>
  <c r="T83" i="16"/>
  <c r="T67" i="16"/>
  <c r="T51" i="16"/>
  <c r="T35" i="16"/>
  <c r="T19" i="16"/>
  <c r="T3" i="16"/>
  <c r="T81" i="16"/>
  <c r="T64" i="16"/>
  <c r="T46" i="16"/>
  <c r="T60" i="16"/>
  <c r="T75" i="16"/>
  <c r="T26" i="16"/>
  <c r="T54" i="16"/>
  <c r="T82" i="16"/>
  <c r="T66" i="16"/>
  <c r="T50" i="16"/>
  <c r="T34" i="16"/>
  <c r="X62" i="16"/>
  <c r="X57" i="16"/>
  <c r="X56" i="16"/>
  <c r="X48" i="16"/>
  <c r="X14" i="16"/>
  <c r="X8" i="16"/>
  <c r="X7" i="16"/>
  <c r="X77" i="16"/>
  <c r="X55" i="16"/>
  <c r="X50" i="16"/>
  <c r="X49" i="16"/>
  <c r="X47" i="16"/>
  <c r="X46" i="16"/>
  <c r="X45" i="16"/>
  <c r="T2" i="16"/>
  <c r="X23" i="16"/>
  <c r="X22" i="16"/>
  <c r="X2" i="16"/>
  <c r="X21" i="16"/>
  <c r="X26" i="16"/>
  <c r="X84" i="16"/>
  <c r="X16" i="16"/>
  <c r="X83" i="16"/>
  <c r="X15" i="16"/>
  <c r="X40" i="16"/>
  <c r="X35" i="16"/>
  <c r="X34" i="16"/>
  <c r="X78" i="16"/>
  <c r="X72" i="16"/>
  <c r="X25" i="16"/>
  <c r="X67" i="16"/>
  <c r="U2" i="16" l="1"/>
  <c r="H88" i="16"/>
  <c r="H87" i="16"/>
  <c r="H86" i="16"/>
  <c r="H85" i="16"/>
  <c r="O84" i="16"/>
  <c r="H83" i="16"/>
  <c r="O83" i="16" s="1"/>
  <c r="O78" i="16"/>
  <c r="O77" i="16"/>
  <c r="O72" i="16"/>
  <c r="O67" i="16"/>
  <c r="O62" i="16"/>
  <c r="O57" i="16"/>
  <c r="O56" i="16"/>
  <c r="O55" i="16"/>
  <c r="O50" i="16"/>
  <c r="O49" i="16"/>
  <c r="O48" i="16"/>
  <c r="O47" i="16"/>
  <c r="O46" i="16"/>
  <c r="O45" i="16"/>
  <c r="O40" i="16"/>
  <c r="O35" i="16"/>
  <c r="O34" i="16"/>
  <c r="H33" i="16"/>
  <c r="H32" i="16"/>
  <c r="H31" i="16"/>
  <c r="H30" i="16"/>
  <c r="H29" i="16"/>
  <c r="H28" i="16"/>
  <c r="H27" i="16"/>
  <c r="H26" i="16"/>
  <c r="O26" i="16" s="1"/>
  <c r="H25" i="16"/>
  <c r="O25" i="16" s="1"/>
  <c r="H24" i="16"/>
  <c r="O24" i="16" s="1"/>
  <c r="H23" i="16"/>
  <c r="O23" i="16" s="1"/>
  <c r="H22" i="16"/>
  <c r="O22" i="16" s="1"/>
  <c r="H21" i="16"/>
  <c r="O21" i="16" s="1"/>
  <c r="O16" i="16"/>
  <c r="O15" i="16"/>
  <c r="O14" i="16"/>
  <c r="H13" i="16"/>
  <c r="H12" i="16"/>
  <c r="H11" i="16"/>
  <c r="H10" i="16"/>
  <c r="H9" i="16"/>
  <c r="H8" i="16"/>
  <c r="O8" i="16" s="1"/>
  <c r="H7" i="16"/>
  <c r="O7" i="16" s="1"/>
  <c r="H6" i="16"/>
  <c r="H5" i="16"/>
  <c r="H4" i="16"/>
  <c r="H3" i="16"/>
  <c r="H2" i="16"/>
  <c r="P77" i="16" l="1"/>
  <c r="W77" i="16"/>
  <c r="P56" i="16"/>
  <c r="W56" i="16"/>
  <c r="P34" i="16"/>
  <c r="W34" i="16"/>
  <c r="P40" i="16"/>
  <c r="W40" i="16"/>
  <c r="P83" i="16"/>
  <c r="W83" i="16"/>
  <c r="P67" i="16"/>
  <c r="W67" i="16"/>
  <c r="P14" i="16"/>
  <c r="W14" i="16"/>
  <c r="P21" i="16"/>
  <c r="W21" i="16"/>
  <c r="O2" i="16"/>
  <c r="P47" i="16"/>
  <c r="W47" i="16"/>
  <c r="P84" i="16"/>
  <c r="W84" i="16"/>
  <c r="P22" i="16"/>
  <c r="W22" i="16"/>
  <c r="P24" i="16"/>
  <c r="W24" i="16"/>
  <c r="P48" i="16"/>
  <c r="W48" i="16"/>
  <c r="P72" i="16"/>
  <c r="W72" i="16"/>
  <c r="P78" i="16"/>
  <c r="W78" i="16"/>
  <c r="P45" i="16"/>
  <c r="W45" i="16"/>
  <c r="P46" i="16"/>
  <c r="W46" i="16"/>
  <c r="P25" i="16"/>
  <c r="W25" i="16"/>
  <c r="P49" i="16"/>
  <c r="W49" i="16"/>
  <c r="P57" i="16"/>
  <c r="W57" i="16"/>
  <c r="P35" i="16"/>
  <c r="W35" i="16"/>
  <c r="P16" i="16"/>
  <c r="W16" i="16"/>
  <c r="P23" i="16"/>
  <c r="W23" i="16"/>
  <c r="P26" i="16"/>
  <c r="W26" i="16"/>
  <c r="P50" i="16"/>
  <c r="W50" i="16"/>
  <c r="P8" i="16"/>
  <c r="W8" i="16"/>
  <c r="P62" i="16"/>
  <c r="W62" i="16"/>
  <c r="P15" i="16"/>
  <c r="W15" i="16"/>
  <c r="P7" i="16"/>
  <c r="W7" i="16"/>
  <c r="P55" i="16"/>
  <c r="W55" i="16"/>
  <c r="DV377" i="17"/>
  <c r="DW377" i="17" s="1"/>
  <c r="DV376" i="17"/>
  <c r="DW376" i="17" s="1"/>
  <c r="DV375" i="17"/>
  <c r="DW375" i="17" s="1"/>
  <c r="DV374" i="17"/>
  <c r="DW374" i="17" s="1"/>
  <c r="DV373" i="17"/>
  <c r="DW373" i="17" s="1"/>
  <c r="DV372" i="17"/>
  <c r="DW372" i="17" s="1"/>
  <c r="DV371" i="17"/>
  <c r="DW371" i="17" s="1"/>
  <c r="DV370" i="17"/>
  <c r="DW370" i="17" s="1"/>
  <c r="DV369" i="17"/>
  <c r="DW369" i="17" s="1"/>
  <c r="DV368" i="17"/>
  <c r="DW368" i="17" s="1"/>
  <c r="DV367" i="17"/>
  <c r="DW367" i="17" s="1"/>
  <c r="DV366" i="17"/>
  <c r="DW366" i="17" s="1"/>
  <c r="DV365" i="17"/>
  <c r="DW365" i="17" s="1"/>
  <c r="DV364" i="17"/>
  <c r="DW364" i="17" s="1"/>
  <c r="DV363" i="17"/>
  <c r="DW363" i="17" s="1"/>
  <c r="DV362" i="17"/>
  <c r="DW362" i="17" s="1"/>
  <c r="DV361" i="17"/>
  <c r="DW361" i="17" s="1"/>
  <c r="DV360" i="17"/>
  <c r="DW360" i="17" s="1"/>
  <c r="DV356" i="17"/>
  <c r="DW356" i="17" s="1"/>
  <c r="DV355" i="17"/>
  <c r="DW355" i="17" s="1"/>
  <c r="DV354" i="17"/>
  <c r="DW354" i="17" s="1"/>
  <c r="DV353" i="17"/>
  <c r="DW353" i="17" s="1"/>
  <c r="DV352" i="17"/>
  <c r="DW352" i="17" s="1"/>
  <c r="DV351" i="17"/>
  <c r="DW351" i="17" s="1"/>
  <c r="DV350" i="17"/>
  <c r="DW350" i="17" s="1"/>
  <c r="DV349" i="17"/>
  <c r="DW349" i="17" s="1"/>
  <c r="DV348" i="17"/>
  <c r="DW348" i="17" s="1"/>
  <c r="DV347" i="17"/>
  <c r="DW347" i="17" s="1"/>
  <c r="DV346" i="17"/>
  <c r="DW346" i="17" s="1"/>
  <c r="DV345" i="17"/>
  <c r="DW345" i="17" s="1"/>
  <c r="DV344" i="17"/>
  <c r="DW344" i="17" s="1"/>
  <c r="DV343" i="17"/>
  <c r="DW343" i="17" s="1"/>
  <c r="DV342" i="17"/>
  <c r="DW342" i="17" s="1"/>
  <c r="DV341" i="17"/>
  <c r="DW341" i="17" s="1"/>
  <c r="DV340" i="17"/>
  <c r="DW340" i="17" s="1"/>
  <c r="DV339" i="17"/>
  <c r="DW339" i="17" s="1"/>
  <c r="DV335" i="17"/>
  <c r="DW335" i="17" s="1"/>
  <c r="DV334" i="17"/>
  <c r="DW334" i="17" s="1"/>
  <c r="DV333" i="17"/>
  <c r="DW333" i="17" s="1"/>
  <c r="DV332" i="17"/>
  <c r="DW332" i="17" s="1"/>
  <c r="DV331" i="17"/>
  <c r="DW331" i="17" s="1"/>
  <c r="DV330" i="17"/>
  <c r="DW330" i="17" s="1"/>
  <c r="DV329" i="17"/>
  <c r="DW329" i="17" s="1"/>
  <c r="DV328" i="17"/>
  <c r="DW328" i="17" s="1"/>
  <c r="DV327" i="17"/>
  <c r="DW327" i="17" s="1"/>
  <c r="DV326" i="17"/>
  <c r="DW326" i="17" s="1"/>
  <c r="DV325" i="17"/>
  <c r="DW325" i="17" s="1"/>
  <c r="DV324" i="17"/>
  <c r="DW324" i="17" s="1"/>
  <c r="DV323" i="17"/>
  <c r="DW323" i="17" s="1"/>
  <c r="DV322" i="17"/>
  <c r="DW322" i="17" s="1"/>
  <c r="DV321" i="17"/>
  <c r="DW321" i="17" s="1"/>
  <c r="DV320" i="17"/>
  <c r="DW320" i="17" s="1"/>
  <c r="DV319" i="17"/>
  <c r="DW319" i="17" s="1"/>
  <c r="DV318" i="17"/>
  <c r="DW318" i="17" s="1"/>
  <c r="DV314" i="17"/>
  <c r="DW314" i="17" s="1"/>
  <c r="DV313" i="17"/>
  <c r="DW313" i="17" s="1"/>
  <c r="DV312" i="17"/>
  <c r="DW312" i="17" s="1"/>
  <c r="DV311" i="17"/>
  <c r="DW311" i="17" s="1"/>
  <c r="DV310" i="17"/>
  <c r="DW310" i="17" s="1"/>
  <c r="DV309" i="17"/>
  <c r="DW309" i="17" s="1"/>
  <c r="DV308" i="17"/>
  <c r="DW308" i="17" s="1"/>
  <c r="DV307" i="17"/>
  <c r="DW307" i="17" s="1"/>
  <c r="DV306" i="17"/>
  <c r="DW306" i="17" s="1"/>
  <c r="DV305" i="17"/>
  <c r="DW305" i="17" s="1"/>
  <c r="DV304" i="17"/>
  <c r="DW304" i="17" s="1"/>
  <c r="DV303" i="17"/>
  <c r="DW303" i="17" s="1"/>
  <c r="DV302" i="17"/>
  <c r="DW302" i="17" s="1"/>
  <c r="DV301" i="17"/>
  <c r="DW301" i="17" s="1"/>
  <c r="DV300" i="17"/>
  <c r="DW300" i="17" s="1"/>
  <c r="DV299" i="17"/>
  <c r="DW299" i="17" s="1"/>
  <c r="DV298" i="17"/>
  <c r="DW298" i="17" s="1"/>
  <c r="DV297" i="17"/>
  <c r="DW297" i="17" s="1"/>
  <c r="DV293" i="17"/>
  <c r="DW293" i="17" s="1"/>
  <c r="DV292" i="17"/>
  <c r="DW292" i="17" s="1"/>
  <c r="DV291" i="17"/>
  <c r="DW291" i="17" s="1"/>
  <c r="DV290" i="17"/>
  <c r="DW290" i="17" s="1"/>
  <c r="DV289" i="17"/>
  <c r="DW289" i="17" s="1"/>
  <c r="DV288" i="17"/>
  <c r="DW288" i="17" s="1"/>
  <c r="DV287" i="17"/>
  <c r="DW287" i="17" s="1"/>
  <c r="DV286" i="17"/>
  <c r="DW286" i="17" s="1"/>
  <c r="DV285" i="17"/>
  <c r="DW285" i="17" s="1"/>
  <c r="DV284" i="17"/>
  <c r="DW284" i="17" s="1"/>
  <c r="DV283" i="17"/>
  <c r="DW283" i="17" s="1"/>
  <c r="DV282" i="17"/>
  <c r="DW282" i="17" s="1"/>
  <c r="DV281" i="17"/>
  <c r="DW281" i="17" s="1"/>
  <c r="DV280" i="17"/>
  <c r="DW280" i="17" s="1"/>
  <c r="DV279" i="17"/>
  <c r="DW279" i="17" s="1"/>
  <c r="DV278" i="17"/>
  <c r="DW278" i="17" s="1"/>
  <c r="DV277" i="17"/>
  <c r="DW277" i="17" s="1"/>
  <c r="DV276" i="17"/>
  <c r="DW276" i="17" s="1"/>
  <c r="DV272" i="17"/>
  <c r="DW272" i="17" s="1"/>
  <c r="DV271" i="17"/>
  <c r="DW271" i="17" s="1"/>
  <c r="DV270" i="17"/>
  <c r="DW270" i="17" s="1"/>
  <c r="DV269" i="17"/>
  <c r="DW269" i="17" s="1"/>
  <c r="DV268" i="17"/>
  <c r="DW268" i="17" s="1"/>
  <c r="DV267" i="17"/>
  <c r="DW267" i="17" s="1"/>
  <c r="DV266" i="17"/>
  <c r="DW266" i="17" s="1"/>
  <c r="DV265" i="17"/>
  <c r="DW265" i="17" s="1"/>
  <c r="DV264" i="17"/>
  <c r="DW264" i="17" s="1"/>
  <c r="DV263" i="17"/>
  <c r="DW263" i="17" s="1"/>
  <c r="DV262" i="17"/>
  <c r="DW262" i="17" s="1"/>
  <c r="DV261" i="17"/>
  <c r="DW261" i="17" s="1"/>
  <c r="DV260" i="17"/>
  <c r="DW260" i="17" s="1"/>
  <c r="DV259" i="17"/>
  <c r="DW259" i="17" s="1"/>
  <c r="DV258" i="17"/>
  <c r="DW258" i="17" s="1"/>
  <c r="DV257" i="17"/>
  <c r="DW257" i="17" s="1"/>
  <c r="DV256" i="17"/>
  <c r="DW256" i="17" s="1"/>
  <c r="DV255" i="17"/>
  <c r="DW255" i="17" s="1"/>
  <c r="DV251" i="17"/>
  <c r="DW251" i="17" s="1"/>
  <c r="DV250" i="17"/>
  <c r="DW250" i="17" s="1"/>
  <c r="DV249" i="17"/>
  <c r="DW249" i="17" s="1"/>
  <c r="DV248" i="17"/>
  <c r="DW248" i="17" s="1"/>
  <c r="DV247" i="17"/>
  <c r="DW247" i="17" s="1"/>
  <c r="DV246" i="17"/>
  <c r="DW246" i="17" s="1"/>
  <c r="DV245" i="17"/>
  <c r="DW245" i="17" s="1"/>
  <c r="DV244" i="17"/>
  <c r="DW244" i="17" s="1"/>
  <c r="DV243" i="17"/>
  <c r="DW243" i="17" s="1"/>
  <c r="DV242" i="17"/>
  <c r="DW242" i="17" s="1"/>
  <c r="DV241" i="17"/>
  <c r="DW241" i="17" s="1"/>
  <c r="DV240" i="17"/>
  <c r="DW240" i="17" s="1"/>
  <c r="DV239" i="17"/>
  <c r="DW239" i="17" s="1"/>
  <c r="DV238" i="17"/>
  <c r="DW238" i="17" s="1"/>
  <c r="DV237" i="17"/>
  <c r="DW237" i="17" s="1"/>
  <c r="DV236" i="17"/>
  <c r="DW236" i="17" s="1"/>
  <c r="DV235" i="17"/>
  <c r="DW235" i="17" s="1"/>
  <c r="DV234" i="17"/>
  <c r="DW234" i="17" s="1"/>
  <c r="DV230" i="17"/>
  <c r="DW230" i="17" s="1"/>
  <c r="DV229" i="17"/>
  <c r="DW229" i="17" s="1"/>
  <c r="DV228" i="17"/>
  <c r="DW228" i="17" s="1"/>
  <c r="DV227" i="17"/>
  <c r="DW227" i="17" s="1"/>
  <c r="DV226" i="17"/>
  <c r="DW226" i="17" s="1"/>
  <c r="DV225" i="17"/>
  <c r="DW225" i="17" s="1"/>
  <c r="DV224" i="17"/>
  <c r="DW224" i="17" s="1"/>
  <c r="DV223" i="17"/>
  <c r="DW223" i="17" s="1"/>
  <c r="DV222" i="17"/>
  <c r="DW222" i="17" s="1"/>
  <c r="DV221" i="17"/>
  <c r="DW221" i="17" s="1"/>
  <c r="DV220" i="17"/>
  <c r="DW220" i="17" s="1"/>
  <c r="DV219" i="17"/>
  <c r="DW219" i="17" s="1"/>
  <c r="DV218" i="17"/>
  <c r="DW218" i="17" s="1"/>
  <c r="DV217" i="17"/>
  <c r="DW217" i="17" s="1"/>
  <c r="DV216" i="17"/>
  <c r="DW216" i="17" s="1"/>
  <c r="DV215" i="17"/>
  <c r="DW215" i="17" s="1"/>
  <c r="DV214" i="17"/>
  <c r="DW214" i="17" s="1"/>
  <c r="DV213" i="17"/>
  <c r="DW213" i="17" s="1"/>
  <c r="DV209" i="17"/>
  <c r="DW209" i="17" s="1"/>
  <c r="DV208" i="17"/>
  <c r="DW208" i="17" s="1"/>
  <c r="DV207" i="17"/>
  <c r="DW207" i="17" s="1"/>
  <c r="DV206" i="17"/>
  <c r="DW206" i="17" s="1"/>
  <c r="DV205" i="17"/>
  <c r="DW205" i="17" s="1"/>
  <c r="DV204" i="17"/>
  <c r="DW204" i="17" s="1"/>
  <c r="DV203" i="17"/>
  <c r="DW203" i="17" s="1"/>
  <c r="DV202" i="17"/>
  <c r="DW202" i="17" s="1"/>
  <c r="DV201" i="17"/>
  <c r="DW201" i="17" s="1"/>
  <c r="DV200" i="17"/>
  <c r="DW200" i="17" s="1"/>
  <c r="DV199" i="17"/>
  <c r="DW199" i="17" s="1"/>
  <c r="DV198" i="17"/>
  <c r="DW198" i="17" s="1"/>
  <c r="DV197" i="17"/>
  <c r="DW197" i="17" s="1"/>
  <c r="DV196" i="17"/>
  <c r="DW196" i="17" s="1"/>
  <c r="DV195" i="17"/>
  <c r="DW195" i="17" s="1"/>
  <c r="DV194" i="17"/>
  <c r="DW194" i="17" s="1"/>
  <c r="DV193" i="17"/>
  <c r="DW193" i="17" s="1"/>
  <c r="DV192" i="17"/>
  <c r="DW192" i="17" s="1"/>
  <c r="DV188" i="17"/>
  <c r="DW188" i="17" s="1"/>
  <c r="DV187" i="17"/>
  <c r="DW187" i="17" s="1"/>
  <c r="DV186" i="17"/>
  <c r="DW186" i="17" s="1"/>
  <c r="DV185" i="17"/>
  <c r="DW185" i="17" s="1"/>
  <c r="DV184" i="17"/>
  <c r="DW184" i="17" s="1"/>
  <c r="DV183" i="17"/>
  <c r="DW183" i="17" s="1"/>
  <c r="DV182" i="17"/>
  <c r="DW182" i="17" s="1"/>
  <c r="DV181" i="17"/>
  <c r="DW181" i="17" s="1"/>
  <c r="DV180" i="17"/>
  <c r="DW180" i="17" s="1"/>
  <c r="DV179" i="17"/>
  <c r="DW179" i="17" s="1"/>
  <c r="DV178" i="17"/>
  <c r="DW178" i="17" s="1"/>
  <c r="DV177" i="17"/>
  <c r="DW177" i="17" s="1"/>
  <c r="DV176" i="17"/>
  <c r="DW176" i="17" s="1"/>
  <c r="DV175" i="17"/>
  <c r="DW175" i="17" s="1"/>
  <c r="DV174" i="17"/>
  <c r="DW174" i="17" s="1"/>
  <c r="DV173" i="17"/>
  <c r="DW173" i="17" s="1"/>
  <c r="DV172" i="17"/>
  <c r="DW172" i="17" s="1"/>
  <c r="DV171" i="17"/>
  <c r="DW171" i="17" s="1"/>
  <c r="DV167" i="17"/>
  <c r="DW167" i="17" s="1"/>
  <c r="DV166" i="17"/>
  <c r="DW166" i="17" s="1"/>
  <c r="DV165" i="17"/>
  <c r="DW165" i="17" s="1"/>
  <c r="DV164" i="17"/>
  <c r="DW164" i="17" s="1"/>
  <c r="DV163" i="17"/>
  <c r="DW163" i="17" s="1"/>
  <c r="DV162" i="17"/>
  <c r="DW162" i="17" s="1"/>
  <c r="DV161" i="17"/>
  <c r="DW161" i="17" s="1"/>
  <c r="DV160" i="17"/>
  <c r="DW160" i="17" s="1"/>
  <c r="DV159" i="17"/>
  <c r="DW159" i="17" s="1"/>
  <c r="DV158" i="17"/>
  <c r="DW158" i="17" s="1"/>
  <c r="DV157" i="17"/>
  <c r="DW157" i="17" s="1"/>
  <c r="DV156" i="17"/>
  <c r="DW156" i="17" s="1"/>
  <c r="DV155" i="17"/>
  <c r="DW155" i="17" s="1"/>
  <c r="DV154" i="17"/>
  <c r="DW154" i="17" s="1"/>
  <c r="DV153" i="17"/>
  <c r="DW153" i="17" s="1"/>
  <c r="DV152" i="17"/>
  <c r="DW152" i="17" s="1"/>
  <c r="DV151" i="17"/>
  <c r="DW151" i="17" s="1"/>
  <c r="DV150" i="17"/>
  <c r="DW150" i="17" s="1"/>
  <c r="DV146" i="17"/>
  <c r="DW146" i="17" s="1"/>
  <c r="DV145" i="17"/>
  <c r="DW145" i="17" s="1"/>
  <c r="DV144" i="17"/>
  <c r="DW144" i="17" s="1"/>
  <c r="DV143" i="17"/>
  <c r="DW143" i="17" s="1"/>
  <c r="DV142" i="17"/>
  <c r="DW142" i="17" s="1"/>
  <c r="DV141" i="17"/>
  <c r="DW141" i="17" s="1"/>
  <c r="DV140" i="17"/>
  <c r="DW140" i="17" s="1"/>
  <c r="DV139" i="17"/>
  <c r="DW139" i="17" s="1"/>
  <c r="DV138" i="17"/>
  <c r="DW138" i="17" s="1"/>
  <c r="DV137" i="17"/>
  <c r="DW137" i="17" s="1"/>
  <c r="DV136" i="17"/>
  <c r="DW136" i="17" s="1"/>
  <c r="DV135" i="17"/>
  <c r="DW135" i="17" s="1"/>
  <c r="DV134" i="17"/>
  <c r="DW134" i="17" s="1"/>
  <c r="DV133" i="17"/>
  <c r="DW133" i="17" s="1"/>
  <c r="DV132" i="17"/>
  <c r="DW132" i="17" s="1"/>
  <c r="DV131" i="17"/>
  <c r="DW131" i="17" s="1"/>
  <c r="DV130" i="17"/>
  <c r="DW130" i="17" s="1"/>
  <c r="DV129" i="17"/>
  <c r="DW129" i="17" s="1"/>
  <c r="DV125" i="17"/>
  <c r="DW125" i="17" s="1"/>
  <c r="DV124" i="17"/>
  <c r="DW124" i="17" s="1"/>
  <c r="DV123" i="17"/>
  <c r="DW123" i="17" s="1"/>
  <c r="DV122" i="17"/>
  <c r="DW122" i="17" s="1"/>
  <c r="DV121" i="17"/>
  <c r="DW121" i="17" s="1"/>
  <c r="DV120" i="17"/>
  <c r="DW120" i="17" s="1"/>
  <c r="DV119" i="17"/>
  <c r="DW119" i="17" s="1"/>
  <c r="DV118" i="17"/>
  <c r="DW118" i="17" s="1"/>
  <c r="DV117" i="17"/>
  <c r="DW117" i="17" s="1"/>
  <c r="DV116" i="17"/>
  <c r="DW116" i="17" s="1"/>
  <c r="DV115" i="17"/>
  <c r="DW115" i="17" s="1"/>
  <c r="DV114" i="17"/>
  <c r="DW114" i="17" s="1"/>
  <c r="DV113" i="17"/>
  <c r="DW113" i="17" s="1"/>
  <c r="DV112" i="17"/>
  <c r="DW112" i="17" s="1"/>
  <c r="DV111" i="17"/>
  <c r="DW111" i="17" s="1"/>
  <c r="DV110" i="17"/>
  <c r="DW110" i="17" s="1"/>
  <c r="DV109" i="17"/>
  <c r="DW109" i="17" s="1"/>
  <c r="DV108" i="17"/>
  <c r="DW108" i="17" s="1"/>
  <c r="DV104" i="17"/>
  <c r="DW104" i="17" s="1"/>
  <c r="DV103" i="17"/>
  <c r="DW103" i="17" s="1"/>
  <c r="DV102" i="17"/>
  <c r="DW102" i="17" s="1"/>
  <c r="DV101" i="17"/>
  <c r="DW101" i="17" s="1"/>
  <c r="DV100" i="17"/>
  <c r="DW100" i="17" s="1"/>
  <c r="DV99" i="17"/>
  <c r="DW99" i="17" s="1"/>
  <c r="DV98" i="17"/>
  <c r="DW98" i="17" s="1"/>
  <c r="DV97" i="17"/>
  <c r="DW97" i="17" s="1"/>
  <c r="DV96" i="17"/>
  <c r="DW96" i="17" s="1"/>
  <c r="DV95" i="17"/>
  <c r="DW95" i="17" s="1"/>
  <c r="DV94" i="17"/>
  <c r="DW94" i="17" s="1"/>
  <c r="DV93" i="17"/>
  <c r="DW93" i="17" s="1"/>
  <c r="DV92" i="17"/>
  <c r="DW92" i="17" s="1"/>
  <c r="DV91" i="17"/>
  <c r="DW91" i="17" s="1"/>
  <c r="DV90" i="17"/>
  <c r="DW90" i="17" s="1"/>
  <c r="DV89" i="17"/>
  <c r="DW89" i="17" s="1"/>
  <c r="DV88" i="17"/>
  <c r="DW88" i="17" s="1"/>
  <c r="DV87" i="17"/>
  <c r="DW87" i="17" s="1"/>
  <c r="DV83" i="17"/>
  <c r="DW83" i="17" s="1"/>
  <c r="DV82" i="17"/>
  <c r="DW82" i="17" s="1"/>
  <c r="DV81" i="17"/>
  <c r="DW81" i="17" s="1"/>
  <c r="DV80" i="17"/>
  <c r="DW80" i="17" s="1"/>
  <c r="DV79" i="17"/>
  <c r="DW79" i="17" s="1"/>
  <c r="DV78" i="17"/>
  <c r="DW78" i="17" s="1"/>
  <c r="DV77" i="17"/>
  <c r="DW77" i="17" s="1"/>
  <c r="DV76" i="17"/>
  <c r="DW76" i="17" s="1"/>
  <c r="DV75" i="17"/>
  <c r="DW75" i="17" s="1"/>
  <c r="DV74" i="17"/>
  <c r="DW74" i="17" s="1"/>
  <c r="DV73" i="17"/>
  <c r="DW73" i="17" s="1"/>
  <c r="DV72" i="17"/>
  <c r="DW72" i="17" s="1"/>
  <c r="DV71" i="17"/>
  <c r="DW71" i="17" s="1"/>
  <c r="DV70" i="17"/>
  <c r="DW70" i="17" s="1"/>
  <c r="DV69" i="17"/>
  <c r="DW69" i="17" s="1"/>
  <c r="DV68" i="17"/>
  <c r="DW68" i="17" s="1"/>
  <c r="DV67" i="17"/>
  <c r="DW67" i="17" s="1"/>
  <c r="DV66" i="17"/>
  <c r="DW66" i="17" s="1"/>
  <c r="DV62" i="17"/>
  <c r="DW62" i="17" s="1"/>
  <c r="DV61" i="17"/>
  <c r="DW61" i="17" s="1"/>
  <c r="DV60" i="17"/>
  <c r="DW60" i="17" s="1"/>
  <c r="DV59" i="17"/>
  <c r="DW59" i="17" s="1"/>
  <c r="DV58" i="17"/>
  <c r="DW58" i="17" s="1"/>
  <c r="DV57" i="17"/>
  <c r="DW57" i="17" s="1"/>
  <c r="DV56" i="17"/>
  <c r="DW56" i="17" s="1"/>
  <c r="DV55" i="17"/>
  <c r="DW55" i="17" s="1"/>
  <c r="DV54" i="17"/>
  <c r="DW54" i="17" s="1"/>
  <c r="DV53" i="17"/>
  <c r="DW53" i="17" s="1"/>
  <c r="DV52" i="17"/>
  <c r="DW52" i="17" s="1"/>
  <c r="DV51" i="17"/>
  <c r="DW51" i="17" s="1"/>
  <c r="DV50" i="17"/>
  <c r="DW50" i="17" s="1"/>
  <c r="DV49" i="17"/>
  <c r="DW49" i="17" s="1"/>
  <c r="DV48" i="17"/>
  <c r="DW48" i="17" s="1"/>
  <c r="DV47" i="17"/>
  <c r="DW47" i="17" s="1"/>
  <c r="DV46" i="17"/>
  <c r="DW46" i="17" s="1"/>
  <c r="DV45" i="17"/>
  <c r="DW45" i="17" s="1"/>
  <c r="DV41" i="17"/>
  <c r="DW41" i="17" s="1"/>
  <c r="DV40" i="17"/>
  <c r="DW40" i="17" s="1"/>
  <c r="DV39" i="17"/>
  <c r="DW39" i="17" s="1"/>
  <c r="DV38" i="17"/>
  <c r="DW38" i="17" s="1"/>
  <c r="DV37" i="17"/>
  <c r="DW37" i="17" s="1"/>
  <c r="DV36" i="17"/>
  <c r="DW36" i="17" s="1"/>
  <c r="DV35" i="17"/>
  <c r="DW35" i="17" s="1"/>
  <c r="DV34" i="17"/>
  <c r="DW34" i="17" s="1"/>
  <c r="DV33" i="17"/>
  <c r="DW33" i="17" s="1"/>
  <c r="DV32" i="17"/>
  <c r="DW32" i="17" s="1"/>
  <c r="DV31" i="17"/>
  <c r="DW31" i="17" s="1"/>
  <c r="DV30" i="17"/>
  <c r="DW30" i="17" s="1"/>
  <c r="DV29" i="17"/>
  <c r="DW29" i="17" s="1"/>
  <c r="DV28" i="17"/>
  <c r="DW28" i="17" s="1"/>
  <c r="DV27" i="17"/>
  <c r="DW27" i="17" s="1"/>
  <c r="DV26" i="17"/>
  <c r="DW26" i="17" s="1"/>
  <c r="DV25" i="17"/>
  <c r="DW25" i="17" s="1"/>
  <c r="DV24" i="17"/>
  <c r="DW24" i="17" s="1"/>
  <c r="DV20" i="17"/>
  <c r="DW20" i="17" s="1"/>
  <c r="DV19" i="17"/>
  <c r="DW19" i="17" s="1"/>
  <c r="DV18" i="17"/>
  <c r="DW18" i="17" s="1"/>
  <c r="DV17" i="17"/>
  <c r="DW17" i="17" s="1"/>
  <c r="DV16" i="17"/>
  <c r="DW16" i="17" s="1"/>
  <c r="DV15" i="17"/>
  <c r="DW15" i="17" s="1"/>
  <c r="DV14" i="17"/>
  <c r="DW14" i="17" s="1"/>
  <c r="DV13" i="17"/>
  <c r="DW13" i="17" s="1"/>
  <c r="DV12" i="17"/>
  <c r="DW12" i="17" s="1"/>
  <c r="DV11" i="17"/>
  <c r="DW11" i="17" s="1"/>
  <c r="DV10" i="17"/>
  <c r="DW10" i="17" s="1"/>
  <c r="DV9" i="17"/>
  <c r="DW9" i="17" s="1"/>
  <c r="DV8" i="17"/>
  <c r="DW8" i="17" s="1"/>
  <c r="DV7" i="17"/>
  <c r="DW7" i="17" s="1"/>
  <c r="DV6" i="17"/>
  <c r="DW6" i="17" s="1"/>
  <c r="DV5" i="17"/>
  <c r="DW5" i="17" s="1"/>
  <c r="DV4" i="17"/>
  <c r="DW4" i="17" s="1"/>
  <c r="DV3" i="17"/>
  <c r="DW3" i="17" s="1"/>
  <c r="DV359" i="17"/>
  <c r="DW359" i="17" s="1"/>
  <c r="DV338" i="17"/>
  <c r="DW338" i="17" s="1"/>
  <c r="DV317" i="17"/>
  <c r="DW317" i="17" s="1"/>
  <c r="DV296" i="17"/>
  <c r="DW296" i="17" s="1"/>
  <c r="DV275" i="17"/>
  <c r="DW275" i="17" s="1"/>
  <c r="DV254" i="17"/>
  <c r="DW254" i="17" s="1"/>
  <c r="DV233" i="17"/>
  <c r="DW233" i="17" s="1"/>
  <c r="DV212" i="17"/>
  <c r="DW212" i="17" s="1"/>
  <c r="DV191" i="17"/>
  <c r="DW191" i="17" s="1"/>
  <c r="DV170" i="17"/>
  <c r="DW170" i="17" s="1"/>
  <c r="DV149" i="17"/>
  <c r="DW149" i="17" s="1"/>
  <c r="DV128" i="17"/>
  <c r="DW128" i="17" s="1"/>
  <c r="DV107" i="17"/>
  <c r="DW107" i="17" s="1"/>
  <c r="DV86" i="17"/>
  <c r="DW86" i="17" s="1"/>
  <c r="DV65" i="17"/>
  <c r="DW65" i="17" s="1"/>
  <c r="DV44" i="17"/>
  <c r="DW44" i="17" s="1"/>
  <c r="DV23" i="17"/>
  <c r="DW23" i="17" s="1"/>
  <c r="DV2" i="17"/>
  <c r="DW2" i="17" s="1"/>
  <c r="DG377" i="17"/>
  <c r="DH377" i="17" s="1"/>
  <c r="DG376" i="17"/>
  <c r="DH376" i="17" s="1"/>
  <c r="DG375" i="17"/>
  <c r="DH375" i="17" s="1"/>
  <c r="DG374" i="17"/>
  <c r="DH374" i="17" s="1"/>
  <c r="DG373" i="17"/>
  <c r="DH373" i="17" s="1"/>
  <c r="DG372" i="17"/>
  <c r="DH372" i="17" s="1"/>
  <c r="DG371" i="17"/>
  <c r="DH371" i="17" s="1"/>
  <c r="DG370" i="17"/>
  <c r="DH370" i="17" s="1"/>
  <c r="DG369" i="17"/>
  <c r="DH369" i="17" s="1"/>
  <c r="DG368" i="17"/>
  <c r="DH368" i="17" s="1"/>
  <c r="DG367" i="17"/>
  <c r="DH367" i="17" s="1"/>
  <c r="DG366" i="17"/>
  <c r="DH366" i="17" s="1"/>
  <c r="DG365" i="17"/>
  <c r="DH365" i="17" s="1"/>
  <c r="DG364" i="17"/>
  <c r="DH364" i="17" s="1"/>
  <c r="DG363" i="17"/>
  <c r="DH363" i="17" s="1"/>
  <c r="DG362" i="17"/>
  <c r="DH362" i="17" s="1"/>
  <c r="DG361" i="17"/>
  <c r="DH361" i="17" s="1"/>
  <c r="DG360" i="17"/>
  <c r="DH360" i="17" s="1"/>
  <c r="DG356" i="17"/>
  <c r="DH356" i="17" s="1"/>
  <c r="DG355" i="17"/>
  <c r="DH355" i="17" s="1"/>
  <c r="DG354" i="17"/>
  <c r="DH354" i="17" s="1"/>
  <c r="DG353" i="17"/>
  <c r="DH353" i="17" s="1"/>
  <c r="DG352" i="17"/>
  <c r="DH352" i="17" s="1"/>
  <c r="DG351" i="17"/>
  <c r="DH351" i="17" s="1"/>
  <c r="DG350" i="17"/>
  <c r="DH350" i="17" s="1"/>
  <c r="DG349" i="17"/>
  <c r="DH349" i="17" s="1"/>
  <c r="DG348" i="17"/>
  <c r="DH348" i="17" s="1"/>
  <c r="DG347" i="17"/>
  <c r="DH347" i="17" s="1"/>
  <c r="DG346" i="17"/>
  <c r="DH346" i="17" s="1"/>
  <c r="DG345" i="17"/>
  <c r="DH345" i="17" s="1"/>
  <c r="DG344" i="17"/>
  <c r="DH344" i="17" s="1"/>
  <c r="DG343" i="17"/>
  <c r="DH343" i="17" s="1"/>
  <c r="DG342" i="17"/>
  <c r="DH342" i="17" s="1"/>
  <c r="DG341" i="17"/>
  <c r="DH341" i="17" s="1"/>
  <c r="DG340" i="17"/>
  <c r="DH340" i="17" s="1"/>
  <c r="DG339" i="17"/>
  <c r="DH339" i="17" s="1"/>
  <c r="DG335" i="17"/>
  <c r="DH335" i="17" s="1"/>
  <c r="DG334" i="17"/>
  <c r="DH334" i="17" s="1"/>
  <c r="DG333" i="17"/>
  <c r="DH333" i="17" s="1"/>
  <c r="DG332" i="17"/>
  <c r="DH332" i="17" s="1"/>
  <c r="DG331" i="17"/>
  <c r="DH331" i="17" s="1"/>
  <c r="DG330" i="17"/>
  <c r="DH330" i="17" s="1"/>
  <c r="DG329" i="17"/>
  <c r="DH329" i="17" s="1"/>
  <c r="DG328" i="17"/>
  <c r="DH328" i="17" s="1"/>
  <c r="DG327" i="17"/>
  <c r="DH327" i="17" s="1"/>
  <c r="DG326" i="17"/>
  <c r="DH326" i="17" s="1"/>
  <c r="DG325" i="17"/>
  <c r="DH325" i="17" s="1"/>
  <c r="DG324" i="17"/>
  <c r="DH324" i="17" s="1"/>
  <c r="DG323" i="17"/>
  <c r="DH323" i="17" s="1"/>
  <c r="DG322" i="17"/>
  <c r="DH322" i="17" s="1"/>
  <c r="DG321" i="17"/>
  <c r="DH321" i="17" s="1"/>
  <c r="DG320" i="17"/>
  <c r="DH320" i="17" s="1"/>
  <c r="DG319" i="17"/>
  <c r="DH319" i="17" s="1"/>
  <c r="DG318" i="17"/>
  <c r="DH318" i="17" s="1"/>
  <c r="DG314" i="17"/>
  <c r="DH314" i="17" s="1"/>
  <c r="DG313" i="17"/>
  <c r="DH313" i="17" s="1"/>
  <c r="DG312" i="17"/>
  <c r="DH312" i="17" s="1"/>
  <c r="DG311" i="17"/>
  <c r="DH311" i="17" s="1"/>
  <c r="DG310" i="17"/>
  <c r="DH310" i="17" s="1"/>
  <c r="DG309" i="17"/>
  <c r="DH309" i="17" s="1"/>
  <c r="DG308" i="17"/>
  <c r="DH308" i="17" s="1"/>
  <c r="DG307" i="17"/>
  <c r="DH307" i="17" s="1"/>
  <c r="DG306" i="17"/>
  <c r="DH306" i="17" s="1"/>
  <c r="DG305" i="17"/>
  <c r="DH305" i="17" s="1"/>
  <c r="DG304" i="17"/>
  <c r="DH304" i="17" s="1"/>
  <c r="DG303" i="17"/>
  <c r="DH303" i="17" s="1"/>
  <c r="DG302" i="17"/>
  <c r="DH302" i="17" s="1"/>
  <c r="DG301" i="17"/>
  <c r="DH301" i="17" s="1"/>
  <c r="DG300" i="17"/>
  <c r="DH300" i="17" s="1"/>
  <c r="DG299" i="17"/>
  <c r="DH299" i="17" s="1"/>
  <c r="DG298" i="17"/>
  <c r="DH298" i="17" s="1"/>
  <c r="DG297" i="17"/>
  <c r="DH297" i="17" s="1"/>
  <c r="DG293" i="17"/>
  <c r="DH293" i="17" s="1"/>
  <c r="DG292" i="17"/>
  <c r="DH292" i="17" s="1"/>
  <c r="DG291" i="17"/>
  <c r="DH291" i="17" s="1"/>
  <c r="DG290" i="17"/>
  <c r="DH290" i="17" s="1"/>
  <c r="DG289" i="17"/>
  <c r="DH289" i="17" s="1"/>
  <c r="DG288" i="17"/>
  <c r="DH288" i="17" s="1"/>
  <c r="DG287" i="17"/>
  <c r="DH287" i="17" s="1"/>
  <c r="DG286" i="17"/>
  <c r="DH286" i="17" s="1"/>
  <c r="DG285" i="17"/>
  <c r="DH285" i="17" s="1"/>
  <c r="DG284" i="17"/>
  <c r="DH284" i="17" s="1"/>
  <c r="DG283" i="17"/>
  <c r="DH283" i="17" s="1"/>
  <c r="DG282" i="17"/>
  <c r="DH282" i="17" s="1"/>
  <c r="DG281" i="17"/>
  <c r="DH281" i="17" s="1"/>
  <c r="DG280" i="17"/>
  <c r="DH280" i="17" s="1"/>
  <c r="DG279" i="17"/>
  <c r="DH279" i="17" s="1"/>
  <c r="DG278" i="17"/>
  <c r="DH278" i="17" s="1"/>
  <c r="DG277" i="17"/>
  <c r="DH277" i="17" s="1"/>
  <c r="DG276" i="17"/>
  <c r="DH276" i="17" s="1"/>
  <c r="DG272" i="17"/>
  <c r="DH272" i="17" s="1"/>
  <c r="DG271" i="17"/>
  <c r="DH271" i="17" s="1"/>
  <c r="DG270" i="17"/>
  <c r="DH270" i="17" s="1"/>
  <c r="DG269" i="17"/>
  <c r="DH269" i="17" s="1"/>
  <c r="DG268" i="17"/>
  <c r="DH268" i="17" s="1"/>
  <c r="DG267" i="17"/>
  <c r="DH267" i="17" s="1"/>
  <c r="DG266" i="17"/>
  <c r="DH266" i="17" s="1"/>
  <c r="DG265" i="17"/>
  <c r="DH265" i="17" s="1"/>
  <c r="DG264" i="17"/>
  <c r="DH264" i="17" s="1"/>
  <c r="DG263" i="17"/>
  <c r="DH263" i="17" s="1"/>
  <c r="DG262" i="17"/>
  <c r="DH262" i="17" s="1"/>
  <c r="DG261" i="17"/>
  <c r="DH261" i="17" s="1"/>
  <c r="DG260" i="17"/>
  <c r="DH260" i="17" s="1"/>
  <c r="DG259" i="17"/>
  <c r="DH259" i="17" s="1"/>
  <c r="DG258" i="17"/>
  <c r="DH258" i="17" s="1"/>
  <c r="DG257" i="17"/>
  <c r="DH257" i="17" s="1"/>
  <c r="DG256" i="17"/>
  <c r="DH256" i="17" s="1"/>
  <c r="DG255" i="17"/>
  <c r="DH255" i="17" s="1"/>
  <c r="DG251" i="17"/>
  <c r="DH251" i="17" s="1"/>
  <c r="DG250" i="17"/>
  <c r="DH250" i="17" s="1"/>
  <c r="DG249" i="17"/>
  <c r="DH249" i="17" s="1"/>
  <c r="DG248" i="17"/>
  <c r="DH248" i="17" s="1"/>
  <c r="DG247" i="17"/>
  <c r="DH247" i="17" s="1"/>
  <c r="DG246" i="17"/>
  <c r="DH246" i="17" s="1"/>
  <c r="DG245" i="17"/>
  <c r="DH245" i="17" s="1"/>
  <c r="DG244" i="17"/>
  <c r="DH244" i="17" s="1"/>
  <c r="DG243" i="17"/>
  <c r="DH243" i="17" s="1"/>
  <c r="DG242" i="17"/>
  <c r="DH242" i="17" s="1"/>
  <c r="DG241" i="17"/>
  <c r="DH241" i="17" s="1"/>
  <c r="DG240" i="17"/>
  <c r="DH240" i="17" s="1"/>
  <c r="DG239" i="17"/>
  <c r="DH239" i="17" s="1"/>
  <c r="DG238" i="17"/>
  <c r="DH238" i="17" s="1"/>
  <c r="DG237" i="17"/>
  <c r="DH237" i="17" s="1"/>
  <c r="DG236" i="17"/>
  <c r="DH236" i="17" s="1"/>
  <c r="DG235" i="17"/>
  <c r="DH235" i="17" s="1"/>
  <c r="DG234" i="17"/>
  <c r="DH234" i="17" s="1"/>
  <c r="DG230" i="17"/>
  <c r="DH230" i="17" s="1"/>
  <c r="DG229" i="17"/>
  <c r="DH229" i="17" s="1"/>
  <c r="DG228" i="17"/>
  <c r="DH228" i="17" s="1"/>
  <c r="DG227" i="17"/>
  <c r="DH227" i="17" s="1"/>
  <c r="DG226" i="17"/>
  <c r="DH226" i="17" s="1"/>
  <c r="DG225" i="17"/>
  <c r="DH225" i="17" s="1"/>
  <c r="DG224" i="17"/>
  <c r="DH224" i="17" s="1"/>
  <c r="DG223" i="17"/>
  <c r="DH223" i="17" s="1"/>
  <c r="DG222" i="17"/>
  <c r="DH222" i="17" s="1"/>
  <c r="DG221" i="17"/>
  <c r="DH221" i="17" s="1"/>
  <c r="DG220" i="17"/>
  <c r="DH220" i="17" s="1"/>
  <c r="DG219" i="17"/>
  <c r="DH219" i="17" s="1"/>
  <c r="DG218" i="17"/>
  <c r="DH218" i="17" s="1"/>
  <c r="DG217" i="17"/>
  <c r="DH217" i="17" s="1"/>
  <c r="DG216" i="17"/>
  <c r="DH216" i="17" s="1"/>
  <c r="DG215" i="17"/>
  <c r="DH215" i="17" s="1"/>
  <c r="DG214" i="17"/>
  <c r="DH214" i="17" s="1"/>
  <c r="DG213" i="17"/>
  <c r="DH213" i="17" s="1"/>
  <c r="DG209" i="17"/>
  <c r="DH209" i="17" s="1"/>
  <c r="DG208" i="17"/>
  <c r="DH208" i="17" s="1"/>
  <c r="DG207" i="17"/>
  <c r="DH207" i="17" s="1"/>
  <c r="DG206" i="17"/>
  <c r="DH206" i="17" s="1"/>
  <c r="DG205" i="17"/>
  <c r="DH205" i="17" s="1"/>
  <c r="DG204" i="17"/>
  <c r="DH204" i="17" s="1"/>
  <c r="DG203" i="17"/>
  <c r="DH203" i="17" s="1"/>
  <c r="DG202" i="17"/>
  <c r="DH202" i="17" s="1"/>
  <c r="DG201" i="17"/>
  <c r="DH201" i="17" s="1"/>
  <c r="DG200" i="17"/>
  <c r="DH200" i="17" s="1"/>
  <c r="DG199" i="17"/>
  <c r="DH199" i="17" s="1"/>
  <c r="DG198" i="17"/>
  <c r="DH198" i="17" s="1"/>
  <c r="DG197" i="17"/>
  <c r="DH197" i="17" s="1"/>
  <c r="DG196" i="17"/>
  <c r="DH196" i="17" s="1"/>
  <c r="DG195" i="17"/>
  <c r="DH195" i="17" s="1"/>
  <c r="DG194" i="17"/>
  <c r="DH194" i="17" s="1"/>
  <c r="DG193" i="17"/>
  <c r="DH193" i="17" s="1"/>
  <c r="DG192" i="17"/>
  <c r="DH192" i="17" s="1"/>
  <c r="DG188" i="17"/>
  <c r="DH188" i="17" s="1"/>
  <c r="DG187" i="17"/>
  <c r="DH187" i="17" s="1"/>
  <c r="DG186" i="17"/>
  <c r="DH186" i="17" s="1"/>
  <c r="DG185" i="17"/>
  <c r="DH185" i="17" s="1"/>
  <c r="DG184" i="17"/>
  <c r="DH184" i="17" s="1"/>
  <c r="DG183" i="17"/>
  <c r="DH183" i="17" s="1"/>
  <c r="DG182" i="17"/>
  <c r="DH182" i="17" s="1"/>
  <c r="DG181" i="17"/>
  <c r="DH181" i="17" s="1"/>
  <c r="DG180" i="17"/>
  <c r="DH180" i="17" s="1"/>
  <c r="DG179" i="17"/>
  <c r="DH179" i="17" s="1"/>
  <c r="DG178" i="17"/>
  <c r="DH178" i="17" s="1"/>
  <c r="DG177" i="17"/>
  <c r="DH177" i="17" s="1"/>
  <c r="DG176" i="17"/>
  <c r="DH176" i="17" s="1"/>
  <c r="DG175" i="17"/>
  <c r="DH175" i="17" s="1"/>
  <c r="DG174" i="17"/>
  <c r="DH174" i="17" s="1"/>
  <c r="DG173" i="17"/>
  <c r="DH173" i="17" s="1"/>
  <c r="DG172" i="17"/>
  <c r="DH172" i="17" s="1"/>
  <c r="DG171" i="17"/>
  <c r="DH171" i="17" s="1"/>
  <c r="DG167" i="17"/>
  <c r="DH167" i="17" s="1"/>
  <c r="DG166" i="17"/>
  <c r="DH166" i="17" s="1"/>
  <c r="DG165" i="17"/>
  <c r="DH165" i="17" s="1"/>
  <c r="DG164" i="17"/>
  <c r="DH164" i="17" s="1"/>
  <c r="DG163" i="17"/>
  <c r="DH163" i="17" s="1"/>
  <c r="DG162" i="17"/>
  <c r="DH162" i="17" s="1"/>
  <c r="DG161" i="17"/>
  <c r="DH161" i="17" s="1"/>
  <c r="DG160" i="17"/>
  <c r="DH160" i="17" s="1"/>
  <c r="DG159" i="17"/>
  <c r="DH159" i="17" s="1"/>
  <c r="DG158" i="17"/>
  <c r="DH158" i="17" s="1"/>
  <c r="DG157" i="17"/>
  <c r="DH157" i="17" s="1"/>
  <c r="DG156" i="17"/>
  <c r="DH156" i="17" s="1"/>
  <c r="DG155" i="17"/>
  <c r="DH155" i="17" s="1"/>
  <c r="DG154" i="17"/>
  <c r="DH154" i="17" s="1"/>
  <c r="DG153" i="17"/>
  <c r="DH153" i="17" s="1"/>
  <c r="DG152" i="17"/>
  <c r="DH152" i="17" s="1"/>
  <c r="DG151" i="17"/>
  <c r="DH151" i="17" s="1"/>
  <c r="DG150" i="17"/>
  <c r="DH150" i="17" s="1"/>
  <c r="DG146" i="17"/>
  <c r="DH146" i="17" s="1"/>
  <c r="DG145" i="17"/>
  <c r="DH145" i="17" s="1"/>
  <c r="DG144" i="17"/>
  <c r="DH144" i="17" s="1"/>
  <c r="DG143" i="17"/>
  <c r="DH143" i="17" s="1"/>
  <c r="DG142" i="17"/>
  <c r="DH142" i="17" s="1"/>
  <c r="DG141" i="17"/>
  <c r="DH141" i="17" s="1"/>
  <c r="DG140" i="17"/>
  <c r="DH140" i="17" s="1"/>
  <c r="DG139" i="17"/>
  <c r="DH139" i="17" s="1"/>
  <c r="DG138" i="17"/>
  <c r="DH138" i="17" s="1"/>
  <c r="DG137" i="17"/>
  <c r="DH137" i="17" s="1"/>
  <c r="DG136" i="17"/>
  <c r="DH136" i="17" s="1"/>
  <c r="DG135" i="17"/>
  <c r="DH135" i="17" s="1"/>
  <c r="DG134" i="17"/>
  <c r="DH134" i="17" s="1"/>
  <c r="DG133" i="17"/>
  <c r="DH133" i="17" s="1"/>
  <c r="DG132" i="17"/>
  <c r="DH132" i="17" s="1"/>
  <c r="DG131" i="17"/>
  <c r="DH131" i="17" s="1"/>
  <c r="DG130" i="17"/>
  <c r="DH130" i="17" s="1"/>
  <c r="DG129" i="17"/>
  <c r="DH129" i="17" s="1"/>
  <c r="DG125" i="17"/>
  <c r="DH125" i="17" s="1"/>
  <c r="DG124" i="17"/>
  <c r="DH124" i="17" s="1"/>
  <c r="DG123" i="17"/>
  <c r="DH123" i="17" s="1"/>
  <c r="DG122" i="17"/>
  <c r="DH122" i="17" s="1"/>
  <c r="DG121" i="17"/>
  <c r="DH121" i="17" s="1"/>
  <c r="DG120" i="17"/>
  <c r="DH120" i="17" s="1"/>
  <c r="DG119" i="17"/>
  <c r="DH119" i="17" s="1"/>
  <c r="DG118" i="17"/>
  <c r="DH118" i="17" s="1"/>
  <c r="DG117" i="17"/>
  <c r="DH117" i="17" s="1"/>
  <c r="DG116" i="17"/>
  <c r="DH116" i="17" s="1"/>
  <c r="DG115" i="17"/>
  <c r="DH115" i="17" s="1"/>
  <c r="DG114" i="17"/>
  <c r="DH114" i="17" s="1"/>
  <c r="DG113" i="17"/>
  <c r="DH113" i="17" s="1"/>
  <c r="DG112" i="17"/>
  <c r="DH112" i="17" s="1"/>
  <c r="DG111" i="17"/>
  <c r="DH111" i="17" s="1"/>
  <c r="DG110" i="17"/>
  <c r="DH110" i="17" s="1"/>
  <c r="DG109" i="17"/>
  <c r="DH109" i="17" s="1"/>
  <c r="DG108" i="17"/>
  <c r="DH108" i="17" s="1"/>
  <c r="DG104" i="17"/>
  <c r="DH104" i="17" s="1"/>
  <c r="DG103" i="17"/>
  <c r="DH103" i="17" s="1"/>
  <c r="DG102" i="17"/>
  <c r="DH102" i="17" s="1"/>
  <c r="DG101" i="17"/>
  <c r="DH101" i="17" s="1"/>
  <c r="DG100" i="17"/>
  <c r="DH100" i="17" s="1"/>
  <c r="DG99" i="17"/>
  <c r="DH99" i="17" s="1"/>
  <c r="DG98" i="17"/>
  <c r="DH98" i="17" s="1"/>
  <c r="DG97" i="17"/>
  <c r="DH97" i="17" s="1"/>
  <c r="DG96" i="17"/>
  <c r="DH96" i="17" s="1"/>
  <c r="DG95" i="17"/>
  <c r="DH95" i="17" s="1"/>
  <c r="DG94" i="17"/>
  <c r="DH94" i="17" s="1"/>
  <c r="DG93" i="17"/>
  <c r="DH93" i="17" s="1"/>
  <c r="DG92" i="17"/>
  <c r="DH92" i="17" s="1"/>
  <c r="DG91" i="17"/>
  <c r="DH91" i="17" s="1"/>
  <c r="DG90" i="17"/>
  <c r="DH90" i="17" s="1"/>
  <c r="DG89" i="17"/>
  <c r="DH89" i="17" s="1"/>
  <c r="DG88" i="17"/>
  <c r="DH88" i="17" s="1"/>
  <c r="DG87" i="17"/>
  <c r="DH87" i="17" s="1"/>
  <c r="DG83" i="17"/>
  <c r="DH83" i="17" s="1"/>
  <c r="DG82" i="17"/>
  <c r="DH82" i="17" s="1"/>
  <c r="DG81" i="17"/>
  <c r="DH81" i="17" s="1"/>
  <c r="DG80" i="17"/>
  <c r="DH80" i="17" s="1"/>
  <c r="DG79" i="17"/>
  <c r="DH79" i="17" s="1"/>
  <c r="DG78" i="17"/>
  <c r="DH78" i="17" s="1"/>
  <c r="DG77" i="17"/>
  <c r="DH77" i="17" s="1"/>
  <c r="DG76" i="17"/>
  <c r="DH76" i="17" s="1"/>
  <c r="DG75" i="17"/>
  <c r="DH75" i="17" s="1"/>
  <c r="DG74" i="17"/>
  <c r="DH74" i="17" s="1"/>
  <c r="DG73" i="17"/>
  <c r="DH73" i="17" s="1"/>
  <c r="DG72" i="17"/>
  <c r="DH72" i="17" s="1"/>
  <c r="DG71" i="17"/>
  <c r="DH71" i="17" s="1"/>
  <c r="DG70" i="17"/>
  <c r="DH70" i="17" s="1"/>
  <c r="DG69" i="17"/>
  <c r="DH69" i="17" s="1"/>
  <c r="DG68" i="17"/>
  <c r="DH68" i="17" s="1"/>
  <c r="DG67" i="17"/>
  <c r="DH67" i="17" s="1"/>
  <c r="DG66" i="17"/>
  <c r="DH66" i="17" s="1"/>
  <c r="DG62" i="17"/>
  <c r="DH62" i="17" s="1"/>
  <c r="DG61" i="17"/>
  <c r="DH61" i="17" s="1"/>
  <c r="DG60" i="17"/>
  <c r="DH60" i="17" s="1"/>
  <c r="DG59" i="17"/>
  <c r="DH59" i="17" s="1"/>
  <c r="DG58" i="17"/>
  <c r="DH58" i="17" s="1"/>
  <c r="DG57" i="17"/>
  <c r="DH57" i="17" s="1"/>
  <c r="DG56" i="17"/>
  <c r="DH56" i="17" s="1"/>
  <c r="DG55" i="17"/>
  <c r="DH55" i="17" s="1"/>
  <c r="DG54" i="17"/>
  <c r="DH54" i="17" s="1"/>
  <c r="DG53" i="17"/>
  <c r="DH53" i="17" s="1"/>
  <c r="DG52" i="17"/>
  <c r="DH52" i="17" s="1"/>
  <c r="DG51" i="17"/>
  <c r="DH51" i="17" s="1"/>
  <c r="DG50" i="17"/>
  <c r="DH50" i="17" s="1"/>
  <c r="DG49" i="17"/>
  <c r="DH49" i="17" s="1"/>
  <c r="DG48" i="17"/>
  <c r="DH48" i="17" s="1"/>
  <c r="DG47" i="17"/>
  <c r="DH47" i="17" s="1"/>
  <c r="DG46" i="17"/>
  <c r="DH46" i="17" s="1"/>
  <c r="DG45" i="17"/>
  <c r="DH45" i="17" s="1"/>
  <c r="DG41" i="17"/>
  <c r="DH41" i="17" s="1"/>
  <c r="DG40" i="17"/>
  <c r="DH40" i="17" s="1"/>
  <c r="DG39" i="17"/>
  <c r="DH39" i="17" s="1"/>
  <c r="DG38" i="17"/>
  <c r="DH38" i="17" s="1"/>
  <c r="DG37" i="17"/>
  <c r="DH37" i="17" s="1"/>
  <c r="DG36" i="17"/>
  <c r="DH36" i="17" s="1"/>
  <c r="DG35" i="17"/>
  <c r="DH35" i="17" s="1"/>
  <c r="DG34" i="17"/>
  <c r="DH34" i="17" s="1"/>
  <c r="DG33" i="17"/>
  <c r="DH33" i="17" s="1"/>
  <c r="DG32" i="17"/>
  <c r="DH32" i="17" s="1"/>
  <c r="DG31" i="17"/>
  <c r="DH31" i="17" s="1"/>
  <c r="DG30" i="17"/>
  <c r="DH30" i="17" s="1"/>
  <c r="DG29" i="17"/>
  <c r="DH29" i="17" s="1"/>
  <c r="DG28" i="17"/>
  <c r="DH28" i="17" s="1"/>
  <c r="DG27" i="17"/>
  <c r="DH27" i="17" s="1"/>
  <c r="DG26" i="17"/>
  <c r="DH26" i="17" s="1"/>
  <c r="DG25" i="17"/>
  <c r="DH25" i="17" s="1"/>
  <c r="DG24" i="17"/>
  <c r="DH24" i="17" s="1"/>
  <c r="DG20" i="17"/>
  <c r="DH20" i="17" s="1"/>
  <c r="DG19" i="17"/>
  <c r="DH19" i="17" s="1"/>
  <c r="DG18" i="17"/>
  <c r="DH18" i="17" s="1"/>
  <c r="DG17" i="17"/>
  <c r="DH17" i="17" s="1"/>
  <c r="DG16" i="17"/>
  <c r="DH16" i="17" s="1"/>
  <c r="DG15" i="17"/>
  <c r="DH15" i="17" s="1"/>
  <c r="DG14" i="17"/>
  <c r="DH14" i="17" s="1"/>
  <c r="DG13" i="17"/>
  <c r="DH13" i="17" s="1"/>
  <c r="DG12" i="17"/>
  <c r="DH12" i="17" s="1"/>
  <c r="DG11" i="17"/>
  <c r="DH11" i="17" s="1"/>
  <c r="DG10" i="17"/>
  <c r="DH10" i="17" s="1"/>
  <c r="DG9" i="17"/>
  <c r="DH9" i="17" s="1"/>
  <c r="DG8" i="17"/>
  <c r="DH8" i="17" s="1"/>
  <c r="DG7" i="17"/>
  <c r="DH7" i="17" s="1"/>
  <c r="DG6" i="17"/>
  <c r="DH6" i="17" s="1"/>
  <c r="DG5" i="17"/>
  <c r="DH5" i="17" s="1"/>
  <c r="DG4" i="17"/>
  <c r="DH4" i="17" s="1"/>
  <c r="DG3" i="17"/>
  <c r="DH3" i="17" s="1"/>
  <c r="DG359" i="17"/>
  <c r="DH359" i="17" s="1"/>
  <c r="DG338" i="17"/>
  <c r="DH338" i="17" s="1"/>
  <c r="DG317" i="17"/>
  <c r="DH317" i="17" s="1"/>
  <c r="DG296" i="17"/>
  <c r="DH296" i="17" s="1"/>
  <c r="DG275" i="17"/>
  <c r="DH275" i="17" s="1"/>
  <c r="DG254" i="17"/>
  <c r="DH254" i="17" s="1"/>
  <c r="DG233" i="17"/>
  <c r="DH233" i="17" s="1"/>
  <c r="DG212" i="17"/>
  <c r="DH212" i="17" s="1"/>
  <c r="DG191" i="17"/>
  <c r="DH191" i="17" s="1"/>
  <c r="DG170" i="17"/>
  <c r="DH170" i="17" s="1"/>
  <c r="DG149" i="17"/>
  <c r="DH149" i="17" s="1"/>
  <c r="DG128" i="17"/>
  <c r="DH128" i="17" s="1"/>
  <c r="DG107" i="17"/>
  <c r="DH107" i="17" s="1"/>
  <c r="DG86" i="17"/>
  <c r="DH86" i="17" s="1"/>
  <c r="DG65" i="17"/>
  <c r="DH65" i="17" s="1"/>
  <c r="DG44" i="17"/>
  <c r="DH44" i="17" s="1"/>
  <c r="DG23" i="17"/>
  <c r="DH23" i="17" s="1"/>
  <c r="DG2" i="17"/>
  <c r="DH2" i="17" s="1"/>
  <c r="CR377" i="17"/>
  <c r="CS377" i="17" s="1"/>
  <c r="CR376" i="17"/>
  <c r="CS376" i="17" s="1"/>
  <c r="CR375" i="17"/>
  <c r="CS375" i="17" s="1"/>
  <c r="CR374" i="17"/>
  <c r="CS374" i="17" s="1"/>
  <c r="CR373" i="17"/>
  <c r="CS373" i="17" s="1"/>
  <c r="CR372" i="17"/>
  <c r="CS372" i="17" s="1"/>
  <c r="CR371" i="17"/>
  <c r="CS371" i="17" s="1"/>
  <c r="CR370" i="17"/>
  <c r="CS370" i="17" s="1"/>
  <c r="CR369" i="17"/>
  <c r="CS369" i="17" s="1"/>
  <c r="CR368" i="17"/>
  <c r="CS368" i="17" s="1"/>
  <c r="CR367" i="17"/>
  <c r="CS367" i="17" s="1"/>
  <c r="CR366" i="17"/>
  <c r="CS366" i="17" s="1"/>
  <c r="CR365" i="17"/>
  <c r="CS365" i="17" s="1"/>
  <c r="CR364" i="17"/>
  <c r="CS364" i="17" s="1"/>
  <c r="CR363" i="17"/>
  <c r="CS363" i="17" s="1"/>
  <c r="CR362" i="17"/>
  <c r="CS362" i="17" s="1"/>
  <c r="CR361" i="17"/>
  <c r="CS361" i="17" s="1"/>
  <c r="CR360" i="17"/>
  <c r="CS360" i="17" s="1"/>
  <c r="CR356" i="17"/>
  <c r="CS356" i="17" s="1"/>
  <c r="CR355" i="17"/>
  <c r="CS355" i="17" s="1"/>
  <c r="CR354" i="17"/>
  <c r="CS354" i="17" s="1"/>
  <c r="CR353" i="17"/>
  <c r="CS353" i="17" s="1"/>
  <c r="CR352" i="17"/>
  <c r="CS352" i="17" s="1"/>
  <c r="CR351" i="17"/>
  <c r="CS351" i="17" s="1"/>
  <c r="CR350" i="17"/>
  <c r="CS350" i="17" s="1"/>
  <c r="CR349" i="17"/>
  <c r="CS349" i="17" s="1"/>
  <c r="CR348" i="17"/>
  <c r="CS348" i="17" s="1"/>
  <c r="CR347" i="17"/>
  <c r="CS347" i="17" s="1"/>
  <c r="CR346" i="17"/>
  <c r="CS346" i="17" s="1"/>
  <c r="CR345" i="17"/>
  <c r="CS345" i="17" s="1"/>
  <c r="CR344" i="17"/>
  <c r="CS344" i="17" s="1"/>
  <c r="CR343" i="17"/>
  <c r="CS343" i="17" s="1"/>
  <c r="CR342" i="17"/>
  <c r="CS342" i="17" s="1"/>
  <c r="CR341" i="17"/>
  <c r="CS341" i="17" s="1"/>
  <c r="CR340" i="17"/>
  <c r="CS340" i="17" s="1"/>
  <c r="CR339" i="17"/>
  <c r="CS339" i="17" s="1"/>
  <c r="CR335" i="17"/>
  <c r="CS335" i="17" s="1"/>
  <c r="CR334" i="17"/>
  <c r="CS334" i="17" s="1"/>
  <c r="CR333" i="17"/>
  <c r="CS333" i="17" s="1"/>
  <c r="CR332" i="17"/>
  <c r="CS332" i="17" s="1"/>
  <c r="CR331" i="17"/>
  <c r="CS331" i="17" s="1"/>
  <c r="CR330" i="17"/>
  <c r="CS330" i="17" s="1"/>
  <c r="CR329" i="17"/>
  <c r="CS329" i="17" s="1"/>
  <c r="CR328" i="17"/>
  <c r="CS328" i="17" s="1"/>
  <c r="CR327" i="17"/>
  <c r="CS327" i="17" s="1"/>
  <c r="CR326" i="17"/>
  <c r="CS326" i="17" s="1"/>
  <c r="CR325" i="17"/>
  <c r="CS325" i="17" s="1"/>
  <c r="CR324" i="17"/>
  <c r="CS324" i="17" s="1"/>
  <c r="CR323" i="17"/>
  <c r="CS323" i="17" s="1"/>
  <c r="CR322" i="17"/>
  <c r="CS322" i="17" s="1"/>
  <c r="CR321" i="17"/>
  <c r="CS321" i="17" s="1"/>
  <c r="CR320" i="17"/>
  <c r="CS320" i="17" s="1"/>
  <c r="CR319" i="17"/>
  <c r="CS319" i="17" s="1"/>
  <c r="CR318" i="17"/>
  <c r="CS318" i="17" s="1"/>
  <c r="CR314" i="17"/>
  <c r="CS314" i="17" s="1"/>
  <c r="CR313" i="17"/>
  <c r="CS313" i="17" s="1"/>
  <c r="CR312" i="17"/>
  <c r="CS312" i="17" s="1"/>
  <c r="CR311" i="17"/>
  <c r="CS311" i="17" s="1"/>
  <c r="CR310" i="17"/>
  <c r="CS310" i="17" s="1"/>
  <c r="CR309" i="17"/>
  <c r="CS309" i="17" s="1"/>
  <c r="CR308" i="17"/>
  <c r="CS308" i="17" s="1"/>
  <c r="CR307" i="17"/>
  <c r="CS307" i="17" s="1"/>
  <c r="CR306" i="17"/>
  <c r="CS306" i="17" s="1"/>
  <c r="CR305" i="17"/>
  <c r="CS305" i="17" s="1"/>
  <c r="CR304" i="17"/>
  <c r="CS304" i="17" s="1"/>
  <c r="CR303" i="17"/>
  <c r="CS303" i="17" s="1"/>
  <c r="CR302" i="17"/>
  <c r="CS302" i="17" s="1"/>
  <c r="CR301" i="17"/>
  <c r="CS301" i="17" s="1"/>
  <c r="CR300" i="17"/>
  <c r="CS300" i="17" s="1"/>
  <c r="CR299" i="17"/>
  <c r="CS299" i="17" s="1"/>
  <c r="CR298" i="17"/>
  <c r="CS298" i="17" s="1"/>
  <c r="CR297" i="17"/>
  <c r="CS297" i="17" s="1"/>
  <c r="CR293" i="17"/>
  <c r="CS293" i="17" s="1"/>
  <c r="CR292" i="17"/>
  <c r="CS292" i="17" s="1"/>
  <c r="CR291" i="17"/>
  <c r="CS291" i="17" s="1"/>
  <c r="CR290" i="17"/>
  <c r="CS290" i="17" s="1"/>
  <c r="CR289" i="17"/>
  <c r="CS289" i="17" s="1"/>
  <c r="CR288" i="17"/>
  <c r="CS288" i="17" s="1"/>
  <c r="CR287" i="17"/>
  <c r="CS287" i="17" s="1"/>
  <c r="CR286" i="17"/>
  <c r="CS286" i="17" s="1"/>
  <c r="CR285" i="17"/>
  <c r="CS285" i="17" s="1"/>
  <c r="CR284" i="17"/>
  <c r="CS284" i="17" s="1"/>
  <c r="CR283" i="17"/>
  <c r="CS283" i="17" s="1"/>
  <c r="CR282" i="17"/>
  <c r="CS282" i="17" s="1"/>
  <c r="CR281" i="17"/>
  <c r="CS281" i="17" s="1"/>
  <c r="CR280" i="17"/>
  <c r="CS280" i="17" s="1"/>
  <c r="CR279" i="17"/>
  <c r="CS279" i="17" s="1"/>
  <c r="CR278" i="17"/>
  <c r="CS278" i="17" s="1"/>
  <c r="CR277" i="17"/>
  <c r="CS277" i="17" s="1"/>
  <c r="CR276" i="17"/>
  <c r="CS276" i="17" s="1"/>
  <c r="CR272" i="17"/>
  <c r="CS272" i="17" s="1"/>
  <c r="CR271" i="17"/>
  <c r="CS271" i="17" s="1"/>
  <c r="CR270" i="17"/>
  <c r="CS270" i="17" s="1"/>
  <c r="CR269" i="17"/>
  <c r="CS269" i="17" s="1"/>
  <c r="CR268" i="17"/>
  <c r="CS268" i="17" s="1"/>
  <c r="CR267" i="17"/>
  <c r="CS267" i="17" s="1"/>
  <c r="CR266" i="17"/>
  <c r="CS266" i="17" s="1"/>
  <c r="CR265" i="17"/>
  <c r="CS265" i="17" s="1"/>
  <c r="CR264" i="17"/>
  <c r="CS264" i="17" s="1"/>
  <c r="CR263" i="17"/>
  <c r="CS263" i="17" s="1"/>
  <c r="CR262" i="17"/>
  <c r="CS262" i="17" s="1"/>
  <c r="CR261" i="17"/>
  <c r="CS261" i="17" s="1"/>
  <c r="CR260" i="17"/>
  <c r="CS260" i="17" s="1"/>
  <c r="CR259" i="17"/>
  <c r="CS259" i="17" s="1"/>
  <c r="CR258" i="17"/>
  <c r="CS258" i="17" s="1"/>
  <c r="CR257" i="17"/>
  <c r="CS257" i="17" s="1"/>
  <c r="CR256" i="17"/>
  <c r="CS256" i="17" s="1"/>
  <c r="CR255" i="17"/>
  <c r="CS255" i="17" s="1"/>
  <c r="CR251" i="17"/>
  <c r="CS251" i="17" s="1"/>
  <c r="CR250" i="17"/>
  <c r="CS250" i="17" s="1"/>
  <c r="CR249" i="17"/>
  <c r="CS249" i="17" s="1"/>
  <c r="CR248" i="17"/>
  <c r="CS248" i="17" s="1"/>
  <c r="CR247" i="17"/>
  <c r="CS247" i="17" s="1"/>
  <c r="CR246" i="17"/>
  <c r="CS246" i="17" s="1"/>
  <c r="CR245" i="17"/>
  <c r="CS245" i="17" s="1"/>
  <c r="CR244" i="17"/>
  <c r="CS244" i="17" s="1"/>
  <c r="CR243" i="17"/>
  <c r="CS243" i="17" s="1"/>
  <c r="CR242" i="17"/>
  <c r="CS242" i="17" s="1"/>
  <c r="CR241" i="17"/>
  <c r="CS241" i="17" s="1"/>
  <c r="CR240" i="17"/>
  <c r="CS240" i="17" s="1"/>
  <c r="CR239" i="17"/>
  <c r="CS239" i="17" s="1"/>
  <c r="CR238" i="17"/>
  <c r="CS238" i="17" s="1"/>
  <c r="CR237" i="17"/>
  <c r="CS237" i="17" s="1"/>
  <c r="CR236" i="17"/>
  <c r="CS236" i="17" s="1"/>
  <c r="CR235" i="17"/>
  <c r="CS235" i="17" s="1"/>
  <c r="CR234" i="17"/>
  <c r="CS234" i="17" s="1"/>
  <c r="CR230" i="17"/>
  <c r="CS230" i="17" s="1"/>
  <c r="CR229" i="17"/>
  <c r="CS229" i="17" s="1"/>
  <c r="CR228" i="17"/>
  <c r="CS228" i="17" s="1"/>
  <c r="CR227" i="17"/>
  <c r="CS227" i="17" s="1"/>
  <c r="CR226" i="17"/>
  <c r="CS226" i="17" s="1"/>
  <c r="CR225" i="17"/>
  <c r="CS225" i="17" s="1"/>
  <c r="CR224" i="17"/>
  <c r="CS224" i="17" s="1"/>
  <c r="CR223" i="17"/>
  <c r="CS223" i="17" s="1"/>
  <c r="CR222" i="17"/>
  <c r="CS222" i="17" s="1"/>
  <c r="CR221" i="17"/>
  <c r="CS221" i="17" s="1"/>
  <c r="CR220" i="17"/>
  <c r="CS220" i="17" s="1"/>
  <c r="CR219" i="17"/>
  <c r="CS219" i="17" s="1"/>
  <c r="CR218" i="17"/>
  <c r="CS218" i="17" s="1"/>
  <c r="CR217" i="17"/>
  <c r="CS217" i="17" s="1"/>
  <c r="CR216" i="17"/>
  <c r="CS216" i="17" s="1"/>
  <c r="CR215" i="17"/>
  <c r="CS215" i="17" s="1"/>
  <c r="CR214" i="17"/>
  <c r="CS214" i="17" s="1"/>
  <c r="CR213" i="17"/>
  <c r="CS213" i="17" s="1"/>
  <c r="CR209" i="17"/>
  <c r="CS209" i="17" s="1"/>
  <c r="CR208" i="17"/>
  <c r="CS208" i="17" s="1"/>
  <c r="CR207" i="17"/>
  <c r="CS207" i="17" s="1"/>
  <c r="CR206" i="17"/>
  <c r="CS206" i="17" s="1"/>
  <c r="CR205" i="17"/>
  <c r="CS205" i="17" s="1"/>
  <c r="CR204" i="17"/>
  <c r="CS204" i="17" s="1"/>
  <c r="CR203" i="17"/>
  <c r="CS203" i="17" s="1"/>
  <c r="CR202" i="17"/>
  <c r="CS202" i="17" s="1"/>
  <c r="CR201" i="17"/>
  <c r="CS201" i="17" s="1"/>
  <c r="CR200" i="17"/>
  <c r="CS200" i="17" s="1"/>
  <c r="CR199" i="17"/>
  <c r="CS199" i="17" s="1"/>
  <c r="CR198" i="17"/>
  <c r="CS198" i="17" s="1"/>
  <c r="CR197" i="17"/>
  <c r="CS197" i="17" s="1"/>
  <c r="CR196" i="17"/>
  <c r="CS196" i="17" s="1"/>
  <c r="CR195" i="17"/>
  <c r="CS195" i="17" s="1"/>
  <c r="CR194" i="17"/>
  <c r="CS194" i="17" s="1"/>
  <c r="CR193" i="17"/>
  <c r="CS193" i="17" s="1"/>
  <c r="CR192" i="17"/>
  <c r="CS192" i="17" s="1"/>
  <c r="CR188" i="17"/>
  <c r="CS188" i="17" s="1"/>
  <c r="CR187" i="17"/>
  <c r="CS187" i="17" s="1"/>
  <c r="CR186" i="17"/>
  <c r="CS186" i="17" s="1"/>
  <c r="CR185" i="17"/>
  <c r="CS185" i="17" s="1"/>
  <c r="CR184" i="17"/>
  <c r="CS184" i="17" s="1"/>
  <c r="CR183" i="17"/>
  <c r="CS183" i="17" s="1"/>
  <c r="CR182" i="17"/>
  <c r="CS182" i="17" s="1"/>
  <c r="CR181" i="17"/>
  <c r="CS181" i="17" s="1"/>
  <c r="CR180" i="17"/>
  <c r="CS180" i="17" s="1"/>
  <c r="CR179" i="17"/>
  <c r="CS179" i="17" s="1"/>
  <c r="CR178" i="17"/>
  <c r="CS178" i="17" s="1"/>
  <c r="CR177" i="17"/>
  <c r="CS177" i="17" s="1"/>
  <c r="CR176" i="17"/>
  <c r="CS176" i="17" s="1"/>
  <c r="CR175" i="17"/>
  <c r="CS175" i="17" s="1"/>
  <c r="CR174" i="17"/>
  <c r="CS174" i="17" s="1"/>
  <c r="CR173" i="17"/>
  <c r="CS173" i="17" s="1"/>
  <c r="CR172" i="17"/>
  <c r="CS172" i="17" s="1"/>
  <c r="CR171" i="17"/>
  <c r="CS171" i="17" s="1"/>
  <c r="CR167" i="17"/>
  <c r="CS167" i="17" s="1"/>
  <c r="CR166" i="17"/>
  <c r="CS166" i="17" s="1"/>
  <c r="CR165" i="17"/>
  <c r="CS165" i="17" s="1"/>
  <c r="CR164" i="17"/>
  <c r="CS164" i="17" s="1"/>
  <c r="CR163" i="17"/>
  <c r="CS163" i="17" s="1"/>
  <c r="CR162" i="17"/>
  <c r="CS162" i="17" s="1"/>
  <c r="CR161" i="17"/>
  <c r="CS161" i="17" s="1"/>
  <c r="CR160" i="17"/>
  <c r="CS160" i="17" s="1"/>
  <c r="CR159" i="17"/>
  <c r="CS159" i="17" s="1"/>
  <c r="CR158" i="17"/>
  <c r="CS158" i="17" s="1"/>
  <c r="CR157" i="17"/>
  <c r="CS157" i="17" s="1"/>
  <c r="CR156" i="17"/>
  <c r="CS156" i="17" s="1"/>
  <c r="CR155" i="17"/>
  <c r="CS155" i="17" s="1"/>
  <c r="CR154" i="17"/>
  <c r="CS154" i="17" s="1"/>
  <c r="CR153" i="17"/>
  <c r="CS153" i="17" s="1"/>
  <c r="CR152" i="17"/>
  <c r="CS152" i="17" s="1"/>
  <c r="CR151" i="17"/>
  <c r="CS151" i="17" s="1"/>
  <c r="CR150" i="17"/>
  <c r="CS150" i="17" s="1"/>
  <c r="CR146" i="17"/>
  <c r="CS146" i="17" s="1"/>
  <c r="CR145" i="17"/>
  <c r="CS145" i="17" s="1"/>
  <c r="CR144" i="17"/>
  <c r="CS144" i="17" s="1"/>
  <c r="CR143" i="17"/>
  <c r="CS143" i="17" s="1"/>
  <c r="CR142" i="17"/>
  <c r="CS142" i="17" s="1"/>
  <c r="CR141" i="17"/>
  <c r="CS141" i="17" s="1"/>
  <c r="CR140" i="17"/>
  <c r="CS140" i="17" s="1"/>
  <c r="CR139" i="17"/>
  <c r="CS139" i="17" s="1"/>
  <c r="CR138" i="17"/>
  <c r="CS138" i="17" s="1"/>
  <c r="CR137" i="17"/>
  <c r="CS137" i="17" s="1"/>
  <c r="CR136" i="17"/>
  <c r="CS136" i="17" s="1"/>
  <c r="CR135" i="17"/>
  <c r="CS135" i="17" s="1"/>
  <c r="CR134" i="17"/>
  <c r="CS134" i="17" s="1"/>
  <c r="CR133" i="17"/>
  <c r="CS133" i="17" s="1"/>
  <c r="CR132" i="17"/>
  <c r="CS132" i="17" s="1"/>
  <c r="CR131" i="17"/>
  <c r="CS131" i="17" s="1"/>
  <c r="CR130" i="17"/>
  <c r="CS130" i="17" s="1"/>
  <c r="CR129" i="17"/>
  <c r="CS129" i="17" s="1"/>
  <c r="CR125" i="17"/>
  <c r="CS125" i="17" s="1"/>
  <c r="CR124" i="17"/>
  <c r="CS124" i="17" s="1"/>
  <c r="CR123" i="17"/>
  <c r="CS123" i="17" s="1"/>
  <c r="CR122" i="17"/>
  <c r="CS122" i="17" s="1"/>
  <c r="CR121" i="17"/>
  <c r="CS121" i="17" s="1"/>
  <c r="CR120" i="17"/>
  <c r="CS120" i="17" s="1"/>
  <c r="CR119" i="17"/>
  <c r="CS119" i="17" s="1"/>
  <c r="CR118" i="17"/>
  <c r="CS118" i="17" s="1"/>
  <c r="CR117" i="17"/>
  <c r="CS117" i="17" s="1"/>
  <c r="CR116" i="17"/>
  <c r="CS116" i="17" s="1"/>
  <c r="CR115" i="17"/>
  <c r="CS115" i="17" s="1"/>
  <c r="CR114" i="17"/>
  <c r="CS114" i="17" s="1"/>
  <c r="CR113" i="17"/>
  <c r="CS113" i="17" s="1"/>
  <c r="CR112" i="17"/>
  <c r="CS112" i="17" s="1"/>
  <c r="CR111" i="17"/>
  <c r="CS111" i="17" s="1"/>
  <c r="CR110" i="17"/>
  <c r="CS110" i="17" s="1"/>
  <c r="CR109" i="17"/>
  <c r="CS109" i="17" s="1"/>
  <c r="CR108" i="17"/>
  <c r="CS108" i="17" s="1"/>
  <c r="CR104" i="17"/>
  <c r="CS104" i="17" s="1"/>
  <c r="CR103" i="17"/>
  <c r="CS103" i="17" s="1"/>
  <c r="CR102" i="17"/>
  <c r="CS102" i="17" s="1"/>
  <c r="CR101" i="17"/>
  <c r="CS101" i="17" s="1"/>
  <c r="CR100" i="17"/>
  <c r="CS100" i="17" s="1"/>
  <c r="CR99" i="17"/>
  <c r="CS99" i="17" s="1"/>
  <c r="CR98" i="17"/>
  <c r="CS98" i="17" s="1"/>
  <c r="CR97" i="17"/>
  <c r="CS97" i="17" s="1"/>
  <c r="CR96" i="17"/>
  <c r="CS96" i="17" s="1"/>
  <c r="CR95" i="17"/>
  <c r="CS95" i="17" s="1"/>
  <c r="CR94" i="17"/>
  <c r="CS94" i="17" s="1"/>
  <c r="CR93" i="17"/>
  <c r="CS93" i="17" s="1"/>
  <c r="CR92" i="17"/>
  <c r="CS92" i="17" s="1"/>
  <c r="CR91" i="17"/>
  <c r="CS91" i="17" s="1"/>
  <c r="CR90" i="17"/>
  <c r="CS90" i="17" s="1"/>
  <c r="CR89" i="17"/>
  <c r="CS89" i="17" s="1"/>
  <c r="CR88" i="17"/>
  <c r="CS88" i="17" s="1"/>
  <c r="CR87" i="17"/>
  <c r="CS87" i="17" s="1"/>
  <c r="CR83" i="17"/>
  <c r="CS83" i="17" s="1"/>
  <c r="CR82" i="17"/>
  <c r="CS82" i="17" s="1"/>
  <c r="CR81" i="17"/>
  <c r="CS81" i="17" s="1"/>
  <c r="CR80" i="17"/>
  <c r="CS80" i="17" s="1"/>
  <c r="CR79" i="17"/>
  <c r="CS79" i="17" s="1"/>
  <c r="CR78" i="17"/>
  <c r="CS78" i="17" s="1"/>
  <c r="CR77" i="17"/>
  <c r="CS77" i="17" s="1"/>
  <c r="CR76" i="17"/>
  <c r="CS76" i="17" s="1"/>
  <c r="CR75" i="17"/>
  <c r="CS75" i="17" s="1"/>
  <c r="CR74" i="17"/>
  <c r="CS74" i="17" s="1"/>
  <c r="CR73" i="17"/>
  <c r="CS73" i="17" s="1"/>
  <c r="CR72" i="17"/>
  <c r="CS72" i="17" s="1"/>
  <c r="CR71" i="17"/>
  <c r="CS71" i="17" s="1"/>
  <c r="CR70" i="17"/>
  <c r="CS70" i="17" s="1"/>
  <c r="CR69" i="17"/>
  <c r="CS69" i="17" s="1"/>
  <c r="CR68" i="17"/>
  <c r="CS68" i="17" s="1"/>
  <c r="CR67" i="17"/>
  <c r="CS67" i="17" s="1"/>
  <c r="CR66" i="17"/>
  <c r="CS66" i="17" s="1"/>
  <c r="CR62" i="17"/>
  <c r="CS62" i="17" s="1"/>
  <c r="CR61" i="17"/>
  <c r="CS61" i="17" s="1"/>
  <c r="CR60" i="17"/>
  <c r="CS60" i="17" s="1"/>
  <c r="CR59" i="17"/>
  <c r="CS59" i="17" s="1"/>
  <c r="CR58" i="17"/>
  <c r="CS58" i="17" s="1"/>
  <c r="CR57" i="17"/>
  <c r="CS57" i="17" s="1"/>
  <c r="CR56" i="17"/>
  <c r="CS56" i="17" s="1"/>
  <c r="CR55" i="17"/>
  <c r="CS55" i="17" s="1"/>
  <c r="CR54" i="17"/>
  <c r="CS54" i="17" s="1"/>
  <c r="CR53" i="17"/>
  <c r="CS53" i="17" s="1"/>
  <c r="CR52" i="17"/>
  <c r="CS52" i="17" s="1"/>
  <c r="CR51" i="17"/>
  <c r="CS51" i="17" s="1"/>
  <c r="CR50" i="17"/>
  <c r="CS50" i="17" s="1"/>
  <c r="CR49" i="17"/>
  <c r="CS49" i="17" s="1"/>
  <c r="CR48" i="17"/>
  <c r="CS48" i="17" s="1"/>
  <c r="CR47" i="17"/>
  <c r="CS47" i="17" s="1"/>
  <c r="CR46" i="17"/>
  <c r="CS46" i="17" s="1"/>
  <c r="CR45" i="17"/>
  <c r="CS45" i="17" s="1"/>
  <c r="CR41" i="17"/>
  <c r="CS41" i="17" s="1"/>
  <c r="CR40" i="17"/>
  <c r="CS40" i="17" s="1"/>
  <c r="CR39" i="17"/>
  <c r="CS39" i="17" s="1"/>
  <c r="CR38" i="17"/>
  <c r="CS38" i="17" s="1"/>
  <c r="CR37" i="17"/>
  <c r="CS37" i="17" s="1"/>
  <c r="CR36" i="17"/>
  <c r="CS36" i="17" s="1"/>
  <c r="CR35" i="17"/>
  <c r="CS35" i="17" s="1"/>
  <c r="CR34" i="17"/>
  <c r="CS34" i="17" s="1"/>
  <c r="CR33" i="17"/>
  <c r="CS33" i="17" s="1"/>
  <c r="CR32" i="17"/>
  <c r="CS32" i="17" s="1"/>
  <c r="CR31" i="17"/>
  <c r="CS31" i="17" s="1"/>
  <c r="CR30" i="17"/>
  <c r="CS30" i="17" s="1"/>
  <c r="CR29" i="17"/>
  <c r="CS29" i="17" s="1"/>
  <c r="CR28" i="17"/>
  <c r="CS28" i="17" s="1"/>
  <c r="CR27" i="17"/>
  <c r="CS27" i="17" s="1"/>
  <c r="CR26" i="17"/>
  <c r="CS26" i="17" s="1"/>
  <c r="CR25" i="17"/>
  <c r="CS25" i="17" s="1"/>
  <c r="CR24" i="17"/>
  <c r="CS24" i="17" s="1"/>
  <c r="CR20" i="17"/>
  <c r="CS20" i="17" s="1"/>
  <c r="CR19" i="17"/>
  <c r="CS19" i="17" s="1"/>
  <c r="CR18" i="17"/>
  <c r="CS18" i="17" s="1"/>
  <c r="CR17" i="17"/>
  <c r="CS17" i="17" s="1"/>
  <c r="CR16" i="17"/>
  <c r="CS16" i="17" s="1"/>
  <c r="CR15" i="17"/>
  <c r="CS15" i="17" s="1"/>
  <c r="CR14" i="17"/>
  <c r="CS14" i="17" s="1"/>
  <c r="CR13" i="17"/>
  <c r="CS13" i="17" s="1"/>
  <c r="CR12" i="17"/>
  <c r="CS12" i="17" s="1"/>
  <c r="CR11" i="17"/>
  <c r="CS11" i="17" s="1"/>
  <c r="CR10" i="17"/>
  <c r="CS10" i="17" s="1"/>
  <c r="CR9" i="17"/>
  <c r="CS9" i="17" s="1"/>
  <c r="CR8" i="17"/>
  <c r="CS8" i="17" s="1"/>
  <c r="CR7" i="17"/>
  <c r="CS7" i="17" s="1"/>
  <c r="CR6" i="17"/>
  <c r="CS6" i="17" s="1"/>
  <c r="CR5" i="17"/>
  <c r="CS5" i="17" s="1"/>
  <c r="CR4" i="17"/>
  <c r="CS4" i="17" s="1"/>
  <c r="CR3" i="17"/>
  <c r="CS3" i="17" s="1"/>
  <c r="CR359" i="17"/>
  <c r="CS359" i="17" s="1"/>
  <c r="CR338" i="17"/>
  <c r="CS338" i="17" s="1"/>
  <c r="CR317" i="17"/>
  <c r="CS317" i="17" s="1"/>
  <c r="CR296" i="17"/>
  <c r="CS296" i="17" s="1"/>
  <c r="CR275" i="17"/>
  <c r="CS275" i="17" s="1"/>
  <c r="CR254" i="17"/>
  <c r="CS254" i="17" s="1"/>
  <c r="CR233" i="17"/>
  <c r="CS233" i="17" s="1"/>
  <c r="CR212" i="17"/>
  <c r="CS212" i="17" s="1"/>
  <c r="CR191" i="17"/>
  <c r="CS191" i="17" s="1"/>
  <c r="CR170" i="17"/>
  <c r="CS170" i="17" s="1"/>
  <c r="CR149" i="17"/>
  <c r="CS149" i="17" s="1"/>
  <c r="CR128" i="17"/>
  <c r="CS128" i="17" s="1"/>
  <c r="CR107" i="17"/>
  <c r="CS107" i="17" s="1"/>
  <c r="CR86" i="17"/>
  <c r="CS86" i="17" s="1"/>
  <c r="CR65" i="17"/>
  <c r="CS65" i="17" s="1"/>
  <c r="CR44" i="17"/>
  <c r="CS44" i="17" s="1"/>
  <c r="CR23" i="17"/>
  <c r="CS23" i="17" s="1"/>
  <c r="CR2" i="17"/>
  <c r="CS2" i="17" s="1"/>
  <c r="CC377" i="17"/>
  <c r="CD377" i="17" s="1"/>
  <c r="CC376" i="17"/>
  <c r="CD376" i="17" s="1"/>
  <c r="CC375" i="17"/>
  <c r="CD375" i="17" s="1"/>
  <c r="CC374" i="17"/>
  <c r="CD374" i="17" s="1"/>
  <c r="CC373" i="17"/>
  <c r="CD373" i="17" s="1"/>
  <c r="CC372" i="17"/>
  <c r="CD372" i="17" s="1"/>
  <c r="CC371" i="17"/>
  <c r="CD371" i="17" s="1"/>
  <c r="CC370" i="17"/>
  <c r="CD370" i="17" s="1"/>
  <c r="CC369" i="17"/>
  <c r="CD369" i="17" s="1"/>
  <c r="CC368" i="17"/>
  <c r="CD368" i="17" s="1"/>
  <c r="CC367" i="17"/>
  <c r="CD367" i="17" s="1"/>
  <c r="CC366" i="17"/>
  <c r="CD366" i="17" s="1"/>
  <c r="CC365" i="17"/>
  <c r="CD365" i="17" s="1"/>
  <c r="CC364" i="17"/>
  <c r="CD364" i="17" s="1"/>
  <c r="CC363" i="17"/>
  <c r="CD363" i="17" s="1"/>
  <c r="CC362" i="17"/>
  <c r="CD362" i="17" s="1"/>
  <c r="CC361" i="17"/>
  <c r="CD361" i="17" s="1"/>
  <c r="CC360" i="17"/>
  <c r="CD360" i="17" s="1"/>
  <c r="CC356" i="17"/>
  <c r="CD356" i="17" s="1"/>
  <c r="CC355" i="17"/>
  <c r="CD355" i="17" s="1"/>
  <c r="CC354" i="17"/>
  <c r="CD354" i="17" s="1"/>
  <c r="CC353" i="17"/>
  <c r="CD353" i="17" s="1"/>
  <c r="CC352" i="17"/>
  <c r="CD352" i="17" s="1"/>
  <c r="CC351" i="17"/>
  <c r="CD351" i="17" s="1"/>
  <c r="CC350" i="17"/>
  <c r="CD350" i="17" s="1"/>
  <c r="CC349" i="17"/>
  <c r="CD349" i="17" s="1"/>
  <c r="CC348" i="17"/>
  <c r="CD348" i="17" s="1"/>
  <c r="CC347" i="17"/>
  <c r="CD347" i="17" s="1"/>
  <c r="CC346" i="17"/>
  <c r="CD346" i="17" s="1"/>
  <c r="CC345" i="17"/>
  <c r="CD345" i="17" s="1"/>
  <c r="CC344" i="17"/>
  <c r="CD344" i="17" s="1"/>
  <c r="CC343" i="17"/>
  <c r="CD343" i="17" s="1"/>
  <c r="CC342" i="17"/>
  <c r="CD342" i="17" s="1"/>
  <c r="CC341" i="17"/>
  <c r="CD341" i="17" s="1"/>
  <c r="CC340" i="17"/>
  <c r="CD340" i="17" s="1"/>
  <c r="CC339" i="17"/>
  <c r="CD339" i="17" s="1"/>
  <c r="CC335" i="17"/>
  <c r="CD335" i="17" s="1"/>
  <c r="CC334" i="17"/>
  <c r="CD334" i="17" s="1"/>
  <c r="CC333" i="17"/>
  <c r="CD333" i="17" s="1"/>
  <c r="CC332" i="17"/>
  <c r="CD332" i="17" s="1"/>
  <c r="CC331" i="17"/>
  <c r="CD331" i="17" s="1"/>
  <c r="CC330" i="17"/>
  <c r="CD330" i="17" s="1"/>
  <c r="CC329" i="17"/>
  <c r="CD329" i="17" s="1"/>
  <c r="CC328" i="17"/>
  <c r="CD328" i="17" s="1"/>
  <c r="CC327" i="17"/>
  <c r="CD327" i="17" s="1"/>
  <c r="CC326" i="17"/>
  <c r="CD326" i="17" s="1"/>
  <c r="CC325" i="17"/>
  <c r="CD325" i="17" s="1"/>
  <c r="CC324" i="17"/>
  <c r="CD324" i="17" s="1"/>
  <c r="CC323" i="17"/>
  <c r="CD323" i="17" s="1"/>
  <c r="CC322" i="17"/>
  <c r="CD322" i="17" s="1"/>
  <c r="CC321" i="17"/>
  <c r="CD321" i="17" s="1"/>
  <c r="CC320" i="17"/>
  <c r="CD320" i="17" s="1"/>
  <c r="CC319" i="17"/>
  <c r="CD319" i="17" s="1"/>
  <c r="CC318" i="17"/>
  <c r="CD318" i="17" s="1"/>
  <c r="CC314" i="17"/>
  <c r="CD314" i="17" s="1"/>
  <c r="CC313" i="17"/>
  <c r="CD313" i="17" s="1"/>
  <c r="CC312" i="17"/>
  <c r="CD312" i="17" s="1"/>
  <c r="CC311" i="17"/>
  <c r="CD311" i="17" s="1"/>
  <c r="CC310" i="17"/>
  <c r="CD310" i="17" s="1"/>
  <c r="CC309" i="17"/>
  <c r="CD309" i="17" s="1"/>
  <c r="CC308" i="17"/>
  <c r="CD308" i="17" s="1"/>
  <c r="CC307" i="17"/>
  <c r="CD307" i="17" s="1"/>
  <c r="CC306" i="17"/>
  <c r="CD306" i="17" s="1"/>
  <c r="CC305" i="17"/>
  <c r="CD305" i="17" s="1"/>
  <c r="CC304" i="17"/>
  <c r="CD304" i="17" s="1"/>
  <c r="CC303" i="17"/>
  <c r="CD303" i="17" s="1"/>
  <c r="CC302" i="17"/>
  <c r="CD302" i="17" s="1"/>
  <c r="CC301" i="17"/>
  <c r="CD301" i="17" s="1"/>
  <c r="CC300" i="17"/>
  <c r="CD300" i="17" s="1"/>
  <c r="CC299" i="17"/>
  <c r="CD299" i="17" s="1"/>
  <c r="CC298" i="17"/>
  <c r="CD298" i="17" s="1"/>
  <c r="CC297" i="17"/>
  <c r="CD297" i="17" s="1"/>
  <c r="CC293" i="17"/>
  <c r="CD293" i="17" s="1"/>
  <c r="CC292" i="17"/>
  <c r="CD292" i="17" s="1"/>
  <c r="CC291" i="17"/>
  <c r="CD291" i="17" s="1"/>
  <c r="CC290" i="17"/>
  <c r="CD290" i="17" s="1"/>
  <c r="CC289" i="17"/>
  <c r="CD289" i="17" s="1"/>
  <c r="CC288" i="17"/>
  <c r="CD288" i="17" s="1"/>
  <c r="CC287" i="17"/>
  <c r="CD287" i="17" s="1"/>
  <c r="CC286" i="17"/>
  <c r="CD286" i="17" s="1"/>
  <c r="CC285" i="17"/>
  <c r="CD285" i="17" s="1"/>
  <c r="CC284" i="17"/>
  <c r="CD284" i="17" s="1"/>
  <c r="CC283" i="17"/>
  <c r="CD283" i="17" s="1"/>
  <c r="CC282" i="17"/>
  <c r="CD282" i="17" s="1"/>
  <c r="CC281" i="17"/>
  <c r="CD281" i="17" s="1"/>
  <c r="CC280" i="17"/>
  <c r="CD280" i="17" s="1"/>
  <c r="CC279" i="17"/>
  <c r="CD279" i="17" s="1"/>
  <c r="CC278" i="17"/>
  <c r="CD278" i="17" s="1"/>
  <c r="CC277" i="17"/>
  <c r="CD277" i="17" s="1"/>
  <c r="CC276" i="17"/>
  <c r="CD276" i="17" s="1"/>
  <c r="CC272" i="17"/>
  <c r="CD272" i="17" s="1"/>
  <c r="CC271" i="17"/>
  <c r="CD271" i="17" s="1"/>
  <c r="CC270" i="17"/>
  <c r="CD270" i="17" s="1"/>
  <c r="CC269" i="17"/>
  <c r="CD269" i="17" s="1"/>
  <c r="CC268" i="17"/>
  <c r="CD268" i="17" s="1"/>
  <c r="CC267" i="17"/>
  <c r="CD267" i="17" s="1"/>
  <c r="CC266" i="17"/>
  <c r="CD266" i="17" s="1"/>
  <c r="CC265" i="17"/>
  <c r="CD265" i="17" s="1"/>
  <c r="CC264" i="17"/>
  <c r="CD264" i="17" s="1"/>
  <c r="CC263" i="17"/>
  <c r="CD263" i="17" s="1"/>
  <c r="CC262" i="17"/>
  <c r="CD262" i="17" s="1"/>
  <c r="CC261" i="17"/>
  <c r="CD261" i="17" s="1"/>
  <c r="CC260" i="17"/>
  <c r="CD260" i="17" s="1"/>
  <c r="CC259" i="17"/>
  <c r="CD259" i="17" s="1"/>
  <c r="CC258" i="17"/>
  <c r="CD258" i="17" s="1"/>
  <c r="CC257" i="17"/>
  <c r="CD257" i="17" s="1"/>
  <c r="CC256" i="17"/>
  <c r="CD256" i="17" s="1"/>
  <c r="CC255" i="17"/>
  <c r="CD255" i="17" s="1"/>
  <c r="CC251" i="17"/>
  <c r="CD251" i="17" s="1"/>
  <c r="CC250" i="17"/>
  <c r="CD250" i="17" s="1"/>
  <c r="CC249" i="17"/>
  <c r="CD249" i="17" s="1"/>
  <c r="CC248" i="17"/>
  <c r="CD248" i="17" s="1"/>
  <c r="CC247" i="17"/>
  <c r="CD247" i="17" s="1"/>
  <c r="CC246" i="17"/>
  <c r="CD246" i="17" s="1"/>
  <c r="CC245" i="17"/>
  <c r="CD245" i="17" s="1"/>
  <c r="CC244" i="17"/>
  <c r="CD244" i="17" s="1"/>
  <c r="CC243" i="17"/>
  <c r="CD243" i="17" s="1"/>
  <c r="CC242" i="17"/>
  <c r="CD242" i="17" s="1"/>
  <c r="CC241" i="17"/>
  <c r="CD241" i="17" s="1"/>
  <c r="CC240" i="17"/>
  <c r="CD240" i="17" s="1"/>
  <c r="CC239" i="17"/>
  <c r="CD239" i="17" s="1"/>
  <c r="CC238" i="17"/>
  <c r="CD238" i="17" s="1"/>
  <c r="CC237" i="17"/>
  <c r="CD237" i="17" s="1"/>
  <c r="CC236" i="17"/>
  <c r="CD236" i="17" s="1"/>
  <c r="CC235" i="17"/>
  <c r="CD235" i="17" s="1"/>
  <c r="CC234" i="17"/>
  <c r="CD234" i="17" s="1"/>
  <c r="CC230" i="17"/>
  <c r="CD230" i="17" s="1"/>
  <c r="CC229" i="17"/>
  <c r="CD229" i="17" s="1"/>
  <c r="CC228" i="17"/>
  <c r="CD228" i="17" s="1"/>
  <c r="CC227" i="17"/>
  <c r="CD227" i="17" s="1"/>
  <c r="CC226" i="17"/>
  <c r="CD226" i="17" s="1"/>
  <c r="CC225" i="17"/>
  <c r="CD225" i="17" s="1"/>
  <c r="CC224" i="17"/>
  <c r="CD224" i="17" s="1"/>
  <c r="CC223" i="17"/>
  <c r="CD223" i="17" s="1"/>
  <c r="CC222" i="17"/>
  <c r="CD222" i="17" s="1"/>
  <c r="CC221" i="17"/>
  <c r="CD221" i="17" s="1"/>
  <c r="CC220" i="17"/>
  <c r="CD220" i="17" s="1"/>
  <c r="CC219" i="17"/>
  <c r="CD219" i="17" s="1"/>
  <c r="CC218" i="17"/>
  <c r="CD218" i="17" s="1"/>
  <c r="CC217" i="17"/>
  <c r="CD217" i="17" s="1"/>
  <c r="CC216" i="17"/>
  <c r="CD216" i="17" s="1"/>
  <c r="CC215" i="17"/>
  <c r="CD215" i="17" s="1"/>
  <c r="CC214" i="17"/>
  <c r="CD214" i="17" s="1"/>
  <c r="CC213" i="17"/>
  <c r="CD213" i="17" s="1"/>
  <c r="CC209" i="17"/>
  <c r="CD209" i="17" s="1"/>
  <c r="CC208" i="17"/>
  <c r="CD208" i="17" s="1"/>
  <c r="CC207" i="17"/>
  <c r="CD207" i="17" s="1"/>
  <c r="CC206" i="17"/>
  <c r="CD206" i="17" s="1"/>
  <c r="CC205" i="17"/>
  <c r="CD205" i="17" s="1"/>
  <c r="CC204" i="17"/>
  <c r="CD204" i="17" s="1"/>
  <c r="CC203" i="17"/>
  <c r="CD203" i="17" s="1"/>
  <c r="CC202" i="17"/>
  <c r="CD202" i="17" s="1"/>
  <c r="CC201" i="17"/>
  <c r="CD201" i="17" s="1"/>
  <c r="CC200" i="17"/>
  <c r="CD200" i="17" s="1"/>
  <c r="CC199" i="17"/>
  <c r="CD199" i="17" s="1"/>
  <c r="CC198" i="17"/>
  <c r="CD198" i="17" s="1"/>
  <c r="CC197" i="17"/>
  <c r="CD197" i="17" s="1"/>
  <c r="CC196" i="17"/>
  <c r="CD196" i="17" s="1"/>
  <c r="CC195" i="17"/>
  <c r="CD195" i="17" s="1"/>
  <c r="CC194" i="17"/>
  <c r="CD194" i="17" s="1"/>
  <c r="CC193" i="17"/>
  <c r="CD193" i="17" s="1"/>
  <c r="CC192" i="17"/>
  <c r="CD192" i="17" s="1"/>
  <c r="CC188" i="17"/>
  <c r="CD188" i="17" s="1"/>
  <c r="CC187" i="17"/>
  <c r="CD187" i="17" s="1"/>
  <c r="CC186" i="17"/>
  <c r="CD186" i="17" s="1"/>
  <c r="CC185" i="17"/>
  <c r="CD185" i="17" s="1"/>
  <c r="CC184" i="17"/>
  <c r="CD184" i="17" s="1"/>
  <c r="CC183" i="17"/>
  <c r="CD183" i="17" s="1"/>
  <c r="CC182" i="17"/>
  <c r="CD182" i="17" s="1"/>
  <c r="CC181" i="17"/>
  <c r="CD181" i="17" s="1"/>
  <c r="CC180" i="17"/>
  <c r="CD180" i="17" s="1"/>
  <c r="CC179" i="17"/>
  <c r="CD179" i="17" s="1"/>
  <c r="CC178" i="17"/>
  <c r="CD178" i="17" s="1"/>
  <c r="CC177" i="17"/>
  <c r="CD177" i="17" s="1"/>
  <c r="CC176" i="17"/>
  <c r="CD176" i="17" s="1"/>
  <c r="CC175" i="17"/>
  <c r="CD175" i="17" s="1"/>
  <c r="CC174" i="17"/>
  <c r="CD174" i="17" s="1"/>
  <c r="CC173" i="17"/>
  <c r="CD173" i="17" s="1"/>
  <c r="CC172" i="17"/>
  <c r="CD172" i="17" s="1"/>
  <c r="CC171" i="17"/>
  <c r="CD171" i="17" s="1"/>
  <c r="CC167" i="17"/>
  <c r="CD167" i="17" s="1"/>
  <c r="CC166" i="17"/>
  <c r="CD166" i="17" s="1"/>
  <c r="CC165" i="17"/>
  <c r="CD165" i="17" s="1"/>
  <c r="CC164" i="17"/>
  <c r="CD164" i="17" s="1"/>
  <c r="CC163" i="17"/>
  <c r="CD163" i="17" s="1"/>
  <c r="CC162" i="17"/>
  <c r="CD162" i="17" s="1"/>
  <c r="CC161" i="17"/>
  <c r="CD161" i="17" s="1"/>
  <c r="CC160" i="17"/>
  <c r="CD160" i="17" s="1"/>
  <c r="CC159" i="17"/>
  <c r="CD159" i="17" s="1"/>
  <c r="CC158" i="17"/>
  <c r="CD158" i="17" s="1"/>
  <c r="CC157" i="17"/>
  <c r="CD157" i="17" s="1"/>
  <c r="CC156" i="17"/>
  <c r="CD156" i="17" s="1"/>
  <c r="CC155" i="17"/>
  <c r="CD155" i="17" s="1"/>
  <c r="CC154" i="17"/>
  <c r="CD154" i="17" s="1"/>
  <c r="CC153" i="17"/>
  <c r="CD153" i="17" s="1"/>
  <c r="CC152" i="17"/>
  <c r="CD152" i="17" s="1"/>
  <c r="CC151" i="17"/>
  <c r="CD151" i="17" s="1"/>
  <c r="CC150" i="17"/>
  <c r="CD150" i="17" s="1"/>
  <c r="CC146" i="17"/>
  <c r="CD146" i="17" s="1"/>
  <c r="CC145" i="17"/>
  <c r="CD145" i="17" s="1"/>
  <c r="CC144" i="17"/>
  <c r="CD144" i="17" s="1"/>
  <c r="CC143" i="17"/>
  <c r="CD143" i="17" s="1"/>
  <c r="CC142" i="17"/>
  <c r="CD142" i="17" s="1"/>
  <c r="CC141" i="17"/>
  <c r="CD141" i="17" s="1"/>
  <c r="CC140" i="17"/>
  <c r="CD140" i="17" s="1"/>
  <c r="CC139" i="17"/>
  <c r="CD139" i="17" s="1"/>
  <c r="CC138" i="17"/>
  <c r="CD138" i="17" s="1"/>
  <c r="CC137" i="17"/>
  <c r="CD137" i="17" s="1"/>
  <c r="CC136" i="17"/>
  <c r="CD136" i="17" s="1"/>
  <c r="CC135" i="17"/>
  <c r="CD135" i="17" s="1"/>
  <c r="CC134" i="17"/>
  <c r="CD134" i="17" s="1"/>
  <c r="CC133" i="17"/>
  <c r="CD133" i="17" s="1"/>
  <c r="CC132" i="17"/>
  <c r="CD132" i="17" s="1"/>
  <c r="CC131" i="17"/>
  <c r="CD131" i="17" s="1"/>
  <c r="CC130" i="17"/>
  <c r="CD130" i="17" s="1"/>
  <c r="CC129" i="17"/>
  <c r="CD129" i="17" s="1"/>
  <c r="CC125" i="17"/>
  <c r="CD125" i="17" s="1"/>
  <c r="CC124" i="17"/>
  <c r="CD124" i="17" s="1"/>
  <c r="CC123" i="17"/>
  <c r="CD123" i="17" s="1"/>
  <c r="CC122" i="17"/>
  <c r="CD122" i="17" s="1"/>
  <c r="CC121" i="17"/>
  <c r="CD121" i="17" s="1"/>
  <c r="CC120" i="17"/>
  <c r="CD120" i="17" s="1"/>
  <c r="CC119" i="17"/>
  <c r="CD119" i="17" s="1"/>
  <c r="CC118" i="17"/>
  <c r="CD118" i="17" s="1"/>
  <c r="CC117" i="17"/>
  <c r="CD117" i="17" s="1"/>
  <c r="CC116" i="17"/>
  <c r="CD116" i="17" s="1"/>
  <c r="CC115" i="17"/>
  <c r="CD115" i="17" s="1"/>
  <c r="CC114" i="17"/>
  <c r="CD114" i="17" s="1"/>
  <c r="CC113" i="17"/>
  <c r="CD113" i="17" s="1"/>
  <c r="CC112" i="17"/>
  <c r="CD112" i="17" s="1"/>
  <c r="CC111" i="17"/>
  <c r="CD111" i="17" s="1"/>
  <c r="CC110" i="17"/>
  <c r="CD110" i="17" s="1"/>
  <c r="CC109" i="17"/>
  <c r="CD109" i="17" s="1"/>
  <c r="CC108" i="17"/>
  <c r="CD108" i="17" s="1"/>
  <c r="CC104" i="17"/>
  <c r="CD104" i="17" s="1"/>
  <c r="CC103" i="17"/>
  <c r="CD103" i="17" s="1"/>
  <c r="CC102" i="17"/>
  <c r="CD102" i="17" s="1"/>
  <c r="CC101" i="17"/>
  <c r="CD101" i="17" s="1"/>
  <c r="CC100" i="17"/>
  <c r="CD100" i="17" s="1"/>
  <c r="CC99" i="17"/>
  <c r="CD99" i="17" s="1"/>
  <c r="CC98" i="17"/>
  <c r="CD98" i="17" s="1"/>
  <c r="CC97" i="17"/>
  <c r="CD97" i="17" s="1"/>
  <c r="CC96" i="17"/>
  <c r="CD96" i="17" s="1"/>
  <c r="CC95" i="17"/>
  <c r="CD95" i="17" s="1"/>
  <c r="CC94" i="17"/>
  <c r="CD94" i="17" s="1"/>
  <c r="CC93" i="17"/>
  <c r="CD93" i="17" s="1"/>
  <c r="CC92" i="17"/>
  <c r="CD92" i="17" s="1"/>
  <c r="CC91" i="17"/>
  <c r="CD91" i="17" s="1"/>
  <c r="CC90" i="17"/>
  <c r="CD90" i="17" s="1"/>
  <c r="CC89" i="17"/>
  <c r="CD89" i="17" s="1"/>
  <c r="CC88" i="17"/>
  <c r="CD88" i="17" s="1"/>
  <c r="CC87" i="17"/>
  <c r="CD87" i="17" s="1"/>
  <c r="CC83" i="17"/>
  <c r="CD83" i="17" s="1"/>
  <c r="CC82" i="17"/>
  <c r="CD82" i="17" s="1"/>
  <c r="CC81" i="17"/>
  <c r="CD81" i="17" s="1"/>
  <c r="CC80" i="17"/>
  <c r="CD80" i="17" s="1"/>
  <c r="CC79" i="17"/>
  <c r="CD79" i="17" s="1"/>
  <c r="CC78" i="17"/>
  <c r="CD78" i="17" s="1"/>
  <c r="CC77" i="17"/>
  <c r="CD77" i="17" s="1"/>
  <c r="CC76" i="17"/>
  <c r="CD76" i="17" s="1"/>
  <c r="CC75" i="17"/>
  <c r="CD75" i="17" s="1"/>
  <c r="CC74" i="17"/>
  <c r="CD74" i="17" s="1"/>
  <c r="CC73" i="17"/>
  <c r="CD73" i="17" s="1"/>
  <c r="CC72" i="17"/>
  <c r="CD72" i="17" s="1"/>
  <c r="CC71" i="17"/>
  <c r="CD71" i="17" s="1"/>
  <c r="CC70" i="17"/>
  <c r="CD70" i="17" s="1"/>
  <c r="CC69" i="17"/>
  <c r="CD69" i="17" s="1"/>
  <c r="CC68" i="17"/>
  <c r="CD68" i="17" s="1"/>
  <c r="CC67" i="17"/>
  <c r="CD67" i="17" s="1"/>
  <c r="CC66" i="17"/>
  <c r="CD66" i="17" s="1"/>
  <c r="CC62" i="17"/>
  <c r="CD62" i="17" s="1"/>
  <c r="CC61" i="17"/>
  <c r="CD61" i="17" s="1"/>
  <c r="CC60" i="17"/>
  <c r="CD60" i="17" s="1"/>
  <c r="CC59" i="17"/>
  <c r="CD59" i="17" s="1"/>
  <c r="CC58" i="17"/>
  <c r="CD58" i="17" s="1"/>
  <c r="CC57" i="17"/>
  <c r="CD57" i="17" s="1"/>
  <c r="CC56" i="17"/>
  <c r="CD56" i="17" s="1"/>
  <c r="CC55" i="17"/>
  <c r="CD55" i="17" s="1"/>
  <c r="CC54" i="17"/>
  <c r="CD54" i="17" s="1"/>
  <c r="CC53" i="17"/>
  <c r="CD53" i="17" s="1"/>
  <c r="CC52" i="17"/>
  <c r="CD52" i="17" s="1"/>
  <c r="CC51" i="17"/>
  <c r="CD51" i="17" s="1"/>
  <c r="CC50" i="17"/>
  <c r="CD50" i="17" s="1"/>
  <c r="CC49" i="17"/>
  <c r="CD49" i="17" s="1"/>
  <c r="CC48" i="17"/>
  <c r="CD48" i="17" s="1"/>
  <c r="CC47" i="17"/>
  <c r="CD47" i="17" s="1"/>
  <c r="CC46" i="17"/>
  <c r="CD46" i="17" s="1"/>
  <c r="CC45" i="17"/>
  <c r="CD45" i="17" s="1"/>
  <c r="CC41" i="17"/>
  <c r="CD41" i="17" s="1"/>
  <c r="CC40" i="17"/>
  <c r="CD40" i="17" s="1"/>
  <c r="CC39" i="17"/>
  <c r="CD39" i="17" s="1"/>
  <c r="CC38" i="17"/>
  <c r="CD38" i="17" s="1"/>
  <c r="CC37" i="17"/>
  <c r="CD37" i="17" s="1"/>
  <c r="CC36" i="17"/>
  <c r="CD36" i="17" s="1"/>
  <c r="CC35" i="17"/>
  <c r="CD35" i="17" s="1"/>
  <c r="CC34" i="17"/>
  <c r="CD34" i="17" s="1"/>
  <c r="CC33" i="17"/>
  <c r="CD33" i="17" s="1"/>
  <c r="CC32" i="17"/>
  <c r="CD32" i="17" s="1"/>
  <c r="CC31" i="17"/>
  <c r="CD31" i="17" s="1"/>
  <c r="CC30" i="17"/>
  <c r="CD30" i="17" s="1"/>
  <c r="CC29" i="17"/>
  <c r="CD29" i="17" s="1"/>
  <c r="CC28" i="17"/>
  <c r="CD28" i="17" s="1"/>
  <c r="CC27" i="17"/>
  <c r="CD27" i="17" s="1"/>
  <c r="CC26" i="17"/>
  <c r="CD26" i="17" s="1"/>
  <c r="CC25" i="17"/>
  <c r="CD25" i="17" s="1"/>
  <c r="CC24" i="17"/>
  <c r="CD24" i="17" s="1"/>
  <c r="CC20" i="17"/>
  <c r="CD20" i="17" s="1"/>
  <c r="CC19" i="17"/>
  <c r="CD19" i="17" s="1"/>
  <c r="CC18" i="17"/>
  <c r="CD18" i="17" s="1"/>
  <c r="CC17" i="17"/>
  <c r="CD17" i="17" s="1"/>
  <c r="CC16" i="17"/>
  <c r="CD16" i="17" s="1"/>
  <c r="CC15" i="17"/>
  <c r="CD15" i="17" s="1"/>
  <c r="CC14" i="17"/>
  <c r="CD14" i="17" s="1"/>
  <c r="CC13" i="17"/>
  <c r="CD13" i="17" s="1"/>
  <c r="CC12" i="17"/>
  <c r="CD12" i="17" s="1"/>
  <c r="CC11" i="17"/>
  <c r="CD11" i="17" s="1"/>
  <c r="CC10" i="17"/>
  <c r="CD10" i="17" s="1"/>
  <c r="CC9" i="17"/>
  <c r="CD9" i="17" s="1"/>
  <c r="CC8" i="17"/>
  <c r="CD8" i="17" s="1"/>
  <c r="CC7" i="17"/>
  <c r="CD7" i="17" s="1"/>
  <c r="CC6" i="17"/>
  <c r="CD6" i="17" s="1"/>
  <c r="CC5" i="17"/>
  <c r="CD5" i="17" s="1"/>
  <c r="CC4" i="17"/>
  <c r="CD4" i="17" s="1"/>
  <c r="CC3" i="17"/>
  <c r="CD3" i="17" s="1"/>
  <c r="CC359" i="17"/>
  <c r="CD359" i="17" s="1"/>
  <c r="CC338" i="17"/>
  <c r="CD338" i="17" s="1"/>
  <c r="CC317" i="17"/>
  <c r="CD317" i="17" s="1"/>
  <c r="CC296" i="17"/>
  <c r="CD296" i="17" s="1"/>
  <c r="CC275" i="17"/>
  <c r="CD275" i="17" s="1"/>
  <c r="CC254" i="17"/>
  <c r="CD254" i="17" s="1"/>
  <c r="CC233" i="17"/>
  <c r="CD233" i="17" s="1"/>
  <c r="CC212" i="17"/>
  <c r="CD212" i="17" s="1"/>
  <c r="CC191" i="17"/>
  <c r="CD191" i="17" s="1"/>
  <c r="CC170" i="17"/>
  <c r="CD170" i="17" s="1"/>
  <c r="CC149" i="17"/>
  <c r="CD149" i="17" s="1"/>
  <c r="CC128" i="17"/>
  <c r="CD128" i="17" s="1"/>
  <c r="CC107" i="17"/>
  <c r="CD107" i="17" s="1"/>
  <c r="CC86" i="17"/>
  <c r="CD86" i="17" s="1"/>
  <c r="CC65" i="17"/>
  <c r="CD65" i="17" s="1"/>
  <c r="CC44" i="17"/>
  <c r="CD44" i="17" s="1"/>
  <c r="CC23" i="17"/>
  <c r="CD23" i="17" s="1"/>
  <c r="CC2" i="17"/>
  <c r="CD2" i="17" s="1"/>
  <c r="BN377" i="17"/>
  <c r="BO377" i="17" s="1"/>
  <c r="BN376" i="17"/>
  <c r="BO376" i="17" s="1"/>
  <c r="BN375" i="17"/>
  <c r="BO375" i="17" s="1"/>
  <c r="BN374" i="17"/>
  <c r="BO374" i="17" s="1"/>
  <c r="BN373" i="17"/>
  <c r="BO373" i="17" s="1"/>
  <c r="BN372" i="17"/>
  <c r="BO372" i="17" s="1"/>
  <c r="BN371" i="17"/>
  <c r="BO371" i="17" s="1"/>
  <c r="BN370" i="17"/>
  <c r="BO370" i="17" s="1"/>
  <c r="BN369" i="17"/>
  <c r="BO369" i="17" s="1"/>
  <c r="BN368" i="17"/>
  <c r="BO368" i="17" s="1"/>
  <c r="BN367" i="17"/>
  <c r="BO367" i="17" s="1"/>
  <c r="BN366" i="17"/>
  <c r="BO366" i="17" s="1"/>
  <c r="BN365" i="17"/>
  <c r="BO365" i="17" s="1"/>
  <c r="BN364" i="17"/>
  <c r="BO364" i="17" s="1"/>
  <c r="BN363" i="17"/>
  <c r="BO363" i="17" s="1"/>
  <c r="BN362" i="17"/>
  <c r="BO362" i="17" s="1"/>
  <c r="BN361" i="17"/>
  <c r="BO361" i="17" s="1"/>
  <c r="BN360" i="17"/>
  <c r="BO360" i="17" s="1"/>
  <c r="BN356" i="17"/>
  <c r="BO356" i="17" s="1"/>
  <c r="BN355" i="17"/>
  <c r="BO355" i="17" s="1"/>
  <c r="BN354" i="17"/>
  <c r="BO354" i="17" s="1"/>
  <c r="BN353" i="17"/>
  <c r="BO353" i="17" s="1"/>
  <c r="BN352" i="17"/>
  <c r="BO352" i="17" s="1"/>
  <c r="BN351" i="17"/>
  <c r="BO351" i="17" s="1"/>
  <c r="BN350" i="17"/>
  <c r="BO350" i="17" s="1"/>
  <c r="BN349" i="17"/>
  <c r="BO349" i="17" s="1"/>
  <c r="BN348" i="17"/>
  <c r="BO348" i="17" s="1"/>
  <c r="BN347" i="17"/>
  <c r="BO347" i="17" s="1"/>
  <c r="BN346" i="17"/>
  <c r="BO346" i="17" s="1"/>
  <c r="BN345" i="17"/>
  <c r="BO345" i="17" s="1"/>
  <c r="BN344" i="17"/>
  <c r="BO344" i="17" s="1"/>
  <c r="BN343" i="17"/>
  <c r="BO343" i="17" s="1"/>
  <c r="BN342" i="17"/>
  <c r="BO342" i="17" s="1"/>
  <c r="BN341" i="17"/>
  <c r="BO341" i="17" s="1"/>
  <c r="BN340" i="17"/>
  <c r="BO340" i="17" s="1"/>
  <c r="BN339" i="17"/>
  <c r="BO339" i="17" s="1"/>
  <c r="BN335" i="17"/>
  <c r="BO335" i="17" s="1"/>
  <c r="BN334" i="17"/>
  <c r="BO334" i="17" s="1"/>
  <c r="BN333" i="17"/>
  <c r="BO333" i="17" s="1"/>
  <c r="BN332" i="17"/>
  <c r="BO332" i="17" s="1"/>
  <c r="BN331" i="17"/>
  <c r="BO331" i="17" s="1"/>
  <c r="BN330" i="17"/>
  <c r="BO330" i="17" s="1"/>
  <c r="BN329" i="17"/>
  <c r="BO329" i="17" s="1"/>
  <c r="BN328" i="17"/>
  <c r="BO328" i="17" s="1"/>
  <c r="BN327" i="17"/>
  <c r="BO327" i="17" s="1"/>
  <c r="BN326" i="17"/>
  <c r="BO326" i="17" s="1"/>
  <c r="BN325" i="17"/>
  <c r="BO325" i="17" s="1"/>
  <c r="BN324" i="17"/>
  <c r="BO324" i="17" s="1"/>
  <c r="BN323" i="17"/>
  <c r="BO323" i="17" s="1"/>
  <c r="BN322" i="17"/>
  <c r="BO322" i="17" s="1"/>
  <c r="BN321" i="17"/>
  <c r="BO321" i="17" s="1"/>
  <c r="BN320" i="17"/>
  <c r="BO320" i="17" s="1"/>
  <c r="BN319" i="17"/>
  <c r="BO319" i="17" s="1"/>
  <c r="BN318" i="17"/>
  <c r="BO318" i="17" s="1"/>
  <c r="BN314" i="17"/>
  <c r="BO314" i="17" s="1"/>
  <c r="BN313" i="17"/>
  <c r="BO313" i="17" s="1"/>
  <c r="BN312" i="17"/>
  <c r="BO312" i="17" s="1"/>
  <c r="BN311" i="17"/>
  <c r="BO311" i="17" s="1"/>
  <c r="BN310" i="17"/>
  <c r="BO310" i="17" s="1"/>
  <c r="BN309" i="17"/>
  <c r="BO309" i="17" s="1"/>
  <c r="BN308" i="17"/>
  <c r="BO308" i="17" s="1"/>
  <c r="BN307" i="17"/>
  <c r="BO307" i="17" s="1"/>
  <c r="BN306" i="17"/>
  <c r="BO306" i="17" s="1"/>
  <c r="BN305" i="17"/>
  <c r="BO305" i="17" s="1"/>
  <c r="BN304" i="17"/>
  <c r="BO304" i="17" s="1"/>
  <c r="BN303" i="17"/>
  <c r="BO303" i="17" s="1"/>
  <c r="BN302" i="17"/>
  <c r="BO302" i="17" s="1"/>
  <c r="BN301" i="17"/>
  <c r="BO301" i="17" s="1"/>
  <c r="BN300" i="17"/>
  <c r="BO300" i="17" s="1"/>
  <c r="BN299" i="17"/>
  <c r="BO299" i="17" s="1"/>
  <c r="BN298" i="17"/>
  <c r="BO298" i="17" s="1"/>
  <c r="BN297" i="17"/>
  <c r="BO297" i="17" s="1"/>
  <c r="BN293" i="17"/>
  <c r="BO293" i="17" s="1"/>
  <c r="BN292" i="17"/>
  <c r="BO292" i="17" s="1"/>
  <c r="BN291" i="17"/>
  <c r="BO291" i="17" s="1"/>
  <c r="BN290" i="17"/>
  <c r="BO290" i="17" s="1"/>
  <c r="BN289" i="17"/>
  <c r="BO289" i="17" s="1"/>
  <c r="BN288" i="17"/>
  <c r="BO288" i="17" s="1"/>
  <c r="BN287" i="17"/>
  <c r="BO287" i="17" s="1"/>
  <c r="BN286" i="17"/>
  <c r="BO286" i="17" s="1"/>
  <c r="BN285" i="17"/>
  <c r="BO285" i="17" s="1"/>
  <c r="BN284" i="17"/>
  <c r="BO284" i="17" s="1"/>
  <c r="BN283" i="17"/>
  <c r="BO283" i="17" s="1"/>
  <c r="BN282" i="17"/>
  <c r="BO282" i="17" s="1"/>
  <c r="BN281" i="17"/>
  <c r="BO281" i="17" s="1"/>
  <c r="BN280" i="17"/>
  <c r="BO280" i="17" s="1"/>
  <c r="BN279" i="17"/>
  <c r="BO279" i="17" s="1"/>
  <c r="BN278" i="17"/>
  <c r="BO278" i="17" s="1"/>
  <c r="BN277" i="17"/>
  <c r="BO277" i="17" s="1"/>
  <c r="BN276" i="17"/>
  <c r="BO276" i="17" s="1"/>
  <c r="BN272" i="17"/>
  <c r="BO272" i="17" s="1"/>
  <c r="BN271" i="17"/>
  <c r="BO271" i="17" s="1"/>
  <c r="BN270" i="17"/>
  <c r="BO270" i="17" s="1"/>
  <c r="BN269" i="17"/>
  <c r="BO269" i="17" s="1"/>
  <c r="BN268" i="17"/>
  <c r="BO268" i="17" s="1"/>
  <c r="BN267" i="17"/>
  <c r="BO267" i="17" s="1"/>
  <c r="BN266" i="17"/>
  <c r="BO266" i="17" s="1"/>
  <c r="BN265" i="17"/>
  <c r="BO265" i="17" s="1"/>
  <c r="BN264" i="17"/>
  <c r="BO264" i="17" s="1"/>
  <c r="BN263" i="17"/>
  <c r="BO263" i="17" s="1"/>
  <c r="BN262" i="17"/>
  <c r="BO262" i="17" s="1"/>
  <c r="BN261" i="17"/>
  <c r="BO261" i="17" s="1"/>
  <c r="BN260" i="17"/>
  <c r="BO260" i="17" s="1"/>
  <c r="BN259" i="17"/>
  <c r="BO259" i="17" s="1"/>
  <c r="BN258" i="17"/>
  <c r="BO258" i="17" s="1"/>
  <c r="BN257" i="17"/>
  <c r="BO257" i="17" s="1"/>
  <c r="BN256" i="17"/>
  <c r="BO256" i="17" s="1"/>
  <c r="BN255" i="17"/>
  <c r="BO255" i="17" s="1"/>
  <c r="BN251" i="17"/>
  <c r="BO251" i="17" s="1"/>
  <c r="BN250" i="17"/>
  <c r="BO250" i="17" s="1"/>
  <c r="BN249" i="17"/>
  <c r="BO249" i="17" s="1"/>
  <c r="BN248" i="17"/>
  <c r="BO248" i="17" s="1"/>
  <c r="BN247" i="17"/>
  <c r="BO247" i="17" s="1"/>
  <c r="BN246" i="17"/>
  <c r="BO246" i="17" s="1"/>
  <c r="BN245" i="17"/>
  <c r="BO245" i="17" s="1"/>
  <c r="BN244" i="17"/>
  <c r="BO244" i="17" s="1"/>
  <c r="BN243" i="17"/>
  <c r="BO243" i="17" s="1"/>
  <c r="BN242" i="17"/>
  <c r="BO242" i="17" s="1"/>
  <c r="BN241" i="17"/>
  <c r="BO241" i="17" s="1"/>
  <c r="BN240" i="17"/>
  <c r="BO240" i="17" s="1"/>
  <c r="BN239" i="17"/>
  <c r="BO239" i="17" s="1"/>
  <c r="BN238" i="17"/>
  <c r="BO238" i="17" s="1"/>
  <c r="BN237" i="17"/>
  <c r="BO237" i="17" s="1"/>
  <c r="BN236" i="17"/>
  <c r="BO236" i="17" s="1"/>
  <c r="BN235" i="17"/>
  <c r="BO235" i="17" s="1"/>
  <c r="BN234" i="17"/>
  <c r="BO234" i="17" s="1"/>
  <c r="BN230" i="17"/>
  <c r="BO230" i="17" s="1"/>
  <c r="BN229" i="17"/>
  <c r="BO229" i="17" s="1"/>
  <c r="BN228" i="17"/>
  <c r="BO228" i="17" s="1"/>
  <c r="BN227" i="17"/>
  <c r="BO227" i="17" s="1"/>
  <c r="BN226" i="17"/>
  <c r="BO226" i="17" s="1"/>
  <c r="BN225" i="17"/>
  <c r="BO225" i="17" s="1"/>
  <c r="BN224" i="17"/>
  <c r="BO224" i="17" s="1"/>
  <c r="BN223" i="17"/>
  <c r="BO223" i="17" s="1"/>
  <c r="BN222" i="17"/>
  <c r="BO222" i="17" s="1"/>
  <c r="BN221" i="17"/>
  <c r="BO221" i="17" s="1"/>
  <c r="BN220" i="17"/>
  <c r="BO220" i="17" s="1"/>
  <c r="BN219" i="17"/>
  <c r="BO219" i="17" s="1"/>
  <c r="BN218" i="17"/>
  <c r="BO218" i="17" s="1"/>
  <c r="BN217" i="17"/>
  <c r="BO217" i="17" s="1"/>
  <c r="BN216" i="17"/>
  <c r="BO216" i="17" s="1"/>
  <c r="BN215" i="17"/>
  <c r="BO215" i="17" s="1"/>
  <c r="BN214" i="17"/>
  <c r="BO214" i="17" s="1"/>
  <c r="BN213" i="17"/>
  <c r="BO213" i="17" s="1"/>
  <c r="BN209" i="17"/>
  <c r="BO209" i="17" s="1"/>
  <c r="BN208" i="17"/>
  <c r="BO208" i="17" s="1"/>
  <c r="BN207" i="17"/>
  <c r="BO207" i="17" s="1"/>
  <c r="BN206" i="17"/>
  <c r="BO206" i="17" s="1"/>
  <c r="BN205" i="17"/>
  <c r="BO205" i="17" s="1"/>
  <c r="BN204" i="17"/>
  <c r="BO204" i="17" s="1"/>
  <c r="BN203" i="17"/>
  <c r="BO203" i="17" s="1"/>
  <c r="BN202" i="17"/>
  <c r="BO202" i="17" s="1"/>
  <c r="BN201" i="17"/>
  <c r="BO201" i="17" s="1"/>
  <c r="BN200" i="17"/>
  <c r="BO200" i="17" s="1"/>
  <c r="BN199" i="17"/>
  <c r="BO199" i="17" s="1"/>
  <c r="BN198" i="17"/>
  <c r="BO198" i="17" s="1"/>
  <c r="BN197" i="17"/>
  <c r="BO197" i="17" s="1"/>
  <c r="BN196" i="17"/>
  <c r="BO196" i="17" s="1"/>
  <c r="BN195" i="17"/>
  <c r="BO195" i="17" s="1"/>
  <c r="BN194" i="17"/>
  <c r="BO194" i="17" s="1"/>
  <c r="BN193" i="17"/>
  <c r="BO193" i="17" s="1"/>
  <c r="BN192" i="17"/>
  <c r="BO192" i="17" s="1"/>
  <c r="BN188" i="17"/>
  <c r="BO188" i="17" s="1"/>
  <c r="BN187" i="17"/>
  <c r="BO187" i="17" s="1"/>
  <c r="BN186" i="17"/>
  <c r="BO186" i="17" s="1"/>
  <c r="BN185" i="17"/>
  <c r="BO185" i="17" s="1"/>
  <c r="BN184" i="17"/>
  <c r="BO184" i="17" s="1"/>
  <c r="BN183" i="17"/>
  <c r="BO183" i="17" s="1"/>
  <c r="BN182" i="17"/>
  <c r="BO182" i="17" s="1"/>
  <c r="BN181" i="17"/>
  <c r="BO181" i="17" s="1"/>
  <c r="BN180" i="17"/>
  <c r="BO180" i="17" s="1"/>
  <c r="BN179" i="17"/>
  <c r="BO179" i="17" s="1"/>
  <c r="BN178" i="17"/>
  <c r="BO178" i="17" s="1"/>
  <c r="BN177" i="17"/>
  <c r="BO177" i="17" s="1"/>
  <c r="BN176" i="17"/>
  <c r="BO176" i="17" s="1"/>
  <c r="BN175" i="17"/>
  <c r="BO175" i="17" s="1"/>
  <c r="BN174" i="17"/>
  <c r="BO174" i="17" s="1"/>
  <c r="BN173" i="17"/>
  <c r="BO173" i="17" s="1"/>
  <c r="BN172" i="17"/>
  <c r="BO172" i="17" s="1"/>
  <c r="BN171" i="17"/>
  <c r="BO171" i="17" s="1"/>
  <c r="BN167" i="17"/>
  <c r="BO167" i="17" s="1"/>
  <c r="BN166" i="17"/>
  <c r="BO166" i="17" s="1"/>
  <c r="BN165" i="17"/>
  <c r="BO165" i="17" s="1"/>
  <c r="BN164" i="17"/>
  <c r="BO164" i="17" s="1"/>
  <c r="BN163" i="17"/>
  <c r="BO163" i="17" s="1"/>
  <c r="BN162" i="17"/>
  <c r="BO162" i="17" s="1"/>
  <c r="BN161" i="17"/>
  <c r="BO161" i="17" s="1"/>
  <c r="BN160" i="17"/>
  <c r="BO160" i="17" s="1"/>
  <c r="BN159" i="17"/>
  <c r="BO159" i="17" s="1"/>
  <c r="BN158" i="17"/>
  <c r="BO158" i="17" s="1"/>
  <c r="BN157" i="17"/>
  <c r="BO157" i="17" s="1"/>
  <c r="BN156" i="17"/>
  <c r="BO156" i="17" s="1"/>
  <c r="BN155" i="17"/>
  <c r="BO155" i="17" s="1"/>
  <c r="BN154" i="17"/>
  <c r="BO154" i="17" s="1"/>
  <c r="BN153" i="17"/>
  <c r="BO153" i="17" s="1"/>
  <c r="BN152" i="17"/>
  <c r="BO152" i="17" s="1"/>
  <c r="BN151" i="17"/>
  <c r="BO151" i="17" s="1"/>
  <c r="BN150" i="17"/>
  <c r="BO150" i="17" s="1"/>
  <c r="BN146" i="17"/>
  <c r="BO146" i="17" s="1"/>
  <c r="BN145" i="17"/>
  <c r="BO145" i="17" s="1"/>
  <c r="BN144" i="17"/>
  <c r="BO144" i="17" s="1"/>
  <c r="BN143" i="17"/>
  <c r="BO143" i="17" s="1"/>
  <c r="BN142" i="17"/>
  <c r="BO142" i="17" s="1"/>
  <c r="BN141" i="17"/>
  <c r="BO141" i="17" s="1"/>
  <c r="BN140" i="17"/>
  <c r="BO140" i="17" s="1"/>
  <c r="BN139" i="17"/>
  <c r="BO139" i="17" s="1"/>
  <c r="BN138" i="17"/>
  <c r="BO138" i="17" s="1"/>
  <c r="BN137" i="17"/>
  <c r="BO137" i="17" s="1"/>
  <c r="BN136" i="17"/>
  <c r="BO136" i="17" s="1"/>
  <c r="BN135" i="17"/>
  <c r="BO135" i="17" s="1"/>
  <c r="BN134" i="17"/>
  <c r="BO134" i="17" s="1"/>
  <c r="BN133" i="17"/>
  <c r="BO133" i="17" s="1"/>
  <c r="BN132" i="17"/>
  <c r="BO132" i="17" s="1"/>
  <c r="BN131" i="17"/>
  <c r="BO131" i="17" s="1"/>
  <c r="BN130" i="17"/>
  <c r="BO130" i="17" s="1"/>
  <c r="BN129" i="17"/>
  <c r="BO129" i="17" s="1"/>
  <c r="BN125" i="17"/>
  <c r="BO125" i="17" s="1"/>
  <c r="BN124" i="17"/>
  <c r="BO124" i="17" s="1"/>
  <c r="BN123" i="17"/>
  <c r="BO123" i="17" s="1"/>
  <c r="BN122" i="17"/>
  <c r="BO122" i="17" s="1"/>
  <c r="BN121" i="17"/>
  <c r="BO121" i="17" s="1"/>
  <c r="BN120" i="17"/>
  <c r="BO120" i="17" s="1"/>
  <c r="BN119" i="17"/>
  <c r="BO119" i="17" s="1"/>
  <c r="BN118" i="17"/>
  <c r="BO118" i="17" s="1"/>
  <c r="BN117" i="17"/>
  <c r="BO117" i="17" s="1"/>
  <c r="BN116" i="17"/>
  <c r="BO116" i="17" s="1"/>
  <c r="BN115" i="17"/>
  <c r="BO115" i="17" s="1"/>
  <c r="BN114" i="17"/>
  <c r="BO114" i="17" s="1"/>
  <c r="BN113" i="17"/>
  <c r="BO113" i="17" s="1"/>
  <c r="BN112" i="17"/>
  <c r="BO112" i="17" s="1"/>
  <c r="BN111" i="17"/>
  <c r="BO111" i="17" s="1"/>
  <c r="BN110" i="17"/>
  <c r="BO110" i="17" s="1"/>
  <c r="BN109" i="17"/>
  <c r="BO109" i="17" s="1"/>
  <c r="BN108" i="17"/>
  <c r="BO108" i="17" s="1"/>
  <c r="BN104" i="17"/>
  <c r="BO104" i="17" s="1"/>
  <c r="BN103" i="17"/>
  <c r="BO103" i="17" s="1"/>
  <c r="BN102" i="17"/>
  <c r="BO102" i="17" s="1"/>
  <c r="BN101" i="17"/>
  <c r="BO101" i="17" s="1"/>
  <c r="BN100" i="17"/>
  <c r="BO100" i="17" s="1"/>
  <c r="BN99" i="17"/>
  <c r="BO99" i="17" s="1"/>
  <c r="BN98" i="17"/>
  <c r="BO98" i="17" s="1"/>
  <c r="BN97" i="17"/>
  <c r="BO97" i="17" s="1"/>
  <c r="BN96" i="17"/>
  <c r="BO96" i="17" s="1"/>
  <c r="BN95" i="17"/>
  <c r="BO95" i="17" s="1"/>
  <c r="BN94" i="17"/>
  <c r="BO94" i="17" s="1"/>
  <c r="BN93" i="17"/>
  <c r="BO93" i="17" s="1"/>
  <c r="BN92" i="17"/>
  <c r="BO92" i="17" s="1"/>
  <c r="BN91" i="17"/>
  <c r="BO91" i="17" s="1"/>
  <c r="BN90" i="17"/>
  <c r="BO90" i="17" s="1"/>
  <c r="BN89" i="17"/>
  <c r="BO89" i="17" s="1"/>
  <c r="BN88" i="17"/>
  <c r="BO88" i="17" s="1"/>
  <c r="BN87" i="17"/>
  <c r="BO87" i="17" s="1"/>
  <c r="BN83" i="17"/>
  <c r="BO83" i="17" s="1"/>
  <c r="BN82" i="17"/>
  <c r="BO82" i="17" s="1"/>
  <c r="BN81" i="17"/>
  <c r="BO81" i="17" s="1"/>
  <c r="BN80" i="17"/>
  <c r="BO80" i="17" s="1"/>
  <c r="BN79" i="17"/>
  <c r="BO79" i="17" s="1"/>
  <c r="BN78" i="17"/>
  <c r="BO78" i="17" s="1"/>
  <c r="BN77" i="17"/>
  <c r="BO77" i="17" s="1"/>
  <c r="BN76" i="17"/>
  <c r="BO76" i="17" s="1"/>
  <c r="BN75" i="17"/>
  <c r="BO75" i="17" s="1"/>
  <c r="BN74" i="17"/>
  <c r="BO74" i="17" s="1"/>
  <c r="BN73" i="17"/>
  <c r="BO73" i="17" s="1"/>
  <c r="BN72" i="17"/>
  <c r="BO72" i="17" s="1"/>
  <c r="BN71" i="17"/>
  <c r="BO71" i="17" s="1"/>
  <c r="BN70" i="17"/>
  <c r="BO70" i="17" s="1"/>
  <c r="BN69" i="17"/>
  <c r="BO69" i="17" s="1"/>
  <c r="BN68" i="17"/>
  <c r="BO68" i="17" s="1"/>
  <c r="BN67" i="17"/>
  <c r="BO67" i="17" s="1"/>
  <c r="BN66" i="17"/>
  <c r="BO66" i="17" s="1"/>
  <c r="BN62" i="17"/>
  <c r="BO62" i="17" s="1"/>
  <c r="BN61" i="17"/>
  <c r="BO61" i="17" s="1"/>
  <c r="BN60" i="17"/>
  <c r="BO60" i="17" s="1"/>
  <c r="BN59" i="17"/>
  <c r="BO59" i="17" s="1"/>
  <c r="BN58" i="17"/>
  <c r="BO58" i="17" s="1"/>
  <c r="BN57" i="17"/>
  <c r="BO57" i="17" s="1"/>
  <c r="BN56" i="17"/>
  <c r="BO56" i="17" s="1"/>
  <c r="BN55" i="17"/>
  <c r="BO55" i="17" s="1"/>
  <c r="BN54" i="17"/>
  <c r="BO54" i="17" s="1"/>
  <c r="BN53" i="17"/>
  <c r="BO53" i="17" s="1"/>
  <c r="BN52" i="17"/>
  <c r="BO52" i="17" s="1"/>
  <c r="BN51" i="17"/>
  <c r="BO51" i="17" s="1"/>
  <c r="BN50" i="17"/>
  <c r="BO50" i="17" s="1"/>
  <c r="BN49" i="17"/>
  <c r="BO49" i="17" s="1"/>
  <c r="BN48" i="17"/>
  <c r="BO48" i="17" s="1"/>
  <c r="BN47" i="17"/>
  <c r="BO47" i="17" s="1"/>
  <c r="BN46" i="17"/>
  <c r="BO46" i="17" s="1"/>
  <c r="BN45" i="17"/>
  <c r="BO45" i="17" s="1"/>
  <c r="BN41" i="17"/>
  <c r="BO41" i="17" s="1"/>
  <c r="BN40" i="17"/>
  <c r="BO40" i="17" s="1"/>
  <c r="BN39" i="17"/>
  <c r="BO39" i="17" s="1"/>
  <c r="BN38" i="17"/>
  <c r="BO38" i="17" s="1"/>
  <c r="BN37" i="17"/>
  <c r="BO37" i="17" s="1"/>
  <c r="BN36" i="17"/>
  <c r="BO36" i="17" s="1"/>
  <c r="BN35" i="17"/>
  <c r="BO35" i="17" s="1"/>
  <c r="BN34" i="17"/>
  <c r="BO34" i="17" s="1"/>
  <c r="BN33" i="17"/>
  <c r="BO33" i="17" s="1"/>
  <c r="BN32" i="17"/>
  <c r="BO32" i="17" s="1"/>
  <c r="BN31" i="17"/>
  <c r="BO31" i="17" s="1"/>
  <c r="BN30" i="17"/>
  <c r="BO30" i="17" s="1"/>
  <c r="BN29" i="17"/>
  <c r="BO29" i="17" s="1"/>
  <c r="BN28" i="17"/>
  <c r="BO28" i="17" s="1"/>
  <c r="BN27" i="17"/>
  <c r="BO27" i="17" s="1"/>
  <c r="BN26" i="17"/>
  <c r="BO26" i="17" s="1"/>
  <c r="BN25" i="17"/>
  <c r="BO25" i="17" s="1"/>
  <c r="BN24" i="17"/>
  <c r="BO24" i="17" s="1"/>
  <c r="BN20" i="17"/>
  <c r="BO20" i="17" s="1"/>
  <c r="BN19" i="17"/>
  <c r="BO19" i="17" s="1"/>
  <c r="BN18" i="17"/>
  <c r="BO18" i="17" s="1"/>
  <c r="BN17" i="17"/>
  <c r="BO17" i="17" s="1"/>
  <c r="BN16" i="17"/>
  <c r="BO16" i="17" s="1"/>
  <c r="BN15" i="17"/>
  <c r="BO15" i="17" s="1"/>
  <c r="BN14" i="17"/>
  <c r="BO14" i="17" s="1"/>
  <c r="BN13" i="17"/>
  <c r="BO13" i="17" s="1"/>
  <c r="BN12" i="17"/>
  <c r="BO12" i="17" s="1"/>
  <c r="BN11" i="17"/>
  <c r="BO11" i="17" s="1"/>
  <c r="BN10" i="17"/>
  <c r="BO10" i="17" s="1"/>
  <c r="BN9" i="17"/>
  <c r="BO9" i="17" s="1"/>
  <c r="BN8" i="17"/>
  <c r="BO8" i="17" s="1"/>
  <c r="BN7" i="17"/>
  <c r="BO7" i="17" s="1"/>
  <c r="BN6" i="17"/>
  <c r="BO6" i="17" s="1"/>
  <c r="BN5" i="17"/>
  <c r="BO5" i="17" s="1"/>
  <c r="BN4" i="17"/>
  <c r="BO4" i="17" s="1"/>
  <c r="BN3" i="17"/>
  <c r="BO3" i="17" s="1"/>
  <c r="BN359" i="17"/>
  <c r="BO359" i="17" s="1"/>
  <c r="BN338" i="17"/>
  <c r="BO338" i="17" s="1"/>
  <c r="BN317" i="17"/>
  <c r="BO317" i="17" s="1"/>
  <c r="BN296" i="17"/>
  <c r="BO296" i="17" s="1"/>
  <c r="BN275" i="17"/>
  <c r="BO275" i="17" s="1"/>
  <c r="BN254" i="17"/>
  <c r="BO254" i="17" s="1"/>
  <c r="BN233" i="17"/>
  <c r="BO233" i="17" s="1"/>
  <c r="BN212" i="17"/>
  <c r="BO212" i="17" s="1"/>
  <c r="BN191" i="17"/>
  <c r="BO191" i="17" s="1"/>
  <c r="BN170" i="17"/>
  <c r="BO170" i="17" s="1"/>
  <c r="BN149" i="17"/>
  <c r="BO149" i="17" s="1"/>
  <c r="BN128" i="17"/>
  <c r="BO128" i="17" s="1"/>
  <c r="BN107" i="17"/>
  <c r="BO107" i="17" s="1"/>
  <c r="BN86" i="17"/>
  <c r="BO86" i="17" s="1"/>
  <c r="BN65" i="17"/>
  <c r="BO65" i="17" s="1"/>
  <c r="BN44" i="17"/>
  <c r="BO44" i="17" s="1"/>
  <c r="BN23" i="17"/>
  <c r="BO23" i="17" s="1"/>
  <c r="BN2" i="17"/>
  <c r="BO2" i="17" s="1"/>
  <c r="AY377" i="17"/>
  <c r="AZ377" i="17" s="1"/>
  <c r="AY376" i="17"/>
  <c r="AZ376" i="17" s="1"/>
  <c r="AY375" i="17"/>
  <c r="AZ375" i="17" s="1"/>
  <c r="AY374" i="17"/>
  <c r="AZ374" i="17" s="1"/>
  <c r="AY373" i="17"/>
  <c r="AZ373" i="17" s="1"/>
  <c r="AY372" i="17"/>
  <c r="AZ372" i="17" s="1"/>
  <c r="AY371" i="17"/>
  <c r="AZ371" i="17" s="1"/>
  <c r="AY370" i="17"/>
  <c r="AZ370" i="17" s="1"/>
  <c r="AY369" i="17"/>
  <c r="AZ369" i="17" s="1"/>
  <c r="AY368" i="17"/>
  <c r="AZ368" i="17" s="1"/>
  <c r="AY367" i="17"/>
  <c r="AZ367" i="17" s="1"/>
  <c r="AY366" i="17"/>
  <c r="AZ366" i="17" s="1"/>
  <c r="AY365" i="17"/>
  <c r="AZ365" i="17" s="1"/>
  <c r="AY364" i="17"/>
  <c r="AZ364" i="17" s="1"/>
  <c r="AY363" i="17"/>
  <c r="AZ363" i="17" s="1"/>
  <c r="AY362" i="17"/>
  <c r="AZ362" i="17" s="1"/>
  <c r="AY361" i="17"/>
  <c r="AZ361" i="17" s="1"/>
  <c r="AY360" i="17"/>
  <c r="AZ360" i="17" s="1"/>
  <c r="AY356" i="17"/>
  <c r="AZ356" i="17" s="1"/>
  <c r="AY355" i="17"/>
  <c r="AZ355" i="17" s="1"/>
  <c r="AY354" i="17"/>
  <c r="AZ354" i="17" s="1"/>
  <c r="AY353" i="17"/>
  <c r="AZ353" i="17" s="1"/>
  <c r="AY352" i="17"/>
  <c r="AZ352" i="17" s="1"/>
  <c r="AY351" i="17"/>
  <c r="AZ351" i="17" s="1"/>
  <c r="AY350" i="17"/>
  <c r="AZ350" i="17" s="1"/>
  <c r="AY349" i="17"/>
  <c r="AZ349" i="17" s="1"/>
  <c r="AY348" i="17"/>
  <c r="AZ348" i="17" s="1"/>
  <c r="AY347" i="17"/>
  <c r="AZ347" i="17" s="1"/>
  <c r="AY346" i="17"/>
  <c r="AZ346" i="17" s="1"/>
  <c r="AY345" i="17"/>
  <c r="AZ345" i="17" s="1"/>
  <c r="AY344" i="17"/>
  <c r="AZ344" i="17" s="1"/>
  <c r="AY343" i="17"/>
  <c r="AZ343" i="17" s="1"/>
  <c r="AY342" i="17"/>
  <c r="AZ342" i="17" s="1"/>
  <c r="AY341" i="17"/>
  <c r="AZ341" i="17" s="1"/>
  <c r="AY340" i="17"/>
  <c r="AZ340" i="17" s="1"/>
  <c r="AY339" i="17"/>
  <c r="AZ339" i="17" s="1"/>
  <c r="AY335" i="17"/>
  <c r="AZ335" i="17" s="1"/>
  <c r="AY334" i="17"/>
  <c r="AZ334" i="17" s="1"/>
  <c r="AY333" i="17"/>
  <c r="AZ333" i="17" s="1"/>
  <c r="AY332" i="17"/>
  <c r="AZ332" i="17" s="1"/>
  <c r="AY331" i="17"/>
  <c r="AZ331" i="17" s="1"/>
  <c r="AY330" i="17"/>
  <c r="AZ330" i="17" s="1"/>
  <c r="AY329" i="17"/>
  <c r="AZ329" i="17" s="1"/>
  <c r="AY328" i="17"/>
  <c r="AZ328" i="17" s="1"/>
  <c r="AY327" i="17"/>
  <c r="AZ327" i="17" s="1"/>
  <c r="AY326" i="17"/>
  <c r="AZ326" i="17" s="1"/>
  <c r="AY325" i="17"/>
  <c r="AZ325" i="17" s="1"/>
  <c r="AY324" i="17"/>
  <c r="AZ324" i="17" s="1"/>
  <c r="AY323" i="17"/>
  <c r="AZ323" i="17" s="1"/>
  <c r="AY322" i="17"/>
  <c r="AZ322" i="17" s="1"/>
  <c r="AY321" i="17"/>
  <c r="AZ321" i="17" s="1"/>
  <c r="AY320" i="17"/>
  <c r="AZ320" i="17" s="1"/>
  <c r="AY319" i="17"/>
  <c r="AZ319" i="17" s="1"/>
  <c r="AY318" i="17"/>
  <c r="AZ318" i="17" s="1"/>
  <c r="AY314" i="17"/>
  <c r="AZ314" i="17" s="1"/>
  <c r="AY313" i="17"/>
  <c r="AZ313" i="17" s="1"/>
  <c r="AY312" i="17"/>
  <c r="AZ312" i="17" s="1"/>
  <c r="AY311" i="17"/>
  <c r="AZ311" i="17" s="1"/>
  <c r="AY310" i="17"/>
  <c r="AZ310" i="17" s="1"/>
  <c r="AY309" i="17"/>
  <c r="AZ309" i="17" s="1"/>
  <c r="AY308" i="17"/>
  <c r="AZ308" i="17" s="1"/>
  <c r="AY307" i="17"/>
  <c r="AZ307" i="17" s="1"/>
  <c r="AY306" i="17"/>
  <c r="AZ306" i="17" s="1"/>
  <c r="AY305" i="17"/>
  <c r="AZ305" i="17" s="1"/>
  <c r="AY304" i="17"/>
  <c r="AZ304" i="17" s="1"/>
  <c r="AY303" i="17"/>
  <c r="AZ303" i="17" s="1"/>
  <c r="AY302" i="17"/>
  <c r="AZ302" i="17" s="1"/>
  <c r="AY301" i="17"/>
  <c r="AZ301" i="17" s="1"/>
  <c r="AY300" i="17"/>
  <c r="AZ300" i="17" s="1"/>
  <c r="AY299" i="17"/>
  <c r="AZ299" i="17" s="1"/>
  <c r="AY298" i="17"/>
  <c r="AZ298" i="17" s="1"/>
  <c r="AY297" i="17"/>
  <c r="AZ297" i="17" s="1"/>
  <c r="AY293" i="17"/>
  <c r="AZ293" i="17" s="1"/>
  <c r="AY292" i="17"/>
  <c r="AZ292" i="17" s="1"/>
  <c r="AY291" i="17"/>
  <c r="AZ291" i="17" s="1"/>
  <c r="AY290" i="17"/>
  <c r="AZ290" i="17" s="1"/>
  <c r="AY289" i="17"/>
  <c r="AZ289" i="17" s="1"/>
  <c r="AY288" i="17"/>
  <c r="AZ288" i="17" s="1"/>
  <c r="AY287" i="17"/>
  <c r="AZ287" i="17" s="1"/>
  <c r="AY286" i="17"/>
  <c r="AZ286" i="17" s="1"/>
  <c r="AY285" i="17"/>
  <c r="AZ285" i="17" s="1"/>
  <c r="AY284" i="17"/>
  <c r="AZ284" i="17" s="1"/>
  <c r="AY283" i="17"/>
  <c r="AZ283" i="17" s="1"/>
  <c r="AY282" i="17"/>
  <c r="AZ282" i="17" s="1"/>
  <c r="AY281" i="17"/>
  <c r="AZ281" i="17" s="1"/>
  <c r="AY280" i="17"/>
  <c r="AZ280" i="17" s="1"/>
  <c r="AY279" i="17"/>
  <c r="AZ279" i="17" s="1"/>
  <c r="AY278" i="17"/>
  <c r="AZ278" i="17" s="1"/>
  <c r="AY277" i="17"/>
  <c r="AZ277" i="17" s="1"/>
  <c r="AY276" i="17"/>
  <c r="AZ276" i="17" s="1"/>
  <c r="AY272" i="17"/>
  <c r="AZ272" i="17" s="1"/>
  <c r="AY271" i="17"/>
  <c r="AZ271" i="17" s="1"/>
  <c r="AY270" i="17"/>
  <c r="AZ270" i="17" s="1"/>
  <c r="AY269" i="17"/>
  <c r="AZ269" i="17" s="1"/>
  <c r="AY268" i="17"/>
  <c r="AZ268" i="17" s="1"/>
  <c r="AY267" i="17"/>
  <c r="AZ267" i="17" s="1"/>
  <c r="AY266" i="17"/>
  <c r="AZ266" i="17" s="1"/>
  <c r="AY265" i="17"/>
  <c r="AZ265" i="17" s="1"/>
  <c r="AY264" i="17"/>
  <c r="AZ264" i="17" s="1"/>
  <c r="AY263" i="17"/>
  <c r="AZ263" i="17" s="1"/>
  <c r="AY262" i="17"/>
  <c r="AZ262" i="17" s="1"/>
  <c r="AY261" i="17"/>
  <c r="AZ261" i="17" s="1"/>
  <c r="AY260" i="17"/>
  <c r="AZ260" i="17" s="1"/>
  <c r="AY259" i="17"/>
  <c r="AZ259" i="17" s="1"/>
  <c r="AY258" i="17"/>
  <c r="AZ258" i="17" s="1"/>
  <c r="AY257" i="17"/>
  <c r="AZ257" i="17" s="1"/>
  <c r="AY256" i="17"/>
  <c r="AZ256" i="17" s="1"/>
  <c r="AY255" i="17"/>
  <c r="AZ255" i="17" s="1"/>
  <c r="AY251" i="17"/>
  <c r="AZ251" i="17" s="1"/>
  <c r="AY250" i="17"/>
  <c r="AZ250" i="17" s="1"/>
  <c r="AY249" i="17"/>
  <c r="AZ249" i="17" s="1"/>
  <c r="AY248" i="17"/>
  <c r="AZ248" i="17" s="1"/>
  <c r="AY247" i="17"/>
  <c r="AZ247" i="17" s="1"/>
  <c r="AY246" i="17"/>
  <c r="AZ246" i="17" s="1"/>
  <c r="AY245" i="17"/>
  <c r="AZ245" i="17" s="1"/>
  <c r="AY244" i="17"/>
  <c r="AZ244" i="17" s="1"/>
  <c r="AY243" i="17"/>
  <c r="AZ243" i="17" s="1"/>
  <c r="AY242" i="17"/>
  <c r="AZ242" i="17" s="1"/>
  <c r="AY241" i="17"/>
  <c r="AZ241" i="17" s="1"/>
  <c r="AY240" i="17"/>
  <c r="AZ240" i="17" s="1"/>
  <c r="AY239" i="17"/>
  <c r="AZ239" i="17" s="1"/>
  <c r="AY238" i="17"/>
  <c r="AZ238" i="17" s="1"/>
  <c r="AY237" i="17"/>
  <c r="AZ237" i="17" s="1"/>
  <c r="AY236" i="17"/>
  <c r="AZ236" i="17" s="1"/>
  <c r="AY235" i="17"/>
  <c r="AZ235" i="17" s="1"/>
  <c r="AY234" i="17"/>
  <c r="AZ234" i="17" s="1"/>
  <c r="AY230" i="17"/>
  <c r="AZ230" i="17" s="1"/>
  <c r="AY229" i="17"/>
  <c r="AZ229" i="17" s="1"/>
  <c r="AY228" i="17"/>
  <c r="AZ228" i="17" s="1"/>
  <c r="AY227" i="17"/>
  <c r="AZ227" i="17" s="1"/>
  <c r="AY226" i="17"/>
  <c r="AZ226" i="17" s="1"/>
  <c r="AY225" i="17"/>
  <c r="AZ225" i="17" s="1"/>
  <c r="AY224" i="17"/>
  <c r="AZ224" i="17" s="1"/>
  <c r="AY223" i="17"/>
  <c r="AZ223" i="17" s="1"/>
  <c r="AY222" i="17"/>
  <c r="AZ222" i="17" s="1"/>
  <c r="AY221" i="17"/>
  <c r="AZ221" i="17" s="1"/>
  <c r="AY220" i="17"/>
  <c r="AZ220" i="17" s="1"/>
  <c r="AY219" i="17"/>
  <c r="AZ219" i="17" s="1"/>
  <c r="AY218" i="17"/>
  <c r="AZ218" i="17" s="1"/>
  <c r="AY217" i="17"/>
  <c r="AZ217" i="17" s="1"/>
  <c r="AY216" i="17"/>
  <c r="AZ216" i="17" s="1"/>
  <c r="AY215" i="17"/>
  <c r="AZ215" i="17" s="1"/>
  <c r="AY214" i="17"/>
  <c r="AZ214" i="17" s="1"/>
  <c r="AY213" i="17"/>
  <c r="AZ213" i="17" s="1"/>
  <c r="AY209" i="17"/>
  <c r="AZ209" i="17" s="1"/>
  <c r="AY208" i="17"/>
  <c r="AZ208" i="17" s="1"/>
  <c r="AY207" i="17"/>
  <c r="AZ207" i="17" s="1"/>
  <c r="AY206" i="17"/>
  <c r="AZ206" i="17" s="1"/>
  <c r="AY205" i="17"/>
  <c r="AZ205" i="17" s="1"/>
  <c r="AY204" i="17"/>
  <c r="AZ204" i="17" s="1"/>
  <c r="AY203" i="17"/>
  <c r="AZ203" i="17" s="1"/>
  <c r="AY202" i="17"/>
  <c r="AZ202" i="17" s="1"/>
  <c r="AY201" i="17"/>
  <c r="AZ201" i="17" s="1"/>
  <c r="AY200" i="17"/>
  <c r="AZ200" i="17" s="1"/>
  <c r="AY199" i="17"/>
  <c r="AZ199" i="17" s="1"/>
  <c r="AY198" i="17"/>
  <c r="AZ198" i="17" s="1"/>
  <c r="AY197" i="17"/>
  <c r="AZ197" i="17" s="1"/>
  <c r="AY196" i="17"/>
  <c r="AZ196" i="17" s="1"/>
  <c r="AY195" i="17"/>
  <c r="AZ195" i="17" s="1"/>
  <c r="AY194" i="17"/>
  <c r="AZ194" i="17" s="1"/>
  <c r="AY193" i="17"/>
  <c r="AZ193" i="17" s="1"/>
  <c r="AY192" i="17"/>
  <c r="AZ192" i="17" s="1"/>
  <c r="AY188" i="17"/>
  <c r="AZ188" i="17" s="1"/>
  <c r="AY187" i="17"/>
  <c r="AZ187" i="17" s="1"/>
  <c r="AY186" i="17"/>
  <c r="AZ186" i="17" s="1"/>
  <c r="AY185" i="17"/>
  <c r="AZ185" i="17" s="1"/>
  <c r="AY184" i="17"/>
  <c r="AZ184" i="17" s="1"/>
  <c r="AY183" i="17"/>
  <c r="AZ183" i="17" s="1"/>
  <c r="AY182" i="17"/>
  <c r="AZ182" i="17" s="1"/>
  <c r="AY181" i="17"/>
  <c r="AZ181" i="17" s="1"/>
  <c r="AY180" i="17"/>
  <c r="AZ180" i="17" s="1"/>
  <c r="AY179" i="17"/>
  <c r="AZ179" i="17" s="1"/>
  <c r="AY178" i="17"/>
  <c r="AZ178" i="17" s="1"/>
  <c r="AY177" i="17"/>
  <c r="AZ177" i="17" s="1"/>
  <c r="AY176" i="17"/>
  <c r="AZ176" i="17" s="1"/>
  <c r="AY175" i="17"/>
  <c r="AZ175" i="17" s="1"/>
  <c r="AY174" i="17"/>
  <c r="AZ174" i="17" s="1"/>
  <c r="AY173" i="17"/>
  <c r="AZ173" i="17" s="1"/>
  <c r="AY172" i="17"/>
  <c r="AZ172" i="17" s="1"/>
  <c r="AY171" i="17"/>
  <c r="AZ171" i="17" s="1"/>
  <c r="AY167" i="17"/>
  <c r="AZ167" i="17" s="1"/>
  <c r="AY166" i="17"/>
  <c r="AZ166" i="17" s="1"/>
  <c r="AY165" i="17"/>
  <c r="AZ165" i="17" s="1"/>
  <c r="AY164" i="17"/>
  <c r="AZ164" i="17" s="1"/>
  <c r="AY163" i="17"/>
  <c r="AZ163" i="17" s="1"/>
  <c r="AY162" i="17"/>
  <c r="AZ162" i="17" s="1"/>
  <c r="AY161" i="17"/>
  <c r="AZ161" i="17" s="1"/>
  <c r="AY160" i="17"/>
  <c r="AZ160" i="17" s="1"/>
  <c r="AY159" i="17"/>
  <c r="AZ159" i="17" s="1"/>
  <c r="AY158" i="17"/>
  <c r="AZ158" i="17" s="1"/>
  <c r="AY157" i="17"/>
  <c r="AZ157" i="17" s="1"/>
  <c r="AY156" i="17"/>
  <c r="AZ156" i="17" s="1"/>
  <c r="AY155" i="17"/>
  <c r="AZ155" i="17" s="1"/>
  <c r="AY154" i="17"/>
  <c r="AZ154" i="17" s="1"/>
  <c r="AY153" i="17"/>
  <c r="AZ153" i="17" s="1"/>
  <c r="AY152" i="17"/>
  <c r="AZ152" i="17" s="1"/>
  <c r="AY151" i="17"/>
  <c r="AZ151" i="17" s="1"/>
  <c r="AY150" i="17"/>
  <c r="AZ150" i="17" s="1"/>
  <c r="AY146" i="17"/>
  <c r="AZ146" i="17" s="1"/>
  <c r="AY145" i="17"/>
  <c r="AZ145" i="17" s="1"/>
  <c r="AY144" i="17"/>
  <c r="AZ144" i="17" s="1"/>
  <c r="AY143" i="17"/>
  <c r="AZ143" i="17" s="1"/>
  <c r="AY142" i="17"/>
  <c r="AZ142" i="17" s="1"/>
  <c r="AY141" i="17"/>
  <c r="AZ141" i="17" s="1"/>
  <c r="AY140" i="17"/>
  <c r="AZ140" i="17" s="1"/>
  <c r="AY139" i="17"/>
  <c r="AZ139" i="17" s="1"/>
  <c r="AY138" i="17"/>
  <c r="AZ138" i="17" s="1"/>
  <c r="AY137" i="17"/>
  <c r="AZ137" i="17" s="1"/>
  <c r="AY136" i="17"/>
  <c r="AZ136" i="17" s="1"/>
  <c r="AY135" i="17"/>
  <c r="AZ135" i="17" s="1"/>
  <c r="AY134" i="17"/>
  <c r="AZ134" i="17" s="1"/>
  <c r="AY133" i="17"/>
  <c r="AZ133" i="17" s="1"/>
  <c r="AY132" i="17"/>
  <c r="AZ132" i="17" s="1"/>
  <c r="AY131" i="17"/>
  <c r="AZ131" i="17" s="1"/>
  <c r="AY130" i="17"/>
  <c r="AZ130" i="17" s="1"/>
  <c r="AY129" i="17"/>
  <c r="AZ129" i="17" s="1"/>
  <c r="AY125" i="17"/>
  <c r="AZ125" i="17" s="1"/>
  <c r="AY124" i="17"/>
  <c r="AZ124" i="17" s="1"/>
  <c r="AY123" i="17"/>
  <c r="AZ123" i="17" s="1"/>
  <c r="AY122" i="17"/>
  <c r="AZ122" i="17" s="1"/>
  <c r="AY121" i="17"/>
  <c r="AZ121" i="17" s="1"/>
  <c r="AY120" i="17"/>
  <c r="AZ120" i="17" s="1"/>
  <c r="AY119" i="17"/>
  <c r="AZ119" i="17" s="1"/>
  <c r="AY118" i="17"/>
  <c r="AZ118" i="17" s="1"/>
  <c r="AY117" i="17"/>
  <c r="AZ117" i="17" s="1"/>
  <c r="AY116" i="17"/>
  <c r="AZ116" i="17" s="1"/>
  <c r="AY115" i="17"/>
  <c r="AZ115" i="17" s="1"/>
  <c r="AY114" i="17"/>
  <c r="AZ114" i="17" s="1"/>
  <c r="AY113" i="17"/>
  <c r="AZ113" i="17" s="1"/>
  <c r="AY112" i="17"/>
  <c r="AZ112" i="17" s="1"/>
  <c r="AY111" i="17"/>
  <c r="AZ111" i="17" s="1"/>
  <c r="AY110" i="17"/>
  <c r="AZ110" i="17" s="1"/>
  <c r="AY109" i="17"/>
  <c r="AZ109" i="17" s="1"/>
  <c r="AY108" i="17"/>
  <c r="AZ108" i="17" s="1"/>
  <c r="AY104" i="17"/>
  <c r="AZ104" i="17" s="1"/>
  <c r="AY103" i="17"/>
  <c r="AZ103" i="17" s="1"/>
  <c r="AY102" i="17"/>
  <c r="AZ102" i="17" s="1"/>
  <c r="AY101" i="17"/>
  <c r="AZ101" i="17" s="1"/>
  <c r="AY100" i="17"/>
  <c r="AZ100" i="17" s="1"/>
  <c r="AY99" i="17"/>
  <c r="AZ99" i="17" s="1"/>
  <c r="AY98" i="17"/>
  <c r="AZ98" i="17" s="1"/>
  <c r="AY97" i="17"/>
  <c r="AZ97" i="17" s="1"/>
  <c r="AY96" i="17"/>
  <c r="AZ96" i="17" s="1"/>
  <c r="AY95" i="17"/>
  <c r="AZ95" i="17" s="1"/>
  <c r="AY94" i="17"/>
  <c r="AZ94" i="17" s="1"/>
  <c r="AY93" i="17"/>
  <c r="AZ93" i="17" s="1"/>
  <c r="AY92" i="17"/>
  <c r="AZ92" i="17" s="1"/>
  <c r="AY91" i="17"/>
  <c r="AZ91" i="17" s="1"/>
  <c r="AY90" i="17"/>
  <c r="AZ90" i="17" s="1"/>
  <c r="AY89" i="17"/>
  <c r="AZ89" i="17" s="1"/>
  <c r="AY88" i="17"/>
  <c r="AZ88" i="17" s="1"/>
  <c r="AY87" i="17"/>
  <c r="AZ87" i="17" s="1"/>
  <c r="AY83" i="17"/>
  <c r="AZ83" i="17" s="1"/>
  <c r="AY82" i="17"/>
  <c r="AZ82" i="17" s="1"/>
  <c r="AY81" i="17"/>
  <c r="AZ81" i="17" s="1"/>
  <c r="AY80" i="17"/>
  <c r="AZ80" i="17" s="1"/>
  <c r="AY79" i="17"/>
  <c r="AZ79" i="17" s="1"/>
  <c r="AY78" i="17"/>
  <c r="AZ78" i="17" s="1"/>
  <c r="AY77" i="17"/>
  <c r="AZ77" i="17" s="1"/>
  <c r="AY76" i="17"/>
  <c r="AZ76" i="17" s="1"/>
  <c r="AY75" i="17"/>
  <c r="AZ75" i="17" s="1"/>
  <c r="AY74" i="17"/>
  <c r="AZ74" i="17" s="1"/>
  <c r="AY73" i="17"/>
  <c r="AZ73" i="17" s="1"/>
  <c r="AY72" i="17"/>
  <c r="AZ72" i="17" s="1"/>
  <c r="AY71" i="17"/>
  <c r="AZ71" i="17" s="1"/>
  <c r="AY70" i="17"/>
  <c r="AZ70" i="17" s="1"/>
  <c r="AY69" i="17"/>
  <c r="AZ69" i="17" s="1"/>
  <c r="AY68" i="17"/>
  <c r="AZ68" i="17" s="1"/>
  <c r="AY67" i="17"/>
  <c r="AZ67" i="17" s="1"/>
  <c r="AY66" i="17"/>
  <c r="AZ66" i="17" s="1"/>
  <c r="AY62" i="17"/>
  <c r="AZ62" i="17" s="1"/>
  <c r="AY61" i="17"/>
  <c r="AZ61" i="17" s="1"/>
  <c r="AY60" i="17"/>
  <c r="AZ60" i="17" s="1"/>
  <c r="AY59" i="17"/>
  <c r="AZ59" i="17" s="1"/>
  <c r="AY58" i="17"/>
  <c r="AZ58" i="17" s="1"/>
  <c r="AY57" i="17"/>
  <c r="AZ57" i="17" s="1"/>
  <c r="AY56" i="17"/>
  <c r="AZ56" i="17" s="1"/>
  <c r="AY55" i="17"/>
  <c r="AZ55" i="17" s="1"/>
  <c r="AY54" i="17"/>
  <c r="AZ54" i="17" s="1"/>
  <c r="AY53" i="17"/>
  <c r="AZ53" i="17" s="1"/>
  <c r="AY52" i="17"/>
  <c r="AZ52" i="17" s="1"/>
  <c r="AY51" i="17"/>
  <c r="AZ51" i="17" s="1"/>
  <c r="AY50" i="17"/>
  <c r="AZ50" i="17" s="1"/>
  <c r="AY49" i="17"/>
  <c r="AZ49" i="17" s="1"/>
  <c r="AY48" i="17"/>
  <c r="AZ48" i="17" s="1"/>
  <c r="AY47" i="17"/>
  <c r="AZ47" i="17" s="1"/>
  <c r="AY46" i="17"/>
  <c r="AZ46" i="17" s="1"/>
  <c r="AY45" i="17"/>
  <c r="AZ45" i="17" s="1"/>
  <c r="AY41" i="17"/>
  <c r="AZ41" i="17" s="1"/>
  <c r="AY40" i="17"/>
  <c r="AZ40" i="17" s="1"/>
  <c r="AY39" i="17"/>
  <c r="AZ39" i="17" s="1"/>
  <c r="AY38" i="17"/>
  <c r="AZ38" i="17" s="1"/>
  <c r="AY37" i="17"/>
  <c r="AZ37" i="17" s="1"/>
  <c r="AY36" i="17"/>
  <c r="AZ36" i="17" s="1"/>
  <c r="AY35" i="17"/>
  <c r="AZ35" i="17" s="1"/>
  <c r="AY34" i="17"/>
  <c r="AZ34" i="17" s="1"/>
  <c r="AY33" i="17"/>
  <c r="AZ33" i="17" s="1"/>
  <c r="AY32" i="17"/>
  <c r="AZ32" i="17" s="1"/>
  <c r="AY31" i="17"/>
  <c r="AZ31" i="17" s="1"/>
  <c r="AY30" i="17"/>
  <c r="AZ30" i="17" s="1"/>
  <c r="AY29" i="17"/>
  <c r="AZ29" i="17" s="1"/>
  <c r="AY28" i="17"/>
  <c r="AZ28" i="17" s="1"/>
  <c r="AY27" i="17"/>
  <c r="AZ27" i="17" s="1"/>
  <c r="AY26" i="17"/>
  <c r="AZ26" i="17" s="1"/>
  <c r="AY25" i="17"/>
  <c r="AZ25" i="17" s="1"/>
  <c r="AY24" i="17"/>
  <c r="AZ24" i="17" s="1"/>
  <c r="AY20" i="17"/>
  <c r="AZ20" i="17" s="1"/>
  <c r="AY19" i="17"/>
  <c r="AZ19" i="17" s="1"/>
  <c r="AY18" i="17"/>
  <c r="AZ18" i="17" s="1"/>
  <c r="AY17" i="17"/>
  <c r="AZ17" i="17" s="1"/>
  <c r="AY16" i="17"/>
  <c r="AZ16" i="17" s="1"/>
  <c r="AY15" i="17"/>
  <c r="AZ15" i="17" s="1"/>
  <c r="AY14" i="17"/>
  <c r="AZ14" i="17" s="1"/>
  <c r="AY13" i="17"/>
  <c r="AZ13" i="17" s="1"/>
  <c r="AY12" i="17"/>
  <c r="AZ12" i="17" s="1"/>
  <c r="AY11" i="17"/>
  <c r="AZ11" i="17" s="1"/>
  <c r="AY10" i="17"/>
  <c r="AZ10" i="17" s="1"/>
  <c r="AY9" i="17"/>
  <c r="AZ9" i="17" s="1"/>
  <c r="AY8" i="17"/>
  <c r="AZ8" i="17" s="1"/>
  <c r="AY7" i="17"/>
  <c r="AZ7" i="17" s="1"/>
  <c r="AY6" i="17"/>
  <c r="AZ6" i="17" s="1"/>
  <c r="AY5" i="17"/>
  <c r="AZ5" i="17" s="1"/>
  <c r="AY4" i="17"/>
  <c r="AZ4" i="17" s="1"/>
  <c r="AY3" i="17"/>
  <c r="AZ3" i="17" s="1"/>
  <c r="AY359" i="17"/>
  <c r="AZ359" i="17" s="1"/>
  <c r="AY338" i="17"/>
  <c r="AZ338" i="17" s="1"/>
  <c r="AY317" i="17"/>
  <c r="AZ317" i="17" s="1"/>
  <c r="AY296" i="17"/>
  <c r="AZ296" i="17" s="1"/>
  <c r="AY275" i="17"/>
  <c r="AZ275" i="17" s="1"/>
  <c r="AY254" i="17"/>
  <c r="AZ254" i="17" s="1"/>
  <c r="AY233" i="17"/>
  <c r="AZ233" i="17" s="1"/>
  <c r="AY212" i="17"/>
  <c r="AZ212" i="17" s="1"/>
  <c r="AY191" i="17"/>
  <c r="AZ191" i="17" s="1"/>
  <c r="AY170" i="17"/>
  <c r="AZ170" i="17" s="1"/>
  <c r="AY149" i="17"/>
  <c r="AZ149" i="17" s="1"/>
  <c r="AY128" i="17"/>
  <c r="AZ128" i="17" s="1"/>
  <c r="AY107" i="17"/>
  <c r="AZ107" i="17" s="1"/>
  <c r="AY86" i="17"/>
  <c r="AZ86" i="17" s="1"/>
  <c r="AY65" i="17"/>
  <c r="AZ65" i="17" s="1"/>
  <c r="AY44" i="17"/>
  <c r="AZ44" i="17" s="1"/>
  <c r="AY23" i="17"/>
  <c r="AZ23" i="17" s="1"/>
  <c r="AY2" i="17"/>
  <c r="AZ2" i="17" s="1"/>
  <c r="AJ377" i="17"/>
  <c r="AK377" i="17" s="1"/>
  <c r="AJ376" i="17"/>
  <c r="AK376" i="17" s="1"/>
  <c r="AJ375" i="17"/>
  <c r="AK375" i="17" s="1"/>
  <c r="AJ374" i="17"/>
  <c r="AK374" i="17" s="1"/>
  <c r="AJ373" i="17"/>
  <c r="AK373" i="17" s="1"/>
  <c r="AJ372" i="17"/>
  <c r="AK372" i="17" s="1"/>
  <c r="AJ371" i="17"/>
  <c r="AK371" i="17" s="1"/>
  <c r="AJ370" i="17"/>
  <c r="AK370" i="17" s="1"/>
  <c r="AJ369" i="17"/>
  <c r="AK369" i="17" s="1"/>
  <c r="AJ368" i="17"/>
  <c r="AK368" i="17" s="1"/>
  <c r="AJ367" i="17"/>
  <c r="AK367" i="17" s="1"/>
  <c r="AJ366" i="17"/>
  <c r="AK366" i="17" s="1"/>
  <c r="AJ365" i="17"/>
  <c r="AK365" i="17" s="1"/>
  <c r="AJ364" i="17"/>
  <c r="AK364" i="17" s="1"/>
  <c r="AJ363" i="17"/>
  <c r="AK363" i="17" s="1"/>
  <c r="AJ362" i="17"/>
  <c r="AK362" i="17" s="1"/>
  <c r="AJ361" i="17"/>
  <c r="AK361" i="17" s="1"/>
  <c r="AJ360" i="17"/>
  <c r="AK360" i="17" s="1"/>
  <c r="AJ356" i="17"/>
  <c r="AK356" i="17" s="1"/>
  <c r="AJ355" i="17"/>
  <c r="AK355" i="17" s="1"/>
  <c r="AJ354" i="17"/>
  <c r="AK354" i="17" s="1"/>
  <c r="AJ353" i="17"/>
  <c r="AK353" i="17" s="1"/>
  <c r="AJ352" i="17"/>
  <c r="AK352" i="17" s="1"/>
  <c r="AJ351" i="17"/>
  <c r="AK351" i="17" s="1"/>
  <c r="AJ350" i="17"/>
  <c r="AK350" i="17" s="1"/>
  <c r="AJ349" i="17"/>
  <c r="AK349" i="17" s="1"/>
  <c r="AJ348" i="17"/>
  <c r="AK348" i="17" s="1"/>
  <c r="AJ347" i="17"/>
  <c r="AK347" i="17" s="1"/>
  <c r="AJ346" i="17"/>
  <c r="AK346" i="17" s="1"/>
  <c r="AJ345" i="17"/>
  <c r="AK345" i="17" s="1"/>
  <c r="AJ344" i="17"/>
  <c r="AK344" i="17" s="1"/>
  <c r="AJ343" i="17"/>
  <c r="AK343" i="17" s="1"/>
  <c r="AJ342" i="17"/>
  <c r="AK342" i="17" s="1"/>
  <c r="AJ341" i="17"/>
  <c r="AK341" i="17" s="1"/>
  <c r="AJ340" i="17"/>
  <c r="AK340" i="17" s="1"/>
  <c r="AJ339" i="17"/>
  <c r="AK339" i="17" s="1"/>
  <c r="AJ335" i="17"/>
  <c r="AK335" i="17" s="1"/>
  <c r="AJ334" i="17"/>
  <c r="AK334" i="17" s="1"/>
  <c r="AJ333" i="17"/>
  <c r="AK333" i="17" s="1"/>
  <c r="AJ332" i="17"/>
  <c r="AK332" i="17" s="1"/>
  <c r="AJ331" i="17"/>
  <c r="AK331" i="17" s="1"/>
  <c r="AJ330" i="17"/>
  <c r="AK330" i="17" s="1"/>
  <c r="AJ329" i="17"/>
  <c r="AK329" i="17" s="1"/>
  <c r="AJ328" i="17"/>
  <c r="AK328" i="17" s="1"/>
  <c r="AJ327" i="17"/>
  <c r="AK327" i="17" s="1"/>
  <c r="AJ326" i="17"/>
  <c r="AK326" i="17" s="1"/>
  <c r="AJ325" i="17"/>
  <c r="AK325" i="17" s="1"/>
  <c r="AJ324" i="17"/>
  <c r="AK324" i="17" s="1"/>
  <c r="AJ323" i="17"/>
  <c r="AK323" i="17" s="1"/>
  <c r="AJ322" i="17"/>
  <c r="AK322" i="17" s="1"/>
  <c r="AJ321" i="17"/>
  <c r="AK321" i="17" s="1"/>
  <c r="AJ320" i="17"/>
  <c r="AK320" i="17" s="1"/>
  <c r="AJ319" i="17"/>
  <c r="AK319" i="17" s="1"/>
  <c r="AJ318" i="17"/>
  <c r="AK318" i="17" s="1"/>
  <c r="AJ314" i="17"/>
  <c r="AK314" i="17" s="1"/>
  <c r="AJ313" i="17"/>
  <c r="AK313" i="17" s="1"/>
  <c r="AJ312" i="17"/>
  <c r="AK312" i="17" s="1"/>
  <c r="AJ311" i="17"/>
  <c r="AK311" i="17" s="1"/>
  <c r="AJ310" i="17"/>
  <c r="AK310" i="17" s="1"/>
  <c r="AJ309" i="17"/>
  <c r="AK309" i="17" s="1"/>
  <c r="AJ308" i="17"/>
  <c r="AK308" i="17" s="1"/>
  <c r="AJ307" i="17"/>
  <c r="AK307" i="17" s="1"/>
  <c r="AJ306" i="17"/>
  <c r="AK306" i="17" s="1"/>
  <c r="AJ305" i="17"/>
  <c r="AK305" i="17" s="1"/>
  <c r="AJ304" i="17"/>
  <c r="AK304" i="17" s="1"/>
  <c r="AJ303" i="17"/>
  <c r="AK303" i="17" s="1"/>
  <c r="AJ302" i="17"/>
  <c r="AK302" i="17" s="1"/>
  <c r="AJ301" i="17"/>
  <c r="AK301" i="17" s="1"/>
  <c r="AJ300" i="17"/>
  <c r="AK300" i="17" s="1"/>
  <c r="AJ299" i="17"/>
  <c r="AK299" i="17" s="1"/>
  <c r="AJ298" i="17"/>
  <c r="AK298" i="17" s="1"/>
  <c r="AJ297" i="17"/>
  <c r="AK297" i="17" s="1"/>
  <c r="AJ293" i="17"/>
  <c r="AK293" i="17" s="1"/>
  <c r="AJ292" i="17"/>
  <c r="AK292" i="17" s="1"/>
  <c r="AJ291" i="17"/>
  <c r="AK291" i="17" s="1"/>
  <c r="AJ290" i="17"/>
  <c r="AK290" i="17" s="1"/>
  <c r="AJ289" i="17"/>
  <c r="AK289" i="17" s="1"/>
  <c r="AJ288" i="17"/>
  <c r="AK288" i="17" s="1"/>
  <c r="AJ287" i="17"/>
  <c r="AK287" i="17" s="1"/>
  <c r="AJ286" i="17"/>
  <c r="AK286" i="17" s="1"/>
  <c r="AJ285" i="17"/>
  <c r="AK285" i="17" s="1"/>
  <c r="AJ284" i="17"/>
  <c r="AK284" i="17" s="1"/>
  <c r="AJ283" i="17"/>
  <c r="AK283" i="17" s="1"/>
  <c r="AJ282" i="17"/>
  <c r="AK282" i="17" s="1"/>
  <c r="AJ281" i="17"/>
  <c r="AK281" i="17" s="1"/>
  <c r="AJ280" i="17"/>
  <c r="AK280" i="17" s="1"/>
  <c r="AJ279" i="17"/>
  <c r="AK279" i="17" s="1"/>
  <c r="AJ278" i="17"/>
  <c r="AK278" i="17" s="1"/>
  <c r="AJ277" i="17"/>
  <c r="AK277" i="17" s="1"/>
  <c r="AJ276" i="17"/>
  <c r="AK276" i="17" s="1"/>
  <c r="AJ272" i="17"/>
  <c r="AK272" i="17" s="1"/>
  <c r="AJ271" i="17"/>
  <c r="AK271" i="17" s="1"/>
  <c r="AJ270" i="17"/>
  <c r="AK270" i="17" s="1"/>
  <c r="AJ269" i="17"/>
  <c r="AK269" i="17" s="1"/>
  <c r="AJ268" i="17"/>
  <c r="AK268" i="17" s="1"/>
  <c r="AJ267" i="17"/>
  <c r="AK267" i="17" s="1"/>
  <c r="AJ266" i="17"/>
  <c r="AK266" i="17" s="1"/>
  <c r="AJ265" i="17"/>
  <c r="AK265" i="17" s="1"/>
  <c r="AJ264" i="17"/>
  <c r="AK264" i="17" s="1"/>
  <c r="AJ263" i="17"/>
  <c r="AK263" i="17" s="1"/>
  <c r="AJ262" i="17"/>
  <c r="AK262" i="17" s="1"/>
  <c r="AJ261" i="17"/>
  <c r="AK261" i="17" s="1"/>
  <c r="AJ260" i="17"/>
  <c r="AK260" i="17" s="1"/>
  <c r="AJ259" i="17"/>
  <c r="AK259" i="17" s="1"/>
  <c r="AJ258" i="17"/>
  <c r="AK258" i="17" s="1"/>
  <c r="AJ257" i="17"/>
  <c r="AK257" i="17" s="1"/>
  <c r="AJ256" i="17"/>
  <c r="AK256" i="17" s="1"/>
  <c r="AJ255" i="17"/>
  <c r="AK255" i="17" s="1"/>
  <c r="AJ251" i="17"/>
  <c r="AK251" i="17" s="1"/>
  <c r="AJ250" i="17"/>
  <c r="AK250" i="17" s="1"/>
  <c r="AJ249" i="17"/>
  <c r="AK249" i="17" s="1"/>
  <c r="AJ248" i="17"/>
  <c r="AK248" i="17" s="1"/>
  <c r="AJ247" i="17"/>
  <c r="AK247" i="17" s="1"/>
  <c r="AJ246" i="17"/>
  <c r="AK246" i="17" s="1"/>
  <c r="AJ245" i="17"/>
  <c r="AK245" i="17" s="1"/>
  <c r="AJ244" i="17"/>
  <c r="AK244" i="17" s="1"/>
  <c r="AJ243" i="17"/>
  <c r="AK243" i="17" s="1"/>
  <c r="AJ242" i="17"/>
  <c r="AK242" i="17" s="1"/>
  <c r="AJ241" i="17"/>
  <c r="AK241" i="17" s="1"/>
  <c r="AJ240" i="17"/>
  <c r="AK240" i="17" s="1"/>
  <c r="AJ239" i="17"/>
  <c r="AK239" i="17" s="1"/>
  <c r="AJ238" i="17"/>
  <c r="AK238" i="17" s="1"/>
  <c r="AJ237" i="17"/>
  <c r="AK237" i="17" s="1"/>
  <c r="AJ236" i="17"/>
  <c r="AK236" i="17" s="1"/>
  <c r="AJ235" i="17"/>
  <c r="AK235" i="17" s="1"/>
  <c r="AJ234" i="17"/>
  <c r="AK234" i="17" s="1"/>
  <c r="AJ230" i="17"/>
  <c r="AK230" i="17" s="1"/>
  <c r="AJ229" i="17"/>
  <c r="AK229" i="17" s="1"/>
  <c r="AJ228" i="17"/>
  <c r="AK228" i="17" s="1"/>
  <c r="AJ227" i="17"/>
  <c r="AK227" i="17" s="1"/>
  <c r="AJ226" i="17"/>
  <c r="AK226" i="17" s="1"/>
  <c r="AJ225" i="17"/>
  <c r="AK225" i="17" s="1"/>
  <c r="AJ224" i="17"/>
  <c r="AK224" i="17" s="1"/>
  <c r="AJ223" i="17"/>
  <c r="AK223" i="17" s="1"/>
  <c r="AJ222" i="17"/>
  <c r="AK222" i="17" s="1"/>
  <c r="AJ221" i="17"/>
  <c r="AK221" i="17" s="1"/>
  <c r="AJ220" i="17"/>
  <c r="AK220" i="17" s="1"/>
  <c r="AJ219" i="17"/>
  <c r="AK219" i="17" s="1"/>
  <c r="AJ218" i="17"/>
  <c r="AK218" i="17" s="1"/>
  <c r="AJ217" i="17"/>
  <c r="AK217" i="17" s="1"/>
  <c r="AJ216" i="17"/>
  <c r="AK216" i="17" s="1"/>
  <c r="AJ215" i="17"/>
  <c r="AK215" i="17" s="1"/>
  <c r="AJ214" i="17"/>
  <c r="AK214" i="17" s="1"/>
  <c r="AJ213" i="17"/>
  <c r="AK213" i="17" s="1"/>
  <c r="AJ209" i="17"/>
  <c r="AK209" i="17" s="1"/>
  <c r="AJ208" i="17"/>
  <c r="AK208" i="17" s="1"/>
  <c r="AJ207" i="17"/>
  <c r="AK207" i="17" s="1"/>
  <c r="AJ206" i="17"/>
  <c r="AK206" i="17" s="1"/>
  <c r="AJ205" i="17"/>
  <c r="AK205" i="17" s="1"/>
  <c r="AJ204" i="17"/>
  <c r="AK204" i="17" s="1"/>
  <c r="AJ203" i="17"/>
  <c r="AK203" i="17" s="1"/>
  <c r="AJ202" i="17"/>
  <c r="AK202" i="17" s="1"/>
  <c r="AJ201" i="17"/>
  <c r="AK201" i="17" s="1"/>
  <c r="AJ200" i="17"/>
  <c r="AK200" i="17" s="1"/>
  <c r="AJ199" i="17"/>
  <c r="AK199" i="17" s="1"/>
  <c r="AJ198" i="17"/>
  <c r="AK198" i="17" s="1"/>
  <c r="AJ197" i="17"/>
  <c r="AK197" i="17" s="1"/>
  <c r="AJ196" i="17"/>
  <c r="AK196" i="17" s="1"/>
  <c r="AJ195" i="17"/>
  <c r="AK195" i="17" s="1"/>
  <c r="AJ194" i="17"/>
  <c r="AK194" i="17" s="1"/>
  <c r="AJ193" i="17"/>
  <c r="AK193" i="17" s="1"/>
  <c r="AJ192" i="17"/>
  <c r="AK192" i="17" s="1"/>
  <c r="AJ188" i="17"/>
  <c r="AK188" i="17" s="1"/>
  <c r="AJ187" i="17"/>
  <c r="AK187" i="17" s="1"/>
  <c r="AJ186" i="17"/>
  <c r="AK186" i="17" s="1"/>
  <c r="AJ185" i="17"/>
  <c r="AK185" i="17" s="1"/>
  <c r="AJ184" i="17"/>
  <c r="AK184" i="17" s="1"/>
  <c r="AJ183" i="17"/>
  <c r="AK183" i="17" s="1"/>
  <c r="AJ182" i="17"/>
  <c r="AK182" i="17" s="1"/>
  <c r="AJ181" i="17"/>
  <c r="AK181" i="17" s="1"/>
  <c r="AJ180" i="17"/>
  <c r="AK180" i="17" s="1"/>
  <c r="AJ179" i="17"/>
  <c r="AK179" i="17" s="1"/>
  <c r="AJ178" i="17"/>
  <c r="AK178" i="17" s="1"/>
  <c r="AJ177" i="17"/>
  <c r="AK177" i="17" s="1"/>
  <c r="AJ176" i="17"/>
  <c r="AK176" i="17" s="1"/>
  <c r="AJ175" i="17"/>
  <c r="AK175" i="17" s="1"/>
  <c r="AJ174" i="17"/>
  <c r="AK174" i="17" s="1"/>
  <c r="AJ173" i="17"/>
  <c r="AK173" i="17" s="1"/>
  <c r="AJ172" i="17"/>
  <c r="AK172" i="17" s="1"/>
  <c r="AJ171" i="17"/>
  <c r="AK171" i="17" s="1"/>
  <c r="AJ167" i="17"/>
  <c r="AK167" i="17" s="1"/>
  <c r="AJ166" i="17"/>
  <c r="AK166" i="17" s="1"/>
  <c r="AJ165" i="17"/>
  <c r="AK165" i="17" s="1"/>
  <c r="AJ164" i="17"/>
  <c r="AK164" i="17" s="1"/>
  <c r="AJ163" i="17"/>
  <c r="AK163" i="17" s="1"/>
  <c r="AJ162" i="17"/>
  <c r="AK162" i="17" s="1"/>
  <c r="AJ161" i="17"/>
  <c r="AK161" i="17" s="1"/>
  <c r="AJ160" i="17"/>
  <c r="AK160" i="17" s="1"/>
  <c r="AJ159" i="17"/>
  <c r="AK159" i="17" s="1"/>
  <c r="AJ158" i="17"/>
  <c r="AK158" i="17" s="1"/>
  <c r="AJ157" i="17"/>
  <c r="AK157" i="17" s="1"/>
  <c r="AJ156" i="17"/>
  <c r="AK156" i="17" s="1"/>
  <c r="AJ155" i="17"/>
  <c r="AK155" i="17" s="1"/>
  <c r="AJ154" i="17"/>
  <c r="AK154" i="17" s="1"/>
  <c r="AJ153" i="17"/>
  <c r="AK153" i="17" s="1"/>
  <c r="AJ152" i="17"/>
  <c r="AK152" i="17" s="1"/>
  <c r="AJ151" i="17"/>
  <c r="AK151" i="17" s="1"/>
  <c r="AJ150" i="17"/>
  <c r="AK150" i="17" s="1"/>
  <c r="AJ146" i="17"/>
  <c r="AK146" i="17" s="1"/>
  <c r="AJ145" i="17"/>
  <c r="AK145" i="17" s="1"/>
  <c r="AJ144" i="17"/>
  <c r="AK144" i="17" s="1"/>
  <c r="AJ143" i="17"/>
  <c r="AK143" i="17" s="1"/>
  <c r="AJ142" i="17"/>
  <c r="AK142" i="17" s="1"/>
  <c r="AJ141" i="17"/>
  <c r="AK141" i="17" s="1"/>
  <c r="AJ140" i="17"/>
  <c r="AK140" i="17" s="1"/>
  <c r="AJ139" i="17"/>
  <c r="AK139" i="17" s="1"/>
  <c r="AJ138" i="17"/>
  <c r="AK138" i="17" s="1"/>
  <c r="AJ137" i="17"/>
  <c r="AK137" i="17" s="1"/>
  <c r="AJ136" i="17"/>
  <c r="AK136" i="17" s="1"/>
  <c r="AJ135" i="17"/>
  <c r="AK135" i="17" s="1"/>
  <c r="AJ134" i="17"/>
  <c r="AK134" i="17" s="1"/>
  <c r="AJ133" i="17"/>
  <c r="AK133" i="17" s="1"/>
  <c r="AJ132" i="17"/>
  <c r="AK132" i="17" s="1"/>
  <c r="AJ131" i="17"/>
  <c r="AK131" i="17" s="1"/>
  <c r="AJ130" i="17"/>
  <c r="AK130" i="17" s="1"/>
  <c r="AJ129" i="17"/>
  <c r="AK129" i="17" s="1"/>
  <c r="AJ125" i="17"/>
  <c r="AK125" i="17" s="1"/>
  <c r="AJ124" i="17"/>
  <c r="AK124" i="17" s="1"/>
  <c r="AJ123" i="17"/>
  <c r="AK123" i="17" s="1"/>
  <c r="AJ122" i="17"/>
  <c r="AK122" i="17" s="1"/>
  <c r="AJ121" i="17"/>
  <c r="AK121" i="17" s="1"/>
  <c r="AJ120" i="17"/>
  <c r="AK120" i="17" s="1"/>
  <c r="AJ119" i="17"/>
  <c r="AK119" i="17" s="1"/>
  <c r="AJ118" i="17"/>
  <c r="AK118" i="17" s="1"/>
  <c r="AJ117" i="17"/>
  <c r="AK117" i="17" s="1"/>
  <c r="AJ116" i="17"/>
  <c r="AK116" i="17" s="1"/>
  <c r="AJ115" i="17"/>
  <c r="AK115" i="17" s="1"/>
  <c r="AJ114" i="17"/>
  <c r="AK114" i="17" s="1"/>
  <c r="AJ113" i="17"/>
  <c r="AK113" i="17" s="1"/>
  <c r="AJ112" i="17"/>
  <c r="AK112" i="17" s="1"/>
  <c r="AJ111" i="17"/>
  <c r="AK111" i="17" s="1"/>
  <c r="AJ110" i="17"/>
  <c r="AK110" i="17" s="1"/>
  <c r="AJ109" i="17"/>
  <c r="AK109" i="17" s="1"/>
  <c r="AJ108" i="17"/>
  <c r="AK108" i="17" s="1"/>
  <c r="AJ104" i="17"/>
  <c r="AK104" i="17" s="1"/>
  <c r="AJ103" i="17"/>
  <c r="AK103" i="17" s="1"/>
  <c r="AJ102" i="17"/>
  <c r="AK102" i="17" s="1"/>
  <c r="AJ101" i="17"/>
  <c r="AK101" i="17" s="1"/>
  <c r="AJ100" i="17"/>
  <c r="AK100" i="17" s="1"/>
  <c r="AJ99" i="17"/>
  <c r="AK99" i="17" s="1"/>
  <c r="AJ98" i="17"/>
  <c r="AK98" i="17" s="1"/>
  <c r="AJ97" i="17"/>
  <c r="AK97" i="17" s="1"/>
  <c r="AJ96" i="17"/>
  <c r="AK96" i="17" s="1"/>
  <c r="AJ95" i="17"/>
  <c r="AK95" i="17" s="1"/>
  <c r="AJ94" i="17"/>
  <c r="AK94" i="17" s="1"/>
  <c r="AJ93" i="17"/>
  <c r="AK93" i="17" s="1"/>
  <c r="AJ92" i="17"/>
  <c r="AK92" i="17" s="1"/>
  <c r="AJ91" i="17"/>
  <c r="AK91" i="17" s="1"/>
  <c r="AJ90" i="17"/>
  <c r="AK90" i="17" s="1"/>
  <c r="AJ89" i="17"/>
  <c r="AK89" i="17" s="1"/>
  <c r="AJ88" i="17"/>
  <c r="AK88" i="17" s="1"/>
  <c r="AJ87" i="17"/>
  <c r="AK87" i="17" s="1"/>
  <c r="AJ83" i="17"/>
  <c r="AK83" i="17" s="1"/>
  <c r="AJ82" i="17"/>
  <c r="AK82" i="17" s="1"/>
  <c r="AJ81" i="17"/>
  <c r="AK81" i="17" s="1"/>
  <c r="AJ80" i="17"/>
  <c r="AK80" i="17" s="1"/>
  <c r="AJ79" i="17"/>
  <c r="AK79" i="17" s="1"/>
  <c r="AJ78" i="17"/>
  <c r="AK78" i="17" s="1"/>
  <c r="AJ77" i="17"/>
  <c r="AK77" i="17" s="1"/>
  <c r="AJ76" i="17"/>
  <c r="AK76" i="17" s="1"/>
  <c r="AJ75" i="17"/>
  <c r="AK75" i="17" s="1"/>
  <c r="AJ74" i="17"/>
  <c r="AK74" i="17" s="1"/>
  <c r="AJ73" i="17"/>
  <c r="AK73" i="17" s="1"/>
  <c r="AJ72" i="17"/>
  <c r="AK72" i="17" s="1"/>
  <c r="AJ71" i="17"/>
  <c r="AK71" i="17" s="1"/>
  <c r="AJ70" i="17"/>
  <c r="AK70" i="17" s="1"/>
  <c r="AJ69" i="17"/>
  <c r="AK69" i="17" s="1"/>
  <c r="AJ68" i="17"/>
  <c r="AK68" i="17" s="1"/>
  <c r="AJ67" i="17"/>
  <c r="AK67" i="17" s="1"/>
  <c r="AJ66" i="17"/>
  <c r="AK66" i="17" s="1"/>
  <c r="AJ62" i="17"/>
  <c r="AK62" i="17" s="1"/>
  <c r="AJ61" i="17"/>
  <c r="AK61" i="17" s="1"/>
  <c r="AJ60" i="17"/>
  <c r="AK60" i="17" s="1"/>
  <c r="AJ59" i="17"/>
  <c r="AK59" i="17" s="1"/>
  <c r="AJ58" i="17"/>
  <c r="AK58" i="17" s="1"/>
  <c r="AJ57" i="17"/>
  <c r="AK57" i="17" s="1"/>
  <c r="AJ56" i="17"/>
  <c r="AK56" i="17" s="1"/>
  <c r="AJ55" i="17"/>
  <c r="AK55" i="17" s="1"/>
  <c r="AJ54" i="17"/>
  <c r="AK54" i="17" s="1"/>
  <c r="AJ53" i="17"/>
  <c r="AK53" i="17" s="1"/>
  <c r="AJ52" i="17"/>
  <c r="AK52" i="17" s="1"/>
  <c r="AJ51" i="17"/>
  <c r="AK51" i="17" s="1"/>
  <c r="AJ50" i="17"/>
  <c r="AK50" i="17" s="1"/>
  <c r="AJ49" i="17"/>
  <c r="AK49" i="17" s="1"/>
  <c r="AJ48" i="17"/>
  <c r="AK48" i="17" s="1"/>
  <c r="AJ47" i="17"/>
  <c r="AK47" i="17" s="1"/>
  <c r="AJ46" i="17"/>
  <c r="AK46" i="17" s="1"/>
  <c r="AJ45" i="17"/>
  <c r="AK45" i="17" s="1"/>
  <c r="AJ41" i="17"/>
  <c r="AK41" i="17" s="1"/>
  <c r="AJ40" i="17"/>
  <c r="AK40" i="17" s="1"/>
  <c r="AJ39" i="17"/>
  <c r="AK39" i="17" s="1"/>
  <c r="AJ38" i="17"/>
  <c r="AK38" i="17" s="1"/>
  <c r="AJ37" i="17"/>
  <c r="AK37" i="17" s="1"/>
  <c r="AJ36" i="17"/>
  <c r="AK36" i="17" s="1"/>
  <c r="AJ35" i="17"/>
  <c r="AK35" i="17" s="1"/>
  <c r="AJ34" i="17"/>
  <c r="AK34" i="17" s="1"/>
  <c r="AJ33" i="17"/>
  <c r="AK33" i="17" s="1"/>
  <c r="AJ32" i="17"/>
  <c r="AK32" i="17" s="1"/>
  <c r="AJ31" i="17"/>
  <c r="AK31" i="17" s="1"/>
  <c r="AJ30" i="17"/>
  <c r="AK30" i="17" s="1"/>
  <c r="AJ29" i="17"/>
  <c r="AK29" i="17" s="1"/>
  <c r="AJ28" i="17"/>
  <c r="AK28" i="17" s="1"/>
  <c r="AJ27" i="17"/>
  <c r="AK27" i="17" s="1"/>
  <c r="AJ26" i="17"/>
  <c r="AK26" i="17" s="1"/>
  <c r="AJ25" i="17"/>
  <c r="AK25" i="17" s="1"/>
  <c r="AJ24" i="17"/>
  <c r="AK24" i="17" s="1"/>
  <c r="AJ20" i="17"/>
  <c r="AK20" i="17" s="1"/>
  <c r="AJ19" i="17"/>
  <c r="AK19" i="17" s="1"/>
  <c r="AJ18" i="17"/>
  <c r="AK18" i="17" s="1"/>
  <c r="AJ17" i="17"/>
  <c r="AK17" i="17" s="1"/>
  <c r="AJ16" i="17"/>
  <c r="AK16" i="17" s="1"/>
  <c r="AJ15" i="17"/>
  <c r="AK15" i="17" s="1"/>
  <c r="AJ14" i="17"/>
  <c r="AK14" i="17" s="1"/>
  <c r="AJ13" i="17"/>
  <c r="AK13" i="17" s="1"/>
  <c r="AJ12" i="17"/>
  <c r="AK12" i="17" s="1"/>
  <c r="AJ11" i="17"/>
  <c r="AK11" i="17" s="1"/>
  <c r="AJ10" i="17"/>
  <c r="AK10" i="17" s="1"/>
  <c r="AJ9" i="17"/>
  <c r="AK9" i="17" s="1"/>
  <c r="AJ8" i="17"/>
  <c r="AK8" i="17" s="1"/>
  <c r="AJ7" i="17"/>
  <c r="AK7" i="17" s="1"/>
  <c r="AJ6" i="17"/>
  <c r="AK6" i="17" s="1"/>
  <c r="AJ5" i="17"/>
  <c r="AK5" i="17" s="1"/>
  <c r="AJ4" i="17"/>
  <c r="AK4" i="17" s="1"/>
  <c r="AJ3" i="17"/>
  <c r="AK3" i="17" s="1"/>
  <c r="AJ359" i="17"/>
  <c r="AK359" i="17" s="1"/>
  <c r="AJ338" i="17"/>
  <c r="AK338" i="17" s="1"/>
  <c r="AJ317" i="17"/>
  <c r="AK317" i="17" s="1"/>
  <c r="AJ296" i="17"/>
  <c r="AK296" i="17" s="1"/>
  <c r="AJ275" i="17"/>
  <c r="AK275" i="17" s="1"/>
  <c r="AJ254" i="17"/>
  <c r="AK254" i="17" s="1"/>
  <c r="AJ233" i="17"/>
  <c r="AK233" i="17" s="1"/>
  <c r="AJ212" i="17"/>
  <c r="AK212" i="17" s="1"/>
  <c r="AJ191" i="17"/>
  <c r="AK191" i="17" s="1"/>
  <c r="AJ170" i="17"/>
  <c r="AK170" i="17" s="1"/>
  <c r="AJ149" i="17"/>
  <c r="AK149" i="17" s="1"/>
  <c r="AJ128" i="17"/>
  <c r="AK128" i="17" s="1"/>
  <c r="AJ107" i="17"/>
  <c r="AK107" i="17" s="1"/>
  <c r="AJ86" i="17"/>
  <c r="AK86" i="17" s="1"/>
  <c r="AJ65" i="17"/>
  <c r="AK65" i="17" s="1"/>
  <c r="AJ44" i="17"/>
  <c r="AK44" i="17" s="1"/>
  <c r="AJ23" i="17"/>
  <c r="AK23" i="17" s="1"/>
  <c r="AJ2" i="17"/>
  <c r="AK2" i="17" s="1"/>
  <c r="U377" i="17"/>
  <c r="V377" i="17" s="1"/>
  <c r="U376" i="17"/>
  <c r="V376" i="17" s="1"/>
  <c r="U375" i="17"/>
  <c r="V375" i="17" s="1"/>
  <c r="U374" i="17"/>
  <c r="V374" i="17" s="1"/>
  <c r="U373" i="17"/>
  <c r="V373" i="17" s="1"/>
  <c r="U372" i="17"/>
  <c r="V372" i="17" s="1"/>
  <c r="U371" i="17"/>
  <c r="V371" i="17" s="1"/>
  <c r="U370" i="17"/>
  <c r="V370" i="17" s="1"/>
  <c r="U369" i="17"/>
  <c r="V369" i="17" s="1"/>
  <c r="U368" i="17"/>
  <c r="V368" i="17" s="1"/>
  <c r="U367" i="17"/>
  <c r="V367" i="17" s="1"/>
  <c r="U366" i="17"/>
  <c r="V366" i="17" s="1"/>
  <c r="U365" i="17"/>
  <c r="V365" i="17" s="1"/>
  <c r="U364" i="17"/>
  <c r="V364" i="17" s="1"/>
  <c r="U363" i="17"/>
  <c r="V363" i="17" s="1"/>
  <c r="U362" i="17"/>
  <c r="V362" i="17" s="1"/>
  <c r="U361" i="17"/>
  <c r="V361" i="17" s="1"/>
  <c r="U360" i="17"/>
  <c r="V360" i="17" s="1"/>
  <c r="U356" i="17"/>
  <c r="V356" i="17" s="1"/>
  <c r="U355" i="17"/>
  <c r="V355" i="17" s="1"/>
  <c r="U354" i="17"/>
  <c r="V354" i="17" s="1"/>
  <c r="U353" i="17"/>
  <c r="V353" i="17" s="1"/>
  <c r="U352" i="17"/>
  <c r="V352" i="17" s="1"/>
  <c r="U351" i="17"/>
  <c r="V351" i="17" s="1"/>
  <c r="U350" i="17"/>
  <c r="V350" i="17" s="1"/>
  <c r="U349" i="17"/>
  <c r="V349" i="17" s="1"/>
  <c r="U348" i="17"/>
  <c r="V348" i="17" s="1"/>
  <c r="U347" i="17"/>
  <c r="V347" i="17" s="1"/>
  <c r="U346" i="17"/>
  <c r="V346" i="17" s="1"/>
  <c r="U345" i="17"/>
  <c r="V345" i="17" s="1"/>
  <c r="U344" i="17"/>
  <c r="V344" i="17" s="1"/>
  <c r="U343" i="17"/>
  <c r="V343" i="17" s="1"/>
  <c r="U342" i="17"/>
  <c r="V342" i="17" s="1"/>
  <c r="U341" i="17"/>
  <c r="V341" i="17" s="1"/>
  <c r="U340" i="17"/>
  <c r="V340" i="17" s="1"/>
  <c r="U339" i="17"/>
  <c r="V339" i="17" s="1"/>
  <c r="U335" i="17"/>
  <c r="V335" i="17" s="1"/>
  <c r="U334" i="17"/>
  <c r="V334" i="17" s="1"/>
  <c r="U333" i="17"/>
  <c r="V333" i="17" s="1"/>
  <c r="U332" i="17"/>
  <c r="V332" i="17" s="1"/>
  <c r="U331" i="17"/>
  <c r="V331" i="17" s="1"/>
  <c r="U330" i="17"/>
  <c r="V330" i="17" s="1"/>
  <c r="U329" i="17"/>
  <c r="V329" i="17" s="1"/>
  <c r="U328" i="17"/>
  <c r="V328" i="17" s="1"/>
  <c r="U327" i="17"/>
  <c r="V327" i="17" s="1"/>
  <c r="U326" i="17"/>
  <c r="V326" i="17" s="1"/>
  <c r="U325" i="17"/>
  <c r="V325" i="17" s="1"/>
  <c r="U324" i="17"/>
  <c r="V324" i="17" s="1"/>
  <c r="U323" i="17"/>
  <c r="V323" i="17" s="1"/>
  <c r="U322" i="17"/>
  <c r="V322" i="17" s="1"/>
  <c r="U321" i="17"/>
  <c r="V321" i="17" s="1"/>
  <c r="U320" i="17"/>
  <c r="V320" i="17" s="1"/>
  <c r="U319" i="17"/>
  <c r="V319" i="17" s="1"/>
  <c r="U318" i="17"/>
  <c r="V318" i="17" s="1"/>
  <c r="U314" i="17"/>
  <c r="V314" i="17" s="1"/>
  <c r="U313" i="17"/>
  <c r="V313" i="17" s="1"/>
  <c r="U312" i="17"/>
  <c r="V312" i="17" s="1"/>
  <c r="U311" i="17"/>
  <c r="V311" i="17" s="1"/>
  <c r="U310" i="17"/>
  <c r="V310" i="17" s="1"/>
  <c r="U309" i="17"/>
  <c r="V309" i="17" s="1"/>
  <c r="U308" i="17"/>
  <c r="V308" i="17" s="1"/>
  <c r="U307" i="17"/>
  <c r="V307" i="17" s="1"/>
  <c r="U306" i="17"/>
  <c r="V306" i="17" s="1"/>
  <c r="U305" i="17"/>
  <c r="V305" i="17" s="1"/>
  <c r="U304" i="17"/>
  <c r="V304" i="17" s="1"/>
  <c r="U303" i="17"/>
  <c r="V303" i="17" s="1"/>
  <c r="U302" i="17"/>
  <c r="V302" i="17" s="1"/>
  <c r="U301" i="17"/>
  <c r="V301" i="17" s="1"/>
  <c r="U300" i="17"/>
  <c r="V300" i="17" s="1"/>
  <c r="U299" i="17"/>
  <c r="V299" i="17" s="1"/>
  <c r="U298" i="17"/>
  <c r="V298" i="17" s="1"/>
  <c r="U297" i="17"/>
  <c r="V297" i="17" s="1"/>
  <c r="U293" i="17"/>
  <c r="V293" i="17" s="1"/>
  <c r="U292" i="17"/>
  <c r="V292" i="17" s="1"/>
  <c r="U291" i="17"/>
  <c r="V291" i="17" s="1"/>
  <c r="U290" i="17"/>
  <c r="V290" i="17" s="1"/>
  <c r="U289" i="17"/>
  <c r="V289" i="17" s="1"/>
  <c r="U288" i="17"/>
  <c r="V288" i="17" s="1"/>
  <c r="U287" i="17"/>
  <c r="V287" i="17" s="1"/>
  <c r="U286" i="17"/>
  <c r="V286" i="17" s="1"/>
  <c r="U285" i="17"/>
  <c r="V285" i="17" s="1"/>
  <c r="U284" i="17"/>
  <c r="V284" i="17" s="1"/>
  <c r="U283" i="17"/>
  <c r="V283" i="17" s="1"/>
  <c r="U282" i="17"/>
  <c r="V282" i="17" s="1"/>
  <c r="U281" i="17"/>
  <c r="V281" i="17" s="1"/>
  <c r="U280" i="17"/>
  <c r="V280" i="17" s="1"/>
  <c r="U279" i="17"/>
  <c r="V279" i="17" s="1"/>
  <c r="U278" i="17"/>
  <c r="V278" i="17" s="1"/>
  <c r="U277" i="17"/>
  <c r="V277" i="17" s="1"/>
  <c r="U276" i="17"/>
  <c r="V276" i="17" s="1"/>
  <c r="U272" i="17"/>
  <c r="V272" i="17" s="1"/>
  <c r="U271" i="17"/>
  <c r="V271" i="17" s="1"/>
  <c r="U270" i="17"/>
  <c r="V270" i="17" s="1"/>
  <c r="U269" i="17"/>
  <c r="V269" i="17" s="1"/>
  <c r="U268" i="17"/>
  <c r="V268" i="17" s="1"/>
  <c r="U267" i="17"/>
  <c r="V267" i="17" s="1"/>
  <c r="U266" i="17"/>
  <c r="V266" i="17" s="1"/>
  <c r="U265" i="17"/>
  <c r="V265" i="17" s="1"/>
  <c r="U264" i="17"/>
  <c r="V264" i="17" s="1"/>
  <c r="U263" i="17"/>
  <c r="V263" i="17" s="1"/>
  <c r="U262" i="17"/>
  <c r="V262" i="17" s="1"/>
  <c r="U261" i="17"/>
  <c r="V261" i="17" s="1"/>
  <c r="U260" i="17"/>
  <c r="V260" i="17" s="1"/>
  <c r="U259" i="17"/>
  <c r="V259" i="17" s="1"/>
  <c r="U258" i="17"/>
  <c r="V258" i="17" s="1"/>
  <c r="U257" i="17"/>
  <c r="V257" i="17" s="1"/>
  <c r="U256" i="17"/>
  <c r="V256" i="17" s="1"/>
  <c r="U255" i="17"/>
  <c r="V255" i="17" s="1"/>
  <c r="U251" i="17"/>
  <c r="V251" i="17" s="1"/>
  <c r="U250" i="17"/>
  <c r="V250" i="17" s="1"/>
  <c r="U249" i="17"/>
  <c r="V249" i="17" s="1"/>
  <c r="U248" i="17"/>
  <c r="V248" i="17" s="1"/>
  <c r="U247" i="17"/>
  <c r="V247" i="17" s="1"/>
  <c r="U246" i="17"/>
  <c r="V246" i="17" s="1"/>
  <c r="U245" i="17"/>
  <c r="V245" i="17" s="1"/>
  <c r="U244" i="17"/>
  <c r="V244" i="17" s="1"/>
  <c r="U243" i="17"/>
  <c r="V243" i="17" s="1"/>
  <c r="U242" i="17"/>
  <c r="V242" i="17" s="1"/>
  <c r="U241" i="17"/>
  <c r="V241" i="17" s="1"/>
  <c r="U240" i="17"/>
  <c r="V240" i="17" s="1"/>
  <c r="U239" i="17"/>
  <c r="V239" i="17" s="1"/>
  <c r="U238" i="17"/>
  <c r="V238" i="17" s="1"/>
  <c r="U237" i="17"/>
  <c r="V237" i="17" s="1"/>
  <c r="U236" i="17"/>
  <c r="V236" i="17" s="1"/>
  <c r="U235" i="17"/>
  <c r="V235" i="17" s="1"/>
  <c r="U234" i="17"/>
  <c r="V234" i="17" s="1"/>
  <c r="U230" i="17"/>
  <c r="V230" i="17" s="1"/>
  <c r="U229" i="17"/>
  <c r="V229" i="17" s="1"/>
  <c r="U228" i="17"/>
  <c r="V228" i="17" s="1"/>
  <c r="U227" i="17"/>
  <c r="V227" i="17" s="1"/>
  <c r="U226" i="17"/>
  <c r="V226" i="17" s="1"/>
  <c r="U225" i="17"/>
  <c r="V225" i="17" s="1"/>
  <c r="U224" i="17"/>
  <c r="V224" i="17" s="1"/>
  <c r="U223" i="17"/>
  <c r="V223" i="17" s="1"/>
  <c r="U222" i="17"/>
  <c r="V222" i="17" s="1"/>
  <c r="U221" i="17"/>
  <c r="V221" i="17" s="1"/>
  <c r="U220" i="17"/>
  <c r="V220" i="17" s="1"/>
  <c r="U219" i="17"/>
  <c r="V219" i="17" s="1"/>
  <c r="U218" i="17"/>
  <c r="V218" i="17" s="1"/>
  <c r="U217" i="17"/>
  <c r="V217" i="17" s="1"/>
  <c r="U216" i="17"/>
  <c r="V216" i="17" s="1"/>
  <c r="U215" i="17"/>
  <c r="V215" i="17" s="1"/>
  <c r="U214" i="17"/>
  <c r="V214" i="17" s="1"/>
  <c r="U213" i="17"/>
  <c r="V213" i="17" s="1"/>
  <c r="U209" i="17"/>
  <c r="V209" i="17" s="1"/>
  <c r="U208" i="17"/>
  <c r="V208" i="17" s="1"/>
  <c r="U207" i="17"/>
  <c r="V207" i="17" s="1"/>
  <c r="U206" i="17"/>
  <c r="V206" i="17" s="1"/>
  <c r="U205" i="17"/>
  <c r="V205" i="17" s="1"/>
  <c r="U204" i="17"/>
  <c r="V204" i="17" s="1"/>
  <c r="U203" i="17"/>
  <c r="V203" i="17" s="1"/>
  <c r="U202" i="17"/>
  <c r="V202" i="17" s="1"/>
  <c r="U201" i="17"/>
  <c r="V201" i="17" s="1"/>
  <c r="U200" i="17"/>
  <c r="V200" i="17" s="1"/>
  <c r="U199" i="17"/>
  <c r="V199" i="17" s="1"/>
  <c r="U198" i="17"/>
  <c r="V198" i="17" s="1"/>
  <c r="U197" i="17"/>
  <c r="V197" i="17" s="1"/>
  <c r="U196" i="17"/>
  <c r="V196" i="17" s="1"/>
  <c r="U195" i="17"/>
  <c r="V195" i="17" s="1"/>
  <c r="U194" i="17"/>
  <c r="V194" i="17" s="1"/>
  <c r="U193" i="17"/>
  <c r="V193" i="17" s="1"/>
  <c r="U192" i="17"/>
  <c r="V192" i="17" s="1"/>
  <c r="U188" i="17"/>
  <c r="V188" i="17" s="1"/>
  <c r="U187" i="17"/>
  <c r="V187" i="17" s="1"/>
  <c r="U186" i="17"/>
  <c r="V186" i="17" s="1"/>
  <c r="U185" i="17"/>
  <c r="V185" i="17" s="1"/>
  <c r="U184" i="17"/>
  <c r="V184" i="17" s="1"/>
  <c r="U183" i="17"/>
  <c r="V183" i="17" s="1"/>
  <c r="U182" i="17"/>
  <c r="V182" i="17" s="1"/>
  <c r="U181" i="17"/>
  <c r="V181" i="17" s="1"/>
  <c r="U180" i="17"/>
  <c r="V180" i="17" s="1"/>
  <c r="U179" i="17"/>
  <c r="V179" i="17" s="1"/>
  <c r="U178" i="17"/>
  <c r="V178" i="17" s="1"/>
  <c r="U177" i="17"/>
  <c r="V177" i="17" s="1"/>
  <c r="U176" i="17"/>
  <c r="V176" i="17" s="1"/>
  <c r="U175" i="17"/>
  <c r="V175" i="17" s="1"/>
  <c r="U174" i="17"/>
  <c r="V174" i="17" s="1"/>
  <c r="U173" i="17"/>
  <c r="V173" i="17" s="1"/>
  <c r="U172" i="17"/>
  <c r="V172" i="17" s="1"/>
  <c r="U171" i="17"/>
  <c r="V171" i="17" s="1"/>
  <c r="U167" i="17"/>
  <c r="V167" i="17" s="1"/>
  <c r="U166" i="17"/>
  <c r="V166" i="17" s="1"/>
  <c r="U165" i="17"/>
  <c r="V165" i="17" s="1"/>
  <c r="U164" i="17"/>
  <c r="V164" i="17" s="1"/>
  <c r="U163" i="17"/>
  <c r="V163" i="17" s="1"/>
  <c r="U162" i="17"/>
  <c r="V162" i="17" s="1"/>
  <c r="U161" i="17"/>
  <c r="V161" i="17" s="1"/>
  <c r="U160" i="17"/>
  <c r="V160" i="17" s="1"/>
  <c r="U159" i="17"/>
  <c r="V159" i="17" s="1"/>
  <c r="U158" i="17"/>
  <c r="V158" i="17" s="1"/>
  <c r="U157" i="17"/>
  <c r="V157" i="17" s="1"/>
  <c r="U156" i="17"/>
  <c r="V156" i="17" s="1"/>
  <c r="U155" i="17"/>
  <c r="V155" i="17" s="1"/>
  <c r="U154" i="17"/>
  <c r="V154" i="17" s="1"/>
  <c r="U153" i="17"/>
  <c r="V153" i="17" s="1"/>
  <c r="U152" i="17"/>
  <c r="V152" i="17" s="1"/>
  <c r="U151" i="17"/>
  <c r="V151" i="17" s="1"/>
  <c r="U150" i="17"/>
  <c r="V150" i="17" s="1"/>
  <c r="U146" i="17"/>
  <c r="V146" i="17" s="1"/>
  <c r="U145" i="17"/>
  <c r="V145" i="17" s="1"/>
  <c r="U144" i="17"/>
  <c r="V144" i="17" s="1"/>
  <c r="U143" i="17"/>
  <c r="V143" i="17" s="1"/>
  <c r="U142" i="17"/>
  <c r="V142" i="17" s="1"/>
  <c r="U141" i="17"/>
  <c r="V141" i="17" s="1"/>
  <c r="U140" i="17"/>
  <c r="V140" i="17" s="1"/>
  <c r="U139" i="17"/>
  <c r="V139" i="17" s="1"/>
  <c r="U138" i="17"/>
  <c r="V138" i="17" s="1"/>
  <c r="U137" i="17"/>
  <c r="V137" i="17" s="1"/>
  <c r="U136" i="17"/>
  <c r="V136" i="17" s="1"/>
  <c r="U135" i="17"/>
  <c r="V135" i="17" s="1"/>
  <c r="U134" i="17"/>
  <c r="V134" i="17" s="1"/>
  <c r="U133" i="17"/>
  <c r="V133" i="17" s="1"/>
  <c r="U132" i="17"/>
  <c r="V132" i="17" s="1"/>
  <c r="U131" i="17"/>
  <c r="V131" i="17" s="1"/>
  <c r="U130" i="17"/>
  <c r="V130" i="17" s="1"/>
  <c r="U129" i="17"/>
  <c r="V129" i="17" s="1"/>
  <c r="U125" i="17"/>
  <c r="V125" i="17" s="1"/>
  <c r="U124" i="17"/>
  <c r="V124" i="17" s="1"/>
  <c r="U123" i="17"/>
  <c r="V123" i="17" s="1"/>
  <c r="U122" i="17"/>
  <c r="V122" i="17" s="1"/>
  <c r="U121" i="17"/>
  <c r="V121" i="17" s="1"/>
  <c r="U120" i="17"/>
  <c r="V120" i="17" s="1"/>
  <c r="U119" i="17"/>
  <c r="V119" i="17" s="1"/>
  <c r="U118" i="17"/>
  <c r="V118" i="17" s="1"/>
  <c r="U117" i="17"/>
  <c r="V117" i="17" s="1"/>
  <c r="U116" i="17"/>
  <c r="V116" i="17" s="1"/>
  <c r="U115" i="17"/>
  <c r="V115" i="17" s="1"/>
  <c r="U114" i="17"/>
  <c r="V114" i="17" s="1"/>
  <c r="U113" i="17"/>
  <c r="V113" i="17" s="1"/>
  <c r="U112" i="17"/>
  <c r="V112" i="17" s="1"/>
  <c r="U111" i="17"/>
  <c r="V111" i="17" s="1"/>
  <c r="U110" i="17"/>
  <c r="V110" i="17" s="1"/>
  <c r="U109" i="17"/>
  <c r="V109" i="17" s="1"/>
  <c r="U108" i="17"/>
  <c r="V108" i="17" s="1"/>
  <c r="U104" i="17"/>
  <c r="V104" i="17" s="1"/>
  <c r="U103" i="17"/>
  <c r="V103" i="17" s="1"/>
  <c r="U102" i="17"/>
  <c r="V102" i="17" s="1"/>
  <c r="U101" i="17"/>
  <c r="V101" i="17" s="1"/>
  <c r="U100" i="17"/>
  <c r="V100" i="17" s="1"/>
  <c r="U99" i="17"/>
  <c r="V99" i="17" s="1"/>
  <c r="U98" i="17"/>
  <c r="V98" i="17" s="1"/>
  <c r="U97" i="17"/>
  <c r="V97" i="17" s="1"/>
  <c r="U96" i="17"/>
  <c r="V96" i="17" s="1"/>
  <c r="U95" i="17"/>
  <c r="V95" i="17" s="1"/>
  <c r="U94" i="17"/>
  <c r="V94" i="17" s="1"/>
  <c r="U93" i="17"/>
  <c r="V93" i="17" s="1"/>
  <c r="U92" i="17"/>
  <c r="V92" i="17" s="1"/>
  <c r="U91" i="17"/>
  <c r="V91" i="17" s="1"/>
  <c r="U90" i="17"/>
  <c r="V90" i="17" s="1"/>
  <c r="U89" i="17"/>
  <c r="V89" i="17" s="1"/>
  <c r="U88" i="17"/>
  <c r="V88" i="17" s="1"/>
  <c r="U87" i="17"/>
  <c r="V87" i="17" s="1"/>
  <c r="U83" i="17"/>
  <c r="V83" i="17" s="1"/>
  <c r="U82" i="17"/>
  <c r="V82" i="17" s="1"/>
  <c r="U81" i="17"/>
  <c r="V81" i="17" s="1"/>
  <c r="U80" i="17"/>
  <c r="V80" i="17" s="1"/>
  <c r="U79" i="17"/>
  <c r="V79" i="17" s="1"/>
  <c r="U78" i="17"/>
  <c r="V78" i="17" s="1"/>
  <c r="U77" i="17"/>
  <c r="V77" i="17" s="1"/>
  <c r="U76" i="17"/>
  <c r="V76" i="17" s="1"/>
  <c r="U75" i="17"/>
  <c r="V75" i="17" s="1"/>
  <c r="U74" i="17"/>
  <c r="V74" i="17" s="1"/>
  <c r="U73" i="17"/>
  <c r="V73" i="17" s="1"/>
  <c r="U72" i="17"/>
  <c r="V72" i="17" s="1"/>
  <c r="U71" i="17"/>
  <c r="V71" i="17" s="1"/>
  <c r="U70" i="17"/>
  <c r="V70" i="17" s="1"/>
  <c r="U69" i="17"/>
  <c r="V69" i="17" s="1"/>
  <c r="U68" i="17"/>
  <c r="V68" i="17" s="1"/>
  <c r="U67" i="17"/>
  <c r="V67" i="17" s="1"/>
  <c r="U66" i="17"/>
  <c r="V66" i="17" s="1"/>
  <c r="U62" i="17"/>
  <c r="V62" i="17" s="1"/>
  <c r="U61" i="17"/>
  <c r="V61" i="17" s="1"/>
  <c r="U60" i="17"/>
  <c r="V60" i="17" s="1"/>
  <c r="U59" i="17"/>
  <c r="V59" i="17" s="1"/>
  <c r="U58" i="17"/>
  <c r="V58" i="17" s="1"/>
  <c r="U57" i="17"/>
  <c r="V57" i="17" s="1"/>
  <c r="U56" i="17"/>
  <c r="V56" i="17" s="1"/>
  <c r="U55" i="17"/>
  <c r="V55" i="17" s="1"/>
  <c r="U54" i="17"/>
  <c r="V54" i="17" s="1"/>
  <c r="U53" i="17"/>
  <c r="V53" i="17" s="1"/>
  <c r="U52" i="17"/>
  <c r="V52" i="17" s="1"/>
  <c r="U51" i="17"/>
  <c r="V51" i="17" s="1"/>
  <c r="U50" i="17"/>
  <c r="V50" i="17" s="1"/>
  <c r="U49" i="17"/>
  <c r="V49" i="17" s="1"/>
  <c r="U48" i="17"/>
  <c r="V48" i="17" s="1"/>
  <c r="U47" i="17"/>
  <c r="V47" i="17" s="1"/>
  <c r="U46" i="17"/>
  <c r="V46" i="17" s="1"/>
  <c r="U45" i="17"/>
  <c r="V45" i="17" s="1"/>
  <c r="U41" i="17"/>
  <c r="V41" i="17" s="1"/>
  <c r="U40" i="17"/>
  <c r="V40" i="17" s="1"/>
  <c r="U39" i="17"/>
  <c r="V39" i="17" s="1"/>
  <c r="U38" i="17"/>
  <c r="V38" i="17" s="1"/>
  <c r="U37" i="17"/>
  <c r="V37" i="17" s="1"/>
  <c r="U36" i="17"/>
  <c r="V36" i="17" s="1"/>
  <c r="U35" i="17"/>
  <c r="V35" i="17" s="1"/>
  <c r="U34" i="17"/>
  <c r="V34" i="17" s="1"/>
  <c r="U33" i="17"/>
  <c r="V33" i="17" s="1"/>
  <c r="U32" i="17"/>
  <c r="V32" i="17" s="1"/>
  <c r="U31" i="17"/>
  <c r="V31" i="17" s="1"/>
  <c r="U30" i="17"/>
  <c r="V30" i="17" s="1"/>
  <c r="U29" i="17"/>
  <c r="V29" i="17" s="1"/>
  <c r="U28" i="17"/>
  <c r="V28" i="17" s="1"/>
  <c r="U27" i="17"/>
  <c r="V27" i="17" s="1"/>
  <c r="U26" i="17"/>
  <c r="V26" i="17" s="1"/>
  <c r="U25" i="17"/>
  <c r="V25" i="17" s="1"/>
  <c r="U24" i="17"/>
  <c r="V24" i="17" s="1"/>
  <c r="U20" i="17"/>
  <c r="V20" i="17" s="1"/>
  <c r="U19" i="17"/>
  <c r="V19" i="17" s="1"/>
  <c r="U18" i="17"/>
  <c r="V18" i="17" s="1"/>
  <c r="U17" i="17"/>
  <c r="V17" i="17" s="1"/>
  <c r="U16" i="17"/>
  <c r="V16" i="17" s="1"/>
  <c r="U15" i="17"/>
  <c r="V15" i="17" s="1"/>
  <c r="U14" i="17"/>
  <c r="V14" i="17" s="1"/>
  <c r="U13" i="17"/>
  <c r="V13" i="17" s="1"/>
  <c r="U12" i="17"/>
  <c r="V12" i="17" s="1"/>
  <c r="U11" i="17"/>
  <c r="V11" i="17" s="1"/>
  <c r="U10" i="17"/>
  <c r="V10" i="17" s="1"/>
  <c r="U9" i="17"/>
  <c r="V9" i="17" s="1"/>
  <c r="U8" i="17"/>
  <c r="V8" i="17" s="1"/>
  <c r="U7" i="17"/>
  <c r="V7" i="17" s="1"/>
  <c r="U6" i="17"/>
  <c r="V6" i="17" s="1"/>
  <c r="U5" i="17"/>
  <c r="V5" i="17" s="1"/>
  <c r="U4" i="17"/>
  <c r="V4" i="17" s="1"/>
  <c r="U3" i="17"/>
  <c r="V3" i="17" s="1"/>
  <c r="U359" i="17"/>
  <c r="V359" i="17" s="1"/>
  <c r="U338" i="17"/>
  <c r="V338" i="17" s="1"/>
  <c r="U317" i="17"/>
  <c r="V317" i="17" s="1"/>
  <c r="U296" i="17"/>
  <c r="V296" i="17" s="1"/>
  <c r="U275" i="17"/>
  <c r="V275" i="17" s="1"/>
  <c r="U254" i="17"/>
  <c r="V254" i="17" s="1"/>
  <c r="U233" i="17"/>
  <c r="V233" i="17" s="1"/>
  <c r="U212" i="17"/>
  <c r="V212" i="17" s="1"/>
  <c r="U191" i="17"/>
  <c r="V191" i="17" s="1"/>
  <c r="U170" i="17"/>
  <c r="V170" i="17" s="1"/>
  <c r="U149" i="17"/>
  <c r="V149" i="17" s="1"/>
  <c r="U128" i="17"/>
  <c r="V128" i="17" s="1"/>
  <c r="U107" i="17"/>
  <c r="V107" i="17" s="1"/>
  <c r="U86" i="17"/>
  <c r="V86" i="17" s="1"/>
  <c r="U65" i="17"/>
  <c r="V65" i="17" s="1"/>
  <c r="U44" i="17"/>
  <c r="V44" i="17" s="1"/>
  <c r="U23" i="17"/>
  <c r="V23" i="17" s="1"/>
  <c r="U2" i="17"/>
  <c r="V2" i="17" s="1"/>
  <c r="F23" i="17"/>
  <c r="G23" i="17" s="1"/>
  <c r="F44" i="17"/>
  <c r="G44" i="17" s="1"/>
  <c r="F65" i="17"/>
  <c r="G65" i="17" s="1"/>
  <c r="F86" i="17"/>
  <c r="G86" i="17" s="1"/>
  <c r="F107" i="17"/>
  <c r="G107" i="17" s="1"/>
  <c r="F128" i="17"/>
  <c r="G128" i="17" s="1"/>
  <c r="F149" i="17"/>
  <c r="G149" i="17" s="1"/>
  <c r="F170" i="17"/>
  <c r="G170" i="17" s="1"/>
  <c r="F191" i="17"/>
  <c r="G191" i="17" s="1"/>
  <c r="F212" i="17"/>
  <c r="G212" i="17" s="1"/>
  <c r="F233" i="17"/>
  <c r="G233" i="17" s="1"/>
  <c r="F254" i="17"/>
  <c r="G254" i="17" s="1"/>
  <c r="F275" i="17"/>
  <c r="G275" i="17" s="1"/>
  <c r="F296" i="17"/>
  <c r="G296" i="17" s="1"/>
  <c r="F317" i="17"/>
  <c r="G317" i="17" s="1"/>
  <c r="F338" i="17"/>
  <c r="G338" i="17" s="1"/>
  <c r="F359" i="17"/>
  <c r="G359" i="17" s="1"/>
  <c r="F3" i="17"/>
  <c r="G3" i="17" s="1"/>
  <c r="F4" i="17"/>
  <c r="G4" i="17" s="1"/>
  <c r="F5" i="17"/>
  <c r="G5" i="17" s="1"/>
  <c r="F6" i="17"/>
  <c r="G6" i="17" s="1"/>
  <c r="F7" i="17"/>
  <c r="G7" i="17" s="1"/>
  <c r="F8" i="17"/>
  <c r="G8" i="17" s="1"/>
  <c r="F9" i="17"/>
  <c r="G9" i="17" s="1"/>
  <c r="F10" i="17"/>
  <c r="G10" i="17" s="1"/>
  <c r="F11" i="17"/>
  <c r="G11" i="17" s="1"/>
  <c r="F12" i="17"/>
  <c r="G12" i="17" s="1"/>
  <c r="F13" i="17"/>
  <c r="G13" i="17" s="1"/>
  <c r="F14" i="17"/>
  <c r="G14" i="17" s="1"/>
  <c r="F15" i="17"/>
  <c r="G15" i="17" s="1"/>
  <c r="F16" i="17"/>
  <c r="G16" i="17" s="1"/>
  <c r="F17" i="17"/>
  <c r="G17" i="17" s="1"/>
  <c r="F18" i="17"/>
  <c r="G18" i="17" s="1"/>
  <c r="F19" i="17"/>
  <c r="G19" i="17" s="1"/>
  <c r="F20" i="17"/>
  <c r="G20" i="17" s="1"/>
  <c r="F24" i="17"/>
  <c r="G24" i="17" s="1"/>
  <c r="F25" i="17"/>
  <c r="G25" i="17" s="1"/>
  <c r="F26" i="17"/>
  <c r="G26" i="17" s="1"/>
  <c r="F27" i="17"/>
  <c r="G27" i="17" s="1"/>
  <c r="F28" i="17"/>
  <c r="G28" i="17" s="1"/>
  <c r="F29" i="17"/>
  <c r="G29" i="17" s="1"/>
  <c r="F30" i="17"/>
  <c r="G30" i="17" s="1"/>
  <c r="F31" i="17"/>
  <c r="G31" i="17" s="1"/>
  <c r="F32" i="17"/>
  <c r="G32" i="17" s="1"/>
  <c r="F33" i="17"/>
  <c r="G33" i="17" s="1"/>
  <c r="F34" i="17"/>
  <c r="G34" i="17" s="1"/>
  <c r="F35" i="17"/>
  <c r="G35" i="17" s="1"/>
  <c r="F36" i="17"/>
  <c r="G36" i="17" s="1"/>
  <c r="F37" i="17"/>
  <c r="G37" i="17" s="1"/>
  <c r="F38" i="17"/>
  <c r="G38" i="17" s="1"/>
  <c r="F39" i="17"/>
  <c r="G39" i="17" s="1"/>
  <c r="F40" i="17"/>
  <c r="G40" i="17" s="1"/>
  <c r="F41" i="17"/>
  <c r="G41" i="17" s="1"/>
  <c r="F45" i="17"/>
  <c r="G45" i="17" s="1"/>
  <c r="F46" i="17"/>
  <c r="G46" i="17" s="1"/>
  <c r="F47" i="17"/>
  <c r="G47" i="17" s="1"/>
  <c r="F48" i="17"/>
  <c r="G48" i="17" s="1"/>
  <c r="F49" i="17"/>
  <c r="G49" i="17" s="1"/>
  <c r="F50" i="17"/>
  <c r="G50" i="17" s="1"/>
  <c r="F51" i="17"/>
  <c r="G51" i="17" s="1"/>
  <c r="F52" i="17"/>
  <c r="G52" i="17" s="1"/>
  <c r="F53" i="17"/>
  <c r="G53" i="17" s="1"/>
  <c r="F54" i="17"/>
  <c r="G54" i="17" s="1"/>
  <c r="F55" i="17"/>
  <c r="G55" i="17" s="1"/>
  <c r="F56" i="17"/>
  <c r="G56" i="17" s="1"/>
  <c r="F57" i="17"/>
  <c r="G57" i="17" s="1"/>
  <c r="F58" i="17"/>
  <c r="G58" i="17" s="1"/>
  <c r="F59" i="17"/>
  <c r="G59" i="17" s="1"/>
  <c r="F60" i="17"/>
  <c r="G60" i="17" s="1"/>
  <c r="F61" i="17"/>
  <c r="G61" i="17" s="1"/>
  <c r="F62" i="17"/>
  <c r="G62" i="17" s="1"/>
  <c r="F66" i="17"/>
  <c r="G66" i="17" s="1"/>
  <c r="F67" i="17"/>
  <c r="G67" i="17" s="1"/>
  <c r="F68" i="17"/>
  <c r="G68" i="17" s="1"/>
  <c r="F69" i="17"/>
  <c r="G69" i="17" s="1"/>
  <c r="F70" i="17"/>
  <c r="G70" i="17" s="1"/>
  <c r="F71" i="17"/>
  <c r="G71" i="17" s="1"/>
  <c r="F72" i="17"/>
  <c r="G72" i="17" s="1"/>
  <c r="F73" i="17"/>
  <c r="G73" i="17" s="1"/>
  <c r="F74" i="17"/>
  <c r="G74" i="17" s="1"/>
  <c r="F75" i="17"/>
  <c r="G75" i="17" s="1"/>
  <c r="F76" i="17"/>
  <c r="G76" i="17" s="1"/>
  <c r="F77" i="17"/>
  <c r="G77" i="17" s="1"/>
  <c r="F78" i="17"/>
  <c r="G78" i="17" s="1"/>
  <c r="F79" i="17"/>
  <c r="G79" i="17" s="1"/>
  <c r="F80" i="17"/>
  <c r="G80" i="17" s="1"/>
  <c r="F81" i="17"/>
  <c r="G81" i="17" s="1"/>
  <c r="F82" i="17"/>
  <c r="G82" i="17" s="1"/>
  <c r="F83" i="17"/>
  <c r="G83" i="17" s="1"/>
  <c r="F87" i="17"/>
  <c r="G87" i="17" s="1"/>
  <c r="F88" i="17"/>
  <c r="G88" i="17" s="1"/>
  <c r="F89" i="17"/>
  <c r="G89" i="17" s="1"/>
  <c r="F90" i="17"/>
  <c r="G90" i="17" s="1"/>
  <c r="F91" i="17"/>
  <c r="G91" i="17" s="1"/>
  <c r="F92" i="17"/>
  <c r="G92" i="17" s="1"/>
  <c r="F93" i="17"/>
  <c r="G93" i="17" s="1"/>
  <c r="F94" i="17"/>
  <c r="G94" i="17" s="1"/>
  <c r="F95" i="17"/>
  <c r="G95" i="17" s="1"/>
  <c r="F96" i="17"/>
  <c r="G96" i="17" s="1"/>
  <c r="F97" i="17"/>
  <c r="G97" i="17" s="1"/>
  <c r="F98" i="17"/>
  <c r="G98" i="17" s="1"/>
  <c r="F99" i="17"/>
  <c r="G99" i="17" s="1"/>
  <c r="F100" i="17"/>
  <c r="G100" i="17" s="1"/>
  <c r="F101" i="17"/>
  <c r="G101" i="17" s="1"/>
  <c r="F102" i="17"/>
  <c r="G102" i="17" s="1"/>
  <c r="F103" i="17"/>
  <c r="G103" i="17" s="1"/>
  <c r="F104" i="17"/>
  <c r="G104" i="17" s="1"/>
  <c r="F108" i="17"/>
  <c r="G108" i="17" s="1"/>
  <c r="F109" i="17"/>
  <c r="G109" i="17" s="1"/>
  <c r="F110" i="17"/>
  <c r="G110" i="17" s="1"/>
  <c r="F111" i="17"/>
  <c r="G111" i="17" s="1"/>
  <c r="F112" i="17"/>
  <c r="G112" i="17" s="1"/>
  <c r="F113" i="17"/>
  <c r="G113" i="17" s="1"/>
  <c r="F114" i="17"/>
  <c r="G114" i="17" s="1"/>
  <c r="F115" i="17"/>
  <c r="G115" i="17" s="1"/>
  <c r="F116" i="17"/>
  <c r="G116" i="17" s="1"/>
  <c r="F117" i="17"/>
  <c r="G117" i="17" s="1"/>
  <c r="F118" i="17"/>
  <c r="G118" i="17" s="1"/>
  <c r="F119" i="17"/>
  <c r="G119" i="17" s="1"/>
  <c r="F120" i="17"/>
  <c r="G120" i="17" s="1"/>
  <c r="F121" i="17"/>
  <c r="G121" i="17" s="1"/>
  <c r="F122" i="17"/>
  <c r="G122" i="17" s="1"/>
  <c r="F123" i="17"/>
  <c r="G123" i="17" s="1"/>
  <c r="F124" i="17"/>
  <c r="G124" i="17" s="1"/>
  <c r="F125" i="17"/>
  <c r="G125" i="17" s="1"/>
  <c r="F129" i="17"/>
  <c r="G129" i="17" s="1"/>
  <c r="F130" i="17"/>
  <c r="G130" i="17" s="1"/>
  <c r="F131" i="17"/>
  <c r="G131" i="17" s="1"/>
  <c r="F132" i="17"/>
  <c r="G132" i="17" s="1"/>
  <c r="F133" i="17"/>
  <c r="G133" i="17" s="1"/>
  <c r="F134" i="17"/>
  <c r="G134" i="17" s="1"/>
  <c r="F135" i="17"/>
  <c r="G135" i="17" s="1"/>
  <c r="F136" i="17"/>
  <c r="G136" i="17" s="1"/>
  <c r="F137" i="17"/>
  <c r="G137" i="17" s="1"/>
  <c r="F138" i="17"/>
  <c r="G138" i="17" s="1"/>
  <c r="F139" i="17"/>
  <c r="G139" i="17" s="1"/>
  <c r="F140" i="17"/>
  <c r="G140" i="17" s="1"/>
  <c r="F141" i="17"/>
  <c r="G141" i="17" s="1"/>
  <c r="F142" i="17"/>
  <c r="G142" i="17" s="1"/>
  <c r="F143" i="17"/>
  <c r="G143" i="17" s="1"/>
  <c r="F144" i="17"/>
  <c r="G144" i="17" s="1"/>
  <c r="F145" i="17"/>
  <c r="G145" i="17" s="1"/>
  <c r="F146" i="17"/>
  <c r="G146" i="17" s="1"/>
  <c r="F150" i="17"/>
  <c r="G150" i="17" s="1"/>
  <c r="F151" i="17"/>
  <c r="G151" i="17" s="1"/>
  <c r="F152" i="17"/>
  <c r="G152" i="17" s="1"/>
  <c r="F153" i="17"/>
  <c r="G153" i="17" s="1"/>
  <c r="F154" i="17"/>
  <c r="G154" i="17" s="1"/>
  <c r="F155" i="17"/>
  <c r="G155" i="17" s="1"/>
  <c r="F156" i="17"/>
  <c r="G156" i="17" s="1"/>
  <c r="F157" i="17"/>
  <c r="G157" i="17" s="1"/>
  <c r="F158" i="17"/>
  <c r="G158" i="17" s="1"/>
  <c r="F159" i="17"/>
  <c r="G159" i="17" s="1"/>
  <c r="F160" i="17"/>
  <c r="G160" i="17" s="1"/>
  <c r="F161" i="17"/>
  <c r="G161" i="17" s="1"/>
  <c r="F162" i="17"/>
  <c r="G162" i="17" s="1"/>
  <c r="F163" i="17"/>
  <c r="G163" i="17" s="1"/>
  <c r="F164" i="17"/>
  <c r="G164" i="17" s="1"/>
  <c r="F165" i="17"/>
  <c r="G165" i="17" s="1"/>
  <c r="F166" i="17"/>
  <c r="G166" i="17" s="1"/>
  <c r="F167" i="17"/>
  <c r="G167" i="17" s="1"/>
  <c r="F171" i="17"/>
  <c r="G171" i="17" s="1"/>
  <c r="F172" i="17"/>
  <c r="G172" i="17" s="1"/>
  <c r="F173" i="17"/>
  <c r="G173" i="17" s="1"/>
  <c r="F174" i="17"/>
  <c r="G174" i="17" s="1"/>
  <c r="F175" i="17"/>
  <c r="G175" i="17" s="1"/>
  <c r="F176" i="17"/>
  <c r="G176" i="17" s="1"/>
  <c r="F177" i="17"/>
  <c r="G177" i="17" s="1"/>
  <c r="F178" i="17"/>
  <c r="G178" i="17" s="1"/>
  <c r="F179" i="17"/>
  <c r="G179" i="17" s="1"/>
  <c r="F180" i="17"/>
  <c r="G180" i="17" s="1"/>
  <c r="F181" i="17"/>
  <c r="G181" i="17" s="1"/>
  <c r="F182" i="17"/>
  <c r="G182" i="17" s="1"/>
  <c r="F183" i="17"/>
  <c r="G183" i="17" s="1"/>
  <c r="F184" i="17"/>
  <c r="G184" i="17" s="1"/>
  <c r="F185" i="17"/>
  <c r="G185" i="17" s="1"/>
  <c r="F186" i="17"/>
  <c r="G186" i="17" s="1"/>
  <c r="F187" i="17"/>
  <c r="G187" i="17" s="1"/>
  <c r="F188" i="17"/>
  <c r="G188" i="17" s="1"/>
  <c r="F192" i="17"/>
  <c r="G192" i="17" s="1"/>
  <c r="F193" i="17"/>
  <c r="G193" i="17" s="1"/>
  <c r="F194" i="17"/>
  <c r="G194" i="17" s="1"/>
  <c r="F195" i="17"/>
  <c r="G195" i="17" s="1"/>
  <c r="F196" i="17"/>
  <c r="G196" i="17" s="1"/>
  <c r="F197" i="17"/>
  <c r="G197" i="17" s="1"/>
  <c r="F198" i="17"/>
  <c r="G198" i="17" s="1"/>
  <c r="F199" i="17"/>
  <c r="G199" i="17" s="1"/>
  <c r="F200" i="17"/>
  <c r="G200" i="17" s="1"/>
  <c r="F201" i="17"/>
  <c r="G201" i="17" s="1"/>
  <c r="F202" i="17"/>
  <c r="G202" i="17" s="1"/>
  <c r="F203" i="17"/>
  <c r="G203" i="17" s="1"/>
  <c r="F204" i="17"/>
  <c r="G204" i="17" s="1"/>
  <c r="F205" i="17"/>
  <c r="G205" i="17" s="1"/>
  <c r="F206" i="17"/>
  <c r="G206" i="17" s="1"/>
  <c r="F207" i="17"/>
  <c r="G207" i="17" s="1"/>
  <c r="F208" i="17"/>
  <c r="G208" i="17" s="1"/>
  <c r="F209" i="17"/>
  <c r="G209" i="17" s="1"/>
  <c r="F213" i="17"/>
  <c r="G213" i="17" s="1"/>
  <c r="F214" i="17"/>
  <c r="G214" i="17" s="1"/>
  <c r="F215" i="17"/>
  <c r="G215" i="17" s="1"/>
  <c r="F216" i="17"/>
  <c r="G216" i="17" s="1"/>
  <c r="F217" i="17"/>
  <c r="G217" i="17" s="1"/>
  <c r="F218" i="17"/>
  <c r="G218" i="17" s="1"/>
  <c r="F219" i="17"/>
  <c r="G219" i="17" s="1"/>
  <c r="F220" i="17"/>
  <c r="G220" i="17" s="1"/>
  <c r="F221" i="17"/>
  <c r="G221" i="17" s="1"/>
  <c r="F222" i="17"/>
  <c r="G222" i="17" s="1"/>
  <c r="F223" i="17"/>
  <c r="G223" i="17" s="1"/>
  <c r="F224" i="17"/>
  <c r="G224" i="17" s="1"/>
  <c r="F225" i="17"/>
  <c r="G225" i="17" s="1"/>
  <c r="F226" i="17"/>
  <c r="G226" i="17" s="1"/>
  <c r="F227" i="17"/>
  <c r="G227" i="17" s="1"/>
  <c r="F228" i="17"/>
  <c r="G228" i="17" s="1"/>
  <c r="F229" i="17"/>
  <c r="G229" i="17" s="1"/>
  <c r="F230" i="17"/>
  <c r="G230" i="17" s="1"/>
  <c r="F234" i="17"/>
  <c r="G234" i="17" s="1"/>
  <c r="F235" i="17"/>
  <c r="G235" i="17" s="1"/>
  <c r="F236" i="17"/>
  <c r="G236" i="17" s="1"/>
  <c r="F237" i="17"/>
  <c r="G237" i="17" s="1"/>
  <c r="F238" i="17"/>
  <c r="G238" i="17" s="1"/>
  <c r="F239" i="17"/>
  <c r="G239" i="17" s="1"/>
  <c r="F240" i="17"/>
  <c r="G240" i="17" s="1"/>
  <c r="F241" i="17"/>
  <c r="G241" i="17" s="1"/>
  <c r="F242" i="17"/>
  <c r="G242" i="17" s="1"/>
  <c r="F243" i="17"/>
  <c r="G243" i="17" s="1"/>
  <c r="F244" i="17"/>
  <c r="G244" i="17" s="1"/>
  <c r="F245" i="17"/>
  <c r="G245" i="17" s="1"/>
  <c r="F246" i="17"/>
  <c r="G246" i="17" s="1"/>
  <c r="F247" i="17"/>
  <c r="G247" i="17" s="1"/>
  <c r="F248" i="17"/>
  <c r="G248" i="17" s="1"/>
  <c r="F249" i="17"/>
  <c r="G249" i="17" s="1"/>
  <c r="F250" i="17"/>
  <c r="G250" i="17" s="1"/>
  <c r="F251" i="17"/>
  <c r="G251" i="17" s="1"/>
  <c r="F255" i="17"/>
  <c r="G255" i="17" s="1"/>
  <c r="F256" i="17"/>
  <c r="G256" i="17" s="1"/>
  <c r="F257" i="17"/>
  <c r="G257" i="17" s="1"/>
  <c r="F258" i="17"/>
  <c r="G258" i="17" s="1"/>
  <c r="F259" i="17"/>
  <c r="G259" i="17" s="1"/>
  <c r="F260" i="17"/>
  <c r="G260" i="17" s="1"/>
  <c r="F261" i="17"/>
  <c r="G261" i="17" s="1"/>
  <c r="F262" i="17"/>
  <c r="G262" i="17" s="1"/>
  <c r="F263" i="17"/>
  <c r="G263" i="17" s="1"/>
  <c r="F264" i="17"/>
  <c r="G264" i="17" s="1"/>
  <c r="F265" i="17"/>
  <c r="G265" i="17" s="1"/>
  <c r="F266" i="17"/>
  <c r="G266" i="17" s="1"/>
  <c r="F267" i="17"/>
  <c r="G267" i="17" s="1"/>
  <c r="F268" i="17"/>
  <c r="G268" i="17" s="1"/>
  <c r="F269" i="17"/>
  <c r="G269" i="17" s="1"/>
  <c r="F270" i="17"/>
  <c r="G270" i="17" s="1"/>
  <c r="F271" i="17"/>
  <c r="G271" i="17" s="1"/>
  <c r="F272" i="17"/>
  <c r="G272" i="17" s="1"/>
  <c r="F276" i="17"/>
  <c r="G276" i="17" s="1"/>
  <c r="F277" i="17"/>
  <c r="G277" i="17" s="1"/>
  <c r="F278" i="17"/>
  <c r="G278" i="17" s="1"/>
  <c r="F279" i="17"/>
  <c r="G279" i="17" s="1"/>
  <c r="F280" i="17"/>
  <c r="G280" i="17" s="1"/>
  <c r="F281" i="17"/>
  <c r="G281" i="17" s="1"/>
  <c r="F282" i="17"/>
  <c r="G282" i="17" s="1"/>
  <c r="F283" i="17"/>
  <c r="G283" i="17" s="1"/>
  <c r="F284" i="17"/>
  <c r="G284" i="17" s="1"/>
  <c r="F285" i="17"/>
  <c r="G285" i="17" s="1"/>
  <c r="F286" i="17"/>
  <c r="G286" i="17" s="1"/>
  <c r="F287" i="17"/>
  <c r="G287" i="17" s="1"/>
  <c r="F288" i="17"/>
  <c r="G288" i="17" s="1"/>
  <c r="F289" i="17"/>
  <c r="G289" i="17" s="1"/>
  <c r="F290" i="17"/>
  <c r="G290" i="17" s="1"/>
  <c r="F291" i="17"/>
  <c r="G291" i="17" s="1"/>
  <c r="F292" i="17"/>
  <c r="G292" i="17" s="1"/>
  <c r="F293" i="17"/>
  <c r="G293" i="17" s="1"/>
  <c r="F297" i="17"/>
  <c r="G297" i="17" s="1"/>
  <c r="F298" i="17"/>
  <c r="G298" i="17" s="1"/>
  <c r="F299" i="17"/>
  <c r="G299" i="17" s="1"/>
  <c r="F300" i="17"/>
  <c r="G300" i="17" s="1"/>
  <c r="F301" i="17"/>
  <c r="G301" i="17" s="1"/>
  <c r="F302" i="17"/>
  <c r="G302" i="17" s="1"/>
  <c r="F303" i="17"/>
  <c r="G303" i="17" s="1"/>
  <c r="F304" i="17"/>
  <c r="G304" i="17" s="1"/>
  <c r="F305" i="17"/>
  <c r="G305" i="17" s="1"/>
  <c r="F306" i="17"/>
  <c r="G306" i="17" s="1"/>
  <c r="F307" i="17"/>
  <c r="G307" i="17" s="1"/>
  <c r="F308" i="17"/>
  <c r="G308" i="17" s="1"/>
  <c r="F309" i="17"/>
  <c r="G309" i="17" s="1"/>
  <c r="F310" i="17"/>
  <c r="G310" i="17" s="1"/>
  <c r="F311" i="17"/>
  <c r="G311" i="17" s="1"/>
  <c r="F312" i="17"/>
  <c r="G312" i="17" s="1"/>
  <c r="F313" i="17"/>
  <c r="G313" i="17" s="1"/>
  <c r="F314" i="17"/>
  <c r="G314" i="17" s="1"/>
  <c r="F318" i="17"/>
  <c r="G318" i="17" s="1"/>
  <c r="F319" i="17"/>
  <c r="G319" i="17" s="1"/>
  <c r="F320" i="17"/>
  <c r="G320" i="17" s="1"/>
  <c r="F321" i="17"/>
  <c r="G321" i="17" s="1"/>
  <c r="F322" i="17"/>
  <c r="G322" i="17" s="1"/>
  <c r="F323" i="17"/>
  <c r="G323" i="17" s="1"/>
  <c r="F324" i="17"/>
  <c r="G324" i="17" s="1"/>
  <c r="F325" i="17"/>
  <c r="G325" i="17" s="1"/>
  <c r="F326" i="17"/>
  <c r="G326" i="17" s="1"/>
  <c r="F327" i="17"/>
  <c r="G327" i="17" s="1"/>
  <c r="F328" i="17"/>
  <c r="G328" i="17" s="1"/>
  <c r="F329" i="17"/>
  <c r="G329" i="17" s="1"/>
  <c r="F330" i="17"/>
  <c r="G330" i="17" s="1"/>
  <c r="F331" i="17"/>
  <c r="G331" i="17" s="1"/>
  <c r="F332" i="17"/>
  <c r="G332" i="17" s="1"/>
  <c r="F333" i="17"/>
  <c r="G333" i="17" s="1"/>
  <c r="F334" i="17"/>
  <c r="G334" i="17" s="1"/>
  <c r="F335" i="17"/>
  <c r="G335" i="17" s="1"/>
  <c r="F339" i="17"/>
  <c r="G339" i="17" s="1"/>
  <c r="F340" i="17"/>
  <c r="G340" i="17" s="1"/>
  <c r="F341" i="17"/>
  <c r="G341" i="17" s="1"/>
  <c r="F342" i="17"/>
  <c r="G342" i="17" s="1"/>
  <c r="F343" i="17"/>
  <c r="G343" i="17" s="1"/>
  <c r="F344" i="17"/>
  <c r="G344" i="17" s="1"/>
  <c r="F345" i="17"/>
  <c r="G345" i="17" s="1"/>
  <c r="F346" i="17"/>
  <c r="G346" i="17" s="1"/>
  <c r="F347" i="17"/>
  <c r="G347" i="17" s="1"/>
  <c r="F348" i="17"/>
  <c r="G348" i="17" s="1"/>
  <c r="F349" i="17"/>
  <c r="G349" i="17" s="1"/>
  <c r="F350" i="17"/>
  <c r="G350" i="17" s="1"/>
  <c r="F351" i="17"/>
  <c r="G351" i="17" s="1"/>
  <c r="F352" i="17"/>
  <c r="G352" i="17" s="1"/>
  <c r="F353" i="17"/>
  <c r="G353" i="17" s="1"/>
  <c r="F354" i="17"/>
  <c r="G354" i="17" s="1"/>
  <c r="F355" i="17"/>
  <c r="G355" i="17" s="1"/>
  <c r="F356" i="17"/>
  <c r="G356" i="17" s="1"/>
  <c r="F360" i="17"/>
  <c r="G360" i="17" s="1"/>
  <c r="F361" i="17"/>
  <c r="G361" i="17" s="1"/>
  <c r="F362" i="17"/>
  <c r="G362" i="17" s="1"/>
  <c r="F363" i="17"/>
  <c r="G363" i="17" s="1"/>
  <c r="F364" i="17"/>
  <c r="G364" i="17" s="1"/>
  <c r="F365" i="17"/>
  <c r="G365" i="17" s="1"/>
  <c r="F366" i="17"/>
  <c r="G366" i="17" s="1"/>
  <c r="F367" i="17"/>
  <c r="G367" i="17" s="1"/>
  <c r="F368" i="17"/>
  <c r="G368" i="17" s="1"/>
  <c r="F369" i="17"/>
  <c r="G369" i="17" s="1"/>
  <c r="F370" i="17"/>
  <c r="G370" i="17" s="1"/>
  <c r="F371" i="17"/>
  <c r="G371" i="17" s="1"/>
  <c r="F372" i="17"/>
  <c r="G372" i="17" s="1"/>
  <c r="F373" i="17"/>
  <c r="G373" i="17" s="1"/>
  <c r="F374" i="17"/>
  <c r="G374" i="17" s="1"/>
  <c r="F375" i="17"/>
  <c r="G375" i="17" s="1"/>
  <c r="F376" i="17"/>
  <c r="G376" i="17" s="1"/>
  <c r="F377" i="17"/>
  <c r="G377" i="17" s="1"/>
  <c r="F2" i="17"/>
  <c r="G2" i="17" s="1"/>
  <c r="ED359" i="17"/>
  <c r="DO359" i="17"/>
  <c r="CZ359" i="17"/>
  <c r="CK359" i="17"/>
  <c r="BV359" i="17"/>
  <c r="BG359" i="17"/>
  <c r="AR359" i="17"/>
  <c r="AC359" i="17"/>
  <c r="N359" i="17"/>
  <c r="ED338" i="17"/>
  <c r="DO338" i="17"/>
  <c r="CZ338" i="17"/>
  <c r="CK338" i="17"/>
  <c r="BV338" i="17"/>
  <c r="BG338" i="17"/>
  <c r="AR338" i="17"/>
  <c r="AC338" i="17"/>
  <c r="N338" i="17"/>
  <c r="ED317" i="17"/>
  <c r="DO317" i="17"/>
  <c r="CZ317" i="17"/>
  <c r="CK317" i="17"/>
  <c r="BV317" i="17"/>
  <c r="BG317" i="17"/>
  <c r="AR317" i="17"/>
  <c r="AC317" i="17"/>
  <c r="N317" i="17"/>
  <c r="ED296" i="17"/>
  <c r="DO296" i="17"/>
  <c r="CZ296" i="17"/>
  <c r="CK296" i="17"/>
  <c r="BV296" i="17"/>
  <c r="BG296" i="17"/>
  <c r="AR296" i="17"/>
  <c r="AC296" i="17"/>
  <c r="N296" i="17"/>
  <c r="ED275" i="17"/>
  <c r="DO275" i="17"/>
  <c r="CZ275" i="17"/>
  <c r="CK275" i="17"/>
  <c r="BV275" i="17"/>
  <c r="BG275" i="17"/>
  <c r="AR275" i="17"/>
  <c r="AC275" i="17"/>
  <c r="N275" i="17"/>
  <c r="ED254" i="17"/>
  <c r="DO254" i="17"/>
  <c r="CZ254" i="17"/>
  <c r="CK254" i="17"/>
  <c r="BV254" i="17"/>
  <c r="BG254" i="17"/>
  <c r="AR254" i="17"/>
  <c r="AC254" i="17"/>
  <c r="N254" i="17"/>
  <c r="ED233" i="17"/>
  <c r="DO233" i="17"/>
  <c r="CZ233" i="17"/>
  <c r="CK233" i="17"/>
  <c r="BV233" i="17"/>
  <c r="BG233" i="17"/>
  <c r="AR233" i="17"/>
  <c r="AC233" i="17"/>
  <c r="N233" i="17"/>
  <c r="ED212" i="17"/>
  <c r="DO212" i="17"/>
  <c r="CZ212" i="17"/>
  <c r="CK212" i="17"/>
  <c r="BV212" i="17"/>
  <c r="BG212" i="17"/>
  <c r="AR212" i="17"/>
  <c r="AC212" i="17"/>
  <c r="N212" i="17"/>
  <c r="ED191" i="17"/>
  <c r="DO191" i="17"/>
  <c r="CZ191" i="17"/>
  <c r="CK191" i="17"/>
  <c r="BV191" i="17"/>
  <c r="BG191" i="17"/>
  <c r="AR191" i="17"/>
  <c r="AC191" i="17"/>
  <c r="N191" i="17"/>
  <c r="ED170" i="17"/>
  <c r="DO170" i="17"/>
  <c r="CZ170" i="17"/>
  <c r="CK170" i="17"/>
  <c r="BV170" i="17"/>
  <c r="BG170" i="17"/>
  <c r="AR170" i="17"/>
  <c r="AC170" i="17"/>
  <c r="N170" i="17"/>
  <c r="ED149" i="17"/>
  <c r="DO149" i="17"/>
  <c r="CZ149" i="17"/>
  <c r="CK149" i="17"/>
  <c r="BV149" i="17"/>
  <c r="BG149" i="17"/>
  <c r="AR149" i="17"/>
  <c r="AC149" i="17"/>
  <c r="N149" i="17"/>
  <c r="ED128" i="17"/>
  <c r="DO128" i="17"/>
  <c r="CZ128" i="17"/>
  <c r="CK128" i="17"/>
  <c r="BV128" i="17"/>
  <c r="BG128" i="17"/>
  <c r="AR128" i="17"/>
  <c r="AC128" i="17"/>
  <c r="N128" i="17"/>
  <c r="ED107" i="17"/>
  <c r="DO107" i="17"/>
  <c r="CZ107" i="17"/>
  <c r="CK107" i="17"/>
  <c r="BV107" i="17"/>
  <c r="BG107" i="17"/>
  <c r="AR107" i="17"/>
  <c r="AC107" i="17"/>
  <c r="N107" i="17"/>
  <c r="ED86" i="17"/>
  <c r="DO86" i="17"/>
  <c r="CZ86" i="17"/>
  <c r="CK86" i="17"/>
  <c r="BV86" i="17"/>
  <c r="BG86" i="17"/>
  <c r="AR86" i="17"/>
  <c r="AC86" i="17"/>
  <c r="N86" i="17"/>
  <c r="ED65" i="17"/>
  <c r="DO65" i="17"/>
  <c r="CZ65" i="17"/>
  <c r="CK65" i="17"/>
  <c r="BV65" i="17"/>
  <c r="BG65" i="17"/>
  <c r="AR65" i="17"/>
  <c r="AC65" i="17"/>
  <c r="N65" i="17"/>
  <c r="ED44" i="17"/>
  <c r="DO44" i="17"/>
  <c r="CZ44" i="17"/>
  <c r="CK44" i="17"/>
  <c r="BV44" i="17"/>
  <c r="BG44" i="17"/>
  <c r="AR44" i="17"/>
  <c r="AC44" i="17"/>
  <c r="N44" i="17"/>
  <c r="ED23" i="17"/>
  <c r="DO23" i="17"/>
  <c r="CZ23" i="17"/>
  <c r="CK23" i="17"/>
  <c r="BV23" i="17"/>
  <c r="BG23" i="17"/>
  <c r="AR23" i="17"/>
  <c r="AC23" i="17"/>
  <c r="N23" i="17"/>
  <c r="ED2" i="17"/>
  <c r="DO2" i="17"/>
  <c r="CZ2" i="17"/>
  <c r="CK2" i="17"/>
  <c r="BV2" i="17"/>
  <c r="BG2" i="17"/>
  <c r="AR2" i="17"/>
  <c r="AC2" i="17"/>
  <c r="N2" i="17"/>
  <c r="W2" i="16" l="1"/>
  <c r="Y2" i="16" s="1"/>
  <c r="P2" i="16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" i="12"/>
  <c r="ED377" i="17"/>
  <c r="DO377" i="17"/>
  <c r="CZ377" i="17"/>
  <c r="CK377" i="17"/>
  <c r="BV377" i="17"/>
  <c r="BG377" i="17"/>
  <c r="AR377" i="17"/>
  <c r="AC377" i="17"/>
  <c r="N377" i="17"/>
  <c r="ED376" i="17"/>
  <c r="DO376" i="17"/>
  <c r="CZ376" i="17"/>
  <c r="CK376" i="17"/>
  <c r="BV376" i="17"/>
  <c r="BG376" i="17"/>
  <c r="AR376" i="17"/>
  <c r="AC376" i="17"/>
  <c r="N376" i="17"/>
  <c r="ED375" i="17"/>
  <c r="DO375" i="17"/>
  <c r="CZ375" i="17"/>
  <c r="CK375" i="17"/>
  <c r="BV375" i="17"/>
  <c r="BG375" i="17"/>
  <c r="AR375" i="17"/>
  <c r="AC375" i="17"/>
  <c r="N375" i="17"/>
  <c r="ED374" i="17"/>
  <c r="DO374" i="17"/>
  <c r="CZ374" i="17"/>
  <c r="CK374" i="17"/>
  <c r="BV374" i="17"/>
  <c r="BG374" i="17"/>
  <c r="AR374" i="17"/>
  <c r="AC374" i="17"/>
  <c r="N374" i="17"/>
  <c r="ED373" i="17"/>
  <c r="DO373" i="17"/>
  <c r="CZ373" i="17"/>
  <c r="CK373" i="17"/>
  <c r="BV373" i="17"/>
  <c r="BG373" i="17"/>
  <c r="AR373" i="17"/>
  <c r="AC373" i="17"/>
  <c r="N373" i="17"/>
  <c r="ED372" i="17"/>
  <c r="DO372" i="17"/>
  <c r="CZ372" i="17"/>
  <c r="CK372" i="17"/>
  <c r="BV372" i="17"/>
  <c r="BG372" i="17"/>
  <c r="AR372" i="17"/>
  <c r="AC372" i="17"/>
  <c r="N372" i="17"/>
  <c r="ED371" i="17"/>
  <c r="DO371" i="17"/>
  <c r="CZ371" i="17"/>
  <c r="CK371" i="17"/>
  <c r="BV371" i="17"/>
  <c r="BG371" i="17"/>
  <c r="AR371" i="17"/>
  <c r="AC371" i="17"/>
  <c r="N371" i="17"/>
  <c r="ED370" i="17"/>
  <c r="DO370" i="17"/>
  <c r="CZ370" i="17"/>
  <c r="CK370" i="17"/>
  <c r="BV370" i="17"/>
  <c r="BG370" i="17"/>
  <c r="AR370" i="17"/>
  <c r="AC370" i="17"/>
  <c r="N370" i="17"/>
  <c r="ED369" i="17"/>
  <c r="DO369" i="17"/>
  <c r="CZ369" i="17"/>
  <c r="CK369" i="17"/>
  <c r="BV369" i="17"/>
  <c r="BG369" i="17"/>
  <c r="AR369" i="17"/>
  <c r="AC369" i="17"/>
  <c r="N369" i="17"/>
  <c r="ED368" i="17"/>
  <c r="DO368" i="17"/>
  <c r="CZ368" i="17"/>
  <c r="CK368" i="17"/>
  <c r="BV368" i="17"/>
  <c r="BG368" i="17"/>
  <c r="AR368" i="17"/>
  <c r="AC368" i="17"/>
  <c r="N368" i="17"/>
  <c r="ED367" i="17"/>
  <c r="DO367" i="17"/>
  <c r="CZ367" i="17"/>
  <c r="CK367" i="17"/>
  <c r="BV367" i="17"/>
  <c r="BG367" i="17"/>
  <c r="AR367" i="17"/>
  <c r="AC367" i="17"/>
  <c r="N367" i="17"/>
  <c r="ED366" i="17"/>
  <c r="DO366" i="17"/>
  <c r="CZ366" i="17"/>
  <c r="CK366" i="17"/>
  <c r="BV366" i="17"/>
  <c r="BG366" i="17"/>
  <c r="AR366" i="17"/>
  <c r="AC366" i="17"/>
  <c r="N366" i="17"/>
  <c r="ED365" i="17"/>
  <c r="DO365" i="17"/>
  <c r="CZ365" i="17"/>
  <c r="CK365" i="17"/>
  <c r="BV365" i="17"/>
  <c r="BG365" i="17"/>
  <c r="AR365" i="17"/>
  <c r="AC365" i="17"/>
  <c r="N365" i="17"/>
  <c r="ED364" i="17"/>
  <c r="DO364" i="17"/>
  <c r="CZ364" i="17"/>
  <c r="CK364" i="17"/>
  <c r="BV364" i="17"/>
  <c r="BG364" i="17"/>
  <c r="AR364" i="17"/>
  <c r="AC364" i="17"/>
  <c r="N364" i="17"/>
  <c r="ED363" i="17"/>
  <c r="DO363" i="17"/>
  <c r="CZ363" i="17"/>
  <c r="CK363" i="17"/>
  <c r="BV363" i="17"/>
  <c r="BG363" i="17"/>
  <c r="AR363" i="17"/>
  <c r="AC363" i="17"/>
  <c r="N363" i="17"/>
  <c r="ED362" i="17"/>
  <c r="DO362" i="17"/>
  <c r="CZ362" i="17"/>
  <c r="CK362" i="17"/>
  <c r="BV362" i="17"/>
  <c r="BG362" i="17"/>
  <c r="AR362" i="17"/>
  <c r="AC362" i="17"/>
  <c r="N362" i="17"/>
  <c r="ED361" i="17"/>
  <c r="DO361" i="17"/>
  <c r="CZ361" i="17"/>
  <c r="CK361" i="17"/>
  <c r="BV361" i="17"/>
  <c r="BG361" i="17"/>
  <c r="AR361" i="17"/>
  <c r="AC361" i="17"/>
  <c r="N361" i="17"/>
  <c r="ED360" i="17"/>
  <c r="DO360" i="17"/>
  <c r="CZ360" i="17"/>
  <c r="CK360" i="17"/>
  <c r="BV360" i="17"/>
  <c r="BG360" i="17"/>
  <c r="AR360" i="17"/>
  <c r="AC360" i="17"/>
  <c r="N360" i="17"/>
  <c r="ED356" i="17"/>
  <c r="DO356" i="17"/>
  <c r="CZ356" i="17"/>
  <c r="CK356" i="17"/>
  <c r="BV356" i="17"/>
  <c r="BG356" i="17"/>
  <c r="AR356" i="17"/>
  <c r="AC356" i="17"/>
  <c r="N356" i="17"/>
  <c r="ED355" i="17"/>
  <c r="DO355" i="17"/>
  <c r="CZ355" i="17"/>
  <c r="CK355" i="17"/>
  <c r="BV355" i="17"/>
  <c r="BG355" i="17"/>
  <c r="AR355" i="17"/>
  <c r="AC355" i="17"/>
  <c r="N355" i="17"/>
  <c r="ED354" i="17"/>
  <c r="DO354" i="17"/>
  <c r="CZ354" i="17"/>
  <c r="CK354" i="17"/>
  <c r="BV354" i="17"/>
  <c r="BG354" i="17"/>
  <c r="AR354" i="17"/>
  <c r="AC354" i="17"/>
  <c r="N354" i="17"/>
  <c r="ED353" i="17"/>
  <c r="DO353" i="17"/>
  <c r="CZ353" i="17"/>
  <c r="CK353" i="17"/>
  <c r="BV353" i="17"/>
  <c r="BG353" i="17"/>
  <c r="AR353" i="17"/>
  <c r="AC353" i="17"/>
  <c r="N353" i="17"/>
  <c r="ED352" i="17"/>
  <c r="DO352" i="17"/>
  <c r="CZ352" i="17"/>
  <c r="CK352" i="17"/>
  <c r="BV352" i="17"/>
  <c r="BG352" i="17"/>
  <c r="AR352" i="17"/>
  <c r="AC352" i="17"/>
  <c r="N352" i="17"/>
  <c r="ED351" i="17"/>
  <c r="DO351" i="17"/>
  <c r="CZ351" i="17"/>
  <c r="CK351" i="17"/>
  <c r="BV351" i="17"/>
  <c r="BG351" i="17"/>
  <c r="AR351" i="17"/>
  <c r="AC351" i="17"/>
  <c r="N351" i="17"/>
  <c r="ED350" i="17"/>
  <c r="DO350" i="17"/>
  <c r="CZ350" i="17"/>
  <c r="CK350" i="17"/>
  <c r="BV350" i="17"/>
  <c r="BG350" i="17"/>
  <c r="AR350" i="17"/>
  <c r="AC350" i="17"/>
  <c r="N350" i="17"/>
  <c r="ED349" i="17"/>
  <c r="DO349" i="17"/>
  <c r="CZ349" i="17"/>
  <c r="CK349" i="17"/>
  <c r="BV349" i="17"/>
  <c r="BG349" i="17"/>
  <c r="AR349" i="17"/>
  <c r="AC349" i="17"/>
  <c r="N349" i="17"/>
  <c r="ED348" i="17"/>
  <c r="DO348" i="17"/>
  <c r="CZ348" i="17"/>
  <c r="CK348" i="17"/>
  <c r="BV348" i="17"/>
  <c r="BG348" i="17"/>
  <c r="AR348" i="17"/>
  <c r="AC348" i="17"/>
  <c r="N348" i="17"/>
  <c r="ED347" i="17"/>
  <c r="DO347" i="17"/>
  <c r="CZ347" i="17"/>
  <c r="CK347" i="17"/>
  <c r="BV347" i="17"/>
  <c r="BG347" i="17"/>
  <c r="AR347" i="17"/>
  <c r="AC347" i="17"/>
  <c r="N347" i="17"/>
  <c r="ED346" i="17"/>
  <c r="DO346" i="17"/>
  <c r="CZ346" i="17"/>
  <c r="CK346" i="17"/>
  <c r="BV346" i="17"/>
  <c r="BG346" i="17"/>
  <c r="AR346" i="17"/>
  <c r="AC346" i="17"/>
  <c r="N346" i="17"/>
  <c r="ED345" i="17"/>
  <c r="DO345" i="17"/>
  <c r="CZ345" i="17"/>
  <c r="CK345" i="17"/>
  <c r="BV345" i="17"/>
  <c r="BG345" i="17"/>
  <c r="AR345" i="17"/>
  <c r="AC345" i="17"/>
  <c r="N345" i="17"/>
  <c r="ED344" i="17"/>
  <c r="DO344" i="17"/>
  <c r="CZ344" i="17"/>
  <c r="CK344" i="17"/>
  <c r="BV344" i="17"/>
  <c r="BG344" i="17"/>
  <c r="AR344" i="17"/>
  <c r="AC344" i="17"/>
  <c r="N344" i="17"/>
  <c r="ED343" i="17"/>
  <c r="DO343" i="17"/>
  <c r="CZ343" i="17"/>
  <c r="CK343" i="17"/>
  <c r="BV343" i="17"/>
  <c r="BG343" i="17"/>
  <c r="AR343" i="17"/>
  <c r="AC343" i="17"/>
  <c r="N343" i="17"/>
  <c r="ED342" i="17"/>
  <c r="DO342" i="17"/>
  <c r="CZ342" i="17"/>
  <c r="CK342" i="17"/>
  <c r="BV342" i="17"/>
  <c r="BG342" i="17"/>
  <c r="AR342" i="17"/>
  <c r="AC342" i="17"/>
  <c r="N342" i="17"/>
  <c r="ED341" i="17"/>
  <c r="DO341" i="17"/>
  <c r="CZ341" i="17"/>
  <c r="CK341" i="17"/>
  <c r="BV341" i="17"/>
  <c r="BG341" i="17"/>
  <c r="AR341" i="17"/>
  <c r="AC341" i="17"/>
  <c r="N341" i="17"/>
  <c r="ED340" i="17"/>
  <c r="DO340" i="17"/>
  <c r="CZ340" i="17"/>
  <c r="CK340" i="17"/>
  <c r="BV340" i="17"/>
  <c r="BG340" i="17"/>
  <c r="AR340" i="17"/>
  <c r="AC340" i="17"/>
  <c r="N340" i="17"/>
  <c r="ED339" i="17"/>
  <c r="DO339" i="17"/>
  <c r="CZ339" i="17"/>
  <c r="CK339" i="17"/>
  <c r="BV339" i="17"/>
  <c r="BG339" i="17"/>
  <c r="AR339" i="17"/>
  <c r="AC339" i="17"/>
  <c r="N339" i="17"/>
  <c r="ED335" i="17"/>
  <c r="DO335" i="17"/>
  <c r="CZ335" i="17"/>
  <c r="CK335" i="17"/>
  <c r="BV335" i="17"/>
  <c r="BG335" i="17"/>
  <c r="AR335" i="17"/>
  <c r="AC335" i="17"/>
  <c r="N335" i="17"/>
  <c r="ED334" i="17"/>
  <c r="DO334" i="17"/>
  <c r="CZ334" i="17"/>
  <c r="CK334" i="17"/>
  <c r="BV334" i="17"/>
  <c r="BG334" i="17"/>
  <c r="AR334" i="17"/>
  <c r="AC334" i="17"/>
  <c r="N334" i="17"/>
  <c r="ED333" i="17"/>
  <c r="DO333" i="17"/>
  <c r="CZ333" i="17"/>
  <c r="CK333" i="17"/>
  <c r="BV333" i="17"/>
  <c r="BG333" i="17"/>
  <c r="AR333" i="17"/>
  <c r="AC333" i="17"/>
  <c r="N333" i="17"/>
  <c r="ED332" i="17"/>
  <c r="DO332" i="17"/>
  <c r="CZ332" i="17"/>
  <c r="CK332" i="17"/>
  <c r="BV332" i="17"/>
  <c r="BG332" i="17"/>
  <c r="AR332" i="17"/>
  <c r="AC332" i="17"/>
  <c r="N332" i="17"/>
  <c r="ED331" i="17"/>
  <c r="DO331" i="17"/>
  <c r="CZ331" i="17"/>
  <c r="CK331" i="17"/>
  <c r="BV331" i="17"/>
  <c r="BG331" i="17"/>
  <c r="AR331" i="17"/>
  <c r="AC331" i="17"/>
  <c r="N331" i="17"/>
  <c r="ED330" i="17"/>
  <c r="DO330" i="17"/>
  <c r="CZ330" i="17"/>
  <c r="CK330" i="17"/>
  <c r="BV330" i="17"/>
  <c r="BG330" i="17"/>
  <c r="AR330" i="17"/>
  <c r="AC330" i="17"/>
  <c r="N330" i="17"/>
  <c r="ED329" i="17"/>
  <c r="DO329" i="17"/>
  <c r="CZ329" i="17"/>
  <c r="CK329" i="17"/>
  <c r="BV329" i="17"/>
  <c r="BG329" i="17"/>
  <c r="AR329" i="17"/>
  <c r="AC329" i="17"/>
  <c r="N329" i="17"/>
  <c r="ED328" i="17"/>
  <c r="DO328" i="17"/>
  <c r="CZ328" i="17"/>
  <c r="CK328" i="17"/>
  <c r="BV328" i="17"/>
  <c r="BG328" i="17"/>
  <c r="AR328" i="17"/>
  <c r="AC328" i="17"/>
  <c r="N328" i="17"/>
  <c r="ED327" i="17"/>
  <c r="DO327" i="17"/>
  <c r="CZ327" i="17"/>
  <c r="CK327" i="17"/>
  <c r="BV327" i="17"/>
  <c r="BG327" i="17"/>
  <c r="AR327" i="17"/>
  <c r="AC327" i="17"/>
  <c r="N327" i="17"/>
  <c r="ED326" i="17"/>
  <c r="DO326" i="17"/>
  <c r="CZ326" i="17"/>
  <c r="CK326" i="17"/>
  <c r="BV326" i="17"/>
  <c r="BG326" i="17"/>
  <c r="AR326" i="17"/>
  <c r="AC326" i="17"/>
  <c r="N326" i="17"/>
  <c r="ED325" i="17"/>
  <c r="DO325" i="17"/>
  <c r="CZ325" i="17"/>
  <c r="CK325" i="17"/>
  <c r="BV325" i="17"/>
  <c r="BG325" i="17"/>
  <c r="AR325" i="17"/>
  <c r="AC325" i="17"/>
  <c r="N325" i="17"/>
  <c r="ED324" i="17"/>
  <c r="DO324" i="17"/>
  <c r="CZ324" i="17"/>
  <c r="CK324" i="17"/>
  <c r="BV324" i="17"/>
  <c r="BG324" i="17"/>
  <c r="AR324" i="17"/>
  <c r="AC324" i="17"/>
  <c r="N324" i="17"/>
  <c r="ED323" i="17"/>
  <c r="DO323" i="17"/>
  <c r="CZ323" i="17"/>
  <c r="CK323" i="17"/>
  <c r="BV323" i="17"/>
  <c r="BG323" i="17"/>
  <c r="AR323" i="17"/>
  <c r="AC323" i="17"/>
  <c r="N323" i="17"/>
  <c r="ED322" i="17"/>
  <c r="DO322" i="17"/>
  <c r="CZ322" i="17"/>
  <c r="CK322" i="17"/>
  <c r="BV322" i="17"/>
  <c r="BG322" i="17"/>
  <c r="AR322" i="17"/>
  <c r="AC322" i="17"/>
  <c r="N322" i="17"/>
  <c r="ED321" i="17"/>
  <c r="DO321" i="17"/>
  <c r="CZ321" i="17"/>
  <c r="CK321" i="17"/>
  <c r="BV321" i="17"/>
  <c r="BG321" i="17"/>
  <c r="AR321" i="17"/>
  <c r="AC321" i="17"/>
  <c r="N321" i="17"/>
  <c r="ED320" i="17"/>
  <c r="DO320" i="17"/>
  <c r="CZ320" i="17"/>
  <c r="CK320" i="17"/>
  <c r="BV320" i="17"/>
  <c r="BG320" i="17"/>
  <c r="AR320" i="17"/>
  <c r="AC320" i="17"/>
  <c r="N320" i="17"/>
  <c r="ED319" i="17"/>
  <c r="DO319" i="17"/>
  <c r="CZ319" i="17"/>
  <c r="CK319" i="17"/>
  <c r="BV319" i="17"/>
  <c r="BG319" i="17"/>
  <c r="AR319" i="17"/>
  <c r="AC319" i="17"/>
  <c r="N319" i="17"/>
  <c r="ED318" i="17"/>
  <c r="DO318" i="17"/>
  <c r="CZ318" i="17"/>
  <c r="CK318" i="17"/>
  <c r="BV318" i="17"/>
  <c r="BG318" i="17"/>
  <c r="AR318" i="17"/>
  <c r="AC318" i="17"/>
  <c r="N318" i="17"/>
  <c r="ED314" i="17"/>
  <c r="DO314" i="17"/>
  <c r="CZ314" i="17"/>
  <c r="CK314" i="17"/>
  <c r="BV314" i="17"/>
  <c r="BG314" i="17"/>
  <c r="AR314" i="17"/>
  <c r="AC314" i="17"/>
  <c r="N314" i="17"/>
  <c r="ED313" i="17"/>
  <c r="DO313" i="17"/>
  <c r="CZ313" i="17"/>
  <c r="CK313" i="17"/>
  <c r="BV313" i="17"/>
  <c r="BG313" i="17"/>
  <c r="AR313" i="17"/>
  <c r="AC313" i="17"/>
  <c r="N313" i="17"/>
  <c r="ED312" i="17"/>
  <c r="DO312" i="17"/>
  <c r="CZ312" i="17"/>
  <c r="CK312" i="17"/>
  <c r="BV312" i="17"/>
  <c r="BG312" i="17"/>
  <c r="AR312" i="17"/>
  <c r="AC312" i="17"/>
  <c r="N312" i="17"/>
  <c r="ED311" i="17"/>
  <c r="DO311" i="17"/>
  <c r="CZ311" i="17"/>
  <c r="CK311" i="17"/>
  <c r="BV311" i="17"/>
  <c r="BG311" i="17"/>
  <c r="AR311" i="17"/>
  <c r="AC311" i="17"/>
  <c r="N311" i="17"/>
  <c r="ED310" i="17"/>
  <c r="DO310" i="17"/>
  <c r="CZ310" i="17"/>
  <c r="CK310" i="17"/>
  <c r="BV310" i="17"/>
  <c r="BG310" i="17"/>
  <c r="AR310" i="17"/>
  <c r="AC310" i="17"/>
  <c r="N310" i="17"/>
  <c r="ED309" i="17"/>
  <c r="DO309" i="17"/>
  <c r="CZ309" i="17"/>
  <c r="CK309" i="17"/>
  <c r="BV309" i="17"/>
  <c r="BG309" i="17"/>
  <c r="AR309" i="17"/>
  <c r="AC309" i="17"/>
  <c r="N309" i="17"/>
  <c r="ED308" i="17"/>
  <c r="DO308" i="17"/>
  <c r="CZ308" i="17"/>
  <c r="CK308" i="17"/>
  <c r="BV308" i="17"/>
  <c r="BG308" i="17"/>
  <c r="AR308" i="17"/>
  <c r="AC308" i="17"/>
  <c r="N308" i="17"/>
  <c r="ED307" i="17"/>
  <c r="DO307" i="17"/>
  <c r="CZ307" i="17"/>
  <c r="CK307" i="17"/>
  <c r="BV307" i="17"/>
  <c r="BG307" i="17"/>
  <c r="AR307" i="17"/>
  <c r="AC307" i="17"/>
  <c r="N307" i="17"/>
  <c r="ED306" i="17"/>
  <c r="DO306" i="17"/>
  <c r="CZ306" i="17"/>
  <c r="CK306" i="17"/>
  <c r="BV306" i="17"/>
  <c r="BG306" i="17"/>
  <c r="AR306" i="17"/>
  <c r="AC306" i="17"/>
  <c r="N306" i="17"/>
  <c r="ED305" i="17"/>
  <c r="DO305" i="17"/>
  <c r="CZ305" i="17"/>
  <c r="CK305" i="17"/>
  <c r="BV305" i="17"/>
  <c r="BG305" i="17"/>
  <c r="AR305" i="17"/>
  <c r="AC305" i="17"/>
  <c r="N305" i="17"/>
  <c r="ED304" i="17"/>
  <c r="DO304" i="17"/>
  <c r="CZ304" i="17"/>
  <c r="CK304" i="17"/>
  <c r="BV304" i="17"/>
  <c r="BG304" i="17"/>
  <c r="AR304" i="17"/>
  <c r="AC304" i="17"/>
  <c r="N304" i="17"/>
  <c r="ED303" i="17"/>
  <c r="DO303" i="17"/>
  <c r="CZ303" i="17"/>
  <c r="CK303" i="17"/>
  <c r="BV303" i="17"/>
  <c r="BG303" i="17"/>
  <c r="AR303" i="17"/>
  <c r="AC303" i="17"/>
  <c r="N303" i="17"/>
  <c r="ED302" i="17"/>
  <c r="DO302" i="17"/>
  <c r="CZ302" i="17"/>
  <c r="CK302" i="17"/>
  <c r="BV302" i="17"/>
  <c r="BG302" i="17"/>
  <c r="AR302" i="17"/>
  <c r="AC302" i="17"/>
  <c r="N302" i="17"/>
  <c r="ED301" i="17"/>
  <c r="DO301" i="17"/>
  <c r="CZ301" i="17"/>
  <c r="CK301" i="17"/>
  <c r="BV301" i="17"/>
  <c r="BG301" i="17"/>
  <c r="AR301" i="17"/>
  <c r="AC301" i="17"/>
  <c r="N301" i="17"/>
  <c r="ED300" i="17"/>
  <c r="DO300" i="17"/>
  <c r="CZ300" i="17"/>
  <c r="CK300" i="17"/>
  <c r="BV300" i="17"/>
  <c r="BG300" i="17"/>
  <c r="AR300" i="17"/>
  <c r="AC300" i="17"/>
  <c r="N300" i="17"/>
  <c r="ED299" i="17"/>
  <c r="DO299" i="17"/>
  <c r="CZ299" i="17"/>
  <c r="CK299" i="17"/>
  <c r="BV299" i="17"/>
  <c r="BG299" i="17"/>
  <c r="AR299" i="17"/>
  <c r="AC299" i="17"/>
  <c r="N299" i="17"/>
  <c r="ED298" i="17"/>
  <c r="DO298" i="17"/>
  <c r="CZ298" i="17"/>
  <c r="CK298" i="17"/>
  <c r="BV298" i="17"/>
  <c r="BG298" i="17"/>
  <c r="AR298" i="17"/>
  <c r="AC298" i="17"/>
  <c r="N298" i="17"/>
  <c r="ED297" i="17"/>
  <c r="DO297" i="17"/>
  <c r="CZ297" i="17"/>
  <c r="CK297" i="17"/>
  <c r="BV297" i="17"/>
  <c r="BG297" i="17"/>
  <c r="AR297" i="17"/>
  <c r="AC297" i="17"/>
  <c r="N297" i="17"/>
  <c r="ED293" i="17"/>
  <c r="DO293" i="17"/>
  <c r="CZ293" i="17"/>
  <c r="CK293" i="17"/>
  <c r="BV293" i="17"/>
  <c r="BG293" i="17"/>
  <c r="AR293" i="17"/>
  <c r="AC293" i="17"/>
  <c r="N293" i="17"/>
  <c r="ED292" i="17"/>
  <c r="DO292" i="17"/>
  <c r="CZ292" i="17"/>
  <c r="CK292" i="17"/>
  <c r="BV292" i="17"/>
  <c r="BG292" i="17"/>
  <c r="AR292" i="17"/>
  <c r="AC292" i="17"/>
  <c r="N292" i="17"/>
  <c r="ED291" i="17"/>
  <c r="DO291" i="17"/>
  <c r="CZ291" i="17"/>
  <c r="CK291" i="17"/>
  <c r="BV291" i="17"/>
  <c r="BG291" i="17"/>
  <c r="AR291" i="17"/>
  <c r="AC291" i="17"/>
  <c r="N291" i="17"/>
  <c r="ED290" i="17"/>
  <c r="DO290" i="17"/>
  <c r="CZ290" i="17"/>
  <c r="CK290" i="17"/>
  <c r="BV290" i="17"/>
  <c r="BG290" i="17"/>
  <c r="AR290" i="17"/>
  <c r="AC290" i="17"/>
  <c r="N290" i="17"/>
  <c r="ED289" i="17"/>
  <c r="DO289" i="17"/>
  <c r="CZ289" i="17"/>
  <c r="CK289" i="17"/>
  <c r="BV289" i="17"/>
  <c r="BG289" i="17"/>
  <c r="AR289" i="17"/>
  <c r="AC289" i="17"/>
  <c r="N289" i="17"/>
  <c r="ED288" i="17"/>
  <c r="DO288" i="17"/>
  <c r="CZ288" i="17"/>
  <c r="CK288" i="17"/>
  <c r="BV288" i="17"/>
  <c r="BG288" i="17"/>
  <c r="AR288" i="17"/>
  <c r="AC288" i="17"/>
  <c r="N288" i="17"/>
  <c r="ED287" i="17"/>
  <c r="DO287" i="17"/>
  <c r="CZ287" i="17"/>
  <c r="CK287" i="17"/>
  <c r="BV287" i="17"/>
  <c r="BG287" i="17"/>
  <c r="AR287" i="17"/>
  <c r="AC287" i="17"/>
  <c r="N287" i="17"/>
  <c r="ED286" i="17"/>
  <c r="DO286" i="17"/>
  <c r="CZ286" i="17"/>
  <c r="CK286" i="17"/>
  <c r="BV286" i="17"/>
  <c r="BG286" i="17"/>
  <c r="AR286" i="17"/>
  <c r="AC286" i="17"/>
  <c r="N286" i="17"/>
  <c r="ED285" i="17"/>
  <c r="DO285" i="17"/>
  <c r="CZ285" i="17"/>
  <c r="CK285" i="17"/>
  <c r="BV285" i="17"/>
  <c r="BG285" i="17"/>
  <c r="AR285" i="17"/>
  <c r="AC285" i="17"/>
  <c r="N285" i="17"/>
  <c r="ED284" i="17"/>
  <c r="DO284" i="17"/>
  <c r="CZ284" i="17"/>
  <c r="CK284" i="17"/>
  <c r="BV284" i="17"/>
  <c r="BG284" i="17"/>
  <c r="AR284" i="17"/>
  <c r="AC284" i="17"/>
  <c r="N284" i="17"/>
  <c r="ED283" i="17"/>
  <c r="DO283" i="17"/>
  <c r="CZ283" i="17"/>
  <c r="CK283" i="17"/>
  <c r="BV283" i="17"/>
  <c r="BG283" i="17"/>
  <c r="AR283" i="17"/>
  <c r="AC283" i="17"/>
  <c r="N283" i="17"/>
  <c r="ED282" i="17"/>
  <c r="DO282" i="17"/>
  <c r="CZ282" i="17"/>
  <c r="CK282" i="17"/>
  <c r="BV282" i="17"/>
  <c r="BG282" i="17"/>
  <c r="AR282" i="17"/>
  <c r="AC282" i="17"/>
  <c r="N282" i="17"/>
  <c r="ED281" i="17"/>
  <c r="DO281" i="17"/>
  <c r="CZ281" i="17"/>
  <c r="CK281" i="17"/>
  <c r="BV281" i="17"/>
  <c r="BG281" i="17"/>
  <c r="AR281" i="17"/>
  <c r="AC281" i="17"/>
  <c r="N281" i="17"/>
  <c r="ED280" i="17"/>
  <c r="DO280" i="17"/>
  <c r="CZ280" i="17"/>
  <c r="CK280" i="17"/>
  <c r="BV280" i="17"/>
  <c r="BG280" i="17"/>
  <c r="AR280" i="17"/>
  <c r="AC280" i="17"/>
  <c r="N280" i="17"/>
  <c r="ED279" i="17"/>
  <c r="DO279" i="17"/>
  <c r="CZ279" i="17"/>
  <c r="CK279" i="17"/>
  <c r="BV279" i="17"/>
  <c r="BG279" i="17"/>
  <c r="AR279" i="17"/>
  <c r="AC279" i="17"/>
  <c r="N279" i="17"/>
  <c r="ED278" i="17"/>
  <c r="DO278" i="17"/>
  <c r="CZ278" i="17"/>
  <c r="CK278" i="17"/>
  <c r="BV278" i="17"/>
  <c r="BG278" i="17"/>
  <c r="AR278" i="17"/>
  <c r="AC278" i="17"/>
  <c r="N278" i="17"/>
  <c r="ED277" i="17"/>
  <c r="DO277" i="17"/>
  <c r="CZ277" i="17"/>
  <c r="CK277" i="17"/>
  <c r="BV277" i="17"/>
  <c r="BG277" i="17"/>
  <c r="AR277" i="17"/>
  <c r="AC277" i="17"/>
  <c r="N277" i="17"/>
  <c r="ED276" i="17"/>
  <c r="DO276" i="17"/>
  <c r="CZ276" i="17"/>
  <c r="CK276" i="17"/>
  <c r="BV276" i="17"/>
  <c r="BG276" i="17"/>
  <c r="AR276" i="17"/>
  <c r="AC276" i="17"/>
  <c r="N276" i="17"/>
  <c r="ED272" i="17"/>
  <c r="DO272" i="17"/>
  <c r="CZ272" i="17"/>
  <c r="CK272" i="17"/>
  <c r="BV272" i="17"/>
  <c r="BG272" i="17"/>
  <c r="AR272" i="17"/>
  <c r="AC272" i="17"/>
  <c r="N272" i="17"/>
  <c r="ED271" i="17"/>
  <c r="DO271" i="17"/>
  <c r="CZ271" i="17"/>
  <c r="CK271" i="17"/>
  <c r="BV271" i="17"/>
  <c r="BG271" i="17"/>
  <c r="AR271" i="17"/>
  <c r="AC271" i="17"/>
  <c r="N271" i="17"/>
  <c r="ED270" i="17"/>
  <c r="DO270" i="17"/>
  <c r="CZ270" i="17"/>
  <c r="CK270" i="17"/>
  <c r="BV270" i="17"/>
  <c r="BG270" i="17"/>
  <c r="AR270" i="17"/>
  <c r="AC270" i="17"/>
  <c r="N270" i="17"/>
  <c r="ED269" i="17"/>
  <c r="DO269" i="17"/>
  <c r="CZ269" i="17"/>
  <c r="CK269" i="17"/>
  <c r="BV269" i="17"/>
  <c r="BG269" i="17"/>
  <c r="AR269" i="17"/>
  <c r="AC269" i="17"/>
  <c r="N269" i="17"/>
  <c r="ED268" i="17"/>
  <c r="DO268" i="17"/>
  <c r="CZ268" i="17"/>
  <c r="CK268" i="17"/>
  <c r="BV268" i="17"/>
  <c r="BG268" i="17"/>
  <c r="AR268" i="17"/>
  <c r="AC268" i="17"/>
  <c r="N268" i="17"/>
  <c r="ED267" i="17"/>
  <c r="DO267" i="17"/>
  <c r="CZ267" i="17"/>
  <c r="CK267" i="17"/>
  <c r="BV267" i="17"/>
  <c r="BG267" i="17"/>
  <c r="AR267" i="17"/>
  <c r="AC267" i="17"/>
  <c r="N267" i="17"/>
  <c r="ED266" i="17"/>
  <c r="DO266" i="17"/>
  <c r="CZ266" i="17"/>
  <c r="CK266" i="17"/>
  <c r="BV266" i="17"/>
  <c r="BG266" i="17"/>
  <c r="AR266" i="17"/>
  <c r="AC266" i="17"/>
  <c r="N266" i="17"/>
  <c r="ED265" i="17"/>
  <c r="DO265" i="17"/>
  <c r="CZ265" i="17"/>
  <c r="CK265" i="17"/>
  <c r="BV265" i="17"/>
  <c r="BG265" i="17"/>
  <c r="AR265" i="17"/>
  <c r="AC265" i="17"/>
  <c r="N265" i="17"/>
  <c r="ED264" i="17"/>
  <c r="DO264" i="17"/>
  <c r="CZ264" i="17"/>
  <c r="CK264" i="17"/>
  <c r="BV264" i="17"/>
  <c r="BG264" i="17"/>
  <c r="AR264" i="17"/>
  <c r="AC264" i="17"/>
  <c r="N264" i="17"/>
  <c r="ED263" i="17"/>
  <c r="DO263" i="17"/>
  <c r="CZ263" i="17"/>
  <c r="CK263" i="17"/>
  <c r="BV263" i="17"/>
  <c r="BG263" i="17"/>
  <c r="AR263" i="17"/>
  <c r="AC263" i="17"/>
  <c r="N263" i="17"/>
  <c r="ED262" i="17"/>
  <c r="DO262" i="17"/>
  <c r="CZ262" i="17"/>
  <c r="CK262" i="17"/>
  <c r="BV262" i="17"/>
  <c r="BG262" i="17"/>
  <c r="AR262" i="17"/>
  <c r="AC262" i="17"/>
  <c r="N262" i="17"/>
  <c r="ED261" i="17"/>
  <c r="DO261" i="17"/>
  <c r="CZ261" i="17"/>
  <c r="CK261" i="17"/>
  <c r="BV261" i="17"/>
  <c r="BG261" i="17"/>
  <c r="AR261" i="17"/>
  <c r="AC261" i="17"/>
  <c r="N261" i="17"/>
  <c r="ED260" i="17"/>
  <c r="DO260" i="17"/>
  <c r="CZ260" i="17"/>
  <c r="CK260" i="17"/>
  <c r="BV260" i="17"/>
  <c r="BG260" i="17"/>
  <c r="AR260" i="17"/>
  <c r="AC260" i="17"/>
  <c r="N260" i="17"/>
  <c r="ED259" i="17"/>
  <c r="DO259" i="17"/>
  <c r="CZ259" i="17"/>
  <c r="CK259" i="17"/>
  <c r="BV259" i="17"/>
  <c r="BG259" i="17"/>
  <c r="AR259" i="17"/>
  <c r="AC259" i="17"/>
  <c r="N259" i="17"/>
  <c r="ED258" i="17"/>
  <c r="DO258" i="17"/>
  <c r="CZ258" i="17"/>
  <c r="CK258" i="17"/>
  <c r="BV258" i="17"/>
  <c r="BG258" i="17"/>
  <c r="AR258" i="17"/>
  <c r="AC258" i="17"/>
  <c r="N258" i="17"/>
  <c r="ED257" i="17"/>
  <c r="DO257" i="17"/>
  <c r="CZ257" i="17"/>
  <c r="CK257" i="17"/>
  <c r="BV257" i="17"/>
  <c r="BG257" i="17"/>
  <c r="AR257" i="17"/>
  <c r="AC257" i="17"/>
  <c r="N257" i="17"/>
  <c r="ED256" i="17"/>
  <c r="DO256" i="17"/>
  <c r="CZ256" i="17"/>
  <c r="CK256" i="17"/>
  <c r="BV256" i="17"/>
  <c r="BG256" i="17"/>
  <c r="AR256" i="17"/>
  <c r="AC256" i="17"/>
  <c r="N256" i="17"/>
  <c r="ED255" i="17"/>
  <c r="DO255" i="17"/>
  <c r="CZ255" i="17"/>
  <c r="CK255" i="17"/>
  <c r="BV255" i="17"/>
  <c r="BG255" i="17"/>
  <c r="AR255" i="17"/>
  <c r="AC255" i="17"/>
  <c r="N255" i="17"/>
  <c r="ED251" i="17"/>
  <c r="DO251" i="17"/>
  <c r="CZ251" i="17"/>
  <c r="CK251" i="17"/>
  <c r="BV251" i="17"/>
  <c r="BG251" i="17"/>
  <c r="AR251" i="17"/>
  <c r="AC251" i="17"/>
  <c r="N251" i="17"/>
  <c r="ED250" i="17"/>
  <c r="DO250" i="17"/>
  <c r="CZ250" i="17"/>
  <c r="CK250" i="17"/>
  <c r="BV250" i="17"/>
  <c r="BG250" i="17"/>
  <c r="AR250" i="17"/>
  <c r="AC250" i="17"/>
  <c r="N250" i="17"/>
  <c r="ED249" i="17"/>
  <c r="DO249" i="17"/>
  <c r="CZ249" i="17"/>
  <c r="CK249" i="17"/>
  <c r="BV249" i="17"/>
  <c r="BG249" i="17"/>
  <c r="AR249" i="17"/>
  <c r="AC249" i="17"/>
  <c r="N249" i="17"/>
  <c r="ED248" i="17"/>
  <c r="DO248" i="17"/>
  <c r="CZ248" i="17"/>
  <c r="CK248" i="17"/>
  <c r="BV248" i="17"/>
  <c r="BG248" i="17"/>
  <c r="AR248" i="17"/>
  <c r="AC248" i="17"/>
  <c r="N248" i="17"/>
  <c r="ED247" i="17"/>
  <c r="DO247" i="17"/>
  <c r="CZ247" i="17"/>
  <c r="CK247" i="17"/>
  <c r="BV247" i="17"/>
  <c r="BG247" i="17"/>
  <c r="AR247" i="17"/>
  <c r="AC247" i="17"/>
  <c r="N247" i="17"/>
  <c r="ED246" i="17"/>
  <c r="DO246" i="17"/>
  <c r="CZ246" i="17"/>
  <c r="CK246" i="17"/>
  <c r="BV246" i="17"/>
  <c r="BG246" i="17"/>
  <c r="AR246" i="17"/>
  <c r="AC246" i="17"/>
  <c r="N246" i="17"/>
  <c r="ED245" i="17"/>
  <c r="DO245" i="17"/>
  <c r="CZ245" i="17"/>
  <c r="CK245" i="17"/>
  <c r="BV245" i="17"/>
  <c r="BG245" i="17"/>
  <c r="AR245" i="17"/>
  <c r="AC245" i="17"/>
  <c r="N245" i="17"/>
  <c r="ED244" i="17"/>
  <c r="DO244" i="17"/>
  <c r="CZ244" i="17"/>
  <c r="CK244" i="17"/>
  <c r="BV244" i="17"/>
  <c r="BG244" i="17"/>
  <c r="AR244" i="17"/>
  <c r="AC244" i="17"/>
  <c r="N244" i="17"/>
  <c r="ED243" i="17"/>
  <c r="DO243" i="17"/>
  <c r="CZ243" i="17"/>
  <c r="CK243" i="17"/>
  <c r="BV243" i="17"/>
  <c r="BG243" i="17"/>
  <c r="AR243" i="17"/>
  <c r="AC243" i="17"/>
  <c r="N243" i="17"/>
  <c r="ED242" i="17"/>
  <c r="DO242" i="17"/>
  <c r="CZ242" i="17"/>
  <c r="CK242" i="17"/>
  <c r="BV242" i="17"/>
  <c r="BG242" i="17"/>
  <c r="AR242" i="17"/>
  <c r="AC242" i="17"/>
  <c r="N242" i="17"/>
  <c r="ED241" i="17"/>
  <c r="DO241" i="17"/>
  <c r="CZ241" i="17"/>
  <c r="CK241" i="17"/>
  <c r="BV241" i="17"/>
  <c r="BG241" i="17"/>
  <c r="AR241" i="17"/>
  <c r="AC241" i="17"/>
  <c r="N241" i="17"/>
  <c r="ED240" i="17"/>
  <c r="DO240" i="17"/>
  <c r="CZ240" i="17"/>
  <c r="CK240" i="17"/>
  <c r="BV240" i="17"/>
  <c r="BG240" i="17"/>
  <c r="AR240" i="17"/>
  <c r="AC240" i="17"/>
  <c r="N240" i="17"/>
  <c r="ED239" i="17"/>
  <c r="DO239" i="17"/>
  <c r="CZ239" i="17"/>
  <c r="CK239" i="17"/>
  <c r="BV239" i="17"/>
  <c r="BG239" i="17"/>
  <c r="AR239" i="17"/>
  <c r="AC239" i="17"/>
  <c r="N239" i="17"/>
  <c r="ED238" i="17"/>
  <c r="DO238" i="17"/>
  <c r="CZ238" i="17"/>
  <c r="CK238" i="17"/>
  <c r="BV238" i="17"/>
  <c r="BG238" i="17"/>
  <c r="AR238" i="17"/>
  <c r="AC238" i="17"/>
  <c r="N238" i="17"/>
  <c r="ED237" i="17"/>
  <c r="DO237" i="17"/>
  <c r="CZ237" i="17"/>
  <c r="CK237" i="17"/>
  <c r="BV237" i="17"/>
  <c r="BG237" i="17"/>
  <c r="AR237" i="17"/>
  <c r="AC237" i="17"/>
  <c r="N237" i="17"/>
  <c r="ED236" i="17"/>
  <c r="DO236" i="17"/>
  <c r="CZ236" i="17"/>
  <c r="CK236" i="17"/>
  <c r="BV236" i="17"/>
  <c r="BG236" i="17"/>
  <c r="AR236" i="17"/>
  <c r="AC236" i="17"/>
  <c r="N236" i="17"/>
  <c r="ED235" i="17"/>
  <c r="DO235" i="17"/>
  <c r="CZ235" i="17"/>
  <c r="CK235" i="17"/>
  <c r="BV235" i="17"/>
  <c r="BG235" i="17"/>
  <c r="AR235" i="17"/>
  <c r="AC235" i="17"/>
  <c r="N235" i="17"/>
  <c r="ED234" i="17"/>
  <c r="DO234" i="17"/>
  <c r="CZ234" i="17"/>
  <c r="CK234" i="17"/>
  <c r="BV234" i="17"/>
  <c r="BG234" i="17"/>
  <c r="AR234" i="17"/>
  <c r="AC234" i="17"/>
  <c r="N234" i="17"/>
  <c r="ED230" i="17"/>
  <c r="DO230" i="17"/>
  <c r="CZ230" i="17"/>
  <c r="CK230" i="17"/>
  <c r="BV230" i="17"/>
  <c r="BG230" i="17"/>
  <c r="AR230" i="17"/>
  <c r="AC230" i="17"/>
  <c r="N230" i="17"/>
  <c r="ED229" i="17"/>
  <c r="DO229" i="17"/>
  <c r="CZ229" i="17"/>
  <c r="CK229" i="17"/>
  <c r="BV229" i="17"/>
  <c r="BG229" i="17"/>
  <c r="AR229" i="17"/>
  <c r="AC229" i="17"/>
  <c r="N229" i="17"/>
  <c r="ED228" i="17"/>
  <c r="DO228" i="17"/>
  <c r="CZ228" i="17"/>
  <c r="CK228" i="17"/>
  <c r="BV228" i="17"/>
  <c r="BG228" i="17"/>
  <c r="AR228" i="17"/>
  <c r="AC228" i="17"/>
  <c r="N228" i="17"/>
  <c r="ED227" i="17"/>
  <c r="DO227" i="17"/>
  <c r="CZ227" i="17"/>
  <c r="CK227" i="17"/>
  <c r="BV227" i="17"/>
  <c r="BG227" i="17"/>
  <c r="AR227" i="17"/>
  <c r="AC227" i="17"/>
  <c r="N227" i="17"/>
  <c r="ED226" i="17"/>
  <c r="DO226" i="17"/>
  <c r="CZ226" i="17"/>
  <c r="CK226" i="17"/>
  <c r="BV226" i="17"/>
  <c r="BG226" i="17"/>
  <c r="AR226" i="17"/>
  <c r="AC226" i="17"/>
  <c r="N226" i="17"/>
  <c r="ED225" i="17"/>
  <c r="DO225" i="17"/>
  <c r="CZ225" i="17"/>
  <c r="CK225" i="17"/>
  <c r="BV225" i="17"/>
  <c r="BG225" i="17"/>
  <c r="AR225" i="17"/>
  <c r="AC225" i="17"/>
  <c r="N225" i="17"/>
  <c r="ED224" i="17"/>
  <c r="DO224" i="17"/>
  <c r="CZ224" i="17"/>
  <c r="CK224" i="17"/>
  <c r="BV224" i="17"/>
  <c r="BG224" i="17"/>
  <c r="AR224" i="17"/>
  <c r="AC224" i="17"/>
  <c r="N224" i="17"/>
  <c r="ED223" i="17"/>
  <c r="DO223" i="17"/>
  <c r="CZ223" i="17"/>
  <c r="CK223" i="17"/>
  <c r="BV223" i="17"/>
  <c r="BG223" i="17"/>
  <c r="AR223" i="17"/>
  <c r="AC223" i="17"/>
  <c r="N223" i="17"/>
  <c r="ED222" i="17"/>
  <c r="DO222" i="17"/>
  <c r="CZ222" i="17"/>
  <c r="CK222" i="17"/>
  <c r="BV222" i="17"/>
  <c r="BG222" i="17"/>
  <c r="AR222" i="17"/>
  <c r="AC222" i="17"/>
  <c r="N222" i="17"/>
  <c r="ED221" i="17"/>
  <c r="DO221" i="17"/>
  <c r="CZ221" i="17"/>
  <c r="CK221" i="17"/>
  <c r="BV221" i="17"/>
  <c r="BG221" i="17"/>
  <c r="AR221" i="17"/>
  <c r="AC221" i="17"/>
  <c r="N221" i="17"/>
  <c r="ED220" i="17"/>
  <c r="DO220" i="17"/>
  <c r="CZ220" i="17"/>
  <c r="CK220" i="17"/>
  <c r="BV220" i="17"/>
  <c r="BG220" i="17"/>
  <c r="AR220" i="17"/>
  <c r="AC220" i="17"/>
  <c r="N220" i="17"/>
  <c r="ED219" i="17"/>
  <c r="DO219" i="17"/>
  <c r="CZ219" i="17"/>
  <c r="CK219" i="17"/>
  <c r="BV219" i="17"/>
  <c r="BG219" i="17"/>
  <c r="AR219" i="17"/>
  <c r="AC219" i="17"/>
  <c r="N219" i="17"/>
  <c r="ED218" i="17"/>
  <c r="DO218" i="17"/>
  <c r="CZ218" i="17"/>
  <c r="CK218" i="17"/>
  <c r="BV218" i="17"/>
  <c r="BG218" i="17"/>
  <c r="AR218" i="17"/>
  <c r="AC218" i="17"/>
  <c r="N218" i="17"/>
  <c r="ED217" i="17"/>
  <c r="DO217" i="17"/>
  <c r="CZ217" i="17"/>
  <c r="CK217" i="17"/>
  <c r="BV217" i="17"/>
  <c r="BG217" i="17"/>
  <c r="AR217" i="17"/>
  <c r="AC217" i="17"/>
  <c r="N217" i="17"/>
  <c r="ED216" i="17"/>
  <c r="DO216" i="17"/>
  <c r="CZ216" i="17"/>
  <c r="CK216" i="17"/>
  <c r="BV216" i="17"/>
  <c r="BG216" i="17"/>
  <c r="AR216" i="17"/>
  <c r="AC216" i="17"/>
  <c r="N216" i="17"/>
  <c r="ED215" i="17"/>
  <c r="DO215" i="17"/>
  <c r="CZ215" i="17"/>
  <c r="CK215" i="17"/>
  <c r="BV215" i="17"/>
  <c r="BG215" i="17"/>
  <c r="AR215" i="17"/>
  <c r="AC215" i="17"/>
  <c r="N215" i="17"/>
  <c r="ED214" i="17"/>
  <c r="DO214" i="17"/>
  <c r="CZ214" i="17"/>
  <c r="CK214" i="17"/>
  <c r="BV214" i="17"/>
  <c r="BG214" i="17"/>
  <c r="AR214" i="17"/>
  <c r="AC214" i="17"/>
  <c r="N214" i="17"/>
  <c r="ED213" i="17"/>
  <c r="DO213" i="17"/>
  <c r="CZ213" i="17"/>
  <c r="CK213" i="17"/>
  <c r="BV213" i="17"/>
  <c r="BG213" i="17"/>
  <c r="AR213" i="17"/>
  <c r="AC213" i="17"/>
  <c r="N213" i="17"/>
  <c r="ED209" i="17"/>
  <c r="DO209" i="17"/>
  <c r="CZ209" i="17"/>
  <c r="CK209" i="17"/>
  <c r="BV209" i="17"/>
  <c r="BG209" i="17"/>
  <c r="AR209" i="17"/>
  <c r="AC209" i="17"/>
  <c r="N209" i="17"/>
  <c r="ED208" i="17"/>
  <c r="DO208" i="17"/>
  <c r="CZ208" i="17"/>
  <c r="CK208" i="17"/>
  <c r="BV208" i="17"/>
  <c r="BG208" i="17"/>
  <c r="AR208" i="17"/>
  <c r="AC208" i="17"/>
  <c r="N208" i="17"/>
  <c r="ED207" i="17"/>
  <c r="DO207" i="17"/>
  <c r="CZ207" i="17"/>
  <c r="CK207" i="17"/>
  <c r="BV207" i="17"/>
  <c r="BG207" i="17"/>
  <c r="AR207" i="17"/>
  <c r="AC207" i="17"/>
  <c r="N207" i="17"/>
  <c r="ED206" i="17"/>
  <c r="DO206" i="17"/>
  <c r="CZ206" i="17"/>
  <c r="CK206" i="17"/>
  <c r="BV206" i="17"/>
  <c r="BG206" i="17"/>
  <c r="AR206" i="17"/>
  <c r="AC206" i="17"/>
  <c r="N206" i="17"/>
  <c r="ED205" i="17"/>
  <c r="DO205" i="17"/>
  <c r="CZ205" i="17"/>
  <c r="CK205" i="17"/>
  <c r="BV205" i="17"/>
  <c r="BG205" i="17"/>
  <c r="AR205" i="17"/>
  <c r="AC205" i="17"/>
  <c r="N205" i="17"/>
  <c r="ED204" i="17"/>
  <c r="DO204" i="17"/>
  <c r="CZ204" i="17"/>
  <c r="CK204" i="17"/>
  <c r="BV204" i="17"/>
  <c r="BG204" i="17"/>
  <c r="AR204" i="17"/>
  <c r="AC204" i="17"/>
  <c r="N204" i="17"/>
  <c r="ED203" i="17"/>
  <c r="DO203" i="17"/>
  <c r="CZ203" i="17"/>
  <c r="CK203" i="17"/>
  <c r="BV203" i="17"/>
  <c r="BG203" i="17"/>
  <c r="AR203" i="17"/>
  <c r="AC203" i="17"/>
  <c r="N203" i="17"/>
  <c r="ED202" i="17"/>
  <c r="DO202" i="17"/>
  <c r="CZ202" i="17"/>
  <c r="CK202" i="17"/>
  <c r="BV202" i="17"/>
  <c r="BG202" i="17"/>
  <c r="AR202" i="17"/>
  <c r="AC202" i="17"/>
  <c r="N202" i="17"/>
  <c r="ED201" i="17"/>
  <c r="DO201" i="17"/>
  <c r="CZ201" i="17"/>
  <c r="CK201" i="17"/>
  <c r="BV201" i="17"/>
  <c r="BG201" i="17"/>
  <c r="AR201" i="17"/>
  <c r="AC201" i="17"/>
  <c r="N201" i="17"/>
  <c r="ED200" i="17"/>
  <c r="DO200" i="17"/>
  <c r="CZ200" i="17"/>
  <c r="CK200" i="17"/>
  <c r="BV200" i="17"/>
  <c r="BG200" i="17"/>
  <c r="AR200" i="17"/>
  <c r="AC200" i="17"/>
  <c r="N200" i="17"/>
  <c r="ED199" i="17"/>
  <c r="DO199" i="17"/>
  <c r="CZ199" i="17"/>
  <c r="CK199" i="17"/>
  <c r="BV199" i="17"/>
  <c r="BG199" i="17"/>
  <c r="AR199" i="17"/>
  <c r="AC199" i="17"/>
  <c r="N199" i="17"/>
  <c r="ED198" i="17"/>
  <c r="DO198" i="17"/>
  <c r="CZ198" i="17"/>
  <c r="CK198" i="17"/>
  <c r="BV198" i="17"/>
  <c r="BG198" i="17"/>
  <c r="AR198" i="17"/>
  <c r="AC198" i="17"/>
  <c r="N198" i="17"/>
  <c r="ED197" i="17"/>
  <c r="DO197" i="17"/>
  <c r="CZ197" i="17"/>
  <c r="CK197" i="17"/>
  <c r="BV197" i="17"/>
  <c r="BG197" i="17"/>
  <c r="AR197" i="17"/>
  <c r="AC197" i="17"/>
  <c r="N197" i="17"/>
  <c r="ED196" i="17"/>
  <c r="DO196" i="17"/>
  <c r="CZ196" i="17"/>
  <c r="CK196" i="17"/>
  <c r="BV196" i="17"/>
  <c r="BG196" i="17"/>
  <c r="AR196" i="17"/>
  <c r="AC196" i="17"/>
  <c r="N196" i="17"/>
  <c r="ED195" i="17"/>
  <c r="DO195" i="17"/>
  <c r="CZ195" i="17"/>
  <c r="CK195" i="17"/>
  <c r="BV195" i="17"/>
  <c r="BG195" i="17"/>
  <c r="AR195" i="17"/>
  <c r="AC195" i="17"/>
  <c r="N195" i="17"/>
  <c r="ED194" i="17"/>
  <c r="DO194" i="17"/>
  <c r="CZ194" i="17"/>
  <c r="CK194" i="17"/>
  <c r="BV194" i="17"/>
  <c r="BG194" i="17"/>
  <c r="AR194" i="17"/>
  <c r="AC194" i="17"/>
  <c r="N194" i="17"/>
  <c r="ED193" i="17"/>
  <c r="DO193" i="17"/>
  <c r="CZ193" i="17"/>
  <c r="CK193" i="17"/>
  <c r="BV193" i="17"/>
  <c r="BG193" i="17"/>
  <c r="AR193" i="17"/>
  <c r="AC193" i="17"/>
  <c r="N193" i="17"/>
  <c r="ED192" i="17"/>
  <c r="DO192" i="17"/>
  <c r="CZ192" i="17"/>
  <c r="CK192" i="17"/>
  <c r="BV192" i="17"/>
  <c r="BG192" i="17"/>
  <c r="AR192" i="17"/>
  <c r="AC192" i="17"/>
  <c r="N192" i="17"/>
  <c r="ED188" i="17"/>
  <c r="DO188" i="17"/>
  <c r="CZ188" i="17"/>
  <c r="CK188" i="17"/>
  <c r="BV188" i="17"/>
  <c r="BG188" i="17"/>
  <c r="AR188" i="17"/>
  <c r="AC188" i="17"/>
  <c r="N188" i="17"/>
  <c r="ED187" i="17"/>
  <c r="DO187" i="17"/>
  <c r="CZ187" i="17"/>
  <c r="CK187" i="17"/>
  <c r="BV187" i="17"/>
  <c r="BG187" i="17"/>
  <c r="AR187" i="17"/>
  <c r="AC187" i="17"/>
  <c r="N187" i="17"/>
  <c r="ED186" i="17"/>
  <c r="DO186" i="17"/>
  <c r="CZ186" i="17"/>
  <c r="CK186" i="17"/>
  <c r="BV186" i="17"/>
  <c r="BG186" i="17"/>
  <c r="AR186" i="17"/>
  <c r="AC186" i="17"/>
  <c r="N186" i="17"/>
  <c r="ED185" i="17"/>
  <c r="DO185" i="17"/>
  <c r="CZ185" i="17"/>
  <c r="CK185" i="17"/>
  <c r="BV185" i="17"/>
  <c r="BG185" i="17"/>
  <c r="AR185" i="17"/>
  <c r="AC185" i="17"/>
  <c r="N185" i="17"/>
  <c r="ED184" i="17"/>
  <c r="DO184" i="17"/>
  <c r="CZ184" i="17"/>
  <c r="CK184" i="17"/>
  <c r="BV184" i="17"/>
  <c r="BG184" i="17"/>
  <c r="AR184" i="17"/>
  <c r="AC184" i="17"/>
  <c r="N184" i="17"/>
  <c r="ED183" i="17"/>
  <c r="DO183" i="17"/>
  <c r="CZ183" i="17"/>
  <c r="CK183" i="17"/>
  <c r="BV183" i="17"/>
  <c r="BG183" i="17"/>
  <c r="AR183" i="17"/>
  <c r="AC183" i="17"/>
  <c r="N183" i="17"/>
  <c r="ED182" i="17"/>
  <c r="DO182" i="17"/>
  <c r="CZ182" i="17"/>
  <c r="CK182" i="17"/>
  <c r="BV182" i="17"/>
  <c r="BG182" i="17"/>
  <c r="AR182" i="17"/>
  <c r="AC182" i="17"/>
  <c r="N182" i="17"/>
  <c r="ED181" i="17"/>
  <c r="DO181" i="17"/>
  <c r="CZ181" i="17"/>
  <c r="CK181" i="17"/>
  <c r="BV181" i="17"/>
  <c r="BG181" i="17"/>
  <c r="AR181" i="17"/>
  <c r="AC181" i="17"/>
  <c r="N181" i="17"/>
  <c r="ED180" i="17"/>
  <c r="DO180" i="17"/>
  <c r="CZ180" i="17"/>
  <c r="CK180" i="17"/>
  <c r="BV180" i="17"/>
  <c r="BG180" i="17"/>
  <c r="AR180" i="17"/>
  <c r="AC180" i="17"/>
  <c r="N180" i="17"/>
  <c r="ED179" i="17"/>
  <c r="DO179" i="17"/>
  <c r="CZ179" i="17"/>
  <c r="CK179" i="17"/>
  <c r="BV179" i="17"/>
  <c r="BG179" i="17"/>
  <c r="AR179" i="17"/>
  <c r="AC179" i="17"/>
  <c r="N179" i="17"/>
  <c r="ED178" i="17"/>
  <c r="DO178" i="17"/>
  <c r="CZ178" i="17"/>
  <c r="CK178" i="17"/>
  <c r="BV178" i="17"/>
  <c r="BG178" i="17"/>
  <c r="AR178" i="17"/>
  <c r="AC178" i="17"/>
  <c r="N178" i="17"/>
  <c r="ED177" i="17"/>
  <c r="DO177" i="17"/>
  <c r="CZ177" i="17"/>
  <c r="CK177" i="17"/>
  <c r="BV177" i="17"/>
  <c r="BG177" i="17"/>
  <c r="AR177" i="17"/>
  <c r="AC177" i="17"/>
  <c r="N177" i="17"/>
  <c r="ED176" i="17"/>
  <c r="DO176" i="17"/>
  <c r="CZ176" i="17"/>
  <c r="CK176" i="17"/>
  <c r="BV176" i="17"/>
  <c r="BG176" i="17"/>
  <c r="AR176" i="17"/>
  <c r="AC176" i="17"/>
  <c r="N176" i="17"/>
  <c r="ED175" i="17"/>
  <c r="DO175" i="17"/>
  <c r="CZ175" i="17"/>
  <c r="CK175" i="17"/>
  <c r="BV175" i="17"/>
  <c r="BG175" i="17"/>
  <c r="AR175" i="17"/>
  <c r="AC175" i="17"/>
  <c r="N175" i="17"/>
  <c r="ED174" i="17"/>
  <c r="DO174" i="17"/>
  <c r="CZ174" i="17"/>
  <c r="CK174" i="17"/>
  <c r="BV174" i="17"/>
  <c r="BG174" i="17"/>
  <c r="AR174" i="17"/>
  <c r="AC174" i="17"/>
  <c r="N174" i="17"/>
  <c r="ED173" i="17"/>
  <c r="DO173" i="17"/>
  <c r="CZ173" i="17"/>
  <c r="CK173" i="17"/>
  <c r="BV173" i="17"/>
  <c r="BG173" i="17"/>
  <c r="AR173" i="17"/>
  <c r="AC173" i="17"/>
  <c r="N173" i="17"/>
  <c r="ED172" i="17"/>
  <c r="DO172" i="17"/>
  <c r="CZ172" i="17"/>
  <c r="CK172" i="17"/>
  <c r="BV172" i="17"/>
  <c r="BG172" i="17"/>
  <c r="AR172" i="17"/>
  <c r="AC172" i="17"/>
  <c r="N172" i="17"/>
  <c r="ED171" i="17"/>
  <c r="DO171" i="17"/>
  <c r="CZ171" i="17"/>
  <c r="CK171" i="17"/>
  <c r="BV171" i="17"/>
  <c r="BG171" i="17"/>
  <c r="AR171" i="17"/>
  <c r="AC171" i="17"/>
  <c r="N171" i="17"/>
  <c r="ED167" i="17"/>
  <c r="DO167" i="17"/>
  <c r="CZ167" i="17"/>
  <c r="CK167" i="17"/>
  <c r="BV167" i="17"/>
  <c r="BG167" i="17"/>
  <c r="AR167" i="17"/>
  <c r="AC167" i="17"/>
  <c r="N167" i="17"/>
  <c r="ED166" i="17"/>
  <c r="DO166" i="17"/>
  <c r="CZ166" i="17"/>
  <c r="CK166" i="17"/>
  <c r="BV166" i="17"/>
  <c r="BG166" i="17"/>
  <c r="AR166" i="17"/>
  <c r="AC166" i="17"/>
  <c r="N166" i="17"/>
  <c r="ED165" i="17"/>
  <c r="DO165" i="17"/>
  <c r="CZ165" i="17"/>
  <c r="CK165" i="17"/>
  <c r="BV165" i="17"/>
  <c r="BG165" i="17"/>
  <c r="AR165" i="17"/>
  <c r="AC165" i="17"/>
  <c r="N165" i="17"/>
  <c r="ED164" i="17"/>
  <c r="DO164" i="17"/>
  <c r="CZ164" i="17"/>
  <c r="CK164" i="17"/>
  <c r="BV164" i="17"/>
  <c r="BG164" i="17"/>
  <c r="AR164" i="17"/>
  <c r="AC164" i="17"/>
  <c r="N164" i="17"/>
  <c r="ED163" i="17"/>
  <c r="DO163" i="17"/>
  <c r="CZ163" i="17"/>
  <c r="CK163" i="17"/>
  <c r="BV163" i="17"/>
  <c r="BG163" i="17"/>
  <c r="AR163" i="17"/>
  <c r="AC163" i="17"/>
  <c r="N163" i="17"/>
  <c r="ED162" i="17"/>
  <c r="DO162" i="17"/>
  <c r="CZ162" i="17"/>
  <c r="CK162" i="17"/>
  <c r="BV162" i="17"/>
  <c r="BG162" i="17"/>
  <c r="AR162" i="17"/>
  <c r="AC162" i="17"/>
  <c r="N162" i="17"/>
  <c r="ED161" i="17"/>
  <c r="DO161" i="17"/>
  <c r="CZ161" i="17"/>
  <c r="CK161" i="17"/>
  <c r="BV161" i="17"/>
  <c r="BG161" i="17"/>
  <c r="AR161" i="17"/>
  <c r="AC161" i="17"/>
  <c r="N161" i="17"/>
  <c r="ED160" i="17"/>
  <c r="DO160" i="17"/>
  <c r="CZ160" i="17"/>
  <c r="CK160" i="17"/>
  <c r="BV160" i="17"/>
  <c r="BG160" i="17"/>
  <c r="AR160" i="17"/>
  <c r="AC160" i="17"/>
  <c r="N160" i="17"/>
  <c r="ED159" i="17"/>
  <c r="DO159" i="17"/>
  <c r="CZ159" i="17"/>
  <c r="CK159" i="17"/>
  <c r="BV159" i="17"/>
  <c r="BG159" i="17"/>
  <c r="AR159" i="17"/>
  <c r="AC159" i="17"/>
  <c r="N159" i="17"/>
  <c r="ED158" i="17"/>
  <c r="DO158" i="17"/>
  <c r="CZ158" i="17"/>
  <c r="CK158" i="17"/>
  <c r="BV158" i="17"/>
  <c r="BG158" i="17"/>
  <c r="AR158" i="17"/>
  <c r="AC158" i="17"/>
  <c r="N158" i="17"/>
  <c r="ED157" i="17"/>
  <c r="DO157" i="17"/>
  <c r="CZ157" i="17"/>
  <c r="CK157" i="17"/>
  <c r="BV157" i="17"/>
  <c r="BG157" i="17"/>
  <c r="AR157" i="17"/>
  <c r="AC157" i="17"/>
  <c r="N157" i="17"/>
  <c r="ED156" i="17"/>
  <c r="DO156" i="17"/>
  <c r="CZ156" i="17"/>
  <c r="CK156" i="17"/>
  <c r="BV156" i="17"/>
  <c r="BG156" i="17"/>
  <c r="AR156" i="17"/>
  <c r="AC156" i="17"/>
  <c r="N156" i="17"/>
  <c r="ED155" i="17"/>
  <c r="DO155" i="17"/>
  <c r="CZ155" i="17"/>
  <c r="CK155" i="17"/>
  <c r="BV155" i="17"/>
  <c r="BG155" i="17"/>
  <c r="AR155" i="17"/>
  <c r="AC155" i="17"/>
  <c r="N155" i="17"/>
  <c r="ED154" i="17"/>
  <c r="DO154" i="17"/>
  <c r="CZ154" i="17"/>
  <c r="CK154" i="17"/>
  <c r="BV154" i="17"/>
  <c r="BG154" i="17"/>
  <c r="AR154" i="17"/>
  <c r="AC154" i="17"/>
  <c r="N154" i="17"/>
  <c r="ED153" i="17"/>
  <c r="DO153" i="17"/>
  <c r="CZ153" i="17"/>
  <c r="CK153" i="17"/>
  <c r="BV153" i="17"/>
  <c r="BG153" i="17"/>
  <c r="AR153" i="17"/>
  <c r="AC153" i="17"/>
  <c r="N153" i="17"/>
  <c r="ED152" i="17"/>
  <c r="DO152" i="17"/>
  <c r="CZ152" i="17"/>
  <c r="CK152" i="17"/>
  <c r="BV152" i="17"/>
  <c r="BG152" i="17"/>
  <c r="AR152" i="17"/>
  <c r="AC152" i="17"/>
  <c r="N152" i="17"/>
  <c r="ED151" i="17"/>
  <c r="DO151" i="17"/>
  <c r="CZ151" i="17"/>
  <c r="CK151" i="17"/>
  <c r="BV151" i="17"/>
  <c r="BG151" i="17"/>
  <c r="AR151" i="17"/>
  <c r="AC151" i="17"/>
  <c r="N151" i="17"/>
  <c r="ED150" i="17"/>
  <c r="DO150" i="17"/>
  <c r="CZ150" i="17"/>
  <c r="CK150" i="17"/>
  <c r="BV150" i="17"/>
  <c r="BG150" i="17"/>
  <c r="AR150" i="17"/>
  <c r="AC150" i="17"/>
  <c r="N150" i="17"/>
  <c r="ED146" i="17"/>
  <c r="DO146" i="17"/>
  <c r="CZ146" i="17"/>
  <c r="CK146" i="17"/>
  <c r="BV146" i="17"/>
  <c r="BG146" i="17"/>
  <c r="AR146" i="17"/>
  <c r="AC146" i="17"/>
  <c r="N146" i="17"/>
  <c r="ED145" i="17"/>
  <c r="DO145" i="17"/>
  <c r="CZ145" i="17"/>
  <c r="CK145" i="17"/>
  <c r="BV145" i="17"/>
  <c r="BG145" i="17"/>
  <c r="AR145" i="17"/>
  <c r="AC145" i="17"/>
  <c r="N145" i="17"/>
  <c r="ED144" i="17"/>
  <c r="DO144" i="17"/>
  <c r="CZ144" i="17"/>
  <c r="CK144" i="17"/>
  <c r="BV144" i="17"/>
  <c r="BG144" i="17"/>
  <c r="AR144" i="17"/>
  <c r="AC144" i="17"/>
  <c r="N144" i="17"/>
  <c r="ED143" i="17"/>
  <c r="DO143" i="17"/>
  <c r="CZ143" i="17"/>
  <c r="CK143" i="17"/>
  <c r="BV143" i="17"/>
  <c r="BG143" i="17"/>
  <c r="AR143" i="17"/>
  <c r="AC143" i="17"/>
  <c r="N143" i="17"/>
  <c r="ED142" i="17"/>
  <c r="DO142" i="17"/>
  <c r="CZ142" i="17"/>
  <c r="CK142" i="17"/>
  <c r="BV142" i="17"/>
  <c r="BG142" i="17"/>
  <c r="AR142" i="17"/>
  <c r="AC142" i="17"/>
  <c r="N142" i="17"/>
  <c r="ED141" i="17"/>
  <c r="DO141" i="17"/>
  <c r="CZ141" i="17"/>
  <c r="CK141" i="17"/>
  <c r="BV141" i="17"/>
  <c r="BG141" i="17"/>
  <c r="AR141" i="17"/>
  <c r="AC141" i="17"/>
  <c r="N141" i="17"/>
  <c r="ED140" i="17"/>
  <c r="DO140" i="17"/>
  <c r="CZ140" i="17"/>
  <c r="CK140" i="17"/>
  <c r="BV140" i="17"/>
  <c r="BG140" i="17"/>
  <c r="AR140" i="17"/>
  <c r="AC140" i="17"/>
  <c r="N140" i="17"/>
  <c r="ED139" i="17"/>
  <c r="DO139" i="17"/>
  <c r="CZ139" i="17"/>
  <c r="CK139" i="17"/>
  <c r="BV139" i="17"/>
  <c r="BG139" i="17"/>
  <c r="AR139" i="17"/>
  <c r="AC139" i="17"/>
  <c r="N139" i="17"/>
  <c r="ED138" i="17"/>
  <c r="DO138" i="17"/>
  <c r="CZ138" i="17"/>
  <c r="CK138" i="17"/>
  <c r="BV138" i="17"/>
  <c r="BG138" i="17"/>
  <c r="AR138" i="17"/>
  <c r="AC138" i="17"/>
  <c r="N138" i="17"/>
  <c r="ED137" i="17"/>
  <c r="DO137" i="17"/>
  <c r="CZ137" i="17"/>
  <c r="CK137" i="17"/>
  <c r="BV137" i="17"/>
  <c r="BG137" i="17"/>
  <c r="AR137" i="17"/>
  <c r="AC137" i="17"/>
  <c r="N137" i="17"/>
  <c r="ED136" i="17"/>
  <c r="DO136" i="17"/>
  <c r="CZ136" i="17"/>
  <c r="CK136" i="17"/>
  <c r="BV136" i="17"/>
  <c r="BG136" i="17"/>
  <c r="AR136" i="17"/>
  <c r="AC136" i="17"/>
  <c r="N136" i="17"/>
  <c r="ED135" i="17"/>
  <c r="DO135" i="17"/>
  <c r="CZ135" i="17"/>
  <c r="CK135" i="17"/>
  <c r="BV135" i="17"/>
  <c r="BG135" i="17"/>
  <c r="AR135" i="17"/>
  <c r="AC135" i="17"/>
  <c r="N135" i="17"/>
  <c r="ED134" i="17"/>
  <c r="DO134" i="17"/>
  <c r="CZ134" i="17"/>
  <c r="CK134" i="17"/>
  <c r="BV134" i="17"/>
  <c r="BG134" i="17"/>
  <c r="AR134" i="17"/>
  <c r="AC134" i="17"/>
  <c r="N134" i="17"/>
  <c r="ED133" i="17"/>
  <c r="DO133" i="17"/>
  <c r="CZ133" i="17"/>
  <c r="CK133" i="17"/>
  <c r="BV133" i="17"/>
  <c r="BG133" i="17"/>
  <c r="AR133" i="17"/>
  <c r="AC133" i="17"/>
  <c r="N133" i="17"/>
  <c r="ED132" i="17"/>
  <c r="DO132" i="17"/>
  <c r="CZ132" i="17"/>
  <c r="CK132" i="17"/>
  <c r="BV132" i="17"/>
  <c r="BG132" i="17"/>
  <c r="AR132" i="17"/>
  <c r="AC132" i="17"/>
  <c r="N132" i="17"/>
  <c r="ED131" i="17"/>
  <c r="DO131" i="17"/>
  <c r="CZ131" i="17"/>
  <c r="CK131" i="17"/>
  <c r="BV131" i="17"/>
  <c r="BG131" i="17"/>
  <c r="AR131" i="17"/>
  <c r="AC131" i="17"/>
  <c r="N131" i="17"/>
  <c r="ED130" i="17"/>
  <c r="DO130" i="17"/>
  <c r="CZ130" i="17"/>
  <c r="CK130" i="17"/>
  <c r="BV130" i="17"/>
  <c r="BG130" i="17"/>
  <c r="AR130" i="17"/>
  <c r="AC130" i="17"/>
  <c r="N130" i="17"/>
  <c r="ED129" i="17"/>
  <c r="DO129" i="17"/>
  <c r="CZ129" i="17"/>
  <c r="CK129" i="17"/>
  <c r="BV129" i="17"/>
  <c r="BG129" i="17"/>
  <c r="AR129" i="17"/>
  <c r="AC129" i="17"/>
  <c r="N129" i="17"/>
  <c r="ED125" i="17"/>
  <c r="DO125" i="17"/>
  <c r="CZ125" i="17"/>
  <c r="CK125" i="17"/>
  <c r="BV125" i="17"/>
  <c r="BG125" i="17"/>
  <c r="AR125" i="17"/>
  <c r="AC125" i="17"/>
  <c r="N125" i="17"/>
  <c r="ED124" i="17"/>
  <c r="DO124" i="17"/>
  <c r="CZ124" i="17"/>
  <c r="CK124" i="17"/>
  <c r="BV124" i="17"/>
  <c r="BG124" i="17"/>
  <c r="AR124" i="17"/>
  <c r="AC124" i="17"/>
  <c r="N124" i="17"/>
  <c r="ED123" i="17"/>
  <c r="DO123" i="17"/>
  <c r="CZ123" i="17"/>
  <c r="CK123" i="17"/>
  <c r="BV123" i="17"/>
  <c r="BG123" i="17"/>
  <c r="AR123" i="17"/>
  <c r="AC123" i="17"/>
  <c r="N123" i="17"/>
  <c r="ED122" i="17"/>
  <c r="DO122" i="17"/>
  <c r="CZ122" i="17"/>
  <c r="CK122" i="17"/>
  <c r="BV122" i="17"/>
  <c r="BG122" i="17"/>
  <c r="AR122" i="17"/>
  <c r="AC122" i="17"/>
  <c r="N122" i="17"/>
  <c r="ED121" i="17"/>
  <c r="DO121" i="17"/>
  <c r="CZ121" i="17"/>
  <c r="CK121" i="17"/>
  <c r="BV121" i="17"/>
  <c r="BG121" i="17"/>
  <c r="AR121" i="17"/>
  <c r="AC121" i="17"/>
  <c r="N121" i="17"/>
  <c r="ED120" i="17"/>
  <c r="DO120" i="17"/>
  <c r="CZ120" i="17"/>
  <c r="CK120" i="17"/>
  <c r="BV120" i="17"/>
  <c r="BG120" i="17"/>
  <c r="AR120" i="17"/>
  <c r="AC120" i="17"/>
  <c r="N120" i="17"/>
  <c r="ED119" i="17"/>
  <c r="DO119" i="17"/>
  <c r="CZ119" i="17"/>
  <c r="CK119" i="17"/>
  <c r="BV119" i="17"/>
  <c r="BG119" i="17"/>
  <c r="AR119" i="17"/>
  <c r="AC119" i="17"/>
  <c r="N119" i="17"/>
  <c r="ED118" i="17"/>
  <c r="DO118" i="17"/>
  <c r="CZ118" i="17"/>
  <c r="CK118" i="17"/>
  <c r="BV118" i="17"/>
  <c r="BG118" i="17"/>
  <c r="AR118" i="17"/>
  <c r="AC118" i="17"/>
  <c r="N118" i="17"/>
  <c r="ED117" i="17"/>
  <c r="DO117" i="17"/>
  <c r="CZ117" i="17"/>
  <c r="CK117" i="17"/>
  <c r="BV117" i="17"/>
  <c r="BG117" i="17"/>
  <c r="AR117" i="17"/>
  <c r="AC117" i="17"/>
  <c r="N117" i="17"/>
  <c r="ED116" i="17"/>
  <c r="DO116" i="17"/>
  <c r="CZ116" i="17"/>
  <c r="CK116" i="17"/>
  <c r="BV116" i="17"/>
  <c r="BG116" i="17"/>
  <c r="AR116" i="17"/>
  <c r="AC116" i="17"/>
  <c r="N116" i="17"/>
  <c r="ED115" i="17"/>
  <c r="DO115" i="17"/>
  <c r="CZ115" i="17"/>
  <c r="CK115" i="17"/>
  <c r="BV115" i="17"/>
  <c r="BG115" i="17"/>
  <c r="AR115" i="17"/>
  <c r="AC115" i="17"/>
  <c r="N115" i="17"/>
  <c r="ED114" i="17"/>
  <c r="DO114" i="17"/>
  <c r="CZ114" i="17"/>
  <c r="CK114" i="17"/>
  <c r="BV114" i="17"/>
  <c r="BG114" i="17"/>
  <c r="AR114" i="17"/>
  <c r="AC114" i="17"/>
  <c r="N114" i="17"/>
  <c r="ED113" i="17"/>
  <c r="DO113" i="17"/>
  <c r="CZ113" i="17"/>
  <c r="CK113" i="17"/>
  <c r="BV113" i="17"/>
  <c r="BG113" i="17"/>
  <c r="AR113" i="17"/>
  <c r="AC113" i="17"/>
  <c r="N113" i="17"/>
  <c r="ED112" i="17"/>
  <c r="DO112" i="17"/>
  <c r="CZ112" i="17"/>
  <c r="CK112" i="17"/>
  <c r="BV112" i="17"/>
  <c r="BG112" i="17"/>
  <c r="AR112" i="17"/>
  <c r="AC112" i="17"/>
  <c r="N112" i="17"/>
  <c r="ED111" i="17"/>
  <c r="DO111" i="17"/>
  <c r="CZ111" i="17"/>
  <c r="CK111" i="17"/>
  <c r="BV111" i="17"/>
  <c r="BG111" i="17"/>
  <c r="AR111" i="17"/>
  <c r="AC111" i="17"/>
  <c r="N111" i="17"/>
  <c r="ED110" i="17"/>
  <c r="DO110" i="17"/>
  <c r="CZ110" i="17"/>
  <c r="CK110" i="17"/>
  <c r="BV110" i="17"/>
  <c r="BG110" i="17"/>
  <c r="AR110" i="17"/>
  <c r="AC110" i="17"/>
  <c r="N110" i="17"/>
  <c r="ED109" i="17"/>
  <c r="DO109" i="17"/>
  <c r="CZ109" i="17"/>
  <c r="CK109" i="17"/>
  <c r="BV109" i="17"/>
  <c r="BG109" i="17"/>
  <c r="AR109" i="17"/>
  <c r="AC109" i="17"/>
  <c r="N109" i="17"/>
  <c r="ED108" i="17"/>
  <c r="DO108" i="17"/>
  <c r="CZ108" i="17"/>
  <c r="CK108" i="17"/>
  <c r="BV108" i="17"/>
  <c r="BG108" i="17"/>
  <c r="AR108" i="17"/>
  <c r="AC108" i="17"/>
  <c r="N108" i="17"/>
  <c r="ED104" i="17"/>
  <c r="DO104" i="17"/>
  <c r="CZ104" i="17"/>
  <c r="CK104" i="17"/>
  <c r="BV104" i="17"/>
  <c r="BG104" i="17"/>
  <c r="AR104" i="17"/>
  <c r="AC104" i="17"/>
  <c r="N104" i="17"/>
  <c r="ED103" i="17"/>
  <c r="DO103" i="17"/>
  <c r="CZ103" i="17"/>
  <c r="CK103" i="17"/>
  <c r="BV103" i="17"/>
  <c r="BG103" i="17"/>
  <c r="AR103" i="17"/>
  <c r="AC103" i="17"/>
  <c r="N103" i="17"/>
  <c r="ED102" i="17"/>
  <c r="DO102" i="17"/>
  <c r="CZ102" i="17"/>
  <c r="CK102" i="17"/>
  <c r="BV102" i="17"/>
  <c r="BG102" i="17"/>
  <c r="AR102" i="17"/>
  <c r="AC102" i="17"/>
  <c r="N102" i="17"/>
  <c r="ED101" i="17"/>
  <c r="DO101" i="17"/>
  <c r="CZ101" i="17"/>
  <c r="CK101" i="17"/>
  <c r="BV101" i="17"/>
  <c r="BG101" i="17"/>
  <c r="AR101" i="17"/>
  <c r="AC101" i="17"/>
  <c r="N101" i="17"/>
  <c r="ED100" i="17"/>
  <c r="DO100" i="17"/>
  <c r="CZ100" i="17"/>
  <c r="CK100" i="17"/>
  <c r="BV100" i="17"/>
  <c r="BG100" i="17"/>
  <c r="AR100" i="17"/>
  <c r="AC100" i="17"/>
  <c r="N100" i="17"/>
  <c r="ED99" i="17"/>
  <c r="DO99" i="17"/>
  <c r="CZ99" i="17"/>
  <c r="CK99" i="17"/>
  <c r="BV99" i="17"/>
  <c r="BG99" i="17"/>
  <c r="AR99" i="17"/>
  <c r="AC99" i="17"/>
  <c r="N99" i="17"/>
  <c r="ED98" i="17"/>
  <c r="DO98" i="17"/>
  <c r="CZ98" i="17"/>
  <c r="CK98" i="17"/>
  <c r="BV98" i="17"/>
  <c r="BG98" i="17"/>
  <c r="AR98" i="17"/>
  <c r="AC98" i="17"/>
  <c r="N98" i="17"/>
  <c r="ED97" i="17"/>
  <c r="DO97" i="17"/>
  <c r="CZ97" i="17"/>
  <c r="CK97" i="17"/>
  <c r="BV97" i="17"/>
  <c r="BG97" i="17"/>
  <c r="AR97" i="17"/>
  <c r="AC97" i="17"/>
  <c r="N97" i="17"/>
  <c r="ED96" i="17"/>
  <c r="DO96" i="17"/>
  <c r="CZ96" i="17"/>
  <c r="CK96" i="17"/>
  <c r="BV96" i="17"/>
  <c r="BG96" i="17"/>
  <c r="AR96" i="17"/>
  <c r="AC96" i="17"/>
  <c r="N96" i="17"/>
  <c r="ED95" i="17"/>
  <c r="DO95" i="17"/>
  <c r="CZ95" i="17"/>
  <c r="CK95" i="17"/>
  <c r="BV95" i="17"/>
  <c r="BG95" i="17"/>
  <c r="AR95" i="17"/>
  <c r="AC95" i="17"/>
  <c r="N95" i="17"/>
  <c r="ED94" i="17"/>
  <c r="DO94" i="17"/>
  <c r="CZ94" i="17"/>
  <c r="CK94" i="17"/>
  <c r="BV94" i="17"/>
  <c r="BG94" i="17"/>
  <c r="AR94" i="17"/>
  <c r="AC94" i="17"/>
  <c r="N94" i="17"/>
  <c r="ED93" i="17"/>
  <c r="DO93" i="17"/>
  <c r="CZ93" i="17"/>
  <c r="CK93" i="17"/>
  <c r="BV93" i="17"/>
  <c r="BG93" i="17"/>
  <c r="AR93" i="17"/>
  <c r="AC93" i="17"/>
  <c r="N93" i="17"/>
  <c r="ED92" i="17"/>
  <c r="DO92" i="17"/>
  <c r="CZ92" i="17"/>
  <c r="CK92" i="17"/>
  <c r="BV92" i="17"/>
  <c r="BG92" i="17"/>
  <c r="AR92" i="17"/>
  <c r="AC92" i="17"/>
  <c r="N92" i="17"/>
  <c r="ED91" i="17"/>
  <c r="DO91" i="17"/>
  <c r="CZ91" i="17"/>
  <c r="CK91" i="17"/>
  <c r="BV91" i="17"/>
  <c r="BG91" i="17"/>
  <c r="AR91" i="17"/>
  <c r="AC91" i="17"/>
  <c r="N91" i="17"/>
  <c r="ED90" i="17"/>
  <c r="DO90" i="17"/>
  <c r="CZ90" i="17"/>
  <c r="CK90" i="17"/>
  <c r="BV90" i="17"/>
  <c r="BG90" i="17"/>
  <c r="AR90" i="17"/>
  <c r="AC90" i="17"/>
  <c r="N90" i="17"/>
  <c r="ED89" i="17"/>
  <c r="DO89" i="17"/>
  <c r="CZ89" i="17"/>
  <c r="CK89" i="17"/>
  <c r="BV89" i="17"/>
  <c r="BG89" i="17"/>
  <c r="AR89" i="17"/>
  <c r="AC89" i="17"/>
  <c r="N89" i="17"/>
  <c r="ED88" i="17"/>
  <c r="DO88" i="17"/>
  <c r="CZ88" i="17"/>
  <c r="CK88" i="17"/>
  <c r="BV88" i="17"/>
  <c r="BG88" i="17"/>
  <c r="AR88" i="17"/>
  <c r="AC88" i="17"/>
  <c r="N88" i="17"/>
  <c r="ED87" i="17"/>
  <c r="DO87" i="17"/>
  <c r="CZ87" i="17"/>
  <c r="CK87" i="17"/>
  <c r="BV87" i="17"/>
  <c r="BG87" i="17"/>
  <c r="AR87" i="17"/>
  <c r="AC87" i="17"/>
  <c r="N87" i="17"/>
  <c r="ED83" i="17"/>
  <c r="DO83" i="17"/>
  <c r="CZ83" i="17"/>
  <c r="CK83" i="17"/>
  <c r="BV83" i="17"/>
  <c r="BG83" i="17"/>
  <c r="AR83" i="17"/>
  <c r="AC83" i="17"/>
  <c r="N83" i="17"/>
  <c r="ED82" i="17"/>
  <c r="DO82" i="17"/>
  <c r="CZ82" i="17"/>
  <c r="CK82" i="17"/>
  <c r="BV82" i="17"/>
  <c r="BG82" i="17"/>
  <c r="AR82" i="17"/>
  <c r="AC82" i="17"/>
  <c r="N82" i="17"/>
  <c r="ED81" i="17"/>
  <c r="DO81" i="17"/>
  <c r="CZ81" i="17"/>
  <c r="CK81" i="17"/>
  <c r="BV81" i="17"/>
  <c r="BG81" i="17"/>
  <c r="AR81" i="17"/>
  <c r="AC81" i="17"/>
  <c r="N81" i="17"/>
  <c r="ED80" i="17"/>
  <c r="DO80" i="17"/>
  <c r="CZ80" i="17"/>
  <c r="CK80" i="17"/>
  <c r="BV80" i="17"/>
  <c r="BG80" i="17"/>
  <c r="AR80" i="17"/>
  <c r="AC80" i="17"/>
  <c r="N80" i="17"/>
  <c r="ED79" i="17"/>
  <c r="DO79" i="17"/>
  <c r="CZ79" i="17"/>
  <c r="CK79" i="17"/>
  <c r="BV79" i="17"/>
  <c r="BG79" i="17"/>
  <c r="AR79" i="17"/>
  <c r="AC79" i="17"/>
  <c r="N79" i="17"/>
  <c r="ED78" i="17"/>
  <c r="DO78" i="17"/>
  <c r="CZ78" i="17"/>
  <c r="CK78" i="17"/>
  <c r="BV78" i="17"/>
  <c r="BG78" i="17"/>
  <c r="AR78" i="17"/>
  <c r="AC78" i="17"/>
  <c r="N78" i="17"/>
  <c r="ED77" i="17"/>
  <c r="DO77" i="17"/>
  <c r="CZ77" i="17"/>
  <c r="CK77" i="17"/>
  <c r="BV77" i="17"/>
  <c r="BG77" i="17"/>
  <c r="AR77" i="17"/>
  <c r="AC77" i="17"/>
  <c r="N77" i="17"/>
  <c r="ED76" i="17"/>
  <c r="DO76" i="17"/>
  <c r="CZ76" i="17"/>
  <c r="CK76" i="17"/>
  <c r="BV76" i="17"/>
  <c r="BG76" i="17"/>
  <c r="AR76" i="17"/>
  <c r="AC76" i="17"/>
  <c r="N76" i="17"/>
  <c r="ED75" i="17"/>
  <c r="DO75" i="17"/>
  <c r="CZ75" i="17"/>
  <c r="CK75" i="17"/>
  <c r="BV75" i="17"/>
  <c r="BG75" i="17"/>
  <c r="AR75" i="17"/>
  <c r="AC75" i="17"/>
  <c r="N75" i="17"/>
  <c r="ED74" i="17"/>
  <c r="DO74" i="17"/>
  <c r="CZ74" i="17"/>
  <c r="CK74" i="17"/>
  <c r="BV74" i="17"/>
  <c r="BG74" i="17"/>
  <c r="AR74" i="17"/>
  <c r="AC74" i="17"/>
  <c r="N74" i="17"/>
  <c r="ED73" i="17"/>
  <c r="DO73" i="17"/>
  <c r="CZ73" i="17"/>
  <c r="CK73" i="17"/>
  <c r="BV73" i="17"/>
  <c r="BG73" i="17"/>
  <c r="AR73" i="17"/>
  <c r="AC73" i="17"/>
  <c r="N73" i="17"/>
  <c r="ED72" i="17"/>
  <c r="DO72" i="17"/>
  <c r="CZ72" i="17"/>
  <c r="CK72" i="17"/>
  <c r="BV72" i="17"/>
  <c r="BG72" i="17"/>
  <c r="AR72" i="17"/>
  <c r="AC72" i="17"/>
  <c r="N72" i="17"/>
  <c r="ED71" i="17"/>
  <c r="DO71" i="17"/>
  <c r="CZ71" i="17"/>
  <c r="CK71" i="17"/>
  <c r="BV71" i="17"/>
  <c r="BG71" i="17"/>
  <c r="AR71" i="17"/>
  <c r="AC71" i="17"/>
  <c r="N71" i="17"/>
  <c r="ED70" i="17"/>
  <c r="DO70" i="17"/>
  <c r="CZ70" i="17"/>
  <c r="CK70" i="17"/>
  <c r="BV70" i="17"/>
  <c r="BG70" i="17"/>
  <c r="AR70" i="17"/>
  <c r="AC70" i="17"/>
  <c r="N70" i="17"/>
  <c r="ED69" i="17"/>
  <c r="DO69" i="17"/>
  <c r="CZ69" i="17"/>
  <c r="CK69" i="17"/>
  <c r="BV69" i="17"/>
  <c r="BG69" i="17"/>
  <c r="AR69" i="17"/>
  <c r="AC69" i="17"/>
  <c r="N69" i="17"/>
  <c r="ED68" i="17"/>
  <c r="DO68" i="17"/>
  <c r="CZ68" i="17"/>
  <c r="CK68" i="17"/>
  <c r="BV68" i="17"/>
  <c r="BG68" i="17"/>
  <c r="AR68" i="17"/>
  <c r="AC68" i="17"/>
  <c r="N68" i="17"/>
  <c r="ED67" i="17"/>
  <c r="DO67" i="17"/>
  <c r="CZ67" i="17"/>
  <c r="CK67" i="17"/>
  <c r="BV67" i="17"/>
  <c r="BG67" i="17"/>
  <c r="AR67" i="17"/>
  <c r="AC67" i="17"/>
  <c r="N67" i="17"/>
  <c r="ED66" i="17"/>
  <c r="DO66" i="17"/>
  <c r="CZ66" i="17"/>
  <c r="CK66" i="17"/>
  <c r="BV66" i="17"/>
  <c r="BG66" i="17"/>
  <c r="AR66" i="17"/>
  <c r="AC66" i="17"/>
  <c r="N66" i="17"/>
  <c r="ED62" i="17"/>
  <c r="DO62" i="17"/>
  <c r="CZ62" i="17"/>
  <c r="CK62" i="17"/>
  <c r="BV62" i="17"/>
  <c r="BG62" i="17"/>
  <c r="AR62" i="17"/>
  <c r="AC62" i="17"/>
  <c r="N62" i="17"/>
  <c r="ED61" i="17"/>
  <c r="DO61" i="17"/>
  <c r="CZ61" i="17"/>
  <c r="CK61" i="17"/>
  <c r="BV61" i="17"/>
  <c r="BG61" i="17"/>
  <c r="AR61" i="17"/>
  <c r="AC61" i="17"/>
  <c r="N61" i="17"/>
  <c r="ED60" i="17"/>
  <c r="DO60" i="17"/>
  <c r="CZ60" i="17"/>
  <c r="CK60" i="17"/>
  <c r="BV60" i="17"/>
  <c r="BG60" i="17"/>
  <c r="AR60" i="17"/>
  <c r="AC60" i="17"/>
  <c r="N60" i="17"/>
  <c r="ED59" i="17"/>
  <c r="DO59" i="17"/>
  <c r="CZ59" i="17"/>
  <c r="CK59" i="17"/>
  <c r="BV59" i="17"/>
  <c r="BG59" i="17"/>
  <c r="AR59" i="17"/>
  <c r="AC59" i="17"/>
  <c r="N59" i="17"/>
  <c r="ED58" i="17"/>
  <c r="DO58" i="17"/>
  <c r="CZ58" i="17"/>
  <c r="CK58" i="17"/>
  <c r="BV58" i="17"/>
  <c r="BG58" i="17"/>
  <c r="AR58" i="17"/>
  <c r="AC58" i="17"/>
  <c r="N58" i="17"/>
  <c r="ED57" i="17"/>
  <c r="DO57" i="17"/>
  <c r="CZ57" i="17"/>
  <c r="CK57" i="17"/>
  <c r="BV57" i="17"/>
  <c r="BG57" i="17"/>
  <c r="AR57" i="17"/>
  <c r="AC57" i="17"/>
  <c r="N57" i="17"/>
  <c r="ED56" i="17"/>
  <c r="DO56" i="17"/>
  <c r="CZ56" i="17"/>
  <c r="CK56" i="17"/>
  <c r="BV56" i="17"/>
  <c r="BG56" i="17"/>
  <c r="AR56" i="17"/>
  <c r="AC56" i="17"/>
  <c r="N56" i="17"/>
  <c r="ED55" i="17"/>
  <c r="DO55" i="17"/>
  <c r="CZ55" i="17"/>
  <c r="CK55" i="17"/>
  <c r="BV55" i="17"/>
  <c r="BG55" i="17"/>
  <c r="AR55" i="17"/>
  <c r="AC55" i="17"/>
  <c r="N55" i="17"/>
  <c r="ED54" i="17"/>
  <c r="DO54" i="17"/>
  <c r="CZ54" i="17"/>
  <c r="CK54" i="17"/>
  <c r="BV54" i="17"/>
  <c r="BG54" i="17"/>
  <c r="AR54" i="17"/>
  <c r="AC54" i="17"/>
  <c r="N54" i="17"/>
  <c r="ED53" i="17"/>
  <c r="DO53" i="17"/>
  <c r="CZ53" i="17"/>
  <c r="CK53" i="17"/>
  <c r="BV53" i="17"/>
  <c r="BG53" i="17"/>
  <c r="AR53" i="17"/>
  <c r="AC53" i="17"/>
  <c r="N53" i="17"/>
  <c r="ED52" i="17"/>
  <c r="DO52" i="17"/>
  <c r="CZ52" i="17"/>
  <c r="CK52" i="17"/>
  <c r="BV52" i="17"/>
  <c r="BG52" i="17"/>
  <c r="AR52" i="17"/>
  <c r="AC52" i="17"/>
  <c r="N52" i="17"/>
  <c r="ED51" i="17"/>
  <c r="DO51" i="17"/>
  <c r="CZ51" i="17"/>
  <c r="CK51" i="17"/>
  <c r="BV51" i="17"/>
  <c r="BG51" i="17"/>
  <c r="AR51" i="17"/>
  <c r="AC51" i="17"/>
  <c r="N51" i="17"/>
  <c r="ED50" i="17"/>
  <c r="DO50" i="17"/>
  <c r="CZ50" i="17"/>
  <c r="CK50" i="17"/>
  <c r="BV50" i="17"/>
  <c r="BG50" i="17"/>
  <c r="AR50" i="17"/>
  <c r="AC50" i="17"/>
  <c r="N50" i="17"/>
  <c r="ED49" i="17"/>
  <c r="DO49" i="17"/>
  <c r="CZ49" i="17"/>
  <c r="CK49" i="17"/>
  <c r="BV49" i="17"/>
  <c r="BG49" i="17"/>
  <c r="AR49" i="17"/>
  <c r="AC49" i="17"/>
  <c r="N49" i="17"/>
  <c r="ED48" i="17"/>
  <c r="DO48" i="17"/>
  <c r="CZ48" i="17"/>
  <c r="CK48" i="17"/>
  <c r="BV48" i="17"/>
  <c r="BG48" i="17"/>
  <c r="AR48" i="17"/>
  <c r="AC48" i="17"/>
  <c r="N48" i="17"/>
  <c r="ED47" i="17"/>
  <c r="DO47" i="17"/>
  <c r="CZ47" i="17"/>
  <c r="CK47" i="17"/>
  <c r="BV47" i="17"/>
  <c r="BG47" i="17"/>
  <c r="AR47" i="17"/>
  <c r="AC47" i="17"/>
  <c r="N47" i="17"/>
  <c r="ED46" i="17"/>
  <c r="DO46" i="17"/>
  <c r="CZ46" i="17"/>
  <c r="CK46" i="17"/>
  <c r="BV46" i="17"/>
  <c r="BG46" i="17"/>
  <c r="AR46" i="17"/>
  <c r="AC46" i="17"/>
  <c r="N46" i="17"/>
  <c r="ED45" i="17"/>
  <c r="DO45" i="17"/>
  <c r="CZ45" i="17"/>
  <c r="CK45" i="17"/>
  <c r="BV45" i="17"/>
  <c r="BG45" i="17"/>
  <c r="AR45" i="17"/>
  <c r="AC45" i="17"/>
  <c r="N45" i="17"/>
  <c r="ED41" i="17"/>
  <c r="DO41" i="17"/>
  <c r="CZ41" i="17"/>
  <c r="CK41" i="17"/>
  <c r="BV41" i="17"/>
  <c r="BG41" i="17"/>
  <c r="AR41" i="17"/>
  <c r="AC41" i="17"/>
  <c r="N41" i="17"/>
  <c r="ED40" i="17"/>
  <c r="DO40" i="17"/>
  <c r="CZ40" i="17"/>
  <c r="CK40" i="17"/>
  <c r="BV40" i="17"/>
  <c r="BG40" i="17"/>
  <c r="AR40" i="17"/>
  <c r="AC40" i="17"/>
  <c r="N40" i="17"/>
  <c r="ED39" i="17"/>
  <c r="DO39" i="17"/>
  <c r="CZ39" i="17"/>
  <c r="CK39" i="17"/>
  <c r="BV39" i="17"/>
  <c r="BG39" i="17"/>
  <c r="AR39" i="17"/>
  <c r="AC39" i="17"/>
  <c r="N39" i="17"/>
  <c r="ED38" i="17"/>
  <c r="DO38" i="17"/>
  <c r="CZ38" i="17"/>
  <c r="CK38" i="17"/>
  <c r="BV38" i="17"/>
  <c r="BG38" i="17"/>
  <c r="AR38" i="17"/>
  <c r="AC38" i="17"/>
  <c r="N38" i="17"/>
  <c r="ED37" i="17"/>
  <c r="DO37" i="17"/>
  <c r="CZ37" i="17"/>
  <c r="CK37" i="17"/>
  <c r="BV37" i="17"/>
  <c r="BG37" i="17"/>
  <c r="AR37" i="17"/>
  <c r="AC37" i="17"/>
  <c r="N37" i="17"/>
  <c r="ED36" i="17"/>
  <c r="DO36" i="17"/>
  <c r="CZ36" i="17"/>
  <c r="CK36" i="17"/>
  <c r="BV36" i="17"/>
  <c r="BG36" i="17"/>
  <c r="AR36" i="17"/>
  <c r="AC36" i="17"/>
  <c r="N36" i="17"/>
  <c r="ED35" i="17"/>
  <c r="DO35" i="17"/>
  <c r="CZ35" i="17"/>
  <c r="CK35" i="17"/>
  <c r="BV35" i="17"/>
  <c r="BG35" i="17"/>
  <c r="AR35" i="17"/>
  <c r="AC35" i="17"/>
  <c r="N35" i="17"/>
  <c r="ED34" i="17"/>
  <c r="DO34" i="17"/>
  <c r="CZ34" i="17"/>
  <c r="CK34" i="17"/>
  <c r="BV34" i="17"/>
  <c r="BG34" i="17"/>
  <c r="AR34" i="17"/>
  <c r="AC34" i="17"/>
  <c r="N34" i="17"/>
  <c r="ED33" i="17"/>
  <c r="DO33" i="17"/>
  <c r="CZ33" i="17"/>
  <c r="CK33" i="17"/>
  <c r="BV33" i="17"/>
  <c r="BG33" i="17"/>
  <c r="AR33" i="17"/>
  <c r="AC33" i="17"/>
  <c r="N33" i="17"/>
  <c r="ED32" i="17"/>
  <c r="DO32" i="17"/>
  <c r="CZ32" i="17"/>
  <c r="CK32" i="17"/>
  <c r="BV32" i="17"/>
  <c r="BG32" i="17"/>
  <c r="AR32" i="17"/>
  <c r="AC32" i="17"/>
  <c r="N32" i="17"/>
  <c r="ED31" i="17"/>
  <c r="DO31" i="17"/>
  <c r="CZ31" i="17"/>
  <c r="CK31" i="17"/>
  <c r="BV31" i="17"/>
  <c r="BG31" i="17"/>
  <c r="AR31" i="17"/>
  <c r="AC31" i="17"/>
  <c r="N31" i="17"/>
  <c r="ED30" i="17"/>
  <c r="DO30" i="17"/>
  <c r="CZ30" i="17"/>
  <c r="CK30" i="17"/>
  <c r="BV30" i="17"/>
  <c r="BG30" i="17"/>
  <c r="AR30" i="17"/>
  <c r="AC30" i="17"/>
  <c r="N30" i="17"/>
  <c r="ED29" i="17"/>
  <c r="DO29" i="17"/>
  <c r="CZ29" i="17"/>
  <c r="CK29" i="17"/>
  <c r="BV29" i="17"/>
  <c r="BG29" i="17"/>
  <c r="AR29" i="17"/>
  <c r="AC29" i="17"/>
  <c r="N29" i="17"/>
  <c r="ED28" i="17"/>
  <c r="DO28" i="17"/>
  <c r="CZ28" i="17"/>
  <c r="CK28" i="17"/>
  <c r="BV28" i="17"/>
  <c r="BG28" i="17"/>
  <c r="AR28" i="17"/>
  <c r="AC28" i="17"/>
  <c r="N28" i="17"/>
  <c r="ED27" i="17"/>
  <c r="DO27" i="17"/>
  <c r="CZ27" i="17"/>
  <c r="CK27" i="17"/>
  <c r="BV27" i="17"/>
  <c r="BG27" i="17"/>
  <c r="AR27" i="17"/>
  <c r="AC27" i="17"/>
  <c r="N27" i="17"/>
  <c r="ED26" i="17"/>
  <c r="DO26" i="17"/>
  <c r="CZ26" i="17"/>
  <c r="CK26" i="17"/>
  <c r="BV26" i="17"/>
  <c r="BG26" i="17"/>
  <c r="AR26" i="17"/>
  <c r="AC26" i="17"/>
  <c r="N26" i="17"/>
  <c r="ED25" i="17"/>
  <c r="DO25" i="17"/>
  <c r="CZ25" i="17"/>
  <c r="CK25" i="17"/>
  <c r="BV25" i="17"/>
  <c r="BG25" i="17"/>
  <c r="AR25" i="17"/>
  <c r="AC25" i="17"/>
  <c r="N25" i="17"/>
  <c r="ED24" i="17"/>
  <c r="DO24" i="17"/>
  <c r="CZ24" i="17"/>
  <c r="CK24" i="17"/>
  <c r="BV24" i="17"/>
  <c r="BG24" i="17"/>
  <c r="AR24" i="17"/>
  <c r="AC24" i="17"/>
  <c r="N24" i="17"/>
  <c r="ED20" i="17"/>
  <c r="DO20" i="17"/>
  <c r="CZ20" i="17"/>
  <c r="CK20" i="17"/>
  <c r="BV20" i="17"/>
  <c r="BG20" i="17"/>
  <c r="AR20" i="17"/>
  <c r="AC20" i="17"/>
  <c r="N20" i="17"/>
  <c r="ED19" i="17"/>
  <c r="DO19" i="17"/>
  <c r="CZ19" i="17"/>
  <c r="CK19" i="17"/>
  <c r="BV19" i="17"/>
  <c r="BG19" i="17"/>
  <c r="AR19" i="17"/>
  <c r="AC19" i="17"/>
  <c r="N19" i="17"/>
  <c r="ED18" i="17"/>
  <c r="DO18" i="17"/>
  <c r="CZ18" i="17"/>
  <c r="CK18" i="17"/>
  <c r="BV18" i="17"/>
  <c r="BG18" i="17"/>
  <c r="AR18" i="17"/>
  <c r="AC18" i="17"/>
  <c r="N18" i="17"/>
  <c r="ED17" i="17"/>
  <c r="DO17" i="17"/>
  <c r="CZ17" i="17"/>
  <c r="CK17" i="17"/>
  <c r="BV17" i="17"/>
  <c r="BG17" i="17"/>
  <c r="AR17" i="17"/>
  <c r="AC17" i="17"/>
  <c r="N17" i="17"/>
  <c r="ED16" i="17"/>
  <c r="DO16" i="17"/>
  <c r="CZ16" i="17"/>
  <c r="CK16" i="17"/>
  <c r="BV16" i="17"/>
  <c r="BG16" i="17"/>
  <c r="AR16" i="17"/>
  <c r="AC16" i="17"/>
  <c r="N16" i="17"/>
  <c r="ED15" i="17"/>
  <c r="DO15" i="17"/>
  <c r="CZ15" i="17"/>
  <c r="CK15" i="17"/>
  <c r="BV15" i="17"/>
  <c r="BG15" i="17"/>
  <c r="AR15" i="17"/>
  <c r="AC15" i="17"/>
  <c r="N15" i="17"/>
  <c r="ED14" i="17"/>
  <c r="DO14" i="17"/>
  <c r="CZ14" i="17"/>
  <c r="CK14" i="17"/>
  <c r="BV14" i="17"/>
  <c r="BG14" i="17"/>
  <c r="AR14" i="17"/>
  <c r="AC14" i="17"/>
  <c r="N14" i="17"/>
  <c r="ED13" i="17"/>
  <c r="DO13" i="17"/>
  <c r="CZ13" i="17"/>
  <c r="CK13" i="17"/>
  <c r="BV13" i="17"/>
  <c r="BG13" i="17"/>
  <c r="AR13" i="17"/>
  <c r="AC13" i="17"/>
  <c r="N13" i="17"/>
  <c r="ED12" i="17"/>
  <c r="DO12" i="17"/>
  <c r="CZ12" i="17"/>
  <c r="CK12" i="17"/>
  <c r="BV12" i="17"/>
  <c r="BG12" i="17"/>
  <c r="AR12" i="17"/>
  <c r="AC12" i="17"/>
  <c r="N12" i="17"/>
  <c r="ED11" i="17"/>
  <c r="DO11" i="17"/>
  <c r="CZ11" i="17"/>
  <c r="CK11" i="17"/>
  <c r="BV11" i="17"/>
  <c r="BG11" i="17"/>
  <c r="AR11" i="17"/>
  <c r="AC11" i="17"/>
  <c r="N11" i="17"/>
  <c r="ED10" i="17"/>
  <c r="DO10" i="17"/>
  <c r="CZ10" i="17"/>
  <c r="CK10" i="17"/>
  <c r="BV10" i="17"/>
  <c r="BG10" i="17"/>
  <c r="AR10" i="17"/>
  <c r="AC10" i="17"/>
  <c r="N10" i="17"/>
  <c r="ED9" i="17"/>
  <c r="DO9" i="17"/>
  <c r="CZ9" i="17"/>
  <c r="CK9" i="17"/>
  <c r="BV9" i="17"/>
  <c r="BG9" i="17"/>
  <c r="AR9" i="17"/>
  <c r="AC9" i="17"/>
  <c r="N9" i="17"/>
  <c r="ED8" i="17"/>
  <c r="DO8" i="17"/>
  <c r="CZ8" i="17"/>
  <c r="CK8" i="17"/>
  <c r="BV8" i="17"/>
  <c r="BG8" i="17"/>
  <c r="AR8" i="17"/>
  <c r="AC8" i="17"/>
  <c r="N8" i="17"/>
  <c r="ED7" i="17"/>
  <c r="DO7" i="17"/>
  <c r="CZ7" i="17"/>
  <c r="CK7" i="17"/>
  <c r="BV7" i="17"/>
  <c r="BG7" i="17"/>
  <c r="AR7" i="17"/>
  <c r="AC7" i="17"/>
  <c r="N7" i="17"/>
  <c r="ED6" i="17"/>
  <c r="DO6" i="17"/>
  <c r="CZ6" i="17"/>
  <c r="CK6" i="17"/>
  <c r="BV6" i="17"/>
  <c r="BG6" i="17"/>
  <c r="AR6" i="17"/>
  <c r="AC6" i="17"/>
  <c r="N6" i="17"/>
  <c r="ED5" i="17"/>
  <c r="DO5" i="17"/>
  <c r="CZ5" i="17"/>
  <c r="CK5" i="17"/>
  <c r="BV5" i="17"/>
  <c r="BG5" i="17"/>
  <c r="AR5" i="17"/>
  <c r="AC5" i="17"/>
  <c r="N5" i="17"/>
  <c r="ED4" i="17"/>
  <c r="DO4" i="17"/>
  <c r="CZ4" i="17"/>
  <c r="CK4" i="17"/>
  <c r="BV4" i="17"/>
  <c r="BG4" i="17"/>
  <c r="AR4" i="17"/>
  <c r="AC4" i="17"/>
  <c r="N4" i="17"/>
  <c r="ED3" i="17"/>
  <c r="DO3" i="17"/>
  <c r="CZ3" i="17"/>
  <c r="CK3" i="17"/>
  <c r="BV3" i="17"/>
  <c r="BG3" i="17"/>
  <c r="AR3" i="17"/>
  <c r="AC3" i="17"/>
  <c r="N3" i="17"/>
  <c r="I2" i="13"/>
  <c r="J2" i="13"/>
  <c r="I3" i="13"/>
  <c r="J3" i="13"/>
  <c r="I4" i="13"/>
  <c r="J4" i="13"/>
  <c r="I5" i="13"/>
  <c r="J5" i="13"/>
  <c r="I6" i="13"/>
  <c r="J6" i="13"/>
  <c r="I7" i="13"/>
  <c r="J7" i="13"/>
  <c r="I8" i="13"/>
  <c r="J8" i="13"/>
  <c r="H8" i="13"/>
  <c r="H7" i="13"/>
  <c r="H6" i="13"/>
  <c r="H5" i="13"/>
  <c r="H4" i="13"/>
  <c r="H3" i="13"/>
  <c r="H2" i="13"/>
  <c r="J223" i="11"/>
  <c r="M223" i="11"/>
  <c r="P223" i="11"/>
  <c r="S223" i="11"/>
  <c r="V223" i="11"/>
  <c r="Y223" i="11"/>
  <c r="J224" i="11"/>
  <c r="M224" i="11"/>
  <c r="P224" i="11"/>
  <c r="S224" i="11"/>
  <c r="V224" i="11"/>
  <c r="Y224" i="11"/>
  <c r="J225" i="11"/>
  <c r="M225" i="11"/>
  <c r="P225" i="11"/>
  <c r="S225" i="11"/>
  <c r="V225" i="11"/>
  <c r="Y225" i="11"/>
  <c r="J226" i="11"/>
  <c r="M226" i="11"/>
  <c r="P226" i="11"/>
  <c r="S226" i="11"/>
  <c r="V226" i="11"/>
  <c r="Y226" i="11"/>
  <c r="J227" i="11"/>
  <c r="M227" i="11"/>
  <c r="P227" i="11"/>
  <c r="S227" i="11"/>
  <c r="V227" i="11"/>
  <c r="Y227" i="11"/>
  <c r="J228" i="11"/>
  <c r="M228" i="11"/>
  <c r="P228" i="11"/>
  <c r="S228" i="11"/>
  <c r="V228" i="11"/>
  <c r="Y228" i="11"/>
  <c r="J229" i="11"/>
  <c r="M229" i="11"/>
  <c r="P229" i="11"/>
  <c r="S229" i="11"/>
  <c r="V229" i="11"/>
  <c r="Y229" i="11"/>
  <c r="J230" i="11"/>
  <c r="M230" i="11"/>
  <c r="P230" i="11"/>
  <c r="S230" i="11"/>
  <c r="V230" i="11"/>
  <c r="Y230" i="11"/>
  <c r="J231" i="11"/>
  <c r="M231" i="11"/>
  <c r="P231" i="11"/>
  <c r="S231" i="11"/>
  <c r="V231" i="11"/>
  <c r="Y231" i="11"/>
  <c r="J232" i="11"/>
  <c r="M232" i="11"/>
  <c r="P232" i="11"/>
  <c r="S232" i="11"/>
  <c r="V232" i="11"/>
  <c r="Y232" i="11"/>
  <c r="J233" i="11"/>
  <c r="M233" i="11"/>
  <c r="P233" i="11"/>
  <c r="S233" i="11"/>
  <c r="V233" i="11"/>
  <c r="Y233" i="11"/>
  <c r="J234" i="11"/>
  <c r="M234" i="11"/>
  <c r="P234" i="11"/>
  <c r="S234" i="11"/>
  <c r="V234" i="11"/>
  <c r="Y234" i="11"/>
  <c r="J235" i="11"/>
  <c r="M235" i="11"/>
  <c r="P235" i="11"/>
  <c r="S235" i="11"/>
  <c r="V235" i="11"/>
  <c r="Y235" i="11"/>
  <c r="J236" i="11"/>
  <c r="M236" i="11"/>
  <c r="P236" i="11"/>
  <c r="S236" i="11"/>
  <c r="V236" i="11"/>
  <c r="Y236" i="11"/>
  <c r="J237" i="11"/>
  <c r="M237" i="11"/>
  <c r="P237" i="11"/>
  <c r="S237" i="11"/>
  <c r="V237" i="11"/>
  <c r="Y237" i="11"/>
  <c r="J238" i="11"/>
  <c r="M238" i="11"/>
  <c r="P238" i="11"/>
  <c r="S238" i="11"/>
  <c r="V238" i="11"/>
  <c r="Y238" i="11"/>
  <c r="J239" i="11"/>
  <c r="M239" i="11"/>
  <c r="P239" i="11"/>
  <c r="S239" i="11"/>
  <c r="V239" i="11"/>
  <c r="Y239" i="11"/>
  <c r="J240" i="11"/>
  <c r="M240" i="11"/>
  <c r="P240" i="11"/>
  <c r="S240" i="11"/>
  <c r="V240" i="11"/>
  <c r="Y240" i="11"/>
  <c r="J241" i="11"/>
  <c r="M241" i="11"/>
  <c r="P241" i="11"/>
  <c r="S241" i="11"/>
  <c r="V241" i="11"/>
  <c r="Y241" i="11"/>
  <c r="J242" i="11"/>
  <c r="M242" i="11"/>
  <c r="P242" i="11"/>
  <c r="S242" i="11"/>
  <c r="V242" i="11"/>
  <c r="Y242" i="11"/>
  <c r="J243" i="11"/>
  <c r="M243" i="11"/>
  <c r="P243" i="11"/>
  <c r="S243" i="11"/>
  <c r="V243" i="11"/>
  <c r="Y243" i="11"/>
  <c r="I2" i="11"/>
  <c r="K8" i="11" s="1"/>
  <c r="P219" i="11"/>
  <c r="P205" i="11"/>
  <c r="P203" i="11"/>
  <c r="P189" i="11"/>
  <c r="P187" i="11"/>
  <c r="P173" i="11"/>
  <c r="P171" i="11"/>
  <c r="P157" i="11"/>
  <c r="P155" i="11"/>
  <c r="P141" i="11"/>
  <c r="P139" i="11"/>
  <c r="P125" i="11"/>
  <c r="P123" i="11"/>
  <c r="P109" i="11"/>
  <c r="P107" i="11"/>
  <c r="P93" i="11"/>
  <c r="P91" i="11"/>
  <c r="P77" i="11"/>
  <c r="P75" i="11"/>
  <c r="P61" i="11"/>
  <c r="P59" i="11"/>
  <c r="P45" i="11"/>
  <c r="P43" i="11"/>
  <c r="P29" i="11"/>
  <c r="P27" i="11"/>
  <c r="P13" i="11"/>
  <c r="P11" i="11"/>
  <c r="R3" i="6"/>
  <c r="S3" i="6"/>
  <c r="R4" i="6"/>
  <c r="S4" i="6"/>
  <c r="R5" i="6"/>
  <c r="S5" i="6"/>
  <c r="R6" i="6"/>
  <c r="S6" i="6"/>
  <c r="R7" i="6"/>
  <c r="S7" i="6"/>
  <c r="R8" i="6"/>
  <c r="S8" i="6"/>
  <c r="R9" i="6"/>
  <c r="S9" i="6"/>
  <c r="R10" i="6"/>
  <c r="S10" i="6"/>
  <c r="R11" i="6"/>
  <c r="S11" i="6"/>
  <c r="R12" i="6"/>
  <c r="S12" i="6"/>
  <c r="R13" i="6"/>
  <c r="S13" i="6"/>
  <c r="R14" i="6"/>
  <c r="S14" i="6"/>
  <c r="R15" i="6"/>
  <c r="S15" i="6"/>
  <c r="R16" i="6"/>
  <c r="S16" i="6"/>
  <c r="R17" i="6"/>
  <c r="S17" i="6"/>
  <c r="R18" i="6"/>
  <c r="S18" i="6"/>
  <c r="R19" i="6"/>
  <c r="S19" i="6"/>
  <c r="R20" i="6"/>
  <c r="S20" i="6"/>
  <c r="R21" i="6"/>
  <c r="S21" i="6"/>
  <c r="R22" i="6"/>
  <c r="S22" i="6"/>
  <c r="R23" i="6"/>
  <c r="S23" i="6"/>
  <c r="R24" i="6"/>
  <c r="S24" i="6"/>
  <c r="R25" i="6"/>
  <c r="S25" i="6"/>
  <c r="R26" i="6"/>
  <c r="S26" i="6"/>
  <c r="R27" i="6"/>
  <c r="S27" i="6"/>
  <c r="R28" i="6"/>
  <c r="S28" i="6"/>
  <c r="R29" i="6"/>
  <c r="S29" i="6"/>
  <c r="R30" i="6"/>
  <c r="S30" i="6"/>
  <c r="R31" i="6"/>
  <c r="S31" i="6"/>
  <c r="R32" i="6"/>
  <c r="S32" i="6"/>
  <c r="R33" i="6"/>
  <c r="S33" i="6"/>
  <c r="R34" i="6"/>
  <c r="S34" i="6"/>
  <c r="R35" i="6"/>
  <c r="S35" i="6"/>
  <c r="R36" i="6"/>
  <c r="S36" i="6"/>
  <c r="R37" i="6"/>
  <c r="S37" i="6"/>
  <c r="R38" i="6"/>
  <c r="S38" i="6"/>
  <c r="R39" i="6"/>
  <c r="S39" i="6"/>
  <c r="R40" i="6"/>
  <c r="S40" i="6"/>
  <c r="R41" i="6"/>
  <c r="S41" i="6"/>
  <c r="R42" i="6"/>
  <c r="S42" i="6"/>
  <c r="R43" i="6"/>
  <c r="S43" i="6"/>
  <c r="R44" i="6"/>
  <c r="S44" i="6"/>
  <c r="R45" i="6"/>
  <c r="S45" i="6"/>
  <c r="R46" i="6"/>
  <c r="S46" i="6"/>
  <c r="R47" i="6"/>
  <c r="S47" i="6"/>
  <c r="R48" i="6"/>
  <c r="S48" i="6"/>
  <c r="R49" i="6"/>
  <c r="S49" i="6"/>
  <c r="R50" i="6"/>
  <c r="S50" i="6"/>
  <c r="R51" i="6"/>
  <c r="S51" i="6"/>
  <c r="R52" i="6"/>
  <c r="S52" i="6"/>
  <c r="R53" i="6"/>
  <c r="S53" i="6"/>
  <c r="R54" i="6"/>
  <c r="S54" i="6"/>
  <c r="R55" i="6"/>
  <c r="S55" i="6"/>
  <c r="R56" i="6"/>
  <c r="S56" i="6"/>
  <c r="R57" i="6"/>
  <c r="S57" i="6"/>
  <c r="R58" i="6"/>
  <c r="S58" i="6"/>
  <c r="R59" i="6"/>
  <c r="S59" i="6"/>
  <c r="R60" i="6"/>
  <c r="S60" i="6"/>
  <c r="R61" i="6"/>
  <c r="S61" i="6"/>
  <c r="R62" i="6"/>
  <c r="S62" i="6"/>
  <c r="R63" i="6"/>
  <c r="S63" i="6"/>
  <c r="R64" i="6"/>
  <c r="S64" i="6"/>
  <c r="R65" i="6"/>
  <c r="S65" i="6"/>
  <c r="R66" i="6"/>
  <c r="S66" i="6"/>
  <c r="R67" i="6"/>
  <c r="S67" i="6"/>
  <c r="R68" i="6"/>
  <c r="S68" i="6"/>
  <c r="R69" i="6"/>
  <c r="S69" i="6"/>
  <c r="R70" i="6"/>
  <c r="S70" i="6"/>
  <c r="R71" i="6"/>
  <c r="S71" i="6"/>
  <c r="R72" i="6"/>
  <c r="S72" i="6"/>
  <c r="R73" i="6"/>
  <c r="S73" i="6"/>
  <c r="R74" i="6"/>
  <c r="S74" i="6"/>
  <c r="R75" i="6"/>
  <c r="S75" i="6"/>
  <c r="R76" i="6"/>
  <c r="S76" i="6"/>
  <c r="R77" i="6"/>
  <c r="S77" i="6"/>
  <c r="R78" i="6"/>
  <c r="S78" i="6"/>
  <c r="R79" i="6"/>
  <c r="S79" i="6"/>
  <c r="R80" i="6"/>
  <c r="S80" i="6"/>
  <c r="R81" i="6"/>
  <c r="S81" i="6"/>
  <c r="R82" i="6"/>
  <c r="S82" i="6"/>
  <c r="R83" i="6"/>
  <c r="S83" i="6"/>
  <c r="R84" i="6"/>
  <c r="S84" i="6"/>
  <c r="R85" i="6"/>
  <c r="S85" i="6"/>
  <c r="R86" i="6"/>
  <c r="S86" i="6"/>
  <c r="R87" i="6"/>
  <c r="S87" i="6"/>
  <c r="R88" i="6"/>
  <c r="S88" i="6"/>
  <c r="R89" i="6"/>
  <c r="S89" i="6"/>
  <c r="R90" i="6"/>
  <c r="S90" i="6"/>
  <c r="R91" i="6"/>
  <c r="S91" i="6"/>
  <c r="R92" i="6"/>
  <c r="S92" i="6"/>
  <c r="R93" i="6"/>
  <c r="S93" i="6"/>
  <c r="R94" i="6"/>
  <c r="S94" i="6"/>
  <c r="R95" i="6"/>
  <c r="S95" i="6"/>
  <c r="R96" i="6"/>
  <c r="S96" i="6"/>
  <c r="R97" i="6"/>
  <c r="S97" i="6"/>
  <c r="R98" i="6"/>
  <c r="S98" i="6"/>
  <c r="R99" i="6"/>
  <c r="S99" i="6"/>
  <c r="R100" i="6"/>
  <c r="S100" i="6"/>
  <c r="R101" i="6"/>
  <c r="S101" i="6"/>
  <c r="R102" i="6"/>
  <c r="S102" i="6"/>
  <c r="R103" i="6"/>
  <c r="S103" i="6"/>
  <c r="R104" i="6"/>
  <c r="S104" i="6"/>
  <c r="R105" i="6"/>
  <c r="S105" i="6"/>
  <c r="R106" i="6"/>
  <c r="S106" i="6"/>
  <c r="R107" i="6"/>
  <c r="S107" i="6"/>
  <c r="R108" i="6"/>
  <c r="S108" i="6"/>
  <c r="R109" i="6"/>
  <c r="S109" i="6"/>
  <c r="R110" i="6"/>
  <c r="S110" i="6"/>
  <c r="R111" i="6"/>
  <c r="S111" i="6"/>
  <c r="R112" i="6"/>
  <c r="S112" i="6"/>
  <c r="R113" i="6"/>
  <c r="S113" i="6"/>
  <c r="R114" i="6"/>
  <c r="S114" i="6"/>
  <c r="R115" i="6"/>
  <c r="S115" i="6"/>
  <c r="R116" i="6"/>
  <c r="S116" i="6"/>
  <c r="R117" i="6"/>
  <c r="S117" i="6"/>
  <c r="R118" i="6"/>
  <c r="S118" i="6"/>
  <c r="R119" i="6"/>
  <c r="S119" i="6"/>
  <c r="R120" i="6"/>
  <c r="S120" i="6"/>
  <c r="R121" i="6"/>
  <c r="S121" i="6"/>
  <c r="R122" i="6"/>
  <c r="S122" i="6"/>
  <c r="R123" i="6"/>
  <c r="S123" i="6"/>
  <c r="R124" i="6"/>
  <c r="S124" i="6"/>
  <c r="R125" i="6"/>
  <c r="S125" i="6"/>
  <c r="R126" i="6"/>
  <c r="S126" i="6"/>
  <c r="R127" i="6"/>
  <c r="S127" i="6"/>
  <c r="R128" i="6"/>
  <c r="S128" i="6"/>
  <c r="R129" i="6"/>
  <c r="S129" i="6"/>
  <c r="R130" i="6"/>
  <c r="S130" i="6"/>
  <c r="R131" i="6"/>
  <c r="S131" i="6"/>
  <c r="R132" i="6"/>
  <c r="S132" i="6"/>
  <c r="R133" i="6"/>
  <c r="S133" i="6"/>
  <c r="R134" i="6"/>
  <c r="S134" i="6"/>
  <c r="R135" i="6"/>
  <c r="S135" i="6"/>
  <c r="R136" i="6"/>
  <c r="S136" i="6"/>
  <c r="R137" i="6"/>
  <c r="S137" i="6"/>
  <c r="R138" i="6"/>
  <c r="S138" i="6"/>
  <c r="R139" i="6"/>
  <c r="S139" i="6"/>
  <c r="R140" i="6"/>
  <c r="S140" i="6"/>
  <c r="R141" i="6"/>
  <c r="S141" i="6"/>
  <c r="R142" i="6"/>
  <c r="S142" i="6"/>
  <c r="R143" i="6"/>
  <c r="S143" i="6"/>
  <c r="R144" i="6"/>
  <c r="S144" i="6"/>
  <c r="R145" i="6"/>
  <c r="S145" i="6"/>
  <c r="R146" i="6"/>
  <c r="S146" i="6"/>
  <c r="R147" i="6"/>
  <c r="S147" i="6"/>
  <c r="R148" i="6"/>
  <c r="S148" i="6"/>
  <c r="R149" i="6"/>
  <c r="S149" i="6"/>
  <c r="R150" i="6"/>
  <c r="S150" i="6"/>
  <c r="R151" i="6"/>
  <c r="S151" i="6"/>
  <c r="R152" i="6"/>
  <c r="S152" i="6"/>
  <c r="R153" i="6"/>
  <c r="S153" i="6"/>
  <c r="R154" i="6"/>
  <c r="S154" i="6"/>
  <c r="R155" i="6"/>
  <c r="S155" i="6"/>
  <c r="R156" i="6"/>
  <c r="S156" i="6"/>
  <c r="R157" i="6"/>
  <c r="S157" i="6"/>
  <c r="R158" i="6"/>
  <c r="S158" i="6"/>
  <c r="R159" i="6"/>
  <c r="S159" i="6"/>
  <c r="R160" i="6"/>
  <c r="S160" i="6"/>
  <c r="R161" i="6"/>
  <c r="S161" i="6"/>
  <c r="R162" i="6"/>
  <c r="S162" i="6"/>
  <c r="R163" i="6"/>
  <c r="S163" i="6"/>
  <c r="R164" i="6"/>
  <c r="S164" i="6"/>
  <c r="R165" i="6"/>
  <c r="S165" i="6"/>
  <c r="R166" i="6"/>
  <c r="S166" i="6"/>
  <c r="R167" i="6"/>
  <c r="S167" i="6"/>
  <c r="R168" i="6"/>
  <c r="S168" i="6"/>
  <c r="R169" i="6"/>
  <c r="S169" i="6"/>
  <c r="R170" i="6"/>
  <c r="S170" i="6"/>
  <c r="R171" i="6"/>
  <c r="S171" i="6"/>
  <c r="R172" i="6"/>
  <c r="S172" i="6"/>
  <c r="R173" i="6"/>
  <c r="S173" i="6"/>
  <c r="R174" i="6"/>
  <c r="S174" i="6"/>
  <c r="R175" i="6"/>
  <c r="S175" i="6"/>
  <c r="R176" i="6"/>
  <c r="S176" i="6"/>
  <c r="R177" i="6"/>
  <c r="S177" i="6"/>
  <c r="R178" i="6"/>
  <c r="S178" i="6"/>
  <c r="R179" i="6"/>
  <c r="S179" i="6"/>
  <c r="R180" i="6"/>
  <c r="S180" i="6"/>
  <c r="R181" i="6"/>
  <c r="S181" i="6"/>
  <c r="R182" i="6"/>
  <c r="S182" i="6"/>
  <c r="R183" i="6"/>
  <c r="S183" i="6"/>
  <c r="R184" i="6"/>
  <c r="S184" i="6"/>
  <c r="R185" i="6"/>
  <c r="S185" i="6"/>
  <c r="R186" i="6"/>
  <c r="S186" i="6"/>
  <c r="R187" i="6"/>
  <c r="S187" i="6"/>
  <c r="R188" i="6"/>
  <c r="S188" i="6"/>
  <c r="R189" i="6"/>
  <c r="S189" i="6"/>
  <c r="R190" i="6"/>
  <c r="S190" i="6"/>
  <c r="R191" i="6"/>
  <c r="S191" i="6"/>
  <c r="R192" i="6"/>
  <c r="S192" i="6"/>
  <c r="R193" i="6"/>
  <c r="S193" i="6"/>
  <c r="R194" i="6"/>
  <c r="S194" i="6"/>
  <c r="R195" i="6"/>
  <c r="S195" i="6"/>
  <c r="R196" i="6"/>
  <c r="S196" i="6"/>
  <c r="R197" i="6"/>
  <c r="S197" i="6"/>
  <c r="R198" i="6"/>
  <c r="S198" i="6"/>
  <c r="R199" i="6"/>
  <c r="S199" i="6"/>
  <c r="R200" i="6"/>
  <c r="S200" i="6"/>
  <c r="R201" i="6"/>
  <c r="S201" i="6"/>
  <c r="R202" i="6"/>
  <c r="S202" i="6"/>
  <c r="R203" i="6"/>
  <c r="S203" i="6"/>
  <c r="R204" i="6"/>
  <c r="S204" i="6"/>
  <c r="R205" i="6"/>
  <c r="S205" i="6"/>
  <c r="R206" i="6"/>
  <c r="S206" i="6"/>
  <c r="R207" i="6"/>
  <c r="S207" i="6"/>
  <c r="R208" i="6"/>
  <c r="S208" i="6"/>
  <c r="R209" i="6"/>
  <c r="S209" i="6"/>
  <c r="R210" i="6"/>
  <c r="S210" i="6"/>
  <c r="R211" i="6"/>
  <c r="S211" i="6"/>
  <c r="R212" i="6"/>
  <c r="S212" i="6"/>
  <c r="R213" i="6"/>
  <c r="S213" i="6"/>
  <c r="R214" i="6"/>
  <c r="S214" i="6"/>
  <c r="R215" i="6"/>
  <c r="S215" i="6"/>
  <c r="R216" i="6"/>
  <c r="S216" i="6"/>
  <c r="R217" i="6"/>
  <c r="S217" i="6"/>
  <c r="R218" i="6"/>
  <c r="S218" i="6"/>
  <c r="R219" i="6"/>
  <c r="S219" i="6"/>
  <c r="R220" i="6"/>
  <c r="S220" i="6"/>
  <c r="R221" i="6"/>
  <c r="S221" i="6"/>
  <c r="R222" i="6"/>
  <c r="S222" i="6"/>
  <c r="R223" i="6"/>
  <c r="S223" i="6"/>
  <c r="R224" i="6"/>
  <c r="S224" i="6"/>
  <c r="R225" i="6"/>
  <c r="S225" i="6"/>
  <c r="R226" i="6"/>
  <c r="S226" i="6"/>
  <c r="R227" i="6"/>
  <c r="S227" i="6"/>
  <c r="R228" i="6"/>
  <c r="S228" i="6"/>
  <c r="R229" i="6"/>
  <c r="S229" i="6"/>
  <c r="R230" i="6"/>
  <c r="S230" i="6"/>
  <c r="R231" i="6"/>
  <c r="S231" i="6"/>
  <c r="R232" i="6"/>
  <c r="S232" i="6"/>
  <c r="R233" i="6"/>
  <c r="S233" i="6"/>
  <c r="R234" i="6"/>
  <c r="S234" i="6"/>
  <c r="R235" i="6"/>
  <c r="S235" i="6"/>
  <c r="R236" i="6"/>
  <c r="S236" i="6"/>
  <c r="R237" i="6"/>
  <c r="S237" i="6"/>
  <c r="R238" i="6"/>
  <c r="S238" i="6"/>
  <c r="R239" i="6"/>
  <c r="S239" i="6"/>
  <c r="R240" i="6"/>
  <c r="S240" i="6"/>
  <c r="R241" i="6"/>
  <c r="S241" i="6"/>
  <c r="R242" i="6"/>
  <c r="S242" i="6"/>
  <c r="R243" i="6"/>
  <c r="S243" i="6"/>
  <c r="R244" i="6"/>
  <c r="S244" i="6"/>
  <c r="R245" i="6"/>
  <c r="S245" i="6"/>
  <c r="R246" i="6"/>
  <c r="S246" i="6"/>
  <c r="S2" i="6"/>
  <c r="R2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3" i="6"/>
  <c r="O2" i="6"/>
  <c r="P5" i="6"/>
  <c r="P3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" i="6"/>
  <c r="P4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" i="6"/>
  <c r="I3" i="5"/>
  <c r="J3" i="5"/>
  <c r="H3" i="5"/>
  <c r="I2" i="5"/>
  <c r="J2" i="5"/>
  <c r="I4" i="5"/>
  <c r="J4" i="5"/>
  <c r="I5" i="5"/>
  <c r="J5" i="5"/>
  <c r="I6" i="5"/>
  <c r="J6" i="5"/>
  <c r="I7" i="5"/>
  <c r="J7" i="5"/>
  <c r="I8" i="5"/>
  <c r="J8" i="5"/>
  <c r="H8" i="5"/>
  <c r="H7" i="5"/>
  <c r="H6" i="5"/>
  <c r="H5" i="5"/>
  <c r="H4" i="5"/>
  <c r="H2" i="5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2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2" i="14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Y98" i="11"/>
  <c r="Y99" i="11"/>
  <c r="Y100" i="11"/>
  <c r="Y101" i="11"/>
  <c r="Y102" i="11"/>
  <c r="Y103" i="11"/>
  <c r="Y104" i="11"/>
  <c r="Y105" i="11"/>
  <c r="Y106" i="11"/>
  <c r="Y107" i="11"/>
  <c r="Y108" i="11"/>
  <c r="Y109" i="11"/>
  <c r="Y110" i="11"/>
  <c r="Y111" i="11"/>
  <c r="Y112" i="11"/>
  <c r="Y113" i="11"/>
  <c r="Y114" i="11"/>
  <c r="Y115" i="11"/>
  <c r="Y116" i="11"/>
  <c r="Y117" i="11"/>
  <c r="Y118" i="11"/>
  <c r="Y119" i="11"/>
  <c r="Y120" i="11"/>
  <c r="Y121" i="11"/>
  <c r="Y122" i="11"/>
  <c r="Y123" i="11"/>
  <c r="Y124" i="11"/>
  <c r="Y125" i="11"/>
  <c r="Y126" i="11"/>
  <c r="Y127" i="11"/>
  <c r="Y128" i="11"/>
  <c r="Y129" i="11"/>
  <c r="Y130" i="11"/>
  <c r="Y131" i="11"/>
  <c r="Y132" i="11"/>
  <c r="Y133" i="11"/>
  <c r="Y134" i="11"/>
  <c r="Y135" i="11"/>
  <c r="Y136" i="11"/>
  <c r="Y137" i="11"/>
  <c r="Y138" i="11"/>
  <c r="Y139" i="11"/>
  <c r="Y140" i="11"/>
  <c r="Y141" i="11"/>
  <c r="Y142" i="11"/>
  <c r="Y143" i="11"/>
  <c r="Y144" i="11"/>
  <c r="Y145" i="11"/>
  <c r="Y146" i="11"/>
  <c r="Y147" i="11"/>
  <c r="Y148" i="11"/>
  <c r="Y149" i="11"/>
  <c r="Y150" i="11"/>
  <c r="Y151" i="11"/>
  <c r="Y152" i="11"/>
  <c r="Y153" i="11"/>
  <c r="Y154" i="11"/>
  <c r="Y155" i="11"/>
  <c r="Y156" i="11"/>
  <c r="Y157" i="11"/>
  <c r="Y158" i="11"/>
  <c r="Y159" i="11"/>
  <c r="Y160" i="11"/>
  <c r="Y161" i="11"/>
  <c r="Y162" i="11"/>
  <c r="Y163" i="11"/>
  <c r="Y164" i="11"/>
  <c r="Y165" i="11"/>
  <c r="Y166" i="11"/>
  <c r="Y167" i="11"/>
  <c r="Y168" i="11"/>
  <c r="Y169" i="11"/>
  <c r="Y170" i="11"/>
  <c r="Y171" i="11"/>
  <c r="Y172" i="11"/>
  <c r="Y173" i="11"/>
  <c r="Y174" i="11"/>
  <c r="Y175" i="11"/>
  <c r="Y176" i="11"/>
  <c r="Y177" i="11"/>
  <c r="Y178" i="11"/>
  <c r="Y179" i="11"/>
  <c r="Y180" i="11"/>
  <c r="Y181" i="11"/>
  <c r="Y182" i="11"/>
  <c r="Y183" i="11"/>
  <c r="Y184" i="11"/>
  <c r="Y185" i="11"/>
  <c r="Y186" i="11"/>
  <c r="Y187" i="11"/>
  <c r="Y188" i="11"/>
  <c r="Y189" i="11"/>
  <c r="Y190" i="11"/>
  <c r="Y191" i="11"/>
  <c r="Y192" i="11"/>
  <c r="Y193" i="11"/>
  <c r="Y194" i="11"/>
  <c r="Y195" i="11"/>
  <c r="Y196" i="11"/>
  <c r="Y197" i="11"/>
  <c r="Y198" i="11"/>
  <c r="Y199" i="11"/>
  <c r="Y200" i="11"/>
  <c r="Y201" i="11"/>
  <c r="Y202" i="11"/>
  <c r="Y203" i="11"/>
  <c r="Y204" i="11"/>
  <c r="Y205" i="11"/>
  <c r="Y206" i="11"/>
  <c r="Y207" i="11"/>
  <c r="Y208" i="11"/>
  <c r="Y209" i="11"/>
  <c r="Y210" i="11"/>
  <c r="Y211" i="11"/>
  <c r="Y212" i="11"/>
  <c r="Y213" i="11"/>
  <c r="Y214" i="11"/>
  <c r="Y215" i="11"/>
  <c r="Y216" i="11"/>
  <c r="Y217" i="11"/>
  <c r="Y218" i="11"/>
  <c r="Y219" i="11"/>
  <c r="Y220" i="11"/>
  <c r="Y221" i="11"/>
  <c r="Y222" i="11"/>
  <c r="Y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S111" i="11"/>
  <c r="S112" i="11"/>
  <c r="S113" i="11"/>
  <c r="S114" i="11"/>
  <c r="S115" i="11"/>
  <c r="S116" i="11"/>
  <c r="S117" i="11"/>
  <c r="S118" i="11"/>
  <c r="S119" i="11"/>
  <c r="S120" i="11"/>
  <c r="S121" i="11"/>
  <c r="S122" i="11"/>
  <c r="S123" i="11"/>
  <c r="S124" i="11"/>
  <c r="S125" i="11"/>
  <c r="S126" i="11"/>
  <c r="S127" i="11"/>
  <c r="S128" i="11"/>
  <c r="S129" i="11"/>
  <c r="S130" i="11"/>
  <c r="S131" i="11"/>
  <c r="S132" i="11"/>
  <c r="S133" i="11"/>
  <c r="S134" i="11"/>
  <c r="S135" i="11"/>
  <c r="S136" i="11"/>
  <c r="S137" i="11"/>
  <c r="S138" i="11"/>
  <c r="S139" i="11"/>
  <c r="S140" i="11"/>
  <c r="S141" i="11"/>
  <c r="S142" i="11"/>
  <c r="S143" i="11"/>
  <c r="S144" i="11"/>
  <c r="S145" i="11"/>
  <c r="S146" i="11"/>
  <c r="S147" i="11"/>
  <c r="S148" i="11"/>
  <c r="S149" i="11"/>
  <c r="S150" i="11"/>
  <c r="S151" i="11"/>
  <c r="S152" i="11"/>
  <c r="S153" i="11"/>
  <c r="S154" i="11"/>
  <c r="S155" i="11"/>
  <c r="S156" i="11"/>
  <c r="S157" i="11"/>
  <c r="S158" i="11"/>
  <c r="S159" i="11"/>
  <c r="S160" i="11"/>
  <c r="S161" i="11"/>
  <c r="S162" i="11"/>
  <c r="S163" i="11"/>
  <c r="S164" i="11"/>
  <c r="S165" i="11"/>
  <c r="S166" i="11"/>
  <c r="S167" i="11"/>
  <c r="S168" i="11"/>
  <c r="S169" i="11"/>
  <c r="S170" i="11"/>
  <c r="S171" i="11"/>
  <c r="S172" i="11"/>
  <c r="S173" i="11"/>
  <c r="S174" i="11"/>
  <c r="S175" i="11"/>
  <c r="S176" i="11"/>
  <c r="S177" i="11"/>
  <c r="S178" i="11"/>
  <c r="S179" i="11"/>
  <c r="S180" i="11"/>
  <c r="S181" i="11"/>
  <c r="S182" i="11"/>
  <c r="S183" i="11"/>
  <c r="S184" i="11"/>
  <c r="S185" i="11"/>
  <c r="S186" i="11"/>
  <c r="S187" i="11"/>
  <c r="S188" i="11"/>
  <c r="S189" i="11"/>
  <c r="S190" i="11"/>
  <c r="S191" i="11"/>
  <c r="S192" i="11"/>
  <c r="S193" i="11"/>
  <c r="S194" i="11"/>
  <c r="S195" i="11"/>
  <c r="S196" i="11"/>
  <c r="S197" i="11"/>
  <c r="S198" i="11"/>
  <c r="S199" i="11"/>
  <c r="S200" i="11"/>
  <c r="S201" i="11"/>
  <c r="S202" i="11"/>
  <c r="S203" i="11"/>
  <c r="S204" i="11"/>
  <c r="S205" i="11"/>
  <c r="S206" i="11"/>
  <c r="S207" i="11"/>
  <c r="S208" i="11"/>
  <c r="S209" i="11"/>
  <c r="S210" i="11"/>
  <c r="S211" i="11"/>
  <c r="S212" i="11"/>
  <c r="S213" i="11"/>
  <c r="S214" i="11"/>
  <c r="S215" i="11"/>
  <c r="S216" i="11"/>
  <c r="S217" i="11"/>
  <c r="S218" i="11"/>
  <c r="S219" i="11"/>
  <c r="S220" i="11"/>
  <c r="S221" i="11"/>
  <c r="S222" i="11"/>
  <c r="S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" i="11"/>
  <c r="P3" i="11"/>
  <c r="P4" i="11"/>
  <c r="P5" i="11"/>
  <c r="P6" i="11"/>
  <c r="P7" i="11"/>
  <c r="P8" i="11"/>
  <c r="P9" i="11"/>
  <c r="P10" i="11"/>
  <c r="P12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8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4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60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6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2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8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4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40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6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2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8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4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20" i="11"/>
  <c r="P221" i="11"/>
  <c r="P222" i="11"/>
  <c r="P2" i="11"/>
  <c r="Q10" i="11"/>
  <c r="K189" i="11" l="1"/>
  <c r="W227" i="11"/>
  <c r="K185" i="11"/>
  <c r="T232" i="11"/>
  <c r="K174" i="11"/>
  <c r="K173" i="11"/>
  <c r="W234" i="11"/>
  <c r="K105" i="11"/>
  <c r="K94" i="11"/>
  <c r="Z236" i="11"/>
  <c r="K93" i="11"/>
  <c r="K89" i="11"/>
  <c r="K14" i="11"/>
  <c r="K13" i="11"/>
  <c r="W243" i="11"/>
  <c r="N241" i="11"/>
  <c r="Q223" i="11"/>
  <c r="N228" i="11"/>
  <c r="N229" i="11"/>
  <c r="K237" i="11"/>
  <c r="K153" i="11"/>
  <c r="K62" i="11"/>
  <c r="K233" i="11"/>
  <c r="K142" i="11"/>
  <c r="K61" i="11"/>
  <c r="Z237" i="11"/>
  <c r="T233" i="11"/>
  <c r="T224" i="11"/>
  <c r="K222" i="11"/>
  <c r="K141" i="11"/>
  <c r="K57" i="11"/>
  <c r="Z228" i="11"/>
  <c r="W226" i="11"/>
  <c r="K221" i="11"/>
  <c r="K137" i="11"/>
  <c r="K46" i="11"/>
  <c r="W239" i="11"/>
  <c r="Q235" i="11"/>
  <c r="K217" i="11"/>
  <c r="K126" i="11"/>
  <c r="K45" i="11"/>
  <c r="K206" i="11"/>
  <c r="K125" i="11"/>
  <c r="K41" i="11"/>
  <c r="K205" i="11"/>
  <c r="K121" i="11"/>
  <c r="K30" i="11"/>
  <c r="Q239" i="11"/>
  <c r="Q230" i="11"/>
  <c r="K201" i="11"/>
  <c r="K110" i="11"/>
  <c r="K29" i="11"/>
  <c r="W223" i="11"/>
  <c r="K190" i="11"/>
  <c r="K109" i="11"/>
  <c r="K25" i="11"/>
  <c r="T229" i="11"/>
  <c r="N225" i="11"/>
  <c r="K169" i="11"/>
  <c r="K78" i="11"/>
  <c r="T240" i="11"/>
  <c r="Q238" i="11"/>
  <c r="N236" i="11"/>
  <c r="K158" i="11"/>
  <c r="K77" i="11"/>
  <c r="W242" i="11"/>
  <c r="Z233" i="11"/>
  <c r="K238" i="11"/>
  <c r="K157" i="11"/>
  <c r="K73" i="11"/>
  <c r="T243" i="11"/>
  <c r="N239" i="11"/>
  <c r="W237" i="11"/>
  <c r="Q233" i="11"/>
  <c r="Z231" i="11"/>
  <c r="T227" i="11"/>
  <c r="N223" i="11"/>
  <c r="K231" i="11"/>
  <c r="K215" i="11"/>
  <c r="K199" i="11"/>
  <c r="K183" i="11"/>
  <c r="K167" i="11"/>
  <c r="K151" i="11"/>
  <c r="K135" i="11"/>
  <c r="K119" i="11"/>
  <c r="K103" i="11"/>
  <c r="K87" i="11"/>
  <c r="K71" i="11"/>
  <c r="K55" i="11"/>
  <c r="K39" i="11"/>
  <c r="K23" i="11"/>
  <c r="K7" i="11"/>
  <c r="K230" i="11"/>
  <c r="K214" i="11"/>
  <c r="K198" i="11"/>
  <c r="K182" i="11"/>
  <c r="K166" i="11"/>
  <c r="K150" i="11"/>
  <c r="K134" i="11"/>
  <c r="K118" i="11"/>
  <c r="K102" i="11"/>
  <c r="K86" i="11"/>
  <c r="K70" i="11"/>
  <c r="K54" i="11"/>
  <c r="K38" i="11"/>
  <c r="K22" i="11"/>
  <c r="K6" i="11"/>
  <c r="Q243" i="11"/>
  <c r="Z241" i="11"/>
  <c r="T237" i="11"/>
  <c r="N233" i="11"/>
  <c r="W231" i="11"/>
  <c r="Q227" i="11"/>
  <c r="Z225" i="11"/>
  <c r="K229" i="11"/>
  <c r="K213" i="11"/>
  <c r="K197" i="11"/>
  <c r="K181" i="11"/>
  <c r="K165" i="11"/>
  <c r="K149" i="11"/>
  <c r="K133" i="11"/>
  <c r="K117" i="11"/>
  <c r="K101" i="11"/>
  <c r="K85" i="11"/>
  <c r="K69" i="11"/>
  <c r="K53" i="11"/>
  <c r="K37" i="11"/>
  <c r="K21" i="11"/>
  <c r="K5" i="11"/>
  <c r="Q240" i="11"/>
  <c r="Z238" i="11"/>
  <c r="T234" i="11"/>
  <c r="N230" i="11"/>
  <c r="W228" i="11"/>
  <c r="Q224" i="11"/>
  <c r="K2" i="11"/>
  <c r="K228" i="11"/>
  <c r="K212" i="11"/>
  <c r="K196" i="11"/>
  <c r="K180" i="11"/>
  <c r="K164" i="11"/>
  <c r="K148" i="11"/>
  <c r="K132" i="11"/>
  <c r="K116" i="11"/>
  <c r="K100" i="11"/>
  <c r="K84" i="11"/>
  <c r="K68" i="11"/>
  <c r="K52" i="11"/>
  <c r="K36" i="11"/>
  <c r="K20" i="11"/>
  <c r="K4" i="11"/>
  <c r="N243" i="11"/>
  <c r="W241" i="11"/>
  <c r="Q237" i="11"/>
  <c r="Z235" i="11"/>
  <c r="T231" i="11"/>
  <c r="N227" i="11"/>
  <c r="W225" i="11"/>
  <c r="K243" i="11"/>
  <c r="K227" i="11"/>
  <c r="K211" i="11"/>
  <c r="K195" i="11"/>
  <c r="K179" i="11"/>
  <c r="K163" i="11"/>
  <c r="K147" i="11"/>
  <c r="K131" i="11"/>
  <c r="K115" i="11"/>
  <c r="K99" i="11"/>
  <c r="K83" i="11"/>
  <c r="K67" i="11"/>
  <c r="K51" i="11"/>
  <c r="K35" i="11"/>
  <c r="K19" i="11"/>
  <c r="K3" i="11"/>
  <c r="N240" i="11"/>
  <c r="W238" i="11"/>
  <c r="Q234" i="11"/>
  <c r="Z232" i="11"/>
  <c r="T228" i="11"/>
  <c r="N224" i="11"/>
  <c r="K242" i="11"/>
  <c r="K226" i="11"/>
  <c r="K210" i="11"/>
  <c r="K194" i="11"/>
  <c r="K178" i="11"/>
  <c r="K162" i="11"/>
  <c r="K146" i="11"/>
  <c r="K130" i="11"/>
  <c r="K114" i="11"/>
  <c r="K98" i="11"/>
  <c r="K82" i="11"/>
  <c r="K66" i="11"/>
  <c r="K50" i="11"/>
  <c r="K34" i="11"/>
  <c r="K18" i="11"/>
  <c r="T241" i="11"/>
  <c r="N237" i="11"/>
  <c r="W235" i="11"/>
  <c r="Q231" i="11"/>
  <c r="Z229" i="11"/>
  <c r="T225" i="11"/>
  <c r="K241" i="11"/>
  <c r="K225" i="11"/>
  <c r="K209" i="11"/>
  <c r="K193" i="11"/>
  <c r="K177" i="11"/>
  <c r="K161" i="11"/>
  <c r="K145" i="11"/>
  <c r="K129" i="11"/>
  <c r="K113" i="11"/>
  <c r="K97" i="11"/>
  <c r="K81" i="11"/>
  <c r="K65" i="11"/>
  <c r="K49" i="11"/>
  <c r="K33" i="11"/>
  <c r="K17" i="11"/>
  <c r="Z242" i="11"/>
  <c r="T238" i="11"/>
  <c r="N234" i="11"/>
  <c r="W232" i="11"/>
  <c r="Q228" i="11"/>
  <c r="Z226" i="11"/>
  <c r="K240" i="11"/>
  <c r="K224" i="11"/>
  <c r="K208" i="11"/>
  <c r="K192" i="11"/>
  <c r="K176" i="11"/>
  <c r="K160" i="11"/>
  <c r="K144" i="11"/>
  <c r="K128" i="11"/>
  <c r="K112" i="11"/>
  <c r="K96" i="11"/>
  <c r="K80" i="11"/>
  <c r="K64" i="11"/>
  <c r="K48" i="11"/>
  <c r="K32" i="11"/>
  <c r="K16" i="11"/>
  <c r="Q241" i="11"/>
  <c r="Z239" i="11"/>
  <c r="T235" i="11"/>
  <c r="N231" i="11"/>
  <c r="W229" i="11"/>
  <c r="Q225" i="11"/>
  <c r="Z223" i="11"/>
  <c r="K239" i="11"/>
  <c r="K223" i="11"/>
  <c r="K207" i="11"/>
  <c r="K191" i="11"/>
  <c r="K175" i="11"/>
  <c r="K159" i="11"/>
  <c r="K143" i="11"/>
  <c r="K127" i="11"/>
  <c r="K111" i="11"/>
  <c r="K95" i="11"/>
  <c r="K79" i="11"/>
  <c r="K63" i="11"/>
  <c r="K47" i="11"/>
  <c r="K31" i="11"/>
  <c r="K15" i="11"/>
  <c r="T242" i="11"/>
  <c r="N238" i="11"/>
  <c r="W236" i="11"/>
  <c r="Q232" i="11"/>
  <c r="Z230" i="11"/>
  <c r="T226" i="11"/>
  <c r="K236" i="11"/>
  <c r="K220" i="11"/>
  <c r="K204" i="11"/>
  <c r="K188" i="11"/>
  <c r="K172" i="11"/>
  <c r="K156" i="11"/>
  <c r="K140" i="11"/>
  <c r="K124" i="11"/>
  <c r="K108" i="11"/>
  <c r="K92" i="11"/>
  <c r="K76" i="11"/>
  <c r="K60" i="11"/>
  <c r="K44" i="11"/>
  <c r="K28" i="11"/>
  <c r="K12" i="11"/>
  <c r="Z243" i="11"/>
  <c r="T239" i="11"/>
  <c r="N235" i="11"/>
  <c r="W233" i="11"/>
  <c r="Q229" i="11"/>
  <c r="Z227" i="11"/>
  <c r="T223" i="11"/>
  <c r="K235" i="11"/>
  <c r="K219" i="11"/>
  <c r="K203" i="11"/>
  <c r="K187" i="11"/>
  <c r="K171" i="11"/>
  <c r="K155" i="11"/>
  <c r="K139" i="11"/>
  <c r="K123" i="11"/>
  <c r="K107" i="11"/>
  <c r="K91" i="11"/>
  <c r="K75" i="11"/>
  <c r="K59" i="11"/>
  <c r="K43" i="11"/>
  <c r="K27" i="11"/>
  <c r="K11" i="11"/>
  <c r="Q242" i="11"/>
  <c r="Z240" i="11"/>
  <c r="T236" i="11"/>
  <c r="N232" i="11"/>
  <c r="W230" i="11"/>
  <c r="Q226" i="11"/>
  <c r="Z224" i="11"/>
  <c r="K234" i="11"/>
  <c r="K218" i="11"/>
  <c r="K202" i="11"/>
  <c r="K186" i="11"/>
  <c r="K170" i="11"/>
  <c r="K154" i="11"/>
  <c r="K138" i="11"/>
  <c r="K122" i="11"/>
  <c r="K106" i="11"/>
  <c r="K90" i="11"/>
  <c r="K74" i="11"/>
  <c r="K58" i="11"/>
  <c r="K42" i="11"/>
  <c r="K26" i="11"/>
  <c r="K10" i="11"/>
  <c r="K9" i="11"/>
  <c r="N242" i="11"/>
  <c r="W240" i="11"/>
  <c r="Q236" i="11"/>
  <c r="Z234" i="11"/>
  <c r="T230" i="11"/>
  <c r="N226" i="11"/>
  <c r="W224" i="11"/>
  <c r="K232" i="11"/>
  <c r="K216" i="11"/>
  <c r="K200" i="11"/>
  <c r="K184" i="11"/>
  <c r="K168" i="11"/>
  <c r="K152" i="11"/>
  <c r="K136" i="11"/>
  <c r="K120" i="11"/>
  <c r="K104" i="11"/>
  <c r="K88" i="11"/>
  <c r="K72" i="11"/>
  <c r="K56" i="11"/>
  <c r="K40" i="11"/>
  <c r="K24" i="11"/>
  <c r="T139" i="11"/>
  <c r="T58" i="11"/>
  <c r="T219" i="11"/>
  <c r="T138" i="11"/>
  <c r="T57" i="11"/>
  <c r="Z110" i="11"/>
  <c r="W203" i="11"/>
  <c r="W75" i="11"/>
  <c r="T218" i="11"/>
  <c r="T137" i="11"/>
  <c r="T43" i="11"/>
  <c r="Z2" i="11"/>
  <c r="Z95" i="11"/>
  <c r="W188" i="11"/>
  <c r="W60" i="11"/>
  <c r="W204" i="11"/>
  <c r="T217" i="11"/>
  <c r="T123" i="11"/>
  <c r="T42" i="11"/>
  <c r="Z222" i="11"/>
  <c r="Z94" i="11"/>
  <c r="W187" i="11"/>
  <c r="W59" i="11"/>
  <c r="T203" i="11"/>
  <c r="T122" i="11"/>
  <c r="T41" i="11"/>
  <c r="Z207" i="11"/>
  <c r="Z79" i="11"/>
  <c r="W172" i="11"/>
  <c r="W44" i="11"/>
  <c r="T202" i="11"/>
  <c r="T121" i="11"/>
  <c r="T27" i="11"/>
  <c r="Z206" i="11"/>
  <c r="Z78" i="11"/>
  <c r="W171" i="11"/>
  <c r="W43" i="11"/>
  <c r="T201" i="11"/>
  <c r="T107" i="11"/>
  <c r="T26" i="11"/>
  <c r="Z191" i="11"/>
  <c r="Z63" i="11"/>
  <c r="W156" i="11"/>
  <c r="W28" i="11"/>
  <c r="Z111" i="11"/>
  <c r="T187" i="11"/>
  <c r="T106" i="11"/>
  <c r="T25" i="11"/>
  <c r="Z190" i="11"/>
  <c r="Z62" i="11"/>
  <c r="W155" i="11"/>
  <c r="W27" i="11"/>
  <c r="W76" i="11"/>
  <c r="T186" i="11"/>
  <c r="T105" i="11"/>
  <c r="T11" i="11"/>
  <c r="Z175" i="11"/>
  <c r="Z47" i="11"/>
  <c r="W140" i="11"/>
  <c r="W12" i="11"/>
  <c r="T10" i="11"/>
  <c r="Z46" i="11"/>
  <c r="W139" i="11"/>
  <c r="W11" i="11"/>
  <c r="T91" i="11"/>
  <c r="T171" i="11"/>
  <c r="T90" i="11"/>
  <c r="T9" i="11"/>
  <c r="Z159" i="11"/>
  <c r="Z31" i="11"/>
  <c r="W124" i="11"/>
  <c r="T170" i="11"/>
  <c r="T89" i="11"/>
  <c r="Z158" i="11"/>
  <c r="Z30" i="11"/>
  <c r="W123" i="11"/>
  <c r="T169" i="11"/>
  <c r="T75" i="11"/>
  <c r="Z143" i="11"/>
  <c r="Z15" i="11"/>
  <c r="W108" i="11"/>
  <c r="T155" i="11"/>
  <c r="T74" i="11"/>
  <c r="Z142" i="11"/>
  <c r="Z14" i="11"/>
  <c r="W107" i="11"/>
  <c r="T185" i="11"/>
  <c r="Z174" i="11"/>
  <c r="T154" i="11"/>
  <c r="T73" i="11"/>
  <c r="Z127" i="11"/>
  <c r="W220" i="11"/>
  <c r="W92" i="11"/>
  <c r="T153" i="11"/>
  <c r="T59" i="11"/>
  <c r="Z126" i="11"/>
  <c r="W219" i="11"/>
  <c r="W91" i="11"/>
  <c r="Z221" i="11"/>
  <c r="Z205" i="11"/>
  <c r="Z189" i="11"/>
  <c r="Z173" i="11"/>
  <c r="Z157" i="11"/>
  <c r="Z141" i="11"/>
  <c r="Z125" i="11"/>
  <c r="Z109" i="11"/>
  <c r="Z93" i="11"/>
  <c r="Z77" i="11"/>
  <c r="Z61" i="11"/>
  <c r="Z45" i="11"/>
  <c r="Z29" i="11"/>
  <c r="Z13" i="11"/>
  <c r="W218" i="11"/>
  <c r="W202" i="11"/>
  <c r="W186" i="11"/>
  <c r="W170" i="11"/>
  <c r="W154" i="11"/>
  <c r="W138" i="11"/>
  <c r="W122" i="11"/>
  <c r="W106" i="11"/>
  <c r="W90" i="11"/>
  <c r="W74" i="11"/>
  <c r="W58" i="11"/>
  <c r="W42" i="11"/>
  <c r="W26" i="11"/>
  <c r="W10" i="11"/>
  <c r="T216" i="11"/>
  <c r="T200" i="11"/>
  <c r="T184" i="11"/>
  <c r="T168" i="11"/>
  <c r="T152" i="11"/>
  <c r="T136" i="11"/>
  <c r="T120" i="11"/>
  <c r="T104" i="11"/>
  <c r="T88" i="11"/>
  <c r="T72" i="11"/>
  <c r="T56" i="11"/>
  <c r="T40" i="11"/>
  <c r="T24" i="11"/>
  <c r="T8" i="11"/>
  <c r="Z220" i="11"/>
  <c r="Z204" i="11"/>
  <c r="Z188" i="11"/>
  <c r="Z172" i="11"/>
  <c r="Z156" i="11"/>
  <c r="Z140" i="11"/>
  <c r="Z124" i="11"/>
  <c r="Z108" i="11"/>
  <c r="Z92" i="11"/>
  <c r="Z76" i="11"/>
  <c r="Z60" i="11"/>
  <c r="Z44" i="11"/>
  <c r="Z28" i="11"/>
  <c r="Z12" i="11"/>
  <c r="W217" i="11"/>
  <c r="W201" i="11"/>
  <c r="W185" i="11"/>
  <c r="W169" i="11"/>
  <c r="W153" i="11"/>
  <c r="W137" i="11"/>
  <c r="W121" i="11"/>
  <c r="W105" i="11"/>
  <c r="W89" i="11"/>
  <c r="W73" i="11"/>
  <c r="W57" i="11"/>
  <c r="W41" i="11"/>
  <c r="W25" i="11"/>
  <c r="W9" i="11"/>
  <c r="T215" i="11"/>
  <c r="Z203" i="11"/>
  <c r="Z75" i="11"/>
  <c r="W184" i="11"/>
  <c r="W88" i="11"/>
  <c r="T214" i="11"/>
  <c r="T198" i="11"/>
  <c r="T182" i="11"/>
  <c r="T166" i="11"/>
  <c r="T150" i="11"/>
  <c r="T134" i="11"/>
  <c r="T118" i="11"/>
  <c r="T102" i="11"/>
  <c r="T86" i="11"/>
  <c r="T70" i="11"/>
  <c r="T54" i="11"/>
  <c r="T38" i="11"/>
  <c r="T22" i="11"/>
  <c r="T6" i="11"/>
  <c r="Z218" i="11"/>
  <c r="Z202" i="11"/>
  <c r="Z186" i="11"/>
  <c r="Z170" i="11"/>
  <c r="Z154" i="11"/>
  <c r="Z138" i="11"/>
  <c r="Z122" i="11"/>
  <c r="Z106" i="11"/>
  <c r="Z90" i="11"/>
  <c r="Z74" i="11"/>
  <c r="Z58" i="11"/>
  <c r="Z42" i="11"/>
  <c r="Z26" i="11"/>
  <c r="Z10" i="11"/>
  <c r="W215" i="11"/>
  <c r="W199" i="11"/>
  <c r="W183" i="11"/>
  <c r="W167" i="11"/>
  <c r="W151" i="11"/>
  <c r="W135" i="11"/>
  <c r="W119" i="11"/>
  <c r="W103" i="11"/>
  <c r="W87" i="11"/>
  <c r="W71" i="11"/>
  <c r="W55" i="11"/>
  <c r="W39" i="11"/>
  <c r="W23" i="11"/>
  <c r="W7" i="11"/>
  <c r="T151" i="11"/>
  <c r="Z59" i="11"/>
  <c r="T213" i="11"/>
  <c r="T197" i="11"/>
  <c r="T181" i="11"/>
  <c r="T165" i="11"/>
  <c r="T149" i="11"/>
  <c r="T133" i="11"/>
  <c r="T117" i="11"/>
  <c r="T101" i="11"/>
  <c r="T85" i="11"/>
  <c r="T69" i="11"/>
  <c r="T53" i="11"/>
  <c r="T37" i="11"/>
  <c r="T21" i="11"/>
  <c r="T5" i="11"/>
  <c r="Z217" i="11"/>
  <c r="Z201" i="11"/>
  <c r="Z185" i="11"/>
  <c r="Z169" i="11"/>
  <c r="Z153" i="11"/>
  <c r="Z137" i="11"/>
  <c r="Z121" i="11"/>
  <c r="Z105" i="11"/>
  <c r="Z89" i="11"/>
  <c r="Z73" i="11"/>
  <c r="Z57" i="11"/>
  <c r="Z41" i="11"/>
  <c r="Z25" i="11"/>
  <c r="Z9" i="11"/>
  <c r="W214" i="11"/>
  <c r="W198" i="11"/>
  <c r="W182" i="11"/>
  <c r="W166" i="11"/>
  <c r="W150" i="11"/>
  <c r="W134" i="11"/>
  <c r="W118" i="11"/>
  <c r="W102" i="11"/>
  <c r="W86" i="11"/>
  <c r="W70" i="11"/>
  <c r="W54" i="11"/>
  <c r="W38" i="11"/>
  <c r="W22" i="11"/>
  <c r="W6" i="11"/>
  <c r="T71" i="11"/>
  <c r="W136" i="11"/>
  <c r="T212" i="11"/>
  <c r="T196" i="11"/>
  <c r="T180" i="11"/>
  <c r="T164" i="11"/>
  <c r="T148" i="11"/>
  <c r="T132" i="11"/>
  <c r="T116" i="11"/>
  <c r="T100" i="11"/>
  <c r="T84" i="11"/>
  <c r="T68" i="11"/>
  <c r="T52" i="11"/>
  <c r="T36" i="11"/>
  <c r="T20" i="11"/>
  <c r="T4" i="11"/>
  <c r="Z216" i="11"/>
  <c r="Z200" i="11"/>
  <c r="Z184" i="11"/>
  <c r="Z168" i="11"/>
  <c r="Z152" i="11"/>
  <c r="Z136" i="11"/>
  <c r="Z120" i="11"/>
  <c r="Z104" i="11"/>
  <c r="Z88" i="11"/>
  <c r="Z72" i="11"/>
  <c r="Z56" i="11"/>
  <c r="Z40" i="11"/>
  <c r="Z24" i="11"/>
  <c r="Z8" i="11"/>
  <c r="W213" i="11"/>
  <c r="W197" i="11"/>
  <c r="W181" i="11"/>
  <c r="W165" i="11"/>
  <c r="W149" i="11"/>
  <c r="W133" i="11"/>
  <c r="W117" i="11"/>
  <c r="W101" i="11"/>
  <c r="W85" i="11"/>
  <c r="W69" i="11"/>
  <c r="W53" i="11"/>
  <c r="W37" i="11"/>
  <c r="W21" i="11"/>
  <c r="W5" i="11"/>
  <c r="T167" i="11"/>
  <c r="T39" i="11"/>
  <c r="Z187" i="11"/>
  <c r="Z91" i="11"/>
  <c r="Z11" i="11"/>
  <c r="W216" i="11"/>
  <c r="W152" i="11"/>
  <c r="W104" i="11"/>
  <c r="W24" i="11"/>
  <c r="T211" i="11"/>
  <c r="T195" i="11"/>
  <c r="T179" i="11"/>
  <c r="T163" i="11"/>
  <c r="T147" i="11"/>
  <c r="T131" i="11"/>
  <c r="T115" i="11"/>
  <c r="T99" i="11"/>
  <c r="T83" i="11"/>
  <c r="T67" i="11"/>
  <c r="T51" i="11"/>
  <c r="T35" i="11"/>
  <c r="T19" i="11"/>
  <c r="T3" i="11"/>
  <c r="Z215" i="11"/>
  <c r="Z199" i="11"/>
  <c r="Z183" i="11"/>
  <c r="Z167" i="11"/>
  <c r="Z151" i="11"/>
  <c r="Z135" i="11"/>
  <c r="Z119" i="11"/>
  <c r="Z103" i="11"/>
  <c r="Z87" i="11"/>
  <c r="Z71" i="11"/>
  <c r="Z55" i="11"/>
  <c r="Z39" i="11"/>
  <c r="Z23" i="11"/>
  <c r="Z7" i="11"/>
  <c r="W212" i="11"/>
  <c r="W196" i="11"/>
  <c r="W180" i="11"/>
  <c r="W164" i="11"/>
  <c r="W148" i="11"/>
  <c r="W132" i="11"/>
  <c r="W116" i="11"/>
  <c r="W100" i="11"/>
  <c r="W84" i="11"/>
  <c r="W68" i="11"/>
  <c r="W52" i="11"/>
  <c r="W36" i="11"/>
  <c r="W20" i="11"/>
  <c r="W4" i="11"/>
  <c r="T23" i="11"/>
  <c r="Z123" i="11"/>
  <c r="W120" i="11"/>
  <c r="T210" i="11"/>
  <c r="T194" i="11"/>
  <c r="T178" i="11"/>
  <c r="T162" i="11"/>
  <c r="T146" i="11"/>
  <c r="T130" i="11"/>
  <c r="T114" i="11"/>
  <c r="T98" i="11"/>
  <c r="T82" i="11"/>
  <c r="T66" i="11"/>
  <c r="T50" i="11"/>
  <c r="T34" i="11"/>
  <c r="T18" i="11"/>
  <c r="Z214" i="11"/>
  <c r="Z198" i="11"/>
  <c r="Z182" i="11"/>
  <c r="Z166" i="11"/>
  <c r="Z150" i="11"/>
  <c r="Z134" i="11"/>
  <c r="Z118" i="11"/>
  <c r="Z102" i="11"/>
  <c r="Z86" i="11"/>
  <c r="Z70" i="11"/>
  <c r="Z54" i="11"/>
  <c r="Z38" i="11"/>
  <c r="Z22" i="11"/>
  <c r="Z6" i="11"/>
  <c r="W211" i="11"/>
  <c r="W195" i="11"/>
  <c r="W179" i="11"/>
  <c r="W163" i="11"/>
  <c r="W147" i="11"/>
  <c r="W131" i="11"/>
  <c r="W115" i="11"/>
  <c r="W99" i="11"/>
  <c r="W83" i="11"/>
  <c r="W67" i="11"/>
  <c r="W51" i="11"/>
  <c r="W35" i="11"/>
  <c r="W19" i="11"/>
  <c r="W3" i="11"/>
  <c r="T183" i="11"/>
  <c r="Z219" i="11"/>
  <c r="Z27" i="11"/>
  <c r="W56" i="11"/>
  <c r="T209" i="11"/>
  <c r="T193" i="11"/>
  <c r="T177" i="11"/>
  <c r="T161" i="11"/>
  <c r="T145" i="11"/>
  <c r="T129" i="11"/>
  <c r="T113" i="11"/>
  <c r="T97" i="11"/>
  <c r="T81" i="11"/>
  <c r="T65" i="11"/>
  <c r="T49" i="11"/>
  <c r="T33" i="11"/>
  <c r="T17" i="11"/>
  <c r="Z213" i="11"/>
  <c r="Z197" i="11"/>
  <c r="Z181" i="11"/>
  <c r="Z165" i="11"/>
  <c r="Z149" i="11"/>
  <c r="Z133" i="11"/>
  <c r="Z117" i="11"/>
  <c r="Z101" i="11"/>
  <c r="Z85" i="11"/>
  <c r="Z69" i="11"/>
  <c r="Z53" i="11"/>
  <c r="Z37" i="11"/>
  <c r="Z21" i="11"/>
  <c r="Z5" i="11"/>
  <c r="W210" i="11"/>
  <c r="W194" i="11"/>
  <c r="W178" i="11"/>
  <c r="W162" i="11"/>
  <c r="W146" i="11"/>
  <c r="W130" i="11"/>
  <c r="W114" i="11"/>
  <c r="W98" i="11"/>
  <c r="W82" i="11"/>
  <c r="W66" i="11"/>
  <c r="W50" i="11"/>
  <c r="W34" i="11"/>
  <c r="W18" i="11"/>
  <c r="T199" i="11"/>
  <c r="T103" i="11"/>
  <c r="T7" i="11"/>
  <c r="Z139" i="11"/>
  <c r="W200" i="11"/>
  <c r="W72" i="11"/>
  <c r="T208" i="11"/>
  <c r="T192" i="11"/>
  <c r="T176" i="11"/>
  <c r="T160" i="11"/>
  <c r="T144" i="11"/>
  <c r="T128" i="11"/>
  <c r="T112" i="11"/>
  <c r="T96" i="11"/>
  <c r="T80" i="11"/>
  <c r="T64" i="11"/>
  <c r="T48" i="11"/>
  <c r="T32" i="11"/>
  <c r="T16" i="11"/>
  <c r="Z212" i="11"/>
  <c r="Z196" i="11"/>
  <c r="Z180" i="11"/>
  <c r="Z164" i="11"/>
  <c r="Z148" i="11"/>
  <c r="Z132" i="11"/>
  <c r="Z116" i="11"/>
  <c r="Z100" i="11"/>
  <c r="Z84" i="11"/>
  <c r="Z68" i="11"/>
  <c r="Z52" i="11"/>
  <c r="Z36" i="11"/>
  <c r="Z20" i="11"/>
  <c r="Z4" i="11"/>
  <c r="W209" i="11"/>
  <c r="W193" i="11"/>
  <c r="W177" i="11"/>
  <c r="W161" i="11"/>
  <c r="W145" i="11"/>
  <c r="W129" i="11"/>
  <c r="W113" i="11"/>
  <c r="W97" i="11"/>
  <c r="W81" i="11"/>
  <c r="W65" i="11"/>
  <c r="W49" i="11"/>
  <c r="W33" i="11"/>
  <c r="W17" i="11"/>
  <c r="T135" i="11"/>
  <c r="Z107" i="11"/>
  <c r="W8" i="11"/>
  <c r="T2" i="11"/>
  <c r="T207" i="11"/>
  <c r="T191" i="11"/>
  <c r="T175" i="11"/>
  <c r="T159" i="11"/>
  <c r="T143" i="11"/>
  <c r="T127" i="11"/>
  <c r="T111" i="11"/>
  <c r="T95" i="11"/>
  <c r="T79" i="11"/>
  <c r="T63" i="11"/>
  <c r="T47" i="11"/>
  <c r="T31" i="11"/>
  <c r="T15" i="11"/>
  <c r="Z211" i="11"/>
  <c r="Z195" i="11"/>
  <c r="Z179" i="11"/>
  <c r="Z163" i="11"/>
  <c r="Z147" i="11"/>
  <c r="Z131" i="11"/>
  <c r="Z115" i="11"/>
  <c r="Z99" i="11"/>
  <c r="Z83" i="11"/>
  <c r="Z67" i="11"/>
  <c r="Z51" i="11"/>
  <c r="Z35" i="11"/>
  <c r="Z19" i="11"/>
  <c r="Z3" i="11"/>
  <c r="W208" i="11"/>
  <c r="W192" i="11"/>
  <c r="W176" i="11"/>
  <c r="W160" i="11"/>
  <c r="W144" i="11"/>
  <c r="W128" i="11"/>
  <c r="W112" i="11"/>
  <c r="W96" i="11"/>
  <c r="W80" i="11"/>
  <c r="W64" i="11"/>
  <c r="W48" i="11"/>
  <c r="W32" i="11"/>
  <c r="W16" i="11"/>
  <c r="T87" i="11"/>
  <c r="Z171" i="11"/>
  <c r="W168" i="11"/>
  <c r="T222" i="11"/>
  <c r="T206" i="11"/>
  <c r="T190" i="11"/>
  <c r="T174" i="11"/>
  <c r="T158" i="11"/>
  <c r="T142" i="11"/>
  <c r="T126" i="11"/>
  <c r="T110" i="11"/>
  <c r="T94" i="11"/>
  <c r="T78" i="11"/>
  <c r="T62" i="11"/>
  <c r="T46" i="11"/>
  <c r="T30" i="11"/>
  <c r="T14" i="11"/>
  <c r="Z210" i="11"/>
  <c r="Z194" i="11"/>
  <c r="Z178" i="11"/>
  <c r="Z162" i="11"/>
  <c r="Z146" i="11"/>
  <c r="Z130" i="11"/>
  <c r="Z114" i="11"/>
  <c r="Z98" i="11"/>
  <c r="Z82" i="11"/>
  <c r="Z66" i="11"/>
  <c r="Z50" i="11"/>
  <c r="Z34" i="11"/>
  <c r="Z18" i="11"/>
  <c r="W2" i="11"/>
  <c r="W207" i="11"/>
  <c r="W191" i="11"/>
  <c r="W175" i="11"/>
  <c r="W159" i="11"/>
  <c r="W143" i="11"/>
  <c r="W127" i="11"/>
  <c r="W111" i="11"/>
  <c r="W95" i="11"/>
  <c r="W79" i="11"/>
  <c r="W63" i="11"/>
  <c r="W47" i="11"/>
  <c r="W31" i="11"/>
  <c r="W15" i="11"/>
  <c r="T55" i="11"/>
  <c r="Z43" i="11"/>
  <c r="T221" i="11"/>
  <c r="T205" i="11"/>
  <c r="T189" i="11"/>
  <c r="T173" i="11"/>
  <c r="T157" i="11"/>
  <c r="T141" i="11"/>
  <c r="T125" i="11"/>
  <c r="T109" i="11"/>
  <c r="T93" i="11"/>
  <c r="T77" i="11"/>
  <c r="T61" i="11"/>
  <c r="T45" i="11"/>
  <c r="T29" i="11"/>
  <c r="T13" i="11"/>
  <c r="Z209" i="11"/>
  <c r="Z193" i="11"/>
  <c r="Z177" i="11"/>
  <c r="Z161" i="11"/>
  <c r="Z145" i="11"/>
  <c r="Z129" i="11"/>
  <c r="Z113" i="11"/>
  <c r="Z97" i="11"/>
  <c r="Z81" i="11"/>
  <c r="Z65" i="11"/>
  <c r="Z49" i="11"/>
  <c r="Z33" i="11"/>
  <c r="Z17" i="11"/>
  <c r="W222" i="11"/>
  <c r="W206" i="11"/>
  <c r="W190" i="11"/>
  <c r="W174" i="11"/>
  <c r="W158" i="11"/>
  <c r="W142" i="11"/>
  <c r="W126" i="11"/>
  <c r="W110" i="11"/>
  <c r="W94" i="11"/>
  <c r="W78" i="11"/>
  <c r="W62" i="11"/>
  <c r="W46" i="11"/>
  <c r="W30" i="11"/>
  <c r="W14" i="11"/>
  <c r="T119" i="11"/>
  <c r="Z155" i="11"/>
  <c r="W40" i="11"/>
  <c r="T220" i="11"/>
  <c r="T204" i="11"/>
  <c r="T188" i="11"/>
  <c r="T172" i="11"/>
  <c r="T156" i="11"/>
  <c r="T140" i="11"/>
  <c r="T124" i="11"/>
  <c r="T108" i="11"/>
  <c r="T92" i="11"/>
  <c r="T76" i="11"/>
  <c r="T60" i="11"/>
  <c r="T44" i="11"/>
  <c r="T28" i="11"/>
  <c r="T12" i="11"/>
  <c r="Z208" i="11"/>
  <c r="Z192" i="11"/>
  <c r="Z176" i="11"/>
  <c r="Z160" i="11"/>
  <c r="Z144" i="11"/>
  <c r="Z128" i="11"/>
  <c r="Z112" i="11"/>
  <c r="Z96" i="11"/>
  <c r="Z80" i="11"/>
  <c r="Z64" i="11"/>
  <c r="Z48" i="11"/>
  <c r="Z32" i="11"/>
  <c r="Z16" i="11"/>
  <c r="W221" i="11"/>
  <c r="W205" i="11"/>
  <c r="W189" i="11"/>
  <c r="W173" i="11"/>
  <c r="W157" i="11"/>
  <c r="W141" i="11"/>
  <c r="W125" i="11"/>
  <c r="W109" i="11"/>
  <c r="W93" i="11"/>
  <c r="W77" i="11"/>
  <c r="W61" i="11"/>
  <c r="W45" i="11"/>
  <c r="W29" i="11"/>
  <c r="W13" i="11"/>
  <c r="N7" i="11"/>
  <c r="N15" i="11"/>
  <c r="N23" i="11"/>
  <c r="N31" i="11"/>
  <c r="N39" i="11"/>
  <c r="N47" i="11"/>
  <c r="N55" i="11"/>
  <c r="N63" i="11"/>
  <c r="N71" i="11"/>
  <c r="N79" i="11"/>
  <c r="N87" i="11"/>
  <c r="N95" i="11"/>
  <c r="N103" i="11"/>
  <c r="N111" i="11"/>
  <c r="N119" i="11"/>
  <c r="N127" i="11"/>
  <c r="N135" i="11"/>
  <c r="N143" i="11"/>
  <c r="N151" i="11"/>
  <c r="N159" i="11"/>
  <c r="N167" i="11"/>
  <c r="N175" i="11"/>
  <c r="N183" i="11"/>
  <c r="N191" i="11"/>
  <c r="N199" i="11"/>
  <c r="N207" i="11"/>
  <c r="N215" i="11"/>
  <c r="N8" i="11"/>
  <c r="N16" i="11"/>
  <c r="N24" i="11"/>
  <c r="N32" i="11"/>
  <c r="N40" i="11"/>
  <c r="N48" i="11"/>
  <c r="N56" i="11"/>
  <c r="N64" i="11"/>
  <c r="N72" i="11"/>
  <c r="N80" i="11"/>
  <c r="N88" i="11"/>
  <c r="N96" i="11"/>
  <c r="N104" i="11"/>
  <c r="N112" i="11"/>
  <c r="N120" i="11"/>
  <c r="N128" i="11"/>
  <c r="N136" i="11"/>
  <c r="N144" i="11"/>
  <c r="N152" i="11"/>
  <c r="N160" i="11"/>
  <c r="N168" i="11"/>
  <c r="N176" i="11"/>
  <c r="N184" i="11"/>
  <c r="N192" i="11"/>
  <c r="N200" i="11"/>
  <c r="N208" i="11"/>
  <c r="N216" i="11"/>
  <c r="N9" i="11"/>
  <c r="N17" i="11"/>
  <c r="N25" i="11"/>
  <c r="N33" i="11"/>
  <c r="N41" i="11"/>
  <c r="N49" i="11"/>
  <c r="N57" i="11"/>
  <c r="N65" i="11"/>
  <c r="N73" i="11"/>
  <c r="N81" i="11"/>
  <c r="N89" i="11"/>
  <c r="N97" i="11"/>
  <c r="N105" i="11"/>
  <c r="N113" i="11"/>
  <c r="N121" i="11"/>
  <c r="N129" i="11"/>
  <c r="N137" i="11"/>
  <c r="N145" i="11"/>
  <c r="N153" i="11"/>
  <c r="N161" i="11"/>
  <c r="N169" i="11"/>
  <c r="N177" i="11"/>
  <c r="N185" i="11"/>
  <c r="N193" i="11"/>
  <c r="N201" i="11"/>
  <c r="N209" i="11"/>
  <c r="N217" i="11"/>
  <c r="N2" i="11"/>
  <c r="N10" i="11"/>
  <c r="N18" i="11"/>
  <c r="N26" i="11"/>
  <c r="N34" i="11"/>
  <c r="N42" i="11"/>
  <c r="N50" i="11"/>
  <c r="N58" i="11"/>
  <c r="N66" i="11"/>
  <c r="N74" i="11"/>
  <c r="N82" i="11"/>
  <c r="N90" i="11"/>
  <c r="N98" i="11"/>
  <c r="N106" i="11"/>
  <c r="N114" i="11"/>
  <c r="N122" i="11"/>
  <c r="N130" i="11"/>
  <c r="N138" i="11"/>
  <c r="N146" i="11"/>
  <c r="N154" i="11"/>
  <c r="N162" i="11"/>
  <c r="N170" i="11"/>
  <c r="N178" i="11"/>
  <c r="N186" i="11"/>
  <c r="N194" i="11"/>
  <c r="N202" i="11"/>
  <c r="N210" i="11"/>
  <c r="N218" i="11"/>
  <c r="N3" i="11"/>
  <c r="N11" i="11"/>
  <c r="N19" i="11"/>
  <c r="N27" i="11"/>
  <c r="N35" i="11"/>
  <c r="N43" i="11"/>
  <c r="N51" i="11"/>
  <c r="N59" i="11"/>
  <c r="N67" i="11"/>
  <c r="N75" i="11"/>
  <c r="N83" i="11"/>
  <c r="N91" i="11"/>
  <c r="N99" i="11"/>
  <c r="N107" i="11"/>
  <c r="N115" i="11"/>
  <c r="N123" i="11"/>
  <c r="N131" i="11"/>
  <c r="N139" i="11"/>
  <c r="N147" i="11"/>
  <c r="N155" i="11"/>
  <c r="N163" i="11"/>
  <c r="N171" i="11"/>
  <c r="N179" i="11"/>
  <c r="N187" i="11"/>
  <c r="N195" i="11"/>
  <c r="N203" i="11"/>
  <c r="N211" i="11"/>
  <c r="N219" i="11"/>
  <c r="N4" i="11"/>
  <c r="N12" i="11"/>
  <c r="N20" i="11"/>
  <c r="N28" i="11"/>
  <c r="N36" i="11"/>
  <c r="N44" i="11"/>
  <c r="N52" i="11"/>
  <c r="N60" i="11"/>
  <c r="N68" i="11"/>
  <c r="N76" i="11"/>
  <c r="N84" i="11"/>
  <c r="N92" i="11"/>
  <c r="N100" i="11"/>
  <c r="N108" i="11"/>
  <c r="N116" i="11"/>
  <c r="N124" i="11"/>
  <c r="N132" i="11"/>
  <c r="N140" i="11"/>
  <c r="N148" i="11"/>
  <c r="N156" i="11"/>
  <c r="N164" i="11"/>
  <c r="N172" i="11"/>
  <c r="N180" i="11"/>
  <c r="N188" i="11"/>
  <c r="N196" i="11"/>
  <c r="N204" i="11"/>
  <c r="N212" i="11"/>
  <c r="N220" i="11"/>
  <c r="N5" i="11"/>
  <c r="N13" i="11"/>
  <c r="N21" i="11"/>
  <c r="N29" i="11"/>
  <c r="N37" i="11"/>
  <c r="N45" i="11"/>
  <c r="N53" i="11"/>
  <c r="N61" i="11"/>
  <c r="N69" i="11"/>
  <c r="N77" i="11"/>
  <c r="N85" i="11"/>
  <c r="N93" i="11"/>
  <c r="N101" i="11"/>
  <c r="N109" i="11"/>
  <c r="N117" i="11"/>
  <c r="N125" i="11"/>
  <c r="N133" i="11"/>
  <c r="N141" i="11"/>
  <c r="N149" i="11"/>
  <c r="N157" i="11"/>
  <c r="N165" i="11"/>
  <c r="N173" i="11"/>
  <c r="N181" i="11"/>
  <c r="N189" i="11"/>
  <c r="N197" i="11"/>
  <c r="N205" i="11"/>
  <c r="N213" i="11"/>
  <c r="N221" i="11"/>
  <c r="N6" i="11"/>
  <c r="N14" i="11"/>
  <c r="N22" i="11"/>
  <c r="N30" i="11"/>
  <c r="N38" i="11"/>
  <c r="N46" i="11"/>
  <c r="N54" i="11"/>
  <c r="N62" i="11"/>
  <c r="N70" i="11"/>
  <c r="N78" i="11"/>
  <c r="N86" i="11"/>
  <c r="N94" i="11"/>
  <c r="N102" i="11"/>
  <c r="N110" i="11"/>
  <c r="N118" i="11"/>
  <c r="N126" i="11"/>
  <c r="N134" i="11"/>
  <c r="N142" i="11"/>
  <c r="N150" i="11"/>
  <c r="N158" i="11"/>
  <c r="N166" i="11"/>
  <c r="N174" i="11"/>
  <c r="N182" i="11"/>
  <c r="N190" i="11"/>
  <c r="N198" i="11"/>
  <c r="N206" i="11"/>
  <c r="N214" i="11"/>
  <c r="N222" i="11"/>
  <c r="Q217" i="11"/>
  <c r="Q209" i="11"/>
  <c r="Q201" i="11"/>
  <c r="Q193" i="11"/>
  <c r="Q185" i="11"/>
  <c r="Q177" i="11"/>
  <c r="Q169" i="11"/>
  <c r="Q161" i="11"/>
  <c r="Q153" i="11"/>
  <c r="Q145" i="11"/>
  <c r="Q137" i="11"/>
  <c r="Q129" i="11"/>
  <c r="Q121" i="11"/>
  <c r="Q113" i="11"/>
  <c r="Q105" i="11"/>
  <c r="Q97" i="11"/>
  <c r="Q89" i="11"/>
  <c r="Q81" i="11"/>
  <c r="Q73" i="11"/>
  <c r="Q65" i="11"/>
  <c r="Q57" i="11"/>
  <c r="Q49" i="11"/>
  <c r="Q41" i="11"/>
  <c r="Q33" i="11"/>
  <c r="Q25" i="11"/>
  <c r="Q17" i="11"/>
  <c r="Q9" i="11"/>
  <c r="Q216" i="11"/>
  <c r="Q208" i="11"/>
  <c r="Q200" i="11"/>
  <c r="Q192" i="11"/>
  <c r="Q184" i="11"/>
  <c r="Q176" i="11"/>
  <c r="Q168" i="11"/>
  <c r="Q160" i="11"/>
  <c r="Q152" i="11"/>
  <c r="Q144" i="11"/>
  <c r="Q136" i="11"/>
  <c r="Q128" i="11"/>
  <c r="Q120" i="11"/>
  <c r="Q112" i="11"/>
  <c r="Q104" i="11"/>
  <c r="Q96" i="11"/>
  <c r="Q88" i="11"/>
  <c r="Q80" i="11"/>
  <c r="Q72" i="11"/>
  <c r="Q64" i="11"/>
  <c r="Q56" i="11"/>
  <c r="Q48" i="11"/>
  <c r="Q40" i="11"/>
  <c r="Q32" i="11"/>
  <c r="Q24" i="11"/>
  <c r="Q16" i="11"/>
  <c r="Q8" i="11"/>
  <c r="Q215" i="11"/>
  <c r="Q207" i="11"/>
  <c r="Q199" i="11"/>
  <c r="Q191" i="11"/>
  <c r="Q183" i="11"/>
  <c r="Q175" i="11"/>
  <c r="Q167" i="11"/>
  <c r="Q159" i="11"/>
  <c r="Q151" i="11"/>
  <c r="Q143" i="11"/>
  <c r="Q135" i="11"/>
  <c r="Q127" i="11"/>
  <c r="Q119" i="11"/>
  <c r="Q111" i="11"/>
  <c r="Q103" i="11"/>
  <c r="Q95" i="11"/>
  <c r="Q87" i="11"/>
  <c r="Q79" i="11"/>
  <c r="Q71" i="11"/>
  <c r="Q63" i="11"/>
  <c r="Q55" i="11"/>
  <c r="Q47" i="11"/>
  <c r="Q39" i="11"/>
  <c r="Q31" i="11"/>
  <c r="Q23" i="11"/>
  <c r="Q15" i="11"/>
  <c r="Q7" i="11"/>
  <c r="Q2" i="11"/>
  <c r="Q222" i="11"/>
  <c r="Q214" i="11"/>
  <c r="Q206" i="11"/>
  <c r="Q198" i="11"/>
  <c r="Q190" i="11"/>
  <c r="Q182" i="11"/>
  <c r="Q174" i="11"/>
  <c r="Q166" i="11"/>
  <c r="Q158" i="11"/>
  <c r="Q150" i="11"/>
  <c r="Q142" i="11"/>
  <c r="Q134" i="11"/>
  <c r="Q126" i="11"/>
  <c r="Q118" i="11"/>
  <c r="Q110" i="11"/>
  <c r="Q102" i="11"/>
  <c r="Q94" i="11"/>
  <c r="Q86" i="11"/>
  <c r="Q78" i="11"/>
  <c r="Q70" i="11"/>
  <c r="Q62" i="11"/>
  <c r="Q54" i="11"/>
  <c r="Q46" i="11"/>
  <c r="Q38" i="11"/>
  <c r="Q30" i="11"/>
  <c r="Q22" i="11"/>
  <c r="Q14" i="11"/>
  <c r="Q6" i="11"/>
  <c r="Q221" i="11"/>
  <c r="Q213" i="11"/>
  <c r="Q205" i="11"/>
  <c r="Q197" i="11"/>
  <c r="Q189" i="11"/>
  <c r="Q181" i="11"/>
  <c r="Q173" i="11"/>
  <c r="Q165" i="11"/>
  <c r="Q157" i="11"/>
  <c r="Q149" i="11"/>
  <c r="Q141" i="11"/>
  <c r="Q133" i="11"/>
  <c r="Q125" i="11"/>
  <c r="Q117" i="11"/>
  <c r="Q109" i="11"/>
  <c r="Q101" i="11"/>
  <c r="Q93" i="11"/>
  <c r="Q85" i="11"/>
  <c r="Q77" i="11"/>
  <c r="Q69" i="11"/>
  <c r="Q61" i="11"/>
  <c r="Q53" i="11"/>
  <c r="Q45" i="11"/>
  <c r="Q37" i="11"/>
  <c r="Q29" i="11"/>
  <c r="Q21" i="11"/>
  <c r="Q13" i="11"/>
  <c r="Q5" i="11"/>
  <c r="Q220" i="11"/>
  <c r="Q212" i="11"/>
  <c r="Q204" i="11"/>
  <c r="Q196" i="11"/>
  <c r="Q188" i="11"/>
  <c r="Q180" i="11"/>
  <c r="Q172" i="11"/>
  <c r="Q164" i="11"/>
  <c r="Q156" i="11"/>
  <c r="Q148" i="11"/>
  <c r="Q140" i="11"/>
  <c r="Q132" i="11"/>
  <c r="Q124" i="11"/>
  <c r="Q116" i="11"/>
  <c r="Q108" i="11"/>
  <c r="Q100" i="11"/>
  <c r="Q92" i="11"/>
  <c r="Q84" i="11"/>
  <c r="Q76" i="11"/>
  <c r="Q68" i="11"/>
  <c r="Q60" i="11"/>
  <c r="Q52" i="11"/>
  <c r="Q44" i="11"/>
  <c r="Q36" i="11"/>
  <c r="Q28" i="11"/>
  <c r="Q20" i="11"/>
  <c r="Q12" i="11"/>
  <c r="Q4" i="11"/>
  <c r="Q219" i="11"/>
  <c r="Q211" i="11"/>
  <c r="Q203" i="11"/>
  <c r="Q195" i="11"/>
  <c r="Q187" i="11"/>
  <c r="Q179" i="11"/>
  <c r="Q171" i="11"/>
  <c r="Q163" i="11"/>
  <c r="Q155" i="11"/>
  <c r="Q147" i="11"/>
  <c r="Q139" i="11"/>
  <c r="Q131" i="11"/>
  <c r="Q123" i="11"/>
  <c r="Q115" i="11"/>
  <c r="Q107" i="11"/>
  <c r="Q99" i="11"/>
  <c r="Q91" i="11"/>
  <c r="Q83" i="11"/>
  <c r="Q75" i="11"/>
  <c r="Q67" i="11"/>
  <c r="Q59" i="11"/>
  <c r="Q51" i="11"/>
  <c r="Q43" i="11"/>
  <c r="Q35" i="11"/>
  <c r="Q27" i="11"/>
  <c r="Q19" i="11"/>
  <c r="Q11" i="11"/>
  <c r="Q3" i="11"/>
  <c r="Q218" i="11"/>
  <c r="Q210" i="11"/>
  <c r="Q202" i="11"/>
  <c r="Q194" i="11"/>
  <c r="Q186" i="11"/>
  <c r="Q178" i="11"/>
  <c r="Q170" i="11"/>
  <c r="Q162" i="11"/>
  <c r="Q154" i="11"/>
  <c r="Q146" i="11"/>
  <c r="Q138" i="11"/>
  <c r="Q130" i="11"/>
  <c r="Q122" i="11"/>
  <c r="Q114" i="11"/>
  <c r="Q106" i="11"/>
  <c r="Q98" i="11"/>
  <c r="Q90" i="11"/>
  <c r="Q82" i="11"/>
  <c r="Q74" i="11"/>
  <c r="Q66" i="11"/>
  <c r="Q58" i="11"/>
  <c r="Q50" i="11"/>
  <c r="Q42" i="11"/>
  <c r="Q34" i="11"/>
  <c r="Q26" i="11"/>
  <c r="Q18" i="11"/>
  <c r="X2" i="11" l="1"/>
  <c r="AA2" i="11"/>
  <c r="L2" i="11"/>
  <c r="R2" i="11"/>
  <c r="U2" i="11"/>
  <c r="O2" i="11"/>
</calcChain>
</file>

<file path=xl/sharedStrings.xml><?xml version="1.0" encoding="utf-8"?>
<sst xmlns="http://schemas.openxmlformats.org/spreadsheetml/2006/main" count="2689" uniqueCount="139">
  <si>
    <t>Measured value
(W/m K)</t>
    <phoneticPr fontId="2" type="noConversion"/>
  </si>
  <si>
    <t>BCC model predicted value
(W/m K)</t>
    <phoneticPr fontId="2" type="noConversion"/>
  </si>
  <si>
    <t>H-J model</t>
  </si>
  <si>
    <t>H-J model
predicted value
(W/m K)</t>
    <phoneticPr fontId="2" type="noConversion"/>
  </si>
  <si>
    <t>Bruggeman model 
predicted value
(W/m K)</t>
    <phoneticPr fontId="2" type="noConversion"/>
  </si>
  <si>
    <t>H-J model 
errors(%)</t>
    <phoneticPr fontId="2" type="noConversion"/>
  </si>
  <si>
    <t>Bruggeman model 
errors(%)</t>
    <phoneticPr fontId="2" type="noConversion"/>
  </si>
  <si>
    <t>BCC model 
errors(%)</t>
    <phoneticPr fontId="2" type="noConversion"/>
  </si>
  <si>
    <t>0-10</t>
    <phoneticPr fontId="2" type="noConversion"/>
  </si>
  <si>
    <t>10-20</t>
    <phoneticPr fontId="2" type="noConversion"/>
  </si>
  <si>
    <t>20-30</t>
    <phoneticPr fontId="2" type="noConversion"/>
  </si>
  <si>
    <t>30-40</t>
    <phoneticPr fontId="2" type="noConversion"/>
  </si>
  <si>
    <t>40-50</t>
    <phoneticPr fontId="2" type="noConversion"/>
  </si>
  <si>
    <t>50-60</t>
    <phoneticPr fontId="2" type="noConversion"/>
  </si>
  <si>
    <t>60-70</t>
    <phoneticPr fontId="2" type="noConversion"/>
  </si>
  <si>
    <r>
      <t>range of V</t>
    </r>
    <r>
      <rPr>
        <b/>
        <vertAlign val="subscript"/>
        <sz val="12"/>
        <rFont val="Times New Roman"/>
        <family val="1"/>
      </rPr>
      <t>f</t>
    </r>
    <phoneticPr fontId="2" type="noConversion"/>
  </si>
  <si>
    <t>Averdage data</t>
    <phoneticPr fontId="2" type="noConversion"/>
  </si>
  <si>
    <t>Mean error&lt;20%</t>
  </si>
  <si>
    <t>Mean error&lt;30%</t>
  </si>
  <si>
    <t>M-G model</t>
  </si>
  <si>
    <t>Brugggeman model</t>
  </si>
  <si>
    <t>Simple cubic model</t>
  </si>
  <si>
    <t>BCC model</t>
  </si>
  <si>
    <t>S-P model</t>
  </si>
  <si>
    <t>Upper Limit of Applicable Filling Range (vol%)</t>
    <phoneticPr fontId="2" type="noConversion"/>
  </si>
  <si>
    <t>2r
(m)</t>
    <phoneticPr fontId="2" type="noConversion"/>
  </si>
  <si>
    <t>Correlation Coefficient</t>
  </si>
  <si>
    <t>η</t>
  </si>
  <si>
    <t>2r</t>
  </si>
  <si>
    <r>
      <t>V</t>
    </r>
    <r>
      <rPr>
        <b/>
        <vertAlign val="subscript"/>
        <sz val="12"/>
        <color theme="1"/>
        <rFont val="Times New Roman"/>
        <family val="1"/>
      </rPr>
      <t>f</t>
    </r>
    <phoneticPr fontId="2" type="noConversion"/>
  </si>
  <si>
    <r>
      <t>k</t>
    </r>
    <r>
      <rPr>
        <b/>
        <vertAlign val="subscript"/>
        <sz val="12"/>
        <color theme="1"/>
        <rFont val="Times New Roman"/>
        <family val="1"/>
      </rPr>
      <t>m</t>
    </r>
    <phoneticPr fontId="2" type="noConversion"/>
  </si>
  <si>
    <r>
      <t>k</t>
    </r>
    <r>
      <rPr>
        <b/>
        <vertAlign val="subscript"/>
        <sz val="12"/>
        <color theme="1"/>
        <rFont val="Times New Roman"/>
        <family val="1"/>
      </rPr>
      <t>f</t>
    </r>
    <phoneticPr fontId="2" type="noConversion"/>
  </si>
  <si>
    <r>
      <t>R</t>
    </r>
    <r>
      <rPr>
        <b/>
        <vertAlign val="subscript"/>
        <sz val="12"/>
        <color theme="1"/>
        <rFont val="Times New Roman"/>
        <family val="1"/>
      </rPr>
      <t>i</t>
    </r>
    <phoneticPr fontId="2" type="noConversion"/>
  </si>
  <si>
    <r>
      <t>K</t>
    </r>
    <r>
      <rPr>
        <b/>
        <vertAlign val="subscript"/>
        <sz val="12"/>
        <color theme="1"/>
        <rFont val="Times New Roman"/>
        <family val="1"/>
      </rPr>
      <t>R</t>
    </r>
    <phoneticPr fontId="2" type="noConversion"/>
  </si>
  <si>
    <r>
      <t>R</t>
    </r>
    <r>
      <rPr>
        <b/>
        <vertAlign val="subscript"/>
        <sz val="12"/>
        <color theme="1"/>
        <rFont val="Times New Roman"/>
        <family val="1"/>
      </rPr>
      <t>K</t>
    </r>
    <phoneticPr fontId="2" type="noConversion"/>
  </si>
  <si>
    <r>
      <t>k</t>
    </r>
    <r>
      <rPr>
        <b/>
        <vertAlign val="subscript"/>
        <sz val="12"/>
        <color theme="1"/>
        <rFont val="Times New Roman"/>
        <family val="1"/>
      </rPr>
      <t>a</t>
    </r>
    <phoneticPr fontId="2" type="noConversion"/>
  </si>
  <si>
    <t>BCC mdoel
δ (W/m K)</t>
    <phoneticPr fontId="2" type="noConversion"/>
  </si>
  <si>
    <t>M-G model
predicted value
(W/m K)</t>
    <phoneticPr fontId="2" type="noConversion"/>
  </si>
  <si>
    <t>S-P model 
predicted value
(W/m K)</t>
    <phoneticPr fontId="2" type="noConversion"/>
  </si>
  <si>
    <t>Simple cubic model predicted value
(W/m K)</t>
    <phoneticPr fontId="2" type="noConversion"/>
  </si>
  <si>
    <t>Average k
(W/m K)</t>
    <phoneticPr fontId="2" type="noConversion"/>
  </si>
  <si>
    <t>ka-k-</t>
    <phoneticPr fontId="2" type="noConversion"/>
  </si>
  <si>
    <r>
      <t>R</t>
    </r>
    <r>
      <rPr>
        <b/>
        <vertAlign val="superscript"/>
        <sz val="12"/>
        <rFont val="Times New Roman"/>
        <family val="1"/>
      </rPr>
      <t>2</t>
    </r>
    <phoneticPr fontId="2" type="noConversion"/>
  </si>
  <si>
    <t>H-J(ka-ki)</t>
    <phoneticPr fontId="2" type="noConversion"/>
  </si>
  <si>
    <t>BCC(ka-ki)</t>
    <phoneticPr fontId="2" type="noConversion"/>
  </si>
  <si>
    <t>Bruggeman(ka-ki)</t>
    <phoneticPr fontId="2" type="noConversion"/>
  </si>
  <si>
    <t>M-G(ka-ki)</t>
    <phoneticPr fontId="2" type="noConversion"/>
  </si>
  <si>
    <t>S-P(ka-ki)</t>
    <phoneticPr fontId="2" type="noConversion"/>
  </si>
  <si>
    <t>SC(ka-ki)</t>
    <phoneticPr fontId="2" type="noConversion"/>
  </si>
  <si>
    <t>Bruggeman model
δ (W/m K)</t>
    <phoneticPr fontId="2" type="noConversion"/>
  </si>
  <si>
    <t>H-J model
δ (W/m K)</t>
    <phoneticPr fontId="2" type="noConversion"/>
  </si>
  <si>
    <t>S-P model
δ (W/m K)</t>
    <phoneticPr fontId="2" type="noConversion"/>
  </si>
  <si>
    <t>SC model
δ (W/m K)</t>
    <phoneticPr fontId="2" type="noConversion"/>
  </si>
  <si>
    <t>Bruggeman model
errors(%)</t>
    <phoneticPr fontId="2" type="noConversion"/>
  </si>
  <si>
    <t>H-J model
errors(%)</t>
    <phoneticPr fontId="2" type="noConversion"/>
  </si>
  <si>
    <t>M-G model
δ (W/m K)</t>
    <phoneticPr fontId="2" type="noConversion"/>
  </si>
  <si>
    <t>M-G model
errors(%)</t>
    <phoneticPr fontId="2" type="noConversion"/>
  </si>
  <si>
    <t>S-P model
errors(%)</t>
    <phoneticPr fontId="2" type="noConversion"/>
  </si>
  <si>
    <t>SC model
errors(%)</t>
    <phoneticPr fontId="2" type="noConversion"/>
  </si>
  <si>
    <r>
      <t>K</t>
    </r>
    <r>
      <rPr>
        <b/>
        <vertAlign val="subscript"/>
        <sz val="12"/>
        <rFont val="Times New Roman"/>
        <family val="1"/>
      </rPr>
      <t>a</t>
    </r>
    <r>
      <rPr>
        <b/>
        <sz val="12"/>
        <rFont val="Times New Roman"/>
        <family val="1"/>
      </rPr>
      <t xml:space="preserve">
(W/m K)</t>
    </r>
    <phoneticPr fontId="2" type="noConversion"/>
  </si>
  <si>
    <r>
      <t>k</t>
    </r>
    <r>
      <rPr>
        <b/>
        <vertAlign val="subscript"/>
        <sz val="12"/>
        <color theme="1"/>
        <rFont val="Times New Roman"/>
        <family val="1"/>
      </rPr>
      <t>eff</t>
    </r>
    <r>
      <rPr>
        <b/>
        <sz val="12"/>
        <color theme="1"/>
        <rFont val="Times New Roman"/>
        <family val="1"/>
      </rPr>
      <t xml:space="preserve">
(W/m K)</t>
    </r>
    <phoneticPr fontId="2" type="noConversion"/>
  </si>
  <si>
    <t>R1
(K/W)</t>
    <phoneticPr fontId="2" type="noConversion"/>
  </si>
  <si>
    <t>R2
(K/W)</t>
    <phoneticPr fontId="2" type="noConversion"/>
  </si>
  <si>
    <t>R3
(K/W)</t>
    <phoneticPr fontId="2" type="noConversion"/>
  </si>
  <si>
    <t>R4
(K/W)</t>
    <phoneticPr fontId="2" type="noConversion"/>
  </si>
  <si>
    <t>RI
(K/W)</t>
    <phoneticPr fontId="2" type="noConversion"/>
  </si>
  <si>
    <t>R1+R2+R3
(K/W)</t>
    <phoneticPr fontId="2" type="noConversion"/>
  </si>
  <si>
    <r>
      <t>R</t>
    </r>
    <r>
      <rPr>
        <b/>
        <vertAlign val="subscript"/>
        <sz val="12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 xml:space="preserve">
(m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 xml:space="preserve"> K/W)</t>
    </r>
    <phoneticPr fontId="2" type="noConversion"/>
  </si>
  <si>
    <r>
      <t>R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>+R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+R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 xml:space="preserve">
(K/W)</t>
    </r>
    <phoneticPr fontId="2" type="noConversion"/>
  </si>
  <si>
    <r>
      <t>V</t>
    </r>
    <r>
      <rPr>
        <b/>
        <vertAlign val="subscript"/>
        <sz val="12"/>
        <rFont val="Times New Roman"/>
        <family val="1"/>
      </rPr>
      <t>f</t>
    </r>
    <r>
      <rPr>
        <b/>
        <sz val="12"/>
        <rFont val="Times New Roman"/>
        <family val="1"/>
      </rPr>
      <t xml:space="preserve">
(vol%)</t>
    </r>
    <phoneticPr fontId="2" type="noConversion"/>
  </si>
  <si>
    <r>
      <t>k</t>
    </r>
    <r>
      <rPr>
        <b/>
        <vertAlign val="subscript"/>
        <sz val="12"/>
        <color theme="1"/>
        <rFont val="Times New Roman"/>
        <family val="1"/>
      </rPr>
      <t>a</t>
    </r>
    <r>
      <rPr>
        <b/>
        <sz val="12"/>
        <color theme="1"/>
        <rFont val="Times New Roman"/>
        <family val="1"/>
      </rPr>
      <t xml:space="preserve">
(W/m K)</t>
    </r>
    <phoneticPr fontId="2" type="noConversion"/>
  </si>
  <si>
    <r>
      <t>η=
(k</t>
    </r>
    <r>
      <rPr>
        <b/>
        <vertAlign val="subscript"/>
        <sz val="12"/>
        <color theme="1"/>
        <rFont val="Times New Roman"/>
        <family val="1"/>
      </rPr>
      <t>a</t>
    </r>
    <r>
      <rPr>
        <b/>
        <sz val="12"/>
        <color theme="1"/>
        <rFont val="Times New Roman"/>
        <family val="1"/>
      </rPr>
      <t>-k</t>
    </r>
    <r>
      <rPr>
        <b/>
        <vertAlign val="sub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>)/k</t>
    </r>
    <r>
      <rPr>
        <b/>
        <vertAlign val="subscript"/>
        <sz val="12"/>
        <color theme="1"/>
        <rFont val="Times New Roman"/>
        <family val="1"/>
      </rPr>
      <t>m</t>
    </r>
    <phoneticPr fontId="2" type="noConversion"/>
  </si>
  <si>
    <r>
      <t>V</t>
    </r>
    <r>
      <rPr>
        <b/>
        <vertAlign val="subscript"/>
        <sz val="12"/>
        <color theme="1"/>
        <rFont val="Times New Roman"/>
        <family val="1"/>
      </rPr>
      <t>f</t>
    </r>
    <r>
      <rPr>
        <b/>
        <sz val="12"/>
        <color theme="1"/>
        <rFont val="Times New Roman"/>
        <family val="1"/>
      </rPr>
      <t xml:space="preserve">
(vol%)</t>
    </r>
    <phoneticPr fontId="2" type="noConversion"/>
  </si>
  <si>
    <r>
      <t>k</t>
    </r>
    <r>
      <rPr>
        <b/>
        <vertAlign val="sub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 xml:space="preserve">
(W/m K)</t>
    </r>
    <phoneticPr fontId="2" type="noConversion"/>
  </si>
  <si>
    <r>
      <t>k</t>
    </r>
    <r>
      <rPr>
        <b/>
        <vertAlign val="subscript"/>
        <sz val="12"/>
        <color theme="1"/>
        <rFont val="Times New Roman"/>
        <family val="1"/>
      </rPr>
      <t>f</t>
    </r>
    <r>
      <rPr>
        <b/>
        <sz val="12"/>
        <color theme="1"/>
        <rFont val="Times New Roman"/>
        <family val="1"/>
      </rPr>
      <t xml:space="preserve">
(W/m K)</t>
    </r>
    <phoneticPr fontId="2" type="noConversion"/>
  </si>
  <si>
    <r>
      <t>K</t>
    </r>
    <r>
      <rPr>
        <b/>
        <vertAlign val="subscript"/>
        <sz val="12"/>
        <color theme="1"/>
        <rFont val="Times New Roman"/>
        <family val="1"/>
      </rPr>
      <t>R</t>
    </r>
    <r>
      <rPr>
        <b/>
        <sz val="12"/>
        <color theme="1"/>
        <rFont val="Times New Roman"/>
        <family val="1"/>
      </rPr>
      <t>=k</t>
    </r>
    <r>
      <rPr>
        <b/>
        <vertAlign val="subscript"/>
        <sz val="12"/>
        <color theme="1"/>
        <rFont val="Times New Roman"/>
        <family val="1"/>
      </rPr>
      <t>f</t>
    </r>
    <r>
      <rPr>
        <b/>
        <sz val="12"/>
        <color theme="1"/>
        <rFont val="Times New Roman"/>
        <family val="1"/>
      </rPr>
      <t>/k</t>
    </r>
    <r>
      <rPr>
        <b/>
        <vertAlign val="subscript"/>
        <sz val="12"/>
        <color theme="1"/>
        <rFont val="Times New Roman"/>
        <family val="1"/>
      </rPr>
      <t>m</t>
    </r>
    <phoneticPr fontId="2" type="noConversion"/>
  </si>
  <si>
    <r>
      <t>R</t>
    </r>
    <r>
      <rPr>
        <b/>
        <vertAlign val="subscript"/>
        <sz val="12"/>
        <color theme="1"/>
        <rFont val="Times New Roman"/>
        <family val="1"/>
      </rPr>
      <t>K</t>
    </r>
    <r>
      <rPr>
        <b/>
        <sz val="12"/>
        <color theme="1"/>
        <rFont val="Times New Roman"/>
        <family val="1"/>
      </rPr>
      <t>=R</t>
    </r>
    <r>
      <rPr>
        <b/>
        <vertAlign val="subscript"/>
        <sz val="12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*k</t>
    </r>
    <r>
      <rPr>
        <b/>
        <vertAlign val="subscript"/>
        <sz val="12"/>
        <color theme="1"/>
        <rFont val="Times New Roman"/>
        <family val="1"/>
      </rPr>
      <t xml:space="preserve">m </t>
    </r>
    <r>
      <rPr>
        <b/>
        <sz val="12"/>
        <color theme="1"/>
        <rFont val="Times New Roman"/>
        <family val="1"/>
      </rPr>
      <t>(m)</t>
    </r>
    <phoneticPr fontId="2" type="noConversion"/>
  </si>
  <si>
    <r>
      <t>k</t>
    </r>
    <r>
      <rPr>
        <b/>
        <vertAlign val="subscript"/>
        <sz val="12"/>
        <rFont val="Times New Roman"/>
        <family val="1"/>
      </rPr>
      <t>m</t>
    </r>
    <r>
      <rPr>
        <b/>
        <sz val="12"/>
        <rFont val="Times New Roman"/>
        <family val="1"/>
      </rPr>
      <t xml:space="preserve">
(W/m K)</t>
    </r>
    <phoneticPr fontId="2" type="noConversion"/>
  </si>
  <si>
    <r>
      <t>k</t>
    </r>
    <r>
      <rPr>
        <b/>
        <vertAlign val="subscript"/>
        <sz val="12"/>
        <rFont val="Times New Roman"/>
        <family val="1"/>
      </rPr>
      <t>f</t>
    </r>
    <r>
      <rPr>
        <b/>
        <sz val="12"/>
        <rFont val="Times New Roman"/>
        <family val="1"/>
      </rPr>
      <t xml:space="preserve">
(W/m K)</t>
    </r>
    <phoneticPr fontId="2" type="noConversion"/>
  </si>
  <si>
    <r>
      <t>V</t>
    </r>
    <r>
      <rPr>
        <b/>
        <vertAlign val="subscript"/>
        <sz val="12"/>
        <rFont val="Times New Roman"/>
        <family val="1"/>
      </rPr>
      <t xml:space="preserve">f
</t>
    </r>
    <r>
      <rPr>
        <b/>
        <sz val="12"/>
        <rFont val="Times New Roman"/>
        <family val="1"/>
      </rPr>
      <t>(vol%)</t>
    </r>
    <phoneticPr fontId="2" type="noConversion"/>
  </si>
  <si>
    <r>
      <t>k</t>
    </r>
    <r>
      <rPr>
        <b/>
        <vertAlign val="subscript"/>
        <sz val="12"/>
        <rFont val="Times New Roman"/>
        <family val="1"/>
      </rPr>
      <t>a</t>
    </r>
    <r>
      <rPr>
        <b/>
        <sz val="12"/>
        <rFont val="Times New Roman"/>
        <family val="1"/>
      </rPr>
      <t xml:space="preserve">
(W/m K)</t>
    </r>
    <phoneticPr fontId="2" type="noConversion"/>
  </si>
  <si>
    <r>
      <t>R</t>
    </r>
    <r>
      <rPr>
        <b/>
        <vertAlign val="subscript"/>
        <sz val="12"/>
        <rFont val="Times New Roman"/>
        <family val="1"/>
      </rPr>
      <t>i</t>
    </r>
    <r>
      <rPr>
        <b/>
        <sz val="12"/>
        <rFont val="Times New Roman"/>
        <family val="1"/>
      </rPr>
      <t xml:space="preserve">
(m</t>
    </r>
    <r>
      <rPr>
        <b/>
        <vertAlign val="superscript"/>
        <sz val="12"/>
        <rFont val="Times New Roman"/>
        <family val="1"/>
      </rPr>
      <t>2</t>
    </r>
    <r>
      <rPr>
        <b/>
        <sz val="12"/>
        <rFont val="Times New Roman"/>
        <family val="1"/>
      </rPr>
      <t xml:space="preserve"> K/W)</t>
    </r>
    <phoneticPr fontId="2" type="noConversion"/>
  </si>
  <si>
    <r>
      <t xml:space="preserve">H-J model </t>
    </r>
    <r>
      <rPr>
        <sz val="12"/>
        <color theme="1"/>
        <rFont val="Times New Roman"/>
        <family val="1"/>
      </rPr>
      <t xml:space="preserve"> a</t>
    </r>
    <r>
      <rPr>
        <b/>
        <sz val="12"/>
        <color theme="1"/>
        <rFont val="Times New Roman"/>
        <family val="1"/>
      </rPr>
      <t>verage error (%)</t>
    </r>
    <phoneticPr fontId="2" type="noConversion"/>
  </si>
  <si>
    <t>BCC model average  error (%)</t>
    <phoneticPr fontId="2" type="noConversion"/>
  </si>
  <si>
    <t>Bruggeman model average error (%)</t>
    <phoneticPr fontId="2" type="noConversion"/>
  </si>
  <si>
    <t>M-G model 
errors(%)</t>
    <phoneticPr fontId="2" type="noConversion"/>
  </si>
  <si>
    <t>S-P model 
errors(%)</t>
    <phoneticPr fontId="2" type="noConversion"/>
  </si>
  <si>
    <t>Simple cubic model 
errors(%)</t>
    <phoneticPr fontId="2" type="noConversion"/>
  </si>
  <si>
    <r>
      <t xml:space="preserve">M-G model </t>
    </r>
    <r>
      <rPr>
        <sz val="12"/>
        <color theme="1"/>
        <rFont val="Times New Roman"/>
        <family val="1"/>
      </rPr>
      <t xml:space="preserve"> a</t>
    </r>
    <r>
      <rPr>
        <b/>
        <sz val="12"/>
        <color theme="1"/>
        <rFont val="Times New Roman"/>
        <family val="1"/>
      </rPr>
      <t>verage error (%)</t>
    </r>
    <phoneticPr fontId="2" type="noConversion"/>
  </si>
  <si>
    <t>S-P model average error (%)</t>
    <phoneticPr fontId="2" type="noConversion"/>
  </si>
  <si>
    <t>Simple cubic model average error (%)</t>
    <phoneticPr fontId="2" type="noConversion"/>
  </si>
  <si>
    <t>Mean error&lt;10%</t>
    <phoneticPr fontId="2" type="noConversion"/>
  </si>
  <si>
    <t>Rtotoal=R1+R2+R3+2RI
(K/W)</t>
    <phoneticPr fontId="2" type="noConversion"/>
  </si>
  <si>
    <t>2r
(m)</t>
  </si>
  <si>
    <t>Inf</t>
  </si>
  <si>
    <t>RK
(m)</t>
    <phoneticPr fontId="2" type="noConversion"/>
  </si>
  <si>
    <r>
      <t>R</t>
    </r>
    <r>
      <rPr>
        <b/>
        <vertAlign val="subscript"/>
        <sz val="12"/>
        <color theme="1"/>
        <rFont val="Times New Roman"/>
        <family val="1"/>
      </rPr>
      <t>K</t>
    </r>
    <r>
      <rPr>
        <b/>
        <sz val="12"/>
        <color theme="1"/>
        <rFont val="Times New Roman"/>
        <family val="1"/>
      </rPr>
      <t>/r</t>
    </r>
    <phoneticPr fontId="2" type="noConversion"/>
  </si>
  <si>
    <r>
      <t>Ri
(m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 xml:space="preserve"> K/W)</t>
    </r>
    <phoneticPr fontId="2" type="noConversion"/>
  </si>
  <si>
    <t>kf
(W/m K)</t>
    <phoneticPr fontId="2" type="noConversion"/>
  </si>
  <si>
    <r>
      <t>R</t>
    </r>
    <r>
      <rPr>
        <b/>
        <vertAlign val="subscript"/>
        <sz val="12"/>
        <color theme="1"/>
        <rFont val="Times New Roman"/>
        <family val="1"/>
      </rPr>
      <t>K</t>
    </r>
    <r>
      <rPr>
        <b/>
        <sz val="12"/>
        <color theme="1"/>
        <rFont val="Times New Roman"/>
        <family val="1"/>
      </rPr>
      <t>=k</t>
    </r>
    <r>
      <rPr>
        <b/>
        <vertAlign val="sub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>*R</t>
    </r>
    <r>
      <rPr>
        <b/>
        <vertAlign val="subscript"/>
        <sz val="12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 xml:space="preserve">
(m)</t>
    </r>
    <phoneticPr fontId="2" type="noConversion"/>
  </si>
  <si>
    <r>
      <t>R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 xml:space="preserve">
(K/W)</t>
    </r>
    <phoneticPr fontId="2" type="noConversion"/>
  </si>
  <si>
    <r>
      <t>R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 xml:space="preserve">
(K/W)</t>
    </r>
    <phoneticPr fontId="2" type="noConversion"/>
  </si>
  <si>
    <r>
      <t>R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 xml:space="preserve">
(K/W)</t>
    </r>
    <phoneticPr fontId="2" type="noConversion"/>
  </si>
  <si>
    <r>
      <t>R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 xml:space="preserve">
(K/W)</t>
    </r>
    <phoneticPr fontId="2" type="noConversion"/>
  </si>
  <si>
    <t>Fitting data</t>
    <phoneticPr fontId="2" type="noConversion"/>
  </si>
  <si>
    <r>
      <t>V</t>
    </r>
    <r>
      <rPr>
        <b/>
        <vertAlign val="subscript"/>
        <sz val="12"/>
        <rFont val="Times New Roman"/>
        <family val="1"/>
      </rPr>
      <t>f</t>
    </r>
    <r>
      <rPr>
        <b/>
        <sz val="12"/>
        <rFont val="Times New Roman"/>
        <family val="1"/>
      </rPr>
      <t xml:space="preserve">
(vol)</t>
    </r>
    <phoneticPr fontId="2" type="noConversion"/>
  </si>
  <si>
    <t>Predicted data</t>
    <phoneticPr fontId="2" type="noConversion"/>
  </si>
  <si>
    <r>
      <t>k</t>
    </r>
    <r>
      <rPr>
        <b/>
        <vertAlign val="subscript"/>
        <sz val="12"/>
        <rFont val="Times New Roman"/>
        <family val="1"/>
      </rPr>
      <t>eff</t>
    </r>
    <r>
      <rPr>
        <b/>
        <sz val="12"/>
        <rFont val="Times New Roman"/>
        <family val="1"/>
      </rPr>
      <t xml:space="preserve">
(W/m K)</t>
    </r>
    <phoneticPr fontId="2" type="noConversion"/>
  </si>
  <si>
    <t>Validate data</t>
    <phoneticPr fontId="2" type="noConversion"/>
  </si>
  <si>
    <t>Systems</t>
  </si>
  <si>
    <t>errors(%)</t>
    <phoneticPr fontId="2" type="noConversion"/>
  </si>
  <si>
    <r>
      <t>Al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-Epoxy</t>
    </r>
  </si>
  <si>
    <t>Aluminum-PVDF</t>
  </si>
  <si>
    <t>ZnO-Gutta percha</t>
  </si>
  <si>
    <t>AlN-Epoxy</t>
  </si>
  <si>
    <t>AlN- Lithium aluminosilicate</t>
  </si>
  <si>
    <t>AlN-borosilicate glass</t>
    <phoneticPr fontId="2" type="noConversion"/>
  </si>
  <si>
    <t>AlN-PI</t>
    <phoneticPr fontId="2" type="noConversion"/>
  </si>
  <si>
    <t>CBN-PTFE</t>
    <phoneticPr fontId="2" type="noConversion"/>
  </si>
  <si>
    <r>
      <t>Al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-PTFE</t>
    </r>
  </si>
  <si>
    <r>
      <t>Al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-PDMS</t>
    </r>
  </si>
  <si>
    <r>
      <t>Al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3</t>
    </r>
    <r>
      <rPr>
        <sz val="12"/>
        <rFont val="Times New Roman"/>
        <family val="1"/>
      </rPr>
      <t>-PEG</t>
    </r>
  </si>
  <si>
    <r>
      <t>m-diamond/Al(H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PO</t>
    </r>
    <r>
      <rPr>
        <vertAlign val="subscript"/>
        <sz val="12"/>
        <rFont val="Times New Roman"/>
        <family val="1"/>
      </rPr>
      <t>4</t>
    </r>
    <r>
      <rPr>
        <sz val="12"/>
        <rFont val="Times New Roman"/>
        <family val="1"/>
      </rPr>
      <t>)</t>
    </r>
    <r>
      <rPr>
        <vertAlign val="subscript"/>
        <sz val="12"/>
        <rFont val="Times New Roman"/>
        <family val="1"/>
      </rPr>
      <t>3</t>
    </r>
  </si>
  <si>
    <t>Foygel fitting</t>
    <phoneticPr fontId="2" type="noConversion"/>
  </si>
  <si>
    <t>AlN-Epoxy</t>
    <phoneticPr fontId="2" type="noConversion"/>
  </si>
  <si>
    <t>BCCfitting</t>
    <phoneticPr fontId="2" type="noConversion"/>
  </si>
  <si>
    <t>Mean(BCC)</t>
    <phoneticPr fontId="2" type="noConversion"/>
  </si>
  <si>
    <t>Mean(Foygel)</t>
    <phoneticPr fontId="2" type="noConversion"/>
  </si>
  <si>
    <r>
      <t>R</t>
    </r>
    <r>
      <rPr>
        <b/>
        <vertAlign val="superscript"/>
        <sz val="11"/>
        <color theme="1"/>
        <rFont val="等线"/>
        <family val="3"/>
        <charset val="134"/>
        <scheme val="minor"/>
      </rPr>
      <t>2</t>
    </r>
    <r>
      <rPr>
        <b/>
        <sz val="11"/>
        <color theme="1"/>
        <rFont val="等线"/>
        <family val="2"/>
        <charset val="134"/>
        <scheme val="minor"/>
      </rPr>
      <t xml:space="preserve"> calculation</t>
    </r>
    <phoneticPr fontId="2" type="noConversion"/>
  </si>
  <si>
    <t>Foygel
errors(%)</t>
    <phoneticPr fontId="2" type="noConversion"/>
  </si>
  <si>
    <t>overall error</t>
    <phoneticPr fontId="2" type="noConversion"/>
  </si>
  <si>
    <r>
      <t>V</t>
    </r>
    <r>
      <rPr>
        <b/>
        <vertAlign val="subscript"/>
        <sz val="12"/>
        <rFont val="Times New Roman"/>
        <family val="1"/>
      </rPr>
      <t>f</t>
    </r>
    <r>
      <rPr>
        <b/>
        <sz val="12"/>
        <rFont val="Times New Roman"/>
        <family val="1"/>
      </rPr>
      <t xml:space="preserve">
(0-70vol%)</t>
    </r>
    <phoneticPr fontId="2" type="noConversion"/>
  </si>
  <si>
    <r>
      <t>V</t>
    </r>
    <r>
      <rPr>
        <b/>
        <vertAlign val="subscript"/>
        <sz val="12"/>
        <rFont val="Times New Roman"/>
        <family val="1"/>
      </rPr>
      <t>f</t>
    </r>
    <r>
      <rPr>
        <b/>
        <sz val="12"/>
        <rFont val="Times New Roman"/>
        <family val="1"/>
      </rPr>
      <t xml:space="preserve">
(0-40vol%)</t>
    </r>
    <phoneticPr fontId="2" type="noConversion"/>
  </si>
  <si>
    <r>
      <t>V</t>
    </r>
    <r>
      <rPr>
        <b/>
        <vertAlign val="subscript"/>
        <sz val="12"/>
        <rFont val="Times New Roman"/>
        <family val="1"/>
      </rPr>
      <t>f</t>
    </r>
    <r>
      <rPr>
        <b/>
        <sz val="12"/>
        <rFont val="Times New Roman"/>
        <family val="1"/>
      </rPr>
      <t xml:space="preserve">
(0-20vol%)</t>
    </r>
    <phoneticPr fontId="2" type="noConversion"/>
  </si>
  <si>
    <r>
      <t>V</t>
    </r>
    <r>
      <rPr>
        <b/>
        <vertAlign val="subscript"/>
        <sz val="12"/>
        <rFont val="Times New Roman"/>
        <family val="1"/>
      </rPr>
      <t>f</t>
    </r>
    <r>
      <rPr>
        <b/>
        <sz val="12"/>
        <rFont val="Times New Roman"/>
        <family val="1"/>
      </rPr>
      <t xml:space="preserve">
(Above Vc)</t>
    </r>
    <phoneticPr fontId="2" type="noConversion"/>
  </si>
  <si>
    <r>
      <t>V</t>
    </r>
    <r>
      <rPr>
        <b/>
        <vertAlign val="subscript"/>
        <sz val="12"/>
        <rFont val="Times New Roman"/>
        <family val="1"/>
      </rPr>
      <t>f</t>
    </r>
    <r>
      <rPr>
        <b/>
        <sz val="12"/>
        <rFont val="Times New Roman"/>
        <family val="1"/>
      </rPr>
      <t xml:space="preserve">
(0-30vol%)</t>
    </r>
    <phoneticPr fontId="2" type="noConversion"/>
  </si>
  <si>
    <t>Average measured value
(W/m K)</t>
    <phoneticPr fontId="2" type="noConversion"/>
  </si>
  <si>
    <r>
      <t>(ka-ki)</t>
    </r>
    <r>
      <rPr>
        <b/>
        <vertAlign val="superscript"/>
        <sz val="12"/>
        <rFont val="Times New Roman"/>
        <family val="1"/>
      </rPr>
      <t>2</t>
    </r>
    <phoneticPr fontId="2" type="noConversion"/>
  </si>
  <si>
    <r>
      <t>(ka-Average ka)</t>
    </r>
    <r>
      <rPr>
        <b/>
        <vertAlign val="superscript"/>
        <sz val="12"/>
        <rFont val="Times New Roman"/>
        <family val="1"/>
      </rPr>
      <t>2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</si>
</sst>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00_);[Red]\(0.000\)"/>
    <numFmt numFmtId="177" formatCode="0.0000_);[Red]\(0.0000\)"/>
    <numFmt numFmtId="178" formatCode="0.00_);[Red]\(0.00\)"/>
    <numFmt numFmtId="179" formatCode="0_);[Red]\(0\)"/>
    <numFmt numFmtId="180" formatCode="0E+00"/>
  </numFmts>
  <fonts count="1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vertAlign val="subscript"/>
      <sz val="12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vertAlign val="subscript"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vertAlign val="superscript"/>
      <sz val="12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1"/>
      <color theme="1"/>
      <name val="等线"/>
      <family val="2"/>
      <charset val="134"/>
      <scheme val="minor"/>
    </font>
    <font>
      <vertAlign val="subscript"/>
      <sz val="12"/>
      <name val="Times New Roman"/>
      <family val="1"/>
    </font>
    <font>
      <b/>
      <vertAlign val="super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8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49" fontId="0" fillId="0" borderId="0" xfId="0" applyNumberFormat="1">
      <alignment vertical="center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177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178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11" fontId="4" fillId="0" borderId="0" xfId="0" applyNumberFormat="1" applyFont="1" applyAlignment="1">
      <alignment horizontal="center" vertical="center"/>
    </xf>
    <xf numFmtId="11" fontId="4" fillId="0" borderId="0" xfId="0" applyNumberFormat="1" applyFont="1">
      <alignment vertical="center"/>
    </xf>
    <xf numFmtId="179" fontId="4" fillId="0" borderId="0" xfId="0" applyNumberFormat="1" applyFont="1" applyAlignment="1">
      <alignment horizontal="center" vertical="center"/>
    </xf>
    <xf numFmtId="179" fontId="4" fillId="0" borderId="0" xfId="0" applyNumberFormat="1" applyFont="1">
      <alignment vertical="center"/>
    </xf>
    <xf numFmtId="180" fontId="3" fillId="0" borderId="0" xfId="0" applyNumberFormat="1" applyFont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180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>
      <alignment vertical="center"/>
    </xf>
    <xf numFmtId="11" fontId="3" fillId="0" borderId="0" xfId="0" applyNumberFormat="1" applyFont="1" applyAlignment="1">
      <alignment horizontal="center" vertical="center" readingOrder="1"/>
    </xf>
    <xf numFmtId="11" fontId="3" fillId="0" borderId="0" xfId="0" applyNumberFormat="1" applyFont="1" applyAlignment="1">
      <alignment horizontal="center" vertical="center"/>
    </xf>
    <xf numFmtId="11" fontId="0" fillId="0" borderId="0" xfId="0" applyNumberFormat="1">
      <alignment vertical="center"/>
    </xf>
    <xf numFmtId="11" fontId="10" fillId="0" borderId="0" xfId="0" applyNumberFormat="1" applyFont="1" applyAlignment="1">
      <alignment horizontal="center" vertical="center" readingOrder="1"/>
    </xf>
    <xf numFmtId="179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 wrapText="1"/>
    </xf>
    <xf numFmtId="0" fontId="1" fillId="0" borderId="0" xfId="0" applyFont="1">
      <alignment vertical="center"/>
    </xf>
    <xf numFmtId="178" fontId="7" fillId="0" borderId="0" xfId="0" applyNumberFormat="1" applyFont="1" applyAlignment="1">
      <alignment horizontal="center" vertical="center" wrapText="1"/>
    </xf>
    <xf numFmtId="179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8" fontId="0" fillId="0" borderId="0" xfId="0" applyNumberFormat="1">
      <alignment vertical="center"/>
    </xf>
    <xf numFmtId="178" fontId="5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/>
    </xf>
    <xf numFmtId="178" fontId="4" fillId="0" borderId="0" xfId="1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 wrapText="1"/>
    </xf>
    <xf numFmtId="11" fontId="7" fillId="0" borderId="0" xfId="0" applyNumberFormat="1" applyFont="1" applyAlignment="1">
      <alignment horizontal="center" vertical="center" wrapText="1"/>
    </xf>
    <xf numFmtId="178" fontId="7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80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D5E-46EE-457C-9B05-4CCE8D40AFE6}">
  <dimension ref="A1:B258"/>
  <sheetViews>
    <sheetView workbookViewId="0">
      <selection activeCell="A2" sqref="A2:B1048576"/>
    </sheetView>
  </sheetViews>
  <sheetFormatPr defaultRowHeight="13.9" x14ac:dyDescent="0.4"/>
  <cols>
    <col min="1" max="1" width="7.59765625" style="49" bestFit="1" customWidth="1"/>
    <col min="2" max="2" width="9.73046875" style="5" bestFit="1" customWidth="1"/>
  </cols>
  <sheetData>
    <row r="1" spans="1:2" s="36" customFormat="1" ht="33" x14ac:dyDescent="0.4">
      <c r="A1" s="15" t="s">
        <v>69</v>
      </c>
      <c r="B1" s="15" t="s">
        <v>59</v>
      </c>
    </row>
    <row r="2" spans="1:2" ht="15.4" x14ac:dyDescent="0.4">
      <c r="A2" s="43">
        <v>0.89999999999999991</v>
      </c>
      <c r="B2" s="2">
        <v>15.8</v>
      </c>
    </row>
    <row r="3" spans="1:2" ht="15.4" x14ac:dyDescent="0.4">
      <c r="A3" s="43">
        <v>1</v>
      </c>
      <c r="B3" s="2">
        <v>24.66</v>
      </c>
    </row>
    <row r="4" spans="1:2" ht="15.4" x14ac:dyDescent="0.4">
      <c r="A4" s="43">
        <v>1.5817223198594026</v>
      </c>
      <c r="B4" s="2">
        <v>0.189</v>
      </c>
    </row>
    <row r="5" spans="1:2" ht="15.4" x14ac:dyDescent="0.4">
      <c r="A5" s="43">
        <v>2</v>
      </c>
      <c r="B5" s="2">
        <v>16.7</v>
      </c>
    </row>
    <row r="6" spans="1:2" ht="15.4" x14ac:dyDescent="0.4">
      <c r="A6" s="43">
        <v>2</v>
      </c>
      <c r="B6" s="2">
        <v>26.3</v>
      </c>
    </row>
    <row r="7" spans="1:2" ht="15.4" x14ac:dyDescent="0.4">
      <c r="A7" s="43">
        <v>2.4</v>
      </c>
      <c r="B7" s="2">
        <v>2.2400000000000002</v>
      </c>
    </row>
    <row r="8" spans="1:2" ht="15.4" x14ac:dyDescent="0.4">
      <c r="A8" s="43">
        <v>2.5</v>
      </c>
      <c r="B8" s="2">
        <v>0.29599999999999999</v>
      </c>
    </row>
    <row r="9" spans="1:2" ht="15.4" x14ac:dyDescent="0.4">
      <c r="A9" s="43">
        <v>2.5</v>
      </c>
      <c r="B9" s="2">
        <v>0.19</v>
      </c>
    </row>
    <row r="10" spans="1:2" ht="15.4" x14ac:dyDescent="0.4">
      <c r="A10" s="43">
        <v>2.7027027027027026</v>
      </c>
      <c r="B10" s="2">
        <v>0.36199999999999999</v>
      </c>
    </row>
    <row r="11" spans="1:2" ht="15.4" x14ac:dyDescent="0.4">
      <c r="A11" s="43">
        <v>3</v>
      </c>
      <c r="B11" s="2">
        <v>0.29899999999999999</v>
      </c>
    </row>
    <row r="12" spans="1:2" ht="15.4" x14ac:dyDescent="0.4">
      <c r="A12" s="43">
        <v>3</v>
      </c>
      <c r="B12" s="2">
        <v>20.27</v>
      </c>
    </row>
    <row r="13" spans="1:2" ht="15.4" x14ac:dyDescent="0.4">
      <c r="A13" s="43">
        <v>3</v>
      </c>
      <c r="B13" s="2">
        <v>28.66</v>
      </c>
    </row>
    <row r="14" spans="1:2" ht="15.4" x14ac:dyDescent="0.4">
      <c r="A14" s="43">
        <v>3.0674846625766872</v>
      </c>
      <c r="B14" s="2">
        <v>0.23</v>
      </c>
    </row>
    <row r="15" spans="1:2" ht="15.4" x14ac:dyDescent="0.4">
      <c r="A15" s="43">
        <v>3.2211047952193561</v>
      </c>
      <c r="B15" s="2">
        <v>0.20399999999999999</v>
      </c>
    </row>
    <row r="16" spans="1:2" ht="15.4" x14ac:dyDescent="0.4">
      <c r="A16" s="43">
        <v>3.5106670267350801</v>
      </c>
      <c r="B16" s="2">
        <v>0.42699999999999999</v>
      </c>
    </row>
    <row r="17" spans="1:2" ht="15.4" x14ac:dyDescent="0.4">
      <c r="A17" s="43">
        <v>3.5106670267350801</v>
      </c>
      <c r="B17" s="2">
        <v>0.45100000000000001</v>
      </c>
    </row>
    <row r="18" spans="1:2" ht="15.4" x14ac:dyDescent="0.4">
      <c r="A18" s="43">
        <v>3.5106670267350801</v>
      </c>
      <c r="B18" s="2">
        <v>0.45400000000000001</v>
      </c>
    </row>
    <row r="19" spans="1:2" ht="15.4" x14ac:dyDescent="0.4">
      <c r="A19" s="43">
        <v>3.6144578313253009</v>
      </c>
      <c r="B19" s="2">
        <v>0.24199999999999999</v>
      </c>
    </row>
    <row r="20" spans="1:2" ht="15.4" x14ac:dyDescent="0.4">
      <c r="A20" s="43">
        <v>3.9292730844793713</v>
      </c>
      <c r="B20" s="2">
        <v>0.47299999999999998</v>
      </c>
    </row>
    <row r="21" spans="1:2" ht="15.4" x14ac:dyDescent="0.4">
      <c r="A21" s="43">
        <v>3.9525691699604737</v>
      </c>
      <c r="B21" s="2">
        <v>0.18890000000000001</v>
      </c>
    </row>
    <row r="22" spans="1:2" ht="15.4" x14ac:dyDescent="0.4">
      <c r="A22" s="43">
        <v>3.9525691699604737</v>
      </c>
      <c r="B22" s="2">
        <v>0.23499999999999999</v>
      </c>
    </row>
    <row r="23" spans="1:2" ht="15.4" x14ac:dyDescent="0.4">
      <c r="A23" s="43">
        <v>4</v>
      </c>
      <c r="B23" s="2">
        <v>20.34</v>
      </c>
    </row>
    <row r="24" spans="1:2" ht="15.4" x14ac:dyDescent="0.4">
      <c r="A24" s="43">
        <v>4</v>
      </c>
      <c r="B24" s="2">
        <v>27.26</v>
      </c>
    </row>
    <row r="25" spans="1:2" ht="15.4" x14ac:dyDescent="0.4">
      <c r="A25" s="43">
        <v>4.8811013767209008</v>
      </c>
      <c r="B25" s="2">
        <v>0.215</v>
      </c>
    </row>
    <row r="26" spans="1:2" ht="15.4" x14ac:dyDescent="0.4">
      <c r="A26" s="43">
        <v>5</v>
      </c>
      <c r="B26" s="2">
        <v>0.311</v>
      </c>
    </row>
    <row r="27" spans="1:2" ht="15.4" x14ac:dyDescent="0.4">
      <c r="A27" s="43">
        <v>5</v>
      </c>
      <c r="B27" s="2">
        <v>5.1733333333333302</v>
      </c>
    </row>
    <row r="28" spans="1:2" ht="15.4" x14ac:dyDescent="0.4">
      <c r="A28" s="43">
        <v>5</v>
      </c>
      <c r="B28" s="2">
        <v>0.22700000000000001</v>
      </c>
    </row>
    <row r="29" spans="1:2" ht="15.4" x14ac:dyDescent="0.4">
      <c r="A29" s="43">
        <v>5</v>
      </c>
      <c r="B29" s="2">
        <v>0.27500000000000002</v>
      </c>
    </row>
    <row r="30" spans="1:2" ht="15.4" x14ac:dyDescent="0.4">
      <c r="A30" s="43">
        <v>5</v>
      </c>
      <c r="B30" s="2">
        <v>19.68</v>
      </c>
    </row>
    <row r="31" spans="1:2" ht="15.4" x14ac:dyDescent="0.4">
      <c r="A31" s="43">
        <v>5</v>
      </c>
      <c r="B31" s="2">
        <v>33.79</v>
      </c>
    </row>
    <row r="32" spans="1:2" ht="15.4" x14ac:dyDescent="0.4">
      <c r="A32" s="43">
        <v>5.8139534883720927</v>
      </c>
      <c r="B32" s="2">
        <v>0.26400000000000001</v>
      </c>
    </row>
    <row r="33" spans="1:2" ht="15.4" x14ac:dyDescent="0.4">
      <c r="A33" s="43">
        <v>5.8823529411764701</v>
      </c>
      <c r="B33" s="2">
        <v>0.46400000000000002</v>
      </c>
    </row>
    <row r="34" spans="1:2" ht="15.4" x14ac:dyDescent="0.4">
      <c r="A34" s="43">
        <v>5.9438275636838664</v>
      </c>
      <c r="B34" s="2">
        <v>0.22700000000000001</v>
      </c>
    </row>
    <row r="35" spans="1:2" ht="15.4" x14ac:dyDescent="0.4">
      <c r="A35" s="43">
        <v>6</v>
      </c>
      <c r="B35" s="2">
        <v>22.6</v>
      </c>
    </row>
    <row r="36" spans="1:2" ht="15.4" x14ac:dyDescent="0.4">
      <c r="A36" s="43">
        <v>6</v>
      </c>
      <c r="B36" s="2">
        <v>35.72</v>
      </c>
    </row>
    <row r="37" spans="1:2" ht="15.4" x14ac:dyDescent="0.4">
      <c r="A37" s="43">
        <v>6.1349693251533743</v>
      </c>
      <c r="B37" s="2">
        <v>0.27</v>
      </c>
    </row>
    <row r="38" spans="1:2" ht="15.4" x14ac:dyDescent="0.4">
      <c r="A38" s="43">
        <v>6.5250000000000004</v>
      </c>
      <c r="B38" s="2">
        <v>0.61719190000000002</v>
      </c>
    </row>
    <row r="39" spans="1:2" ht="15.4" x14ac:dyDescent="0.4">
      <c r="A39" s="43">
        <v>6.9767441860465116</v>
      </c>
      <c r="B39" s="2">
        <v>0.25800000000000001</v>
      </c>
    </row>
    <row r="40" spans="1:2" ht="15.4" x14ac:dyDescent="0.4">
      <c r="A40" s="43">
        <v>7.0000000000000009</v>
      </c>
      <c r="B40" s="2">
        <v>36.31</v>
      </c>
    </row>
    <row r="41" spans="1:2" ht="15.4" x14ac:dyDescent="0.4">
      <c r="A41" s="43">
        <v>7.5</v>
      </c>
      <c r="B41" s="2">
        <v>0.374</v>
      </c>
    </row>
    <row r="42" spans="1:2" ht="15.4" x14ac:dyDescent="0.4">
      <c r="A42" s="43">
        <v>7.5669383003492436</v>
      </c>
      <c r="B42" s="2">
        <v>0.53</v>
      </c>
    </row>
    <row r="43" spans="1:2" ht="15.4" x14ac:dyDescent="0.4">
      <c r="A43" s="43">
        <v>7.5669383003492436</v>
      </c>
      <c r="B43" s="2">
        <v>0.53600000000000003</v>
      </c>
    </row>
    <row r="44" spans="1:2" ht="15.4" x14ac:dyDescent="0.4">
      <c r="A44" s="43">
        <v>7.5669383003492436</v>
      </c>
      <c r="B44" s="2">
        <v>0.57599999999999996</v>
      </c>
    </row>
    <row r="45" spans="1:2" ht="15.4" x14ac:dyDescent="0.4">
      <c r="A45" s="43">
        <v>7.7</v>
      </c>
      <c r="B45" s="2">
        <v>0.34222000000000002</v>
      </c>
    </row>
    <row r="46" spans="1:2" ht="15.4" x14ac:dyDescent="0.4">
      <c r="A46" s="43">
        <v>8.4269662921348321</v>
      </c>
      <c r="B46" s="2">
        <v>0.51400000000000001</v>
      </c>
    </row>
    <row r="47" spans="1:2" ht="15.4" x14ac:dyDescent="0.4">
      <c r="A47" s="43">
        <v>8.6</v>
      </c>
      <c r="B47" s="2">
        <v>2.92</v>
      </c>
    </row>
    <row r="48" spans="1:2" ht="15.4" x14ac:dyDescent="0.4">
      <c r="A48" s="43">
        <v>8.75</v>
      </c>
      <c r="B48" s="2">
        <v>0.62338340000000003</v>
      </c>
    </row>
    <row r="49" spans="1:2" ht="15.4" x14ac:dyDescent="0.4">
      <c r="A49" s="43">
        <v>9</v>
      </c>
      <c r="B49" s="2">
        <v>1.77</v>
      </c>
    </row>
    <row r="50" spans="1:2" ht="15.4" x14ac:dyDescent="0.4">
      <c r="A50" s="43">
        <v>9.0575724239090576</v>
      </c>
      <c r="B50" s="2">
        <v>0.23400000000000001</v>
      </c>
    </row>
    <row r="51" spans="1:2" ht="15.4" x14ac:dyDescent="0.4">
      <c r="A51" s="43">
        <v>9.2024539877300615</v>
      </c>
      <c r="B51" s="2">
        <v>0.31</v>
      </c>
    </row>
    <row r="52" spans="1:2" ht="15.4" x14ac:dyDescent="0.4">
      <c r="A52" s="43">
        <v>9.67741935483871</v>
      </c>
      <c r="B52" s="2">
        <v>0.56599999999999995</v>
      </c>
    </row>
    <row r="53" spans="1:2" ht="15.4" x14ac:dyDescent="0.4">
      <c r="A53" s="43">
        <v>9.7000000000000011</v>
      </c>
      <c r="B53" s="2">
        <v>0.309</v>
      </c>
    </row>
    <row r="54" spans="1:2" ht="15.4" x14ac:dyDescent="0.4">
      <c r="A54" s="43">
        <v>10</v>
      </c>
      <c r="B54" s="2">
        <v>0.373</v>
      </c>
    </row>
    <row r="55" spans="1:2" ht="15.4" x14ac:dyDescent="0.4">
      <c r="A55" s="43">
        <v>10</v>
      </c>
      <c r="B55" s="2">
        <v>0.45500000000000002</v>
      </c>
    </row>
    <row r="56" spans="1:2" ht="15.4" x14ac:dyDescent="0.4">
      <c r="A56" s="43">
        <v>10</v>
      </c>
      <c r="B56" s="2">
        <v>0.17</v>
      </c>
    </row>
    <row r="57" spans="1:2" ht="15.4" x14ac:dyDescent="0.4">
      <c r="A57" s="43">
        <v>10</v>
      </c>
      <c r="B57" s="2">
        <v>5.9200000000000008</v>
      </c>
    </row>
    <row r="58" spans="1:2" ht="15.4" x14ac:dyDescent="0.4">
      <c r="A58" s="43">
        <v>10</v>
      </c>
      <c r="B58" s="2">
        <v>0.45</v>
      </c>
    </row>
    <row r="59" spans="1:2" ht="15.4" x14ac:dyDescent="0.4">
      <c r="A59" s="43">
        <v>10</v>
      </c>
      <c r="B59" s="2">
        <v>0.24529100529100534</v>
      </c>
    </row>
    <row r="60" spans="1:2" ht="15.4" x14ac:dyDescent="0.4">
      <c r="A60" s="43">
        <v>10</v>
      </c>
      <c r="B60" s="2">
        <v>0.25738303876429502</v>
      </c>
    </row>
    <row r="61" spans="1:2" ht="15.4" x14ac:dyDescent="0.4">
      <c r="A61" s="43">
        <v>10</v>
      </c>
      <c r="B61" s="2">
        <v>0.27590116279069798</v>
      </c>
    </row>
    <row r="62" spans="1:2" ht="15.4" x14ac:dyDescent="0.4">
      <c r="A62" s="43">
        <v>10</v>
      </c>
      <c r="B62" s="2">
        <v>34.75</v>
      </c>
    </row>
    <row r="63" spans="1:2" ht="15.4" x14ac:dyDescent="0.4">
      <c r="A63" s="43">
        <v>10</v>
      </c>
      <c r="B63" s="2">
        <v>31.02</v>
      </c>
    </row>
    <row r="64" spans="1:2" ht="15.4" x14ac:dyDescent="0.4">
      <c r="A64" s="43">
        <v>10.112359550561797</v>
      </c>
      <c r="B64" s="2">
        <v>0.29399999999999998</v>
      </c>
    </row>
    <row r="65" spans="1:2" ht="15.4" x14ac:dyDescent="0.4">
      <c r="A65" s="43">
        <v>10.911</v>
      </c>
      <c r="B65" s="2">
        <v>0.62659809999999994</v>
      </c>
    </row>
    <row r="66" spans="1:2" ht="15.4" x14ac:dyDescent="0.4">
      <c r="A66" s="43">
        <v>11.322248614410135</v>
      </c>
      <c r="B66" s="2">
        <v>0.28299999999999997</v>
      </c>
    </row>
    <row r="67" spans="1:2" ht="15.4" x14ac:dyDescent="0.4">
      <c r="A67" s="43">
        <v>12</v>
      </c>
      <c r="B67" s="2">
        <v>0.51500000000000001</v>
      </c>
    </row>
    <row r="68" spans="1:2" ht="15.4" x14ac:dyDescent="0.4">
      <c r="A68" s="43">
        <v>12.195121951219512</v>
      </c>
      <c r="B68" s="2">
        <v>0.32300000000000001</v>
      </c>
    </row>
    <row r="69" spans="1:2" ht="15.4" x14ac:dyDescent="0.4">
      <c r="A69" s="43">
        <v>12.269938650306749</v>
      </c>
      <c r="B69" s="2">
        <v>0.34</v>
      </c>
    </row>
    <row r="70" spans="1:2" ht="15.4" x14ac:dyDescent="0.4">
      <c r="A70" s="43">
        <v>12.306721363206059</v>
      </c>
      <c r="B70" s="2">
        <v>0.72599999999999998</v>
      </c>
    </row>
    <row r="71" spans="1:2" ht="15.4" x14ac:dyDescent="0.4">
      <c r="A71" s="43">
        <v>12.306721363206059</v>
      </c>
      <c r="B71" s="2">
        <v>0.81200000000000006</v>
      </c>
    </row>
    <row r="72" spans="1:2" ht="15.4" x14ac:dyDescent="0.4">
      <c r="A72" s="43">
        <v>12.306721363206059</v>
      </c>
      <c r="B72" s="2">
        <v>0.81599999999999995</v>
      </c>
    </row>
    <row r="73" spans="1:2" ht="15.4" x14ac:dyDescent="0.4">
      <c r="A73" s="43">
        <v>12.5</v>
      </c>
      <c r="B73" s="2">
        <v>28.763100000000001</v>
      </c>
    </row>
    <row r="74" spans="1:2" ht="15.4" x14ac:dyDescent="0.4">
      <c r="A74" s="43">
        <v>14.285714285714288</v>
      </c>
      <c r="B74" s="2">
        <v>0.69799999999999995</v>
      </c>
    </row>
    <row r="75" spans="1:2" ht="15.4" x14ac:dyDescent="0.4">
      <c r="A75" s="43">
        <v>15</v>
      </c>
      <c r="B75" s="2">
        <v>0.35</v>
      </c>
    </row>
    <row r="76" spans="1:2" ht="15.4" x14ac:dyDescent="0.4">
      <c r="A76" s="43">
        <v>15</v>
      </c>
      <c r="B76" s="2">
        <v>30.123799999999999</v>
      </c>
    </row>
    <row r="77" spans="1:2" ht="15.4" x14ac:dyDescent="0.4">
      <c r="A77" s="43">
        <v>15</v>
      </c>
      <c r="B77" s="2">
        <v>33.950000000000003</v>
      </c>
    </row>
    <row r="78" spans="1:2" ht="15.4" x14ac:dyDescent="0.4">
      <c r="A78" s="43">
        <v>15.337423312883436</v>
      </c>
      <c r="B78" s="2">
        <v>0.35</v>
      </c>
    </row>
    <row r="79" spans="1:2" ht="15.4" x14ac:dyDescent="0.4">
      <c r="A79" s="43">
        <v>15.789473684210526</v>
      </c>
      <c r="B79" s="2">
        <v>0.47399999999999998</v>
      </c>
    </row>
    <row r="80" spans="1:2" ht="15.4" x14ac:dyDescent="0.4">
      <c r="A80" s="43">
        <v>16</v>
      </c>
      <c r="B80" s="2">
        <v>2.36</v>
      </c>
    </row>
    <row r="81" spans="1:2" ht="15.4" x14ac:dyDescent="0.4">
      <c r="A81" s="43">
        <v>16.404</v>
      </c>
      <c r="B81" s="2">
        <v>0.64002420000000004</v>
      </c>
    </row>
    <row r="82" spans="1:2" ht="15.4" x14ac:dyDescent="0.4">
      <c r="A82" s="43">
        <v>17.7</v>
      </c>
      <c r="B82" s="2">
        <v>3.17</v>
      </c>
    </row>
    <row r="83" spans="1:2" ht="15.4" x14ac:dyDescent="0.4">
      <c r="A83" s="43">
        <v>17.723032767280557</v>
      </c>
      <c r="B83" s="2">
        <v>0.41499999999999998</v>
      </c>
    </row>
    <row r="84" spans="1:2" ht="15.4" x14ac:dyDescent="0.4">
      <c r="A84" s="43">
        <v>17.918676774638183</v>
      </c>
      <c r="B84" s="2">
        <v>0.91600000000000004</v>
      </c>
    </row>
    <row r="85" spans="1:2" ht="15.4" x14ac:dyDescent="0.4">
      <c r="A85" s="43">
        <v>17.918676774638183</v>
      </c>
      <c r="B85" s="2">
        <v>1.0509999999999999</v>
      </c>
    </row>
    <row r="86" spans="1:2" ht="15.4" x14ac:dyDescent="0.4">
      <c r="A86" s="43">
        <v>17.918676774638183</v>
      </c>
      <c r="B86" s="2">
        <v>1.079</v>
      </c>
    </row>
    <row r="87" spans="1:2" ht="15.4" x14ac:dyDescent="0.4">
      <c r="A87" s="43">
        <v>18.404907975460123</v>
      </c>
      <c r="B87" s="2">
        <v>0.36</v>
      </c>
    </row>
    <row r="88" spans="1:2" ht="15.4" x14ac:dyDescent="0.4">
      <c r="A88" s="43">
        <v>19.230769230769234</v>
      </c>
      <c r="B88" s="2">
        <v>0.40100000000000002</v>
      </c>
    </row>
    <row r="89" spans="1:2" ht="15.4" x14ac:dyDescent="0.4">
      <c r="A89" s="43">
        <v>19.5</v>
      </c>
      <c r="B89" s="2">
        <v>0.21</v>
      </c>
    </row>
    <row r="90" spans="1:2" ht="15.4" x14ac:dyDescent="0.4">
      <c r="A90" s="43">
        <v>19.704433497536947</v>
      </c>
      <c r="B90" s="2">
        <v>1.9379999999999999</v>
      </c>
    </row>
    <row r="91" spans="1:2" ht="15.4" x14ac:dyDescent="0.4">
      <c r="A91" s="43">
        <v>20</v>
      </c>
      <c r="B91" s="2">
        <v>0.499</v>
      </c>
    </row>
    <row r="92" spans="1:2" ht="15.4" x14ac:dyDescent="0.4">
      <c r="A92" s="43">
        <v>20</v>
      </c>
      <c r="B92" s="2">
        <v>0.22</v>
      </c>
    </row>
    <row r="93" spans="1:2" ht="15.4" x14ac:dyDescent="0.4">
      <c r="A93" s="43">
        <v>20</v>
      </c>
      <c r="B93" s="2">
        <v>0.45700000000000002</v>
      </c>
    </row>
    <row r="94" spans="1:2" ht="15.4" x14ac:dyDescent="0.4">
      <c r="A94" s="43">
        <v>20</v>
      </c>
      <c r="B94" s="2">
        <v>7.4133333333333331</v>
      </c>
    </row>
    <row r="95" spans="1:2" ht="15.4" x14ac:dyDescent="0.4">
      <c r="A95" s="43">
        <v>20</v>
      </c>
      <c r="B95" s="2">
        <v>0.95</v>
      </c>
    </row>
    <row r="96" spans="1:2" ht="15.4" x14ac:dyDescent="0.4">
      <c r="A96" s="43">
        <v>20</v>
      </c>
      <c r="B96" s="2">
        <v>0.34768292682926832</v>
      </c>
    </row>
    <row r="97" spans="1:2" ht="15.4" x14ac:dyDescent="0.4">
      <c r="A97" s="43">
        <v>20</v>
      </c>
      <c r="B97" s="2">
        <v>0.33857142857142858</v>
      </c>
    </row>
    <row r="98" spans="1:2" ht="15.4" x14ac:dyDescent="0.4">
      <c r="A98" s="43">
        <v>20</v>
      </c>
      <c r="B98" s="2">
        <v>0.33659763313609464</v>
      </c>
    </row>
    <row r="99" spans="1:2" ht="15.4" x14ac:dyDescent="0.4">
      <c r="A99" s="43">
        <v>20</v>
      </c>
      <c r="B99" s="2">
        <v>31.278099999999998</v>
      </c>
    </row>
    <row r="100" spans="1:2" ht="15.4" x14ac:dyDescent="0.4">
      <c r="A100" s="43">
        <v>20</v>
      </c>
      <c r="B100" s="2">
        <v>36.218699999999998</v>
      </c>
    </row>
    <row r="101" spans="1:2" ht="15.4" x14ac:dyDescent="0.4">
      <c r="A101" s="43">
        <v>20</v>
      </c>
      <c r="B101" s="2">
        <v>34.770000000000003</v>
      </c>
    </row>
    <row r="102" spans="1:2" ht="15.4" x14ac:dyDescent="0.4">
      <c r="A102" s="43">
        <v>20</v>
      </c>
      <c r="B102" s="2">
        <v>0.83</v>
      </c>
    </row>
    <row r="103" spans="1:2" ht="15.4" x14ac:dyDescent="0.4">
      <c r="A103" s="43">
        <v>20</v>
      </c>
      <c r="B103" s="2">
        <v>0.89</v>
      </c>
    </row>
    <row r="104" spans="1:2" ht="15.4" x14ac:dyDescent="0.4">
      <c r="A104" s="43">
        <v>20</v>
      </c>
      <c r="B104" s="2">
        <v>0.94</v>
      </c>
    </row>
    <row r="105" spans="1:2" ht="15.4" x14ac:dyDescent="0.4">
      <c r="A105" s="43">
        <v>21</v>
      </c>
      <c r="B105" s="2">
        <v>0.53300000000000003</v>
      </c>
    </row>
    <row r="106" spans="1:2" ht="15.4" x14ac:dyDescent="0.4">
      <c r="A106" s="43">
        <v>23</v>
      </c>
      <c r="B106" s="2">
        <v>0.85</v>
      </c>
    </row>
    <row r="107" spans="1:2" ht="15.4" x14ac:dyDescent="0.4">
      <c r="A107" s="43">
        <v>24.667931688804558</v>
      </c>
      <c r="B107" s="2">
        <v>1.329</v>
      </c>
    </row>
    <row r="108" spans="1:2" ht="15.4" x14ac:dyDescent="0.4">
      <c r="A108" s="43">
        <v>24.667931688804558</v>
      </c>
      <c r="B108" s="2">
        <v>1.329</v>
      </c>
    </row>
    <row r="109" spans="1:2" ht="15.4" x14ac:dyDescent="0.4">
      <c r="A109" s="43">
        <v>24.667931688804558</v>
      </c>
      <c r="B109" s="2">
        <v>1.63</v>
      </c>
    </row>
    <row r="110" spans="1:2" ht="15.4" x14ac:dyDescent="0.4">
      <c r="A110" s="43">
        <v>24.807747080603818</v>
      </c>
      <c r="B110" s="2">
        <v>0.55000000000000004</v>
      </c>
    </row>
    <row r="111" spans="1:2" ht="15.4" x14ac:dyDescent="0.4">
      <c r="A111" s="43">
        <v>25</v>
      </c>
      <c r="B111" s="2">
        <v>33.129100000000001</v>
      </c>
    </row>
    <row r="112" spans="1:2" ht="15.4" x14ac:dyDescent="0.4">
      <c r="A112" s="43">
        <v>25</v>
      </c>
      <c r="B112" s="2">
        <v>38.875300000000003</v>
      </c>
    </row>
    <row r="113" spans="1:2" ht="15.4" x14ac:dyDescent="0.4">
      <c r="A113" s="43">
        <v>25</v>
      </c>
      <c r="B113" s="2">
        <v>37.85</v>
      </c>
    </row>
    <row r="114" spans="1:2" ht="15.4" x14ac:dyDescent="0.4">
      <c r="A114" s="43">
        <v>25.8</v>
      </c>
      <c r="B114" s="2">
        <v>33.880000000000003</v>
      </c>
    </row>
    <row r="115" spans="1:2" ht="15.4" x14ac:dyDescent="0.4">
      <c r="A115" s="43">
        <v>26</v>
      </c>
      <c r="B115" s="2">
        <v>3.07</v>
      </c>
    </row>
    <row r="116" spans="1:2" ht="15.4" x14ac:dyDescent="0.4">
      <c r="A116" s="43">
        <v>26.905829596412556</v>
      </c>
      <c r="B116" s="2">
        <v>3.4809999999999999</v>
      </c>
    </row>
    <row r="117" spans="1:2" ht="15.4" x14ac:dyDescent="0.4">
      <c r="A117" s="43">
        <v>27.027027027027025</v>
      </c>
      <c r="B117" s="2">
        <v>0.47</v>
      </c>
    </row>
    <row r="118" spans="1:2" ht="15.4" x14ac:dyDescent="0.4">
      <c r="A118" s="43">
        <v>27.027027027027028</v>
      </c>
      <c r="B118" s="2">
        <v>0.56200000000000006</v>
      </c>
    </row>
    <row r="119" spans="1:2" ht="15.4" x14ac:dyDescent="0.4">
      <c r="A119" s="43">
        <v>27.027027027027028</v>
      </c>
      <c r="B119" s="2">
        <v>1.0449999999999999</v>
      </c>
    </row>
    <row r="120" spans="1:2" ht="15.4" x14ac:dyDescent="0.4">
      <c r="A120" s="43">
        <v>28.999999999999996</v>
      </c>
      <c r="B120" s="2">
        <v>0.63800000000000001</v>
      </c>
    </row>
    <row r="121" spans="1:2" ht="15.4" x14ac:dyDescent="0.4">
      <c r="A121" s="43">
        <v>30</v>
      </c>
      <c r="B121" s="2">
        <v>0.68100000000000005</v>
      </c>
    </row>
    <row r="122" spans="1:2" ht="15.4" x14ac:dyDescent="0.4">
      <c r="A122" s="43">
        <v>30</v>
      </c>
      <c r="B122" s="2">
        <v>0.749</v>
      </c>
    </row>
    <row r="123" spans="1:2" ht="15.4" x14ac:dyDescent="0.4">
      <c r="A123" s="43">
        <v>30</v>
      </c>
      <c r="B123" s="2">
        <v>0.3</v>
      </c>
    </row>
    <row r="124" spans="1:2" ht="15.4" x14ac:dyDescent="0.4">
      <c r="A124" s="43">
        <v>30</v>
      </c>
      <c r="B124" s="2">
        <v>0.74199999999999999</v>
      </c>
    </row>
    <row r="125" spans="1:2" ht="15.4" x14ac:dyDescent="0.4">
      <c r="A125" s="43">
        <v>30</v>
      </c>
      <c r="B125" s="2">
        <v>0.75</v>
      </c>
    </row>
    <row r="126" spans="1:2" ht="15.4" x14ac:dyDescent="0.4">
      <c r="A126" s="43">
        <v>30</v>
      </c>
      <c r="B126" s="2">
        <v>8.1066666666666674</v>
      </c>
    </row>
    <row r="127" spans="1:2" ht="15.4" x14ac:dyDescent="0.4">
      <c r="A127" s="43">
        <v>30</v>
      </c>
      <c r="B127" s="2">
        <v>1.64</v>
      </c>
    </row>
    <row r="128" spans="1:2" ht="15.4" x14ac:dyDescent="0.4">
      <c r="A128" s="43">
        <v>30</v>
      </c>
      <c r="B128" s="2">
        <v>0.61596958174904948</v>
      </c>
    </row>
    <row r="129" spans="1:2" ht="15.4" x14ac:dyDescent="0.4">
      <c r="A129" s="43">
        <v>30</v>
      </c>
      <c r="B129" s="2">
        <v>0.47020833333333334</v>
      </c>
    </row>
    <row r="130" spans="1:2" ht="15.4" x14ac:dyDescent="0.4">
      <c r="A130" s="43">
        <v>30</v>
      </c>
      <c r="B130" s="2">
        <v>42.396500000000003</v>
      </c>
    </row>
    <row r="131" spans="1:2" ht="15.4" x14ac:dyDescent="0.4">
      <c r="A131" s="43">
        <v>30</v>
      </c>
      <c r="B131" s="2">
        <v>43.55</v>
      </c>
    </row>
    <row r="132" spans="1:2" ht="15.4" x14ac:dyDescent="0.4">
      <c r="A132" s="43">
        <v>30</v>
      </c>
      <c r="B132" s="2">
        <v>1.4</v>
      </c>
    </row>
    <row r="133" spans="1:2" ht="15.4" x14ac:dyDescent="0.4">
      <c r="A133" s="43">
        <v>30</v>
      </c>
      <c r="B133" s="2">
        <v>1.45</v>
      </c>
    </row>
    <row r="134" spans="1:2" ht="15.4" x14ac:dyDescent="0.4">
      <c r="A134" s="43">
        <v>30</v>
      </c>
      <c r="B134" s="2">
        <v>1.53</v>
      </c>
    </row>
    <row r="135" spans="1:2" ht="15.4" x14ac:dyDescent="0.4">
      <c r="A135" s="43">
        <v>32.5</v>
      </c>
      <c r="B135" s="2">
        <v>5.68</v>
      </c>
    </row>
    <row r="136" spans="1:2" ht="15.4" x14ac:dyDescent="0.4">
      <c r="A136" s="43">
        <v>33.333333333333329</v>
      </c>
      <c r="B136" s="2">
        <v>9.6999999999999993</v>
      </c>
    </row>
    <row r="137" spans="1:2" ht="15.4" x14ac:dyDescent="0.4">
      <c r="A137" s="43">
        <v>35</v>
      </c>
      <c r="B137" s="2">
        <v>0.84</v>
      </c>
    </row>
    <row r="138" spans="1:2" ht="15.4" x14ac:dyDescent="0.4">
      <c r="A138" s="43">
        <v>35</v>
      </c>
      <c r="B138" s="2">
        <v>46.227600000000002</v>
      </c>
    </row>
    <row r="139" spans="1:2" ht="15.4" x14ac:dyDescent="0.4">
      <c r="A139" s="43">
        <v>35</v>
      </c>
      <c r="B139" s="1">
        <v>48.19</v>
      </c>
    </row>
    <row r="140" spans="1:2" ht="15.4" x14ac:dyDescent="0.4">
      <c r="A140" s="43">
        <v>35</v>
      </c>
      <c r="B140" s="2">
        <v>36.590000000000003</v>
      </c>
    </row>
    <row r="141" spans="1:2" ht="15.4" x14ac:dyDescent="0.4">
      <c r="A141" s="43">
        <v>35.573122529644266</v>
      </c>
      <c r="B141" s="2">
        <v>4.3360000000000003</v>
      </c>
    </row>
    <row r="142" spans="1:2" ht="15.4" x14ac:dyDescent="0.4">
      <c r="A142" s="43">
        <v>35.714285714285722</v>
      </c>
      <c r="B142" s="2">
        <v>0.621</v>
      </c>
    </row>
    <row r="143" spans="1:2" ht="15.4" x14ac:dyDescent="0.4">
      <c r="A143" s="43">
        <v>36</v>
      </c>
      <c r="B143" s="2">
        <v>4.0999999999999996</v>
      </c>
    </row>
    <row r="144" spans="1:2" ht="15.4" x14ac:dyDescent="0.4">
      <c r="A144" s="43">
        <v>36</v>
      </c>
      <c r="B144" s="2">
        <v>0.45</v>
      </c>
    </row>
    <row r="145" spans="1:2" ht="15.4" x14ac:dyDescent="0.4">
      <c r="A145" s="43">
        <v>36.84210526315789</v>
      </c>
      <c r="B145" s="2">
        <v>1.4630000000000001</v>
      </c>
    </row>
    <row r="146" spans="1:2" ht="15.4" x14ac:dyDescent="0.4">
      <c r="A146" s="43">
        <v>37.5</v>
      </c>
      <c r="B146" s="2">
        <v>57.127099999999999</v>
      </c>
    </row>
    <row r="147" spans="1:2" ht="15.4" x14ac:dyDescent="0.4">
      <c r="A147" s="43">
        <v>37.938677502770595</v>
      </c>
      <c r="B147" s="2">
        <v>0.82899999999999996</v>
      </c>
    </row>
    <row r="148" spans="1:2" ht="15.4" x14ac:dyDescent="0.4">
      <c r="A148" s="43">
        <v>38</v>
      </c>
      <c r="B148" s="2">
        <v>1.03</v>
      </c>
    </row>
    <row r="149" spans="1:2" ht="15.4" x14ac:dyDescent="0.4">
      <c r="A149" s="43">
        <v>40</v>
      </c>
      <c r="B149" s="2">
        <v>1.056</v>
      </c>
    </row>
    <row r="150" spans="1:2" ht="15.4" x14ac:dyDescent="0.4">
      <c r="A150" s="43">
        <v>40</v>
      </c>
      <c r="B150" s="2">
        <v>1.0900000000000001</v>
      </c>
    </row>
    <row r="151" spans="1:2" ht="15.4" x14ac:dyDescent="0.4">
      <c r="A151" s="43">
        <v>40</v>
      </c>
      <c r="B151" s="2">
        <v>12.906666666666666</v>
      </c>
    </row>
    <row r="152" spans="1:2" ht="15.4" x14ac:dyDescent="0.4">
      <c r="A152" s="43">
        <v>40</v>
      </c>
      <c r="B152" s="2">
        <v>2.57</v>
      </c>
    </row>
    <row r="153" spans="1:2" ht="15.4" x14ac:dyDescent="0.4">
      <c r="A153" s="43">
        <v>40</v>
      </c>
      <c r="B153" s="2">
        <v>0.8727272727272728</v>
      </c>
    </row>
    <row r="154" spans="1:2" ht="15.4" x14ac:dyDescent="0.4">
      <c r="A154" s="43">
        <v>40</v>
      </c>
      <c r="B154" s="2">
        <v>0.67452830188679236</v>
      </c>
    </row>
    <row r="155" spans="1:2" ht="15.4" x14ac:dyDescent="0.4">
      <c r="A155" s="43">
        <v>40</v>
      </c>
      <c r="B155" s="2">
        <v>0.80104712041884818</v>
      </c>
    </row>
    <row r="156" spans="1:2" ht="15.4" x14ac:dyDescent="0.4">
      <c r="A156" s="43">
        <v>40</v>
      </c>
      <c r="B156" s="2">
        <v>60.5289</v>
      </c>
    </row>
    <row r="157" spans="1:2" ht="15.4" x14ac:dyDescent="0.4">
      <c r="A157" s="43">
        <v>40</v>
      </c>
      <c r="B157" s="2">
        <v>82.06</v>
      </c>
    </row>
    <row r="158" spans="1:2" ht="15.4" x14ac:dyDescent="0.4">
      <c r="A158" s="43">
        <v>40</v>
      </c>
      <c r="B158" s="2">
        <v>56.89</v>
      </c>
    </row>
    <row r="159" spans="1:2" ht="15.4" x14ac:dyDescent="0.4">
      <c r="A159" s="43">
        <v>40</v>
      </c>
      <c r="B159" s="2">
        <v>42.53</v>
      </c>
    </row>
    <row r="160" spans="1:2" ht="15.4" x14ac:dyDescent="0.4">
      <c r="A160" s="43">
        <v>41.099999999999994</v>
      </c>
      <c r="B160" s="2">
        <v>41.21</v>
      </c>
    </row>
    <row r="161" spans="1:2" ht="15.4" x14ac:dyDescent="0.4">
      <c r="A161" s="43">
        <v>41.099999999999994</v>
      </c>
      <c r="B161" s="2">
        <v>42.19</v>
      </c>
    </row>
    <row r="162" spans="1:2" ht="15.4" x14ac:dyDescent="0.4">
      <c r="A162" s="43">
        <v>42</v>
      </c>
      <c r="B162" s="2">
        <v>64.156700000000001</v>
      </c>
    </row>
    <row r="163" spans="1:2" ht="15.4" x14ac:dyDescent="0.4">
      <c r="A163" s="43">
        <v>42.199999999999996</v>
      </c>
      <c r="B163" s="2">
        <v>0.77100000000000002</v>
      </c>
    </row>
    <row r="164" spans="1:2" ht="15.4" x14ac:dyDescent="0.4">
      <c r="A164" s="43">
        <v>42.199999999999996</v>
      </c>
      <c r="B164" s="2">
        <v>1.05768</v>
      </c>
    </row>
    <row r="165" spans="1:2" ht="15.4" x14ac:dyDescent="0.4">
      <c r="A165" s="43">
        <v>42.5</v>
      </c>
      <c r="B165" s="2">
        <v>66.379099999999994</v>
      </c>
    </row>
    <row r="166" spans="1:2" ht="15.4" x14ac:dyDescent="0.4">
      <c r="A166" s="43">
        <v>43</v>
      </c>
      <c r="B166" s="2">
        <v>1.43</v>
      </c>
    </row>
    <row r="167" spans="1:2" ht="15.4" x14ac:dyDescent="0.4">
      <c r="A167" s="43">
        <v>44.239442394423946</v>
      </c>
      <c r="B167" s="2">
        <v>0.93799999999999994</v>
      </c>
    </row>
    <row r="168" spans="1:2" ht="15.4" x14ac:dyDescent="0.4">
      <c r="A168" s="43">
        <v>45</v>
      </c>
      <c r="B168" s="2">
        <v>1.1599999999999999</v>
      </c>
    </row>
    <row r="169" spans="1:2" ht="15.4" x14ac:dyDescent="0.4">
      <c r="A169" s="43">
        <v>45</v>
      </c>
      <c r="B169" s="2">
        <v>0.79755054814814796</v>
      </c>
    </row>
    <row r="170" spans="1:2" ht="15.4" x14ac:dyDescent="0.4">
      <c r="A170" s="43">
        <v>45</v>
      </c>
      <c r="B170" s="2">
        <v>2.8612805714285727</v>
      </c>
    </row>
    <row r="171" spans="1:2" ht="15.4" x14ac:dyDescent="0.4">
      <c r="A171" s="43">
        <v>45</v>
      </c>
      <c r="B171" s="2">
        <v>68.2179</v>
      </c>
    </row>
    <row r="172" spans="1:2" ht="15.4" x14ac:dyDescent="0.4">
      <c r="A172" s="43">
        <v>45</v>
      </c>
      <c r="B172" s="2">
        <v>69.976600000000005</v>
      </c>
    </row>
    <row r="173" spans="1:2" ht="15.4" x14ac:dyDescent="0.4">
      <c r="A173" s="43">
        <v>45</v>
      </c>
      <c r="B173" s="2">
        <v>53.57</v>
      </c>
    </row>
    <row r="174" spans="1:2" ht="15.4" x14ac:dyDescent="0.4">
      <c r="A174" s="43">
        <v>46</v>
      </c>
      <c r="B174" s="2">
        <v>5.13</v>
      </c>
    </row>
    <row r="175" spans="1:2" ht="15.4" x14ac:dyDescent="0.4">
      <c r="A175" s="43">
        <v>46.204620462046208</v>
      </c>
      <c r="B175" s="2">
        <v>5.5149999999999997</v>
      </c>
    </row>
    <row r="176" spans="1:2" ht="15.4" x14ac:dyDescent="0.4">
      <c r="A176" s="43">
        <v>46.357615894039732</v>
      </c>
      <c r="B176" s="2">
        <v>1.1020000000000001</v>
      </c>
    </row>
    <row r="177" spans="1:2" ht="15.4" x14ac:dyDescent="0.4">
      <c r="A177" s="43">
        <v>46.357615894039732</v>
      </c>
      <c r="B177" s="2">
        <v>1.8280000000000001</v>
      </c>
    </row>
    <row r="178" spans="1:2" ht="15.4" x14ac:dyDescent="0.4">
      <c r="A178" s="43">
        <v>47.5</v>
      </c>
      <c r="B178" s="2">
        <v>74.287899999999993</v>
      </c>
    </row>
    <row r="179" spans="1:2" ht="15.4" x14ac:dyDescent="0.4">
      <c r="A179" s="43">
        <v>48</v>
      </c>
      <c r="B179" s="2">
        <v>11.81</v>
      </c>
    </row>
    <row r="180" spans="1:2" ht="15.4" x14ac:dyDescent="0.4">
      <c r="A180" s="43">
        <v>48</v>
      </c>
      <c r="B180" s="2">
        <v>31.41</v>
      </c>
    </row>
    <row r="181" spans="1:2" ht="15.4" x14ac:dyDescent="0.4">
      <c r="A181" s="43">
        <v>48</v>
      </c>
      <c r="B181" s="2">
        <v>32.770000000000003</v>
      </c>
    </row>
    <row r="182" spans="1:2" ht="15.4" x14ac:dyDescent="0.4">
      <c r="A182" s="43">
        <v>48</v>
      </c>
      <c r="B182" s="2">
        <v>61.16</v>
      </c>
    </row>
    <row r="183" spans="1:2" ht="15.4" x14ac:dyDescent="0.4">
      <c r="A183" s="43">
        <v>48</v>
      </c>
      <c r="B183" s="2">
        <v>73.7</v>
      </c>
    </row>
    <row r="184" spans="1:2" ht="15.4" x14ac:dyDescent="0.4">
      <c r="A184" s="43">
        <v>49</v>
      </c>
      <c r="B184" s="2">
        <v>1.6850000000000001</v>
      </c>
    </row>
    <row r="185" spans="1:2" ht="15.4" x14ac:dyDescent="0.4">
      <c r="A185" s="43">
        <v>49.243098842386459</v>
      </c>
      <c r="B185" s="2">
        <v>0.89</v>
      </c>
    </row>
    <row r="186" spans="1:2" ht="15.4" x14ac:dyDescent="0.4">
      <c r="A186" s="43">
        <v>49.243098842386459</v>
      </c>
      <c r="B186" s="2">
        <v>2.06</v>
      </c>
    </row>
    <row r="187" spans="1:2" ht="15.4" x14ac:dyDescent="0.4">
      <c r="A187" s="43">
        <v>49.243098842386459</v>
      </c>
      <c r="B187" s="2">
        <v>7.9</v>
      </c>
    </row>
    <row r="188" spans="1:2" ht="15.4" x14ac:dyDescent="0.4">
      <c r="A188" s="43">
        <v>50</v>
      </c>
      <c r="B188" s="2">
        <v>2.7330000000000001</v>
      </c>
    </row>
    <row r="189" spans="1:2" ht="15.4" x14ac:dyDescent="0.4">
      <c r="A189" s="43">
        <v>50</v>
      </c>
      <c r="B189" s="2">
        <v>1.4610000000000001</v>
      </c>
    </row>
    <row r="190" spans="1:2" ht="15.4" x14ac:dyDescent="0.4">
      <c r="A190" s="43">
        <v>50</v>
      </c>
      <c r="B190" s="2">
        <v>1.38</v>
      </c>
    </row>
    <row r="191" spans="1:2" ht="15.4" x14ac:dyDescent="0.4">
      <c r="A191" s="43">
        <v>50</v>
      </c>
      <c r="B191" s="2">
        <v>1.1068702290076335</v>
      </c>
    </row>
    <row r="192" spans="1:2" ht="15.4" x14ac:dyDescent="0.4">
      <c r="A192" s="43">
        <v>50</v>
      </c>
      <c r="B192" s="2">
        <v>0.86274509803921573</v>
      </c>
    </row>
    <row r="193" spans="1:2" ht="15.4" x14ac:dyDescent="0.4">
      <c r="A193" s="43">
        <v>50</v>
      </c>
      <c r="B193" s="2">
        <v>1.0769230769230769</v>
      </c>
    </row>
    <row r="194" spans="1:2" ht="15.4" x14ac:dyDescent="0.4">
      <c r="A194" s="43">
        <v>50</v>
      </c>
      <c r="B194" s="2">
        <v>0.90529599999999999</v>
      </c>
    </row>
    <row r="195" spans="1:2" ht="15.4" x14ac:dyDescent="0.4">
      <c r="A195" s="43">
        <v>50</v>
      </c>
      <c r="B195" s="2">
        <v>3.0157259999999995</v>
      </c>
    </row>
    <row r="196" spans="1:2" ht="15.4" x14ac:dyDescent="0.4">
      <c r="A196" s="43">
        <v>50</v>
      </c>
      <c r="B196" s="2">
        <v>78.462800000000001</v>
      </c>
    </row>
    <row r="197" spans="1:2" ht="15.4" x14ac:dyDescent="0.4">
      <c r="A197" s="43">
        <v>50</v>
      </c>
      <c r="B197" s="2">
        <v>87.02</v>
      </c>
    </row>
    <row r="198" spans="1:2" ht="15.4" x14ac:dyDescent="0.4">
      <c r="A198" s="43">
        <v>50</v>
      </c>
      <c r="B198" s="2">
        <v>66.13</v>
      </c>
    </row>
    <row r="199" spans="1:2" ht="15.4" x14ac:dyDescent="0.4">
      <c r="A199" s="43">
        <v>50</v>
      </c>
      <c r="B199" s="2">
        <v>12.03</v>
      </c>
    </row>
    <row r="200" spans="1:2" ht="15.4" x14ac:dyDescent="0.4">
      <c r="A200" s="43">
        <v>50.000000000000014</v>
      </c>
      <c r="B200" s="2">
        <v>1.8620000000000001</v>
      </c>
    </row>
    <row r="201" spans="1:2" ht="15.4" x14ac:dyDescent="0.4">
      <c r="A201" s="43">
        <v>51</v>
      </c>
      <c r="B201" s="2">
        <v>6.64</v>
      </c>
    </row>
    <row r="202" spans="1:2" ht="15.4" x14ac:dyDescent="0.4">
      <c r="A202" s="43">
        <v>51.2</v>
      </c>
      <c r="B202" s="1">
        <v>51.14</v>
      </c>
    </row>
    <row r="203" spans="1:2" ht="15.4" x14ac:dyDescent="0.4">
      <c r="A203" s="43">
        <v>51.2</v>
      </c>
      <c r="B203" s="2">
        <v>64.61</v>
      </c>
    </row>
    <row r="204" spans="1:2" ht="15.4" x14ac:dyDescent="0.4">
      <c r="A204" s="43">
        <v>52.095808383233546</v>
      </c>
      <c r="B204" s="2">
        <v>1.1379999999999999</v>
      </c>
    </row>
    <row r="205" spans="1:2" ht="15.4" x14ac:dyDescent="0.4">
      <c r="A205" s="43">
        <v>53.5</v>
      </c>
      <c r="B205" s="2">
        <v>1.5229999999999999</v>
      </c>
    </row>
    <row r="206" spans="1:2" ht="15.4" x14ac:dyDescent="0.4">
      <c r="A206" s="43">
        <v>53.5</v>
      </c>
      <c r="B206" s="2">
        <v>1.7413799999999999</v>
      </c>
    </row>
    <row r="207" spans="1:2" ht="15.4" x14ac:dyDescent="0.4">
      <c r="A207" s="43">
        <v>55.000000000000007</v>
      </c>
      <c r="B207" s="2">
        <v>1.63</v>
      </c>
    </row>
    <row r="208" spans="1:2" ht="15.4" x14ac:dyDescent="0.4">
      <c r="A208" s="43">
        <v>55.000000000000007</v>
      </c>
      <c r="B208" s="2">
        <v>1.0081315244239633</v>
      </c>
    </row>
    <row r="209" spans="1:2" ht="15.4" x14ac:dyDescent="0.4">
      <c r="A209" s="43">
        <v>55.000000000000007</v>
      </c>
      <c r="B209" s="2">
        <v>3.1885493684210524</v>
      </c>
    </row>
    <row r="210" spans="1:2" ht="15.4" x14ac:dyDescent="0.4">
      <c r="A210" s="43">
        <v>56.000000000000007</v>
      </c>
      <c r="B210" s="2">
        <v>7.08</v>
      </c>
    </row>
    <row r="211" spans="1:2" ht="15.4" x14ac:dyDescent="0.4">
      <c r="A211" s="43">
        <v>56.799214531173291</v>
      </c>
      <c r="B211" s="2">
        <v>1.4430000000000001</v>
      </c>
    </row>
    <row r="212" spans="1:2" ht="15.4" x14ac:dyDescent="0.4">
      <c r="A212" s="43">
        <v>58.4</v>
      </c>
      <c r="B212" s="2">
        <v>1.8360000000000001</v>
      </c>
    </row>
    <row r="213" spans="1:2" ht="15.4" x14ac:dyDescent="0.4">
      <c r="A213" s="43">
        <v>58.4</v>
      </c>
      <c r="B213" s="2">
        <v>2.1806000000000001</v>
      </c>
    </row>
    <row r="214" spans="1:2" ht="15.4" x14ac:dyDescent="0.4">
      <c r="A214" s="43">
        <v>59.553349875930515</v>
      </c>
      <c r="B214" s="2">
        <v>6.8559999999999999</v>
      </c>
    </row>
    <row r="215" spans="1:2" ht="15.4" x14ac:dyDescent="0.4">
      <c r="A215" s="43">
        <v>60</v>
      </c>
      <c r="B215" s="2">
        <v>1.9970000000000001</v>
      </c>
    </row>
    <row r="216" spans="1:2" ht="15.4" x14ac:dyDescent="0.4">
      <c r="A216" s="43">
        <v>60</v>
      </c>
      <c r="B216" s="2">
        <v>2.9870000000000001</v>
      </c>
    </row>
    <row r="217" spans="1:2" ht="15.4" x14ac:dyDescent="0.4">
      <c r="A217" s="43">
        <v>60</v>
      </c>
      <c r="B217" s="2">
        <v>1.585</v>
      </c>
    </row>
    <row r="218" spans="1:2" ht="15.4" x14ac:dyDescent="0.4">
      <c r="A218" s="43">
        <v>60</v>
      </c>
      <c r="B218" s="2">
        <v>1.2015676235294119</v>
      </c>
    </row>
    <row r="219" spans="1:2" ht="15.4" x14ac:dyDescent="0.4">
      <c r="A219" s="43">
        <v>60</v>
      </c>
      <c r="B219" s="2">
        <v>3.4298880000000009</v>
      </c>
    </row>
    <row r="220" spans="1:2" ht="15.4" x14ac:dyDescent="0.4">
      <c r="A220" s="43">
        <v>60</v>
      </c>
      <c r="B220" s="2">
        <v>537.78</v>
      </c>
    </row>
    <row r="221" spans="1:2" ht="15.4" x14ac:dyDescent="0.4">
      <c r="A221" s="43">
        <v>60</v>
      </c>
      <c r="B221" s="2">
        <v>13.42</v>
      </c>
    </row>
    <row r="222" spans="1:2" ht="15.4" x14ac:dyDescent="0.4">
      <c r="A222" s="43">
        <v>61</v>
      </c>
      <c r="B222" s="2">
        <v>8.4</v>
      </c>
    </row>
    <row r="223" spans="1:2" ht="15.4" x14ac:dyDescent="0.4">
      <c r="A223" s="43">
        <v>61.878829135466304</v>
      </c>
      <c r="B223" s="2">
        <v>1.53</v>
      </c>
    </row>
    <row r="224" spans="1:2" ht="15.4" x14ac:dyDescent="0.4">
      <c r="A224" s="43">
        <v>64.004096262160772</v>
      </c>
      <c r="B224" s="1">
        <v>42.04</v>
      </c>
    </row>
    <row r="225" spans="1:2" ht="15.4" x14ac:dyDescent="0.4">
      <c r="A225" s="43">
        <v>64.004096262160772</v>
      </c>
      <c r="B225" s="2">
        <v>103.34</v>
      </c>
    </row>
    <row r="226" spans="1:2" ht="15.4" x14ac:dyDescent="0.4">
      <c r="A226" s="43">
        <v>64.004096262160772</v>
      </c>
      <c r="B226" s="2">
        <v>129.82</v>
      </c>
    </row>
    <row r="227" spans="1:2" ht="15.4" x14ac:dyDescent="0.4">
      <c r="A227" s="43">
        <v>64.004096262160772</v>
      </c>
      <c r="B227" s="2">
        <v>155.25</v>
      </c>
    </row>
    <row r="228" spans="1:2" ht="15.4" x14ac:dyDescent="0.4">
      <c r="A228" s="43">
        <v>64.004096262160772</v>
      </c>
      <c r="B228" s="2">
        <v>237.9</v>
      </c>
    </row>
    <row r="229" spans="1:2" ht="15.4" x14ac:dyDescent="0.4">
      <c r="A229" s="43">
        <v>64.600000000000009</v>
      </c>
      <c r="B229" s="2">
        <v>442.68</v>
      </c>
    </row>
    <row r="230" spans="1:2" ht="15.4" x14ac:dyDescent="0.4">
      <c r="A230" s="43">
        <v>65</v>
      </c>
      <c r="B230" s="2">
        <v>1.3980676439790578</v>
      </c>
    </row>
    <row r="231" spans="1:2" ht="15.4" x14ac:dyDescent="0.4">
      <c r="A231" s="43">
        <v>65</v>
      </c>
      <c r="B231" s="2">
        <v>3.6082632705882354</v>
      </c>
    </row>
    <row r="232" spans="1:2" ht="15.4" x14ac:dyDescent="0.4">
      <c r="A232" s="43">
        <v>65</v>
      </c>
      <c r="B232" s="2">
        <v>577.66</v>
      </c>
    </row>
    <row r="233" spans="1:2" ht="15.4" x14ac:dyDescent="0.4">
      <c r="A233" s="43">
        <v>66</v>
      </c>
      <c r="B233" s="2">
        <v>10</v>
      </c>
    </row>
    <row r="234" spans="1:2" ht="15.4" x14ac:dyDescent="0.4">
      <c r="A234" s="43">
        <v>66.2</v>
      </c>
      <c r="B234" s="2">
        <v>672.03</v>
      </c>
    </row>
    <row r="235" spans="1:2" ht="15.4" x14ac:dyDescent="0.4">
      <c r="A235" s="43">
        <v>66.666666666666657</v>
      </c>
      <c r="B235" s="2">
        <v>14.38</v>
      </c>
    </row>
    <row r="236" spans="1:2" ht="15.4" x14ac:dyDescent="0.4">
      <c r="A236" s="43">
        <v>68</v>
      </c>
      <c r="B236" s="2">
        <v>888.17</v>
      </c>
    </row>
    <row r="237" spans="1:2" ht="15.4" x14ac:dyDescent="0.4">
      <c r="A237" s="43">
        <v>68.300000000000011</v>
      </c>
      <c r="B237" s="2">
        <v>851.13</v>
      </c>
    </row>
    <row r="238" spans="1:2" ht="15.4" x14ac:dyDescent="0.4">
      <c r="A238" s="43">
        <v>68.7</v>
      </c>
      <c r="B238" s="1">
        <v>904</v>
      </c>
    </row>
    <row r="239" spans="1:2" ht="15.4" x14ac:dyDescent="0.4">
      <c r="A239" s="43">
        <v>70</v>
      </c>
      <c r="B239" s="2">
        <v>4.0682268000000006</v>
      </c>
    </row>
    <row r="240" spans="1:2" ht="15.4" x14ac:dyDescent="0.4">
      <c r="A240" s="43">
        <v>70</v>
      </c>
      <c r="B240" s="2">
        <v>744.63</v>
      </c>
    </row>
    <row r="241" spans="1:2" ht="15.4" x14ac:dyDescent="0.4">
      <c r="A241" s="43">
        <v>71</v>
      </c>
      <c r="B241" s="2">
        <v>11.9</v>
      </c>
    </row>
    <row r="242" spans="1:2" ht="15.4" x14ac:dyDescent="0.4">
      <c r="A242" s="43">
        <v>71.428571428571431</v>
      </c>
      <c r="B242" s="2">
        <v>16.79</v>
      </c>
    </row>
    <row r="243" spans="1:2" ht="15.4" x14ac:dyDescent="0.4">
      <c r="A243" s="43">
        <v>75</v>
      </c>
      <c r="B243" s="2">
        <v>18.96</v>
      </c>
    </row>
    <row r="244" spans="1:2" ht="15.4" x14ac:dyDescent="0.4">
      <c r="A244" s="43"/>
      <c r="B244" s="2"/>
    </row>
    <row r="245" spans="1:2" ht="15.4" x14ac:dyDescent="0.4">
      <c r="A245" s="43"/>
      <c r="B245" s="1"/>
    </row>
    <row r="246" spans="1:2" ht="15.4" x14ac:dyDescent="0.4">
      <c r="A246" s="43"/>
      <c r="B246" s="1"/>
    </row>
    <row r="247" spans="1:2" ht="15.4" x14ac:dyDescent="0.4">
      <c r="A247" s="43"/>
    </row>
    <row r="248" spans="1:2" ht="15.4" x14ac:dyDescent="0.4">
      <c r="A248" s="43"/>
    </row>
    <row r="258" spans="1:2" ht="15.4" x14ac:dyDescent="0.4">
      <c r="A258" s="7"/>
      <c r="B258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A3FC-FB89-4A43-998A-3D7B9C78DD31}">
  <dimension ref="A1:F255"/>
  <sheetViews>
    <sheetView workbookViewId="0">
      <selection activeCell="C2" sqref="C2:F243"/>
    </sheetView>
  </sheetViews>
  <sheetFormatPr defaultRowHeight="13.9" x14ac:dyDescent="0.4"/>
  <cols>
    <col min="1" max="1" width="16.3984375" style="5" customWidth="1"/>
    <col min="2" max="2" width="15.59765625" style="6" customWidth="1"/>
    <col min="3" max="4" width="10" customWidth="1"/>
    <col min="5" max="5" width="16.73046875" customWidth="1"/>
  </cols>
  <sheetData>
    <row r="1" spans="1:6" ht="60" x14ac:dyDescent="0.4">
      <c r="A1" s="35" t="s">
        <v>0</v>
      </c>
      <c r="B1" s="35" t="s">
        <v>1</v>
      </c>
      <c r="C1" s="35" t="s">
        <v>136</v>
      </c>
      <c r="D1" s="35" t="s">
        <v>137</v>
      </c>
      <c r="E1" s="35" t="s">
        <v>138</v>
      </c>
      <c r="F1" s="35" t="s">
        <v>42</v>
      </c>
    </row>
    <row r="2" spans="1:6" ht="15.4" x14ac:dyDescent="0.4">
      <c r="A2" s="2">
        <v>15.8</v>
      </c>
      <c r="B2" s="1">
        <v>15.6957073311697</v>
      </c>
      <c r="C2" s="1">
        <f>AVERAGE(A2:A243)</f>
        <v>36.920426327107386</v>
      </c>
      <c r="D2" s="1">
        <f>(A2-B2)^2</f>
        <v>1.0876960771746739E-2</v>
      </c>
      <c r="E2" s="1">
        <f>(A2-$C$2)^2</f>
        <v>446.07240823877072</v>
      </c>
      <c r="F2" s="1">
        <f>1-SUM(D2:D243)/SUM(E2:E243)</f>
        <v>0.98399656769536115</v>
      </c>
    </row>
    <row r="3" spans="1:6" ht="15.4" x14ac:dyDescent="0.4">
      <c r="A3" s="2">
        <v>24.66</v>
      </c>
      <c r="B3" s="1">
        <v>24.472877999950299</v>
      </c>
      <c r="C3" s="1"/>
      <c r="D3" s="1">
        <f t="shared" ref="D3:D66" si="0">(A3-B3)^2</f>
        <v>3.5014642902600354E-2</v>
      </c>
      <c r="E3" s="1">
        <f t="shared" ref="E3:E66" si="1">(A3-$C$2)^2</f>
        <v>150.31805372242789</v>
      </c>
      <c r="F3" s="1"/>
    </row>
    <row r="4" spans="1:6" ht="15.4" x14ac:dyDescent="0.4">
      <c r="A4" s="2">
        <v>0.189</v>
      </c>
      <c r="B4" s="1">
        <v>0.19699509719563069</v>
      </c>
      <c r="C4" s="1"/>
      <c r="D4" s="1">
        <f t="shared" si="0"/>
        <v>6.3921579167581637E-5</v>
      </c>
      <c r="E4" s="1">
        <f t="shared" si="1"/>
        <v>1349.1976800237176</v>
      </c>
      <c r="F4" s="1"/>
    </row>
    <row r="5" spans="1:6" ht="15.4" x14ac:dyDescent="0.4">
      <c r="A5" s="2">
        <v>16.7</v>
      </c>
      <c r="B5" s="1">
        <v>16.5667754190052</v>
      </c>
      <c r="C5" s="1"/>
      <c r="D5" s="1">
        <f t="shared" si="0"/>
        <v>1.7748788981239803E-2</v>
      </c>
      <c r="E5" s="1">
        <f t="shared" si="1"/>
        <v>408.86564084997752</v>
      </c>
      <c r="F5" s="1"/>
    </row>
    <row r="6" spans="1:6" ht="15.4" x14ac:dyDescent="0.4">
      <c r="A6" s="2">
        <v>26.3</v>
      </c>
      <c r="B6" s="1">
        <v>25.789192182363202</v>
      </c>
      <c r="C6" s="1"/>
      <c r="D6" s="1">
        <f t="shared" si="0"/>
        <v>0.26092462655886922</v>
      </c>
      <c r="E6" s="1">
        <f t="shared" si="1"/>
        <v>112.79345536951566</v>
      </c>
      <c r="F6" s="1"/>
    </row>
    <row r="7" spans="1:6" ht="15.4" x14ac:dyDescent="0.4">
      <c r="A7" s="2">
        <v>2.2400000000000002</v>
      </c>
      <c r="B7" s="1">
        <v>1.8952313603970199</v>
      </c>
      <c r="C7" s="1"/>
      <c r="D7" s="1">
        <f t="shared" si="0"/>
        <v>0.11886541485368973</v>
      </c>
      <c r="E7" s="1">
        <f t="shared" si="1"/>
        <v>1202.731970229923</v>
      </c>
      <c r="F7" s="1"/>
    </row>
    <row r="8" spans="1:6" ht="15.4" x14ac:dyDescent="0.4">
      <c r="A8" s="2">
        <v>0.29599999999999999</v>
      </c>
      <c r="B8" s="1">
        <v>0.3085</v>
      </c>
      <c r="C8" s="1"/>
      <c r="D8" s="1">
        <f t="shared" si="0"/>
        <v>1.5625000000000027E-4</v>
      </c>
      <c r="E8" s="1">
        <f t="shared" si="1"/>
        <v>1341.3486037897167</v>
      </c>
      <c r="F8" s="1"/>
    </row>
    <row r="9" spans="1:6" ht="15.4" x14ac:dyDescent="0.4">
      <c r="A9" s="2">
        <v>0.19</v>
      </c>
      <c r="B9" s="1">
        <v>0.19439999999999999</v>
      </c>
      <c r="C9" s="1"/>
      <c r="D9" s="1">
        <f t="shared" si="0"/>
        <v>1.9359999999999889E-5</v>
      </c>
      <c r="E9" s="1">
        <f t="shared" si="1"/>
        <v>1349.1242181710636</v>
      </c>
      <c r="F9" s="1"/>
    </row>
    <row r="10" spans="1:6" ht="15.4" x14ac:dyDescent="0.4">
      <c r="A10" s="2">
        <v>0.36199999999999999</v>
      </c>
      <c r="B10" s="1">
        <v>0.37330000000000002</v>
      </c>
      <c r="C10" s="1"/>
      <c r="D10" s="1">
        <f t="shared" si="0"/>
        <v>1.2769000000000072E-4</v>
      </c>
      <c r="E10" s="1">
        <f t="shared" si="1"/>
        <v>1336.5185355145384</v>
      </c>
      <c r="F10" s="1"/>
    </row>
    <row r="11" spans="1:6" ht="15.4" x14ac:dyDescent="0.4">
      <c r="A11" s="2">
        <v>0.29899999999999999</v>
      </c>
      <c r="B11" s="1">
        <v>0.27526189630324521</v>
      </c>
      <c r="C11" s="1"/>
      <c r="D11" s="1">
        <f t="shared" si="0"/>
        <v>5.6349756711788275E-4</v>
      </c>
      <c r="E11" s="1">
        <f t="shared" si="1"/>
        <v>1341.128866231754</v>
      </c>
      <c r="F11" s="1"/>
    </row>
    <row r="12" spans="1:6" ht="15.4" x14ac:dyDescent="0.4">
      <c r="A12" s="2">
        <v>20.27</v>
      </c>
      <c r="B12" s="1">
        <v>17.370482481750201</v>
      </c>
      <c r="C12" s="1"/>
      <c r="D12" s="1">
        <f t="shared" si="0"/>
        <v>8.4072018386374676</v>
      </c>
      <c r="E12" s="1">
        <f t="shared" si="1"/>
        <v>277.23669687443078</v>
      </c>
      <c r="F12" s="1"/>
    </row>
    <row r="13" spans="1:6" ht="15.4" x14ac:dyDescent="0.4">
      <c r="A13" s="2">
        <v>28.66</v>
      </c>
      <c r="B13" s="1">
        <v>27.133105051848801</v>
      </c>
      <c r="C13" s="1"/>
      <c r="D13" s="1">
        <f t="shared" si="0"/>
        <v>2.3314081826896524</v>
      </c>
      <c r="E13" s="1">
        <f t="shared" si="1"/>
        <v>68.234643105568807</v>
      </c>
      <c r="F13" s="1"/>
    </row>
    <row r="14" spans="1:6" ht="15.4" x14ac:dyDescent="0.4">
      <c r="A14" s="2">
        <v>0.23</v>
      </c>
      <c r="B14" s="1">
        <v>0.24210000000000001</v>
      </c>
      <c r="C14" s="1"/>
      <c r="D14" s="1">
        <f t="shared" si="0"/>
        <v>1.4641E-4</v>
      </c>
      <c r="E14" s="1">
        <f t="shared" si="1"/>
        <v>1346.187384064895</v>
      </c>
      <c r="F14" s="1"/>
    </row>
    <row r="15" spans="1:6" ht="15.4" x14ac:dyDescent="0.4">
      <c r="A15" s="2">
        <v>0.20399999999999999</v>
      </c>
      <c r="B15" s="1">
        <v>0.20549394754081046</v>
      </c>
      <c r="C15" s="1"/>
      <c r="D15" s="1">
        <f t="shared" si="0"/>
        <v>2.2318792546936663E-6</v>
      </c>
      <c r="E15" s="1">
        <f t="shared" si="1"/>
        <v>1348.0959622339044</v>
      </c>
      <c r="F15" s="1"/>
    </row>
    <row r="16" spans="1:6" ht="15.4" x14ac:dyDescent="0.4">
      <c r="A16" s="2">
        <v>0.42699999999999999</v>
      </c>
      <c r="B16" s="1">
        <v>0.42058029900842497</v>
      </c>
      <c r="C16" s="1"/>
      <c r="D16" s="1">
        <f t="shared" si="0"/>
        <v>4.1212560821229257E-5</v>
      </c>
      <c r="E16" s="1">
        <f t="shared" si="1"/>
        <v>1331.7701650920144</v>
      </c>
      <c r="F16" s="1"/>
    </row>
    <row r="17" spans="1:6" ht="15.4" x14ac:dyDescent="0.4">
      <c r="A17" s="2">
        <v>0.45100000000000001</v>
      </c>
      <c r="B17" s="1">
        <v>0.44075142521208999</v>
      </c>
      <c r="C17" s="1"/>
      <c r="D17" s="1">
        <f t="shared" si="0"/>
        <v>1.0503328518338501E-4</v>
      </c>
      <c r="E17" s="1">
        <f t="shared" si="1"/>
        <v>1330.0190566283134</v>
      </c>
      <c r="F17" s="1"/>
    </row>
    <row r="18" spans="1:6" ht="15.4" x14ac:dyDescent="0.4">
      <c r="A18" s="2">
        <v>0.45400000000000001</v>
      </c>
      <c r="B18" s="1">
        <v>0.43655360762921203</v>
      </c>
      <c r="C18" s="1"/>
      <c r="D18" s="1">
        <f t="shared" si="0"/>
        <v>3.0437660675548936E-4</v>
      </c>
      <c r="E18" s="1">
        <f t="shared" si="1"/>
        <v>1329.8002490703507</v>
      </c>
      <c r="F18" s="1"/>
    </row>
    <row r="19" spans="1:6" ht="15.4" x14ac:dyDescent="0.4">
      <c r="A19" s="2">
        <v>0.24199999999999999</v>
      </c>
      <c r="B19" s="1">
        <v>0.25530000000000003</v>
      </c>
      <c r="C19" s="1"/>
      <c r="D19" s="1">
        <f t="shared" si="0"/>
        <v>1.7689000000000092E-4</v>
      </c>
      <c r="E19" s="1">
        <f t="shared" si="1"/>
        <v>1345.3069578330444</v>
      </c>
      <c r="F19" s="1"/>
    </row>
    <row r="20" spans="1:6" ht="15.4" x14ac:dyDescent="0.4">
      <c r="A20" s="2">
        <v>0.47299999999999998</v>
      </c>
      <c r="B20" s="1">
        <v>0.3821</v>
      </c>
      <c r="C20" s="1"/>
      <c r="D20" s="1">
        <f t="shared" si="0"/>
        <v>8.2628099999999972E-3</v>
      </c>
      <c r="E20" s="1">
        <f t="shared" si="1"/>
        <v>1328.4148858699207</v>
      </c>
      <c r="F20" s="1"/>
    </row>
    <row r="21" spans="1:6" ht="15.4" x14ac:dyDescent="0.4">
      <c r="A21" s="2">
        <v>0.18890000000000001</v>
      </c>
      <c r="B21" s="1">
        <v>0.249</v>
      </c>
      <c r="C21" s="1"/>
      <c r="D21" s="1">
        <f t="shared" si="0"/>
        <v>3.6120099999999984E-3</v>
      </c>
      <c r="E21" s="1">
        <f t="shared" si="1"/>
        <v>1349.2050263189833</v>
      </c>
      <c r="F21" s="1"/>
    </row>
    <row r="22" spans="1:6" ht="15.4" x14ac:dyDescent="0.4">
      <c r="A22" s="2">
        <v>0.23499999999999999</v>
      </c>
      <c r="B22" s="1">
        <v>0.31459999999999999</v>
      </c>
      <c r="C22" s="1"/>
      <c r="D22" s="1">
        <f t="shared" si="0"/>
        <v>6.3361600000000004E-3</v>
      </c>
      <c r="E22" s="1">
        <f t="shared" si="1"/>
        <v>1345.8205048016237</v>
      </c>
      <c r="F22" s="1"/>
    </row>
    <row r="23" spans="1:6" ht="15.4" x14ac:dyDescent="0.4">
      <c r="A23" s="2">
        <v>20.34</v>
      </c>
      <c r="B23" s="1">
        <v>18.1833933660719</v>
      </c>
      <c r="C23" s="1"/>
      <c r="D23" s="1">
        <f t="shared" si="0"/>
        <v>4.6509521735026871</v>
      </c>
      <c r="E23" s="1">
        <f t="shared" si="1"/>
        <v>274.91053718863571</v>
      </c>
      <c r="F23" s="1"/>
    </row>
    <row r="24" spans="1:6" ht="15.4" x14ac:dyDescent="0.4">
      <c r="A24" s="2">
        <v>27.26</v>
      </c>
      <c r="B24" s="1">
        <v>28.5002065403995</v>
      </c>
      <c r="C24" s="1"/>
      <c r="D24" s="1">
        <f t="shared" si="0"/>
        <v>1.5381122628496922</v>
      </c>
      <c r="E24" s="1">
        <f t="shared" si="1"/>
        <v>93.323836821469456</v>
      </c>
      <c r="F24" s="1"/>
    </row>
    <row r="25" spans="1:6" ht="15.4" x14ac:dyDescent="0.4">
      <c r="A25" s="2">
        <v>0.215</v>
      </c>
      <c r="B25" s="1">
        <v>0.215023200896409</v>
      </c>
      <c r="C25" s="1"/>
      <c r="D25" s="1">
        <f t="shared" si="0"/>
        <v>5.3828159418131515E-10</v>
      </c>
      <c r="E25" s="1">
        <f t="shared" si="1"/>
        <v>1347.2883218547076</v>
      </c>
      <c r="F25" s="1"/>
    </row>
    <row r="26" spans="1:6" ht="15.4" x14ac:dyDescent="0.4">
      <c r="A26" s="2">
        <v>0.311</v>
      </c>
      <c r="B26" s="1">
        <v>0.34660000000000002</v>
      </c>
      <c r="C26" s="1"/>
      <c r="D26" s="1">
        <f t="shared" si="0"/>
        <v>1.2673600000000014E-3</v>
      </c>
      <c r="E26" s="1">
        <f t="shared" si="1"/>
        <v>1340.2500959999034</v>
      </c>
      <c r="F26" s="1"/>
    </row>
    <row r="27" spans="1:6" ht="15.4" x14ac:dyDescent="0.4">
      <c r="A27" s="2">
        <v>5.1733333333333302</v>
      </c>
      <c r="B27" s="1">
        <v>3.2675999999999998</v>
      </c>
      <c r="C27" s="1"/>
      <c r="D27" s="1">
        <f t="shared" si="0"/>
        <v>3.6318195377777664</v>
      </c>
      <c r="E27" s="1">
        <f t="shared" si="1"/>
        <v>1007.8779135553376</v>
      </c>
      <c r="F27" s="1"/>
    </row>
    <row r="28" spans="1:6" ht="15.4" x14ac:dyDescent="0.4">
      <c r="A28" s="2">
        <v>0.22700000000000001</v>
      </c>
      <c r="B28" s="1">
        <v>0.22722292703562214</v>
      </c>
      <c r="C28" s="1"/>
      <c r="D28" s="1">
        <f t="shared" si="0"/>
        <v>4.9696463211269534E-8</v>
      </c>
      <c r="E28" s="1">
        <f t="shared" si="1"/>
        <v>1346.4075356228577</v>
      </c>
      <c r="F28" s="1"/>
    </row>
    <row r="29" spans="1:6" ht="15.4" x14ac:dyDescent="0.4">
      <c r="A29" s="2">
        <v>0.27500000000000002</v>
      </c>
      <c r="B29" s="1">
        <v>0.25659999999999999</v>
      </c>
      <c r="C29" s="1"/>
      <c r="D29" s="1">
        <f t="shared" si="0"/>
        <v>3.3856000000000099E-4</v>
      </c>
      <c r="E29" s="1">
        <f t="shared" si="1"/>
        <v>1342.8872706954553</v>
      </c>
      <c r="F29" s="1"/>
    </row>
    <row r="30" spans="1:6" ht="15.4" x14ac:dyDescent="0.4">
      <c r="A30" s="2">
        <v>19.68</v>
      </c>
      <c r="B30" s="1">
        <v>19.004572621693701</v>
      </c>
      <c r="C30" s="1"/>
      <c r="D30" s="1">
        <f t="shared" si="0"/>
        <v>0.45620214336572057</v>
      </c>
      <c r="E30" s="1">
        <f t="shared" si="1"/>
        <v>297.23229994041748</v>
      </c>
      <c r="F30" s="1"/>
    </row>
    <row r="31" spans="1:6" ht="15.4" x14ac:dyDescent="0.4">
      <c r="A31" s="2">
        <v>33.79</v>
      </c>
      <c r="B31" s="1">
        <v>29.888311778061301</v>
      </c>
      <c r="C31" s="1"/>
      <c r="D31" s="1">
        <f t="shared" si="0"/>
        <v>15.223170981215164</v>
      </c>
      <c r="E31" s="1">
        <f t="shared" si="1"/>
        <v>9.7995689894470424</v>
      </c>
      <c r="F31" s="1"/>
    </row>
    <row r="32" spans="1:6" ht="15.4" x14ac:dyDescent="0.4">
      <c r="A32" s="2">
        <v>0.26400000000000001</v>
      </c>
      <c r="B32" s="1">
        <v>0.28070000000000001</v>
      </c>
      <c r="C32" s="1"/>
      <c r="D32" s="1">
        <f t="shared" si="0"/>
        <v>2.7888999999999974E-4</v>
      </c>
      <c r="E32" s="1">
        <f t="shared" si="1"/>
        <v>1343.6935910746513</v>
      </c>
      <c r="F32" s="1"/>
    </row>
    <row r="33" spans="1:6" ht="15.4" x14ac:dyDescent="0.4">
      <c r="A33" s="2">
        <v>0.46400000000000002</v>
      </c>
      <c r="B33" s="1">
        <v>0.46079999999999999</v>
      </c>
      <c r="C33" s="1"/>
      <c r="D33" s="1">
        <f t="shared" si="0"/>
        <v>1.0240000000000231E-5</v>
      </c>
      <c r="E33" s="1">
        <f t="shared" si="1"/>
        <v>1329.0710205438086</v>
      </c>
      <c r="F33" s="1"/>
    </row>
    <row r="34" spans="1:6" ht="15.4" x14ac:dyDescent="0.4">
      <c r="A34" s="2">
        <v>0.22700000000000001</v>
      </c>
      <c r="B34" s="1">
        <v>0.22156028891849094</v>
      </c>
      <c r="C34" s="1"/>
      <c r="D34" s="1">
        <f t="shared" si="0"/>
        <v>2.9590456650292503E-5</v>
      </c>
      <c r="E34" s="1">
        <f t="shared" si="1"/>
        <v>1346.4075356228577</v>
      </c>
      <c r="F34" s="1"/>
    </row>
    <row r="35" spans="1:6" ht="15.4" x14ac:dyDescent="0.4">
      <c r="A35" s="2">
        <v>22.6</v>
      </c>
      <c r="B35" s="1">
        <v>19.8335996218688</v>
      </c>
      <c r="C35" s="1"/>
      <c r="D35" s="1">
        <f t="shared" si="0"/>
        <v>7.6529710521244567</v>
      </c>
      <c r="E35" s="1">
        <f t="shared" si="1"/>
        <v>205.07461019011029</v>
      </c>
      <c r="F35" s="1"/>
    </row>
    <row r="36" spans="1:6" ht="15.4" x14ac:dyDescent="0.4">
      <c r="A36" s="2">
        <v>35.72</v>
      </c>
      <c r="B36" s="1">
        <v>31.2963248903033</v>
      </c>
      <c r="C36" s="1"/>
      <c r="D36" s="1">
        <f t="shared" si="0"/>
        <v>19.568901476150103</v>
      </c>
      <c r="E36" s="1">
        <f t="shared" si="1"/>
        <v>1.4410233668125307</v>
      </c>
      <c r="F36" s="1"/>
    </row>
    <row r="37" spans="1:6" ht="15.4" x14ac:dyDescent="0.4">
      <c r="A37" s="2">
        <v>0.27</v>
      </c>
      <c r="B37" s="1">
        <v>0.28770000000000001</v>
      </c>
      <c r="C37" s="1"/>
      <c r="D37" s="1">
        <f t="shared" si="0"/>
        <v>3.1328999999999976E-4</v>
      </c>
      <c r="E37" s="1">
        <f t="shared" si="1"/>
        <v>1343.2537499587258</v>
      </c>
      <c r="F37" s="1"/>
    </row>
    <row r="38" spans="1:6" ht="15.4" x14ac:dyDescent="0.4">
      <c r="A38" s="2">
        <v>0.61719190000000002</v>
      </c>
      <c r="B38" s="1">
        <v>0.54579999999999995</v>
      </c>
      <c r="C38" s="1"/>
      <c r="D38" s="1">
        <f t="shared" si="0"/>
        <v>5.0968033856100088E-3</v>
      </c>
      <c r="E38" s="1">
        <f t="shared" si="1"/>
        <v>1317.9248298695147</v>
      </c>
      <c r="F38" s="1"/>
    </row>
    <row r="39" spans="1:6" ht="15.4" x14ac:dyDescent="0.4">
      <c r="A39" s="2">
        <v>0.25800000000000001</v>
      </c>
      <c r="B39" s="1">
        <v>0.30149999999999999</v>
      </c>
      <c r="C39" s="1"/>
      <c r="D39" s="1">
        <f t="shared" si="0"/>
        <v>1.8922499999999985E-3</v>
      </c>
      <c r="E39" s="1">
        <f t="shared" si="1"/>
        <v>1344.1335041905766</v>
      </c>
      <c r="F39" s="1"/>
    </row>
    <row r="40" spans="1:6" ht="15.4" x14ac:dyDescent="0.4">
      <c r="A40" s="2">
        <v>36.31</v>
      </c>
      <c r="B40" s="1">
        <v>32.724058111303599</v>
      </c>
      <c r="C40" s="1"/>
      <c r="D40" s="1">
        <f t="shared" si="0"/>
        <v>12.858979229107531</v>
      </c>
      <c r="E40" s="1">
        <f t="shared" si="1"/>
        <v>0.37262030082581016</v>
      </c>
      <c r="F40" s="1"/>
    </row>
    <row r="41" spans="1:6" ht="15.4" x14ac:dyDescent="0.4">
      <c r="A41" s="2">
        <v>0.374</v>
      </c>
      <c r="B41" s="1">
        <v>0.33900000000000002</v>
      </c>
      <c r="C41" s="1"/>
      <c r="D41" s="1">
        <f t="shared" si="0"/>
        <v>1.2249999999999982E-3</v>
      </c>
      <c r="E41" s="1">
        <f t="shared" si="1"/>
        <v>1335.6412772826877</v>
      </c>
      <c r="F41" s="1"/>
    </row>
    <row r="42" spans="1:6" ht="15.4" x14ac:dyDescent="0.4">
      <c r="A42" s="2">
        <v>0.53</v>
      </c>
      <c r="B42" s="1">
        <v>0.595075487910804</v>
      </c>
      <c r="C42" s="1"/>
      <c r="D42" s="1">
        <f t="shared" si="0"/>
        <v>4.2348191268291946E-3</v>
      </c>
      <c r="E42" s="1">
        <f t="shared" si="1"/>
        <v>1324.2631282686302</v>
      </c>
      <c r="F42" s="1"/>
    </row>
    <row r="43" spans="1:6" ht="15.4" x14ac:dyDescent="0.4">
      <c r="A43" s="2">
        <v>0.53600000000000003</v>
      </c>
      <c r="B43" s="1">
        <v>0.58171540154845403</v>
      </c>
      <c r="C43" s="1"/>
      <c r="D43" s="1">
        <f t="shared" si="0"/>
        <v>2.0898979387363897E-3</v>
      </c>
      <c r="E43" s="1">
        <f t="shared" si="1"/>
        <v>1323.8264791527049</v>
      </c>
      <c r="F43" s="1"/>
    </row>
    <row r="44" spans="1:6" ht="15.4" x14ac:dyDescent="0.4">
      <c r="A44" s="2">
        <v>0.57599999999999996</v>
      </c>
      <c r="B44" s="1">
        <v>0.53362512116458105</v>
      </c>
      <c r="C44" s="1"/>
      <c r="D44" s="1">
        <f t="shared" si="0"/>
        <v>1.7956303563164331E-3</v>
      </c>
      <c r="E44" s="1">
        <f t="shared" si="1"/>
        <v>1320.9173250465365</v>
      </c>
      <c r="F44" s="1"/>
    </row>
    <row r="45" spans="1:6" ht="15.4" x14ac:dyDescent="0.4">
      <c r="A45" s="2">
        <v>0.34222000000000002</v>
      </c>
      <c r="B45" s="1">
        <v>0.31404997777405519</v>
      </c>
      <c r="C45" s="1"/>
      <c r="D45" s="1">
        <f t="shared" si="0"/>
        <v>7.9355015221022605E-4</v>
      </c>
      <c r="E45" s="1">
        <f t="shared" si="1"/>
        <v>1337.965178108439</v>
      </c>
      <c r="F45" s="1"/>
    </row>
    <row r="46" spans="1:6" ht="15.4" x14ac:dyDescent="0.4">
      <c r="A46" s="2">
        <v>0.51400000000000001</v>
      </c>
      <c r="B46" s="1">
        <v>0.83609999999999995</v>
      </c>
      <c r="C46" s="1"/>
      <c r="D46" s="1">
        <f t="shared" si="0"/>
        <v>0.10374840999999996</v>
      </c>
      <c r="E46" s="1">
        <f t="shared" si="1"/>
        <v>1325.4278779110975</v>
      </c>
      <c r="F46" s="1"/>
    </row>
    <row r="47" spans="1:6" ht="15.4" x14ac:dyDescent="0.4">
      <c r="A47" s="2">
        <v>2.92</v>
      </c>
      <c r="B47" s="1">
        <v>2.8524673567079102</v>
      </c>
      <c r="C47" s="1"/>
      <c r="D47" s="1">
        <f t="shared" si="0"/>
        <v>4.5606579100166342E-3</v>
      </c>
      <c r="E47" s="1">
        <f t="shared" si="1"/>
        <v>1156.0289904250569</v>
      </c>
      <c r="F47" s="1"/>
    </row>
    <row r="48" spans="1:6" ht="15.4" x14ac:dyDescent="0.4">
      <c r="A48" s="2">
        <v>0.62338340000000003</v>
      </c>
      <c r="B48" s="1">
        <v>0.52869999999999995</v>
      </c>
      <c r="C48" s="1"/>
      <c r="D48" s="1">
        <f t="shared" si="0"/>
        <v>8.9649462355600156E-3</v>
      </c>
      <c r="E48" s="1">
        <f t="shared" si="1"/>
        <v>1317.4753252522762</v>
      </c>
      <c r="F48" s="1"/>
    </row>
    <row r="49" spans="1:6" ht="15.4" x14ac:dyDescent="0.4">
      <c r="A49" s="2">
        <v>1.77</v>
      </c>
      <c r="B49" s="1">
        <v>2.1017112876670634</v>
      </c>
      <c r="C49" s="1"/>
      <c r="D49" s="1">
        <f t="shared" si="0"/>
        <v>0.11003237836574127</v>
      </c>
      <c r="E49" s="1">
        <f t="shared" si="1"/>
        <v>1235.5524709774038</v>
      </c>
      <c r="F49" s="1"/>
    </row>
    <row r="50" spans="1:6" ht="15.4" x14ac:dyDescent="0.4">
      <c r="A50" s="2">
        <v>0.23400000000000001</v>
      </c>
      <c r="B50" s="1">
        <v>0.24254825181355716</v>
      </c>
      <c r="C50" s="1"/>
      <c r="D50" s="1">
        <f t="shared" si="0"/>
        <v>7.3072609067983014E-5</v>
      </c>
      <c r="E50" s="1">
        <f t="shared" si="1"/>
        <v>1345.8938766542778</v>
      </c>
      <c r="F50" s="1"/>
    </row>
    <row r="51" spans="1:6" ht="15.4" x14ac:dyDescent="0.4">
      <c r="A51" s="2">
        <v>0.31</v>
      </c>
      <c r="B51" s="1">
        <v>0.33900000000000002</v>
      </c>
      <c r="C51" s="1"/>
      <c r="D51" s="1">
        <f t="shared" si="0"/>
        <v>8.4100000000000147E-4</v>
      </c>
      <c r="E51" s="1">
        <f t="shared" si="1"/>
        <v>1340.3233158525575</v>
      </c>
      <c r="F51" s="1"/>
    </row>
    <row r="52" spans="1:6" ht="15.4" x14ac:dyDescent="0.4">
      <c r="A52" s="2">
        <v>0.56599999999999995</v>
      </c>
      <c r="B52" s="1">
        <v>0.57999999999999996</v>
      </c>
      <c r="C52" s="1"/>
      <c r="D52" s="1">
        <f t="shared" si="0"/>
        <v>1.9600000000000035E-4</v>
      </c>
      <c r="E52" s="1">
        <f t="shared" si="1"/>
        <v>1321.6443135730783</v>
      </c>
      <c r="F52" s="1"/>
    </row>
    <row r="53" spans="1:6" ht="15.4" x14ac:dyDescent="0.4">
      <c r="A53" s="2">
        <v>0.309</v>
      </c>
      <c r="B53" s="1">
        <v>0.26055266111649938</v>
      </c>
      <c r="C53" s="1"/>
      <c r="D53" s="1">
        <f t="shared" si="0"/>
        <v>2.3471446448927505E-3</v>
      </c>
      <c r="E53" s="1">
        <f t="shared" si="1"/>
        <v>1340.396537705212</v>
      </c>
      <c r="F53" s="1"/>
    </row>
    <row r="54" spans="1:6" ht="15.4" x14ac:dyDescent="0.4">
      <c r="A54" s="2">
        <v>0.373</v>
      </c>
      <c r="B54" s="1">
        <v>0.42620000000000002</v>
      </c>
      <c r="C54" s="1"/>
      <c r="D54" s="1">
        <f t="shared" si="0"/>
        <v>2.8302400000000025E-3</v>
      </c>
      <c r="E54" s="1">
        <f t="shared" si="1"/>
        <v>1335.7143711353422</v>
      </c>
      <c r="F54" s="1"/>
    </row>
    <row r="55" spans="1:6" ht="15.4" x14ac:dyDescent="0.4">
      <c r="A55" s="2">
        <v>0.45500000000000002</v>
      </c>
      <c r="B55" s="1">
        <v>0.5746</v>
      </c>
      <c r="C55" s="1"/>
      <c r="D55" s="1">
        <f t="shared" si="0"/>
        <v>1.4304159999999996E-2</v>
      </c>
      <c r="E55" s="1">
        <f t="shared" si="1"/>
        <v>1329.7273172176965</v>
      </c>
      <c r="F55" s="1"/>
    </row>
    <row r="56" spans="1:6" ht="15.4" x14ac:dyDescent="0.4">
      <c r="A56" s="2">
        <v>0.17</v>
      </c>
      <c r="B56" s="1">
        <v>0.20119999999999999</v>
      </c>
      <c r="C56" s="1"/>
      <c r="D56" s="1">
        <f t="shared" si="0"/>
        <v>9.7343999999999859E-4</v>
      </c>
      <c r="E56" s="1">
        <f t="shared" si="1"/>
        <v>1350.5938352241476</v>
      </c>
      <c r="F56" s="1"/>
    </row>
    <row r="57" spans="1:6" ht="15.4" x14ac:dyDescent="0.4">
      <c r="A57" s="2">
        <v>5.9200000000000008</v>
      </c>
      <c r="B57" s="1">
        <v>5.3413000000000004</v>
      </c>
      <c r="C57" s="1"/>
      <c r="D57" s="1">
        <f t="shared" si="0"/>
        <v>0.33489369000000052</v>
      </c>
      <c r="E57" s="1">
        <f t="shared" si="1"/>
        <v>961.02643246241257</v>
      </c>
      <c r="F57" s="1"/>
    </row>
    <row r="58" spans="1:6" ht="15.4" x14ac:dyDescent="0.4">
      <c r="A58" s="2">
        <v>0.45</v>
      </c>
      <c r="B58" s="1">
        <v>0.57289999999999996</v>
      </c>
      <c r="C58" s="1"/>
      <c r="D58" s="1">
        <f t="shared" si="0"/>
        <v>1.5104409999999988E-2</v>
      </c>
      <c r="E58" s="1">
        <f t="shared" si="1"/>
        <v>1330.0919964809673</v>
      </c>
      <c r="F58" s="1"/>
    </row>
    <row r="59" spans="1:6" ht="15.4" x14ac:dyDescent="0.4">
      <c r="A59" s="2">
        <v>0.24529100529100534</v>
      </c>
      <c r="B59" s="1">
        <v>0.34039999999999998</v>
      </c>
      <c r="C59" s="1"/>
      <c r="D59" s="1">
        <f t="shared" si="0"/>
        <v>9.0457208745555705E-3</v>
      </c>
      <c r="E59" s="1">
        <f t="shared" si="1"/>
        <v>1345.0655508735433</v>
      </c>
      <c r="F59" s="1"/>
    </row>
    <row r="60" spans="1:6" ht="15.4" x14ac:dyDescent="0.4">
      <c r="A60" s="2">
        <v>0.25738303876429502</v>
      </c>
      <c r="B60" s="1">
        <v>0.31319999999999998</v>
      </c>
      <c r="C60" s="1"/>
      <c r="D60" s="1">
        <f t="shared" si="0"/>
        <v>3.1155331615881896E-3</v>
      </c>
      <c r="E60" s="1">
        <f t="shared" si="1"/>
        <v>1344.1787431629193</v>
      </c>
      <c r="F60" s="1"/>
    </row>
    <row r="61" spans="1:6" ht="15.4" x14ac:dyDescent="0.4">
      <c r="A61" s="2">
        <v>0.27590116279069798</v>
      </c>
      <c r="B61" s="1">
        <v>0.39739999999999998</v>
      </c>
      <c r="C61" s="1"/>
      <c r="D61" s="1">
        <f t="shared" si="0"/>
        <v>1.4761967443212466E-2</v>
      </c>
      <c r="E61" s="1">
        <f t="shared" si="1"/>
        <v>1342.8212245182392</v>
      </c>
      <c r="F61" s="1"/>
    </row>
    <row r="62" spans="1:6" ht="15.4" x14ac:dyDescent="0.4">
      <c r="A62" s="2">
        <v>34.75</v>
      </c>
      <c r="B62" s="1">
        <v>35.500722202847399</v>
      </c>
      <c r="C62" s="1"/>
      <c r="D62" s="1">
        <f t="shared" si="0"/>
        <v>0.56358382584805122</v>
      </c>
      <c r="E62" s="1">
        <f t="shared" si="1"/>
        <v>4.7107504414008563</v>
      </c>
      <c r="F62" s="1"/>
    </row>
    <row r="63" spans="1:6" ht="15.4" x14ac:dyDescent="0.4">
      <c r="A63" s="2">
        <v>31.02</v>
      </c>
      <c r="B63" s="1">
        <v>30.033215631165099</v>
      </c>
      <c r="C63" s="1"/>
      <c r="D63" s="1">
        <f t="shared" si="0"/>
        <v>0.97374339057689296</v>
      </c>
      <c r="E63" s="1">
        <f t="shared" si="1"/>
        <v>34.815030841621954</v>
      </c>
      <c r="F63" s="1"/>
    </row>
    <row r="64" spans="1:6" ht="15.4" x14ac:dyDescent="0.4">
      <c r="A64" s="2">
        <v>0.29399999999999998</v>
      </c>
      <c r="B64" s="1">
        <v>0.34620000000000001</v>
      </c>
      <c r="C64" s="1"/>
      <c r="D64" s="1">
        <f t="shared" si="0"/>
        <v>2.7248400000000027E-3</v>
      </c>
      <c r="E64" s="1">
        <f t="shared" si="1"/>
        <v>1341.4951054950252</v>
      </c>
      <c r="F64" s="1"/>
    </row>
    <row r="65" spans="1:6" ht="15.4" x14ac:dyDescent="0.4">
      <c r="A65" s="2">
        <v>0.62659809999999994</v>
      </c>
      <c r="B65" s="1">
        <v>0.51549999999999996</v>
      </c>
      <c r="C65" s="1"/>
      <c r="D65" s="1">
        <f t="shared" si="0"/>
        <v>1.2342787823609995E-2</v>
      </c>
      <c r="E65" s="1">
        <f t="shared" si="1"/>
        <v>1317.2419673787767</v>
      </c>
      <c r="F65" s="1"/>
    </row>
    <row r="66" spans="1:6" ht="15.4" x14ac:dyDescent="0.4">
      <c r="A66" s="2">
        <v>0.28299999999999997</v>
      </c>
      <c r="B66" s="1">
        <v>0.259480831124421</v>
      </c>
      <c r="C66" s="1"/>
      <c r="D66" s="1">
        <f t="shared" si="0"/>
        <v>5.5315130459800295E-4</v>
      </c>
      <c r="E66" s="1">
        <f t="shared" si="1"/>
        <v>1342.3010078742213</v>
      </c>
      <c r="F66" s="1"/>
    </row>
    <row r="67" spans="1:6" ht="15.4" x14ac:dyDescent="0.4">
      <c r="A67" s="2">
        <v>0.51500000000000001</v>
      </c>
      <c r="B67" s="1">
        <v>0.48013206410805997</v>
      </c>
      <c r="C67" s="1"/>
      <c r="D67" s="1">
        <f t="shared" ref="D67:D130" si="2">(A67-B67)^2</f>
        <v>1.2157729533644403E-3</v>
      </c>
      <c r="E67" s="1">
        <f t="shared" ref="E67:E130" si="3">(A67-$C$2)^2</f>
        <v>1325.3550660584435</v>
      </c>
      <c r="F67" s="1"/>
    </row>
    <row r="68" spans="1:6" ht="15.4" x14ac:dyDescent="0.4">
      <c r="A68" s="2">
        <v>0.32300000000000001</v>
      </c>
      <c r="B68" s="1">
        <v>0.34139999999999998</v>
      </c>
      <c r="C68" s="1"/>
      <c r="D68" s="1">
        <f t="shared" si="2"/>
        <v>3.3855999999999898E-4</v>
      </c>
      <c r="E68" s="1">
        <f t="shared" si="3"/>
        <v>1339.3716137680528</v>
      </c>
      <c r="F68" s="1"/>
    </row>
    <row r="69" spans="1:6" ht="15.4" x14ac:dyDescent="0.4">
      <c r="A69" s="2">
        <v>0.34</v>
      </c>
      <c r="B69" s="1">
        <v>0.39689999999999998</v>
      </c>
      <c r="C69" s="1"/>
      <c r="D69" s="1">
        <f t="shared" si="2"/>
        <v>3.2376099999999945E-3</v>
      </c>
      <c r="E69" s="1">
        <f t="shared" si="3"/>
        <v>1338.1275902729308</v>
      </c>
      <c r="F69" s="1"/>
    </row>
    <row r="70" spans="1:6" ht="15.4" x14ac:dyDescent="0.4">
      <c r="A70" s="2">
        <v>0.72599999999999998</v>
      </c>
      <c r="B70" s="1">
        <v>0.68530615244450099</v>
      </c>
      <c r="C70" s="1"/>
      <c r="D70" s="1">
        <f t="shared" si="2"/>
        <v>1.6559892288701907E-3</v>
      </c>
      <c r="E70" s="1">
        <f t="shared" si="3"/>
        <v>1310.0364971484044</v>
      </c>
      <c r="F70" s="1"/>
    </row>
    <row r="71" spans="1:6" ht="15.4" x14ac:dyDescent="0.4">
      <c r="A71" s="2">
        <v>0.81200000000000006</v>
      </c>
      <c r="B71" s="1">
        <v>0.82031022230226003</v>
      </c>
      <c r="C71" s="1"/>
      <c r="D71" s="1">
        <f t="shared" si="2"/>
        <v>6.9059794712979049E-5</v>
      </c>
      <c r="E71" s="1">
        <f t="shared" si="3"/>
        <v>1303.8184518201419</v>
      </c>
      <c r="F71" s="1"/>
    </row>
    <row r="72" spans="1:6" ht="15.4" x14ac:dyDescent="0.4">
      <c r="A72" s="2">
        <v>0.81599999999999995</v>
      </c>
      <c r="B72" s="1">
        <v>0.78959062128118096</v>
      </c>
      <c r="C72" s="1"/>
      <c r="D72" s="1">
        <f t="shared" si="2"/>
        <v>6.9745528431400922E-4</v>
      </c>
      <c r="E72" s="1">
        <f t="shared" si="3"/>
        <v>1303.5296004095246</v>
      </c>
      <c r="F72" s="1"/>
    </row>
    <row r="73" spans="1:6" ht="15.4" x14ac:dyDescent="0.4">
      <c r="A73" s="2">
        <v>28.763100000000001</v>
      </c>
      <c r="B73" s="1">
        <v>29.333200000000001</v>
      </c>
      <c r="C73" s="1"/>
      <c r="D73" s="1">
        <f t="shared" si="2"/>
        <v>0.32501401000000008</v>
      </c>
      <c r="E73" s="1">
        <f t="shared" si="3"/>
        <v>66.541972806919247</v>
      </c>
      <c r="F73" s="1"/>
    </row>
    <row r="74" spans="1:6" ht="15.4" x14ac:dyDescent="0.4">
      <c r="A74" s="2">
        <v>0.69799999999999995</v>
      </c>
      <c r="B74" s="1">
        <v>0.74580000000000002</v>
      </c>
      <c r="C74" s="1"/>
      <c r="D74" s="1">
        <f t="shared" si="2"/>
        <v>2.2848400000000063E-3</v>
      </c>
      <c r="E74" s="1">
        <f t="shared" si="3"/>
        <v>1312.0641690227221</v>
      </c>
      <c r="F74" s="1"/>
    </row>
    <row r="75" spans="1:6" ht="15.4" x14ac:dyDescent="0.4">
      <c r="A75" s="2">
        <v>0.35</v>
      </c>
      <c r="B75" s="1">
        <v>0.35200229428178409</v>
      </c>
      <c r="C75" s="1"/>
      <c r="D75" s="1">
        <f t="shared" si="2"/>
        <v>4.0091823908653513E-6</v>
      </c>
      <c r="E75" s="1">
        <f t="shared" si="3"/>
        <v>1337.396081746389</v>
      </c>
      <c r="F75" s="1"/>
    </row>
    <row r="76" spans="1:6" ht="15.4" x14ac:dyDescent="0.4">
      <c r="A76" s="2">
        <v>30.123799999999999</v>
      </c>
      <c r="B76" s="1">
        <v>30.1113</v>
      </c>
      <c r="C76" s="1"/>
      <c r="D76" s="1">
        <f t="shared" si="2"/>
        <v>1.5624999999998225E-4</v>
      </c>
      <c r="E76" s="1">
        <f t="shared" si="3"/>
        <v>46.194129430329241</v>
      </c>
      <c r="F76" s="1"/>
    </row>
    <row r="77" spans="1:6" ht="15.4" x14ac:dyDescent="0.4">
      <c r="A77" s="2">
        <v>33.950000000000003</v>
      </c>
      <c r="B77" s="1">
        <v>31.7648473896108</v>
      </c>
      <c r="C77" s="1"/>
      <c r="D77" s="1">
        <f t="shared" si="2"/>
        <v>4.7748919306907469</v>
      </c>
      <c r="E77" s="1">
        <f t="shared" si="3"/>
        <v>8.8234325647726557</v>
      </c>
      <c r="F77" s="1"/>
    </row>
    <row r="78" spans="1:6" ht="15.4" x14ac:dyDescent="0.4">
      <c r="A78" s="2">
        <v>0.35</v>
      </c>
      <c r="B78" s="1">
        <v>0.42620000000000002</v>
      </c>
      <c r="C78" s="1"/>
      <c r="D78" s="1">
        <f t="shared" si="2"/>
        <v>5.8064400000000073E-3</v>
      </c>
      <c r="E78" s="1">
        <f t="shared" si="3"/>
        <v>1337.396081746389</v>
      </c>
      <c r="F78" s="1"/>
    </row>
    <row r="79" spans="1:6" ht="15.4" x14ac:dyDescent="0.4">
      <c r="A79" s="2">
        <v>0.47399999999999998</v>
      </c>
      <c r="B79" s="1">
        <v>0.40710000000000002</v>
      </c>
      <c r="C79" s="1"/>
      <c r="D79" s="1">
        <f t="shared" si="2"/>
        <v>4.4756099999999945E-3</v>
      </c>
      <c r="E79" s="1">
        <f t="shared" si="3"/>
        <v>1328.3419920172666</v>
      </c>
      <c r="F79" s="1"/>
    </row>
    <row r="80" spans="1:6" ht="15.4" x14ac:dyDescent="0.4">
      <c r="A80" s="2">
        <v>2.36</v>
      </c>
      <c r="B80" s="1">
        <v>2.680644744303438</v>
      </c>
      <c r="C80" s="1"/>
      <c r="D80" s="1">
        <f t="shared" si="2"/>
        <v>0.10281305204941722</v>
      </c>
      <c r="E80" s="1">
        <f t="shared" si="3"/>
        <v>1194.4230679114173</v>
      </c>
      <c r="F80" s="1"/>
    </row>
    <row r="81" spans="1:6" ht="15.4" x14ac:dyDescent="0.4">
      <c r="A81" s="2">
        <v>0.64002420000000004</v>
      </c>
      <c r="B81" s="1">
        <v>0.48270000000000002</v>
      </c>
      <c r="C81" s="1"/>
      <c r="D81" s="1">
        <f t="shared" si="2"/>
        <v>2.4750903905640009E-2</v>
      </c>
      <c r="E81" s="1">
        <f t="shared" si="3"/>
        <v>1316.2675785046181</v>
      </c>
      <c r="F81" s="1"/>
    </row>
    <row r="82" spans="1:6" ht="15.4" x14ac:dyDescent="0.4">
      <c r="A82" s="2">
        <v>3.17</v>
      </c>
      <c r="B82" s="1">
        <v>3.9635035039171198</v>
      </c>
      <c r="C82" s="1"/>
      <c r="D82" s="1">
        <f t="shared" si="2"/>
        <v>0.62964781072874665</v>
      </c>
      <c r="E82" s="1">
        <f t="shared" si="3"/>
        <v>1139.0912772615031</v>
      </c>
      <c r="F82" s="1"/>
    </row>
    <row r="83" spans="1:6" ht="15.4" x14ac:dyDescent="0.4">
      <c r="A83" s="2">
        <v>0.41499999999999998</v>
      </c>
      <c r="B83" s="1">
        <v>0.37722685272329315</v>
      </c>
      <c r="C83" s="1"/>
      <c r="D83" s="1">
        <f t="shared" si="2"/>
        <v>1.4268106551877846E-3</v>
      </c>
      <c r="E83" s="1">
        <f t="shared" si="3"/>
        <v>1332.6461513238651</v>
      </c>
      <c r="F83" s="1"/>
    </row>
    <row r="84" spans="1:6" ht="15.4" x14ac:dyDescent="0.4">
      <c r="A84" s="2">
        <v>0.91600000000000004</v>
      </c>
      <c r="B84" s="1">
        <v>0.81064342159766301</v>
      </c>
      <c r="C84" s="1"/>
      <c r="D84" s="1">
        <f t="shared" si="2"/>
        <v>1.110000861264779E-2</v>
      </c>
      <c r="E84" s="1">
        <f t="shared" si="3"/>
        <v>1296.3187151441036</v>
      </c>
      <c r="F84" s="1"/>
    </row>
    <row r="85" spans="1:6" ht="15.4" x14ac:dyDescent="0.4">
      <c r="A85" s="2">
        <v>1.0509999999999999</v>
      </c>
      <c r="B85" s="1">
        <v>1.02187294652083</v>
      </c>
      <c r="C85" s="1"/>
      <c r="D85" s="1">
        <f t="shared" si="2"/>
        <v>8.4838524437842245E-4</v>
      </c>
      <c r="E85" s="1">
        <f t="shared" si="3"/>
        <v>1286.6157450357844</v>
      </c>
      <c r="F85" s="1"/>
    </row>
    <row r="86" spans="1:6" ht="15.4" x14ac:dyDescent="0.4">
      <c r="A86" s="2">
        <v>1.079</v>
      </c>
      <c r="B86" s="1">
        <v>0.97238212000462398</v>
      </c>
      <c r="C86" s="1"/>
      <c r="D86" s="1">
        <f t="shared" si="2"/>
        <v>1.1367372334708392E-2</v>
      </c>
      <c r="E86" s="1">
        <f t="shared" si="3"/>
        <v>1284.6078411614665</v>
      </c>
      <c r="F86" s="1"/>
    </row>
    <row r="87" spans="1:6" ht="15.4" x14ac:dyDescent="0.4">
      <c r="A87" s="2">
        <v>0.36</v>
      </c>
      <c r="B87" s="1">
        <v>0.43859999999999999</v>
      </c>
      <c r="C87" s="1"/>
      <c r="D87" s="1">
        <f t="shared" si="2"/>
        <v>6.1779600000000006E-3</v>
      </c>
      <c r="E87" s="1">
        <f t="shared" si="3"/>
        <v>1336.6647732198469</v>
      </c>
      <c r="F87" s="1"/>
    </row>
    <row r="88" spans="1:6" ht="15.4" x14ac:dyDescent="0.4">
      <c r="A88" s="2">
        <v>0.40100000000000002</v>
      </c>
      <c r="B88" s="1">
        <v>0.37480000000000002</v>
      </c>
      <c r="C88" s="1"/>
      <c r="D88" s="1">
        <f t="shared" si="2"/>
        <v>6.8644000000000008E-4</v>
      </c>
      <c r="E88" s="1">
        <f t="shared" si="3"/>
        <v>1333.6684992610237</v>
      </c>
      <c r="F88" s="1"/>
    </row>
    <row r="89" spans="1:6" ht="15.4" x14ac:dyDescent="0.4">
      <c r="A89" s="2">
        <v>0.21</v>
      </c>
      <c r="B89" s="1">
        <v>0.2722</v>
      </c>
      <c r="C89" s="1"/>
      <c r="D89" s="1">
        <f t="shared" si="2"/>
        <v>3.8688400000000006E-3</v>
      </c>
      <c r="E89" s="1">
        <f t="shared" si="3"/>
        <v>1347.655401117979</v>
      </c>
      <c r="F89" s="1"/>
    </row>
    <row r="90" spans="1:6" ht="15.4" x14ac:dyDescent="0.4">
      <c r="A90" s="2">
        <v>1.9379999999999999</v>
      </c>
      <c r="B90" s="1">
        <v>1.1162038867573725</v>
      </c>
      <c r="C90" s="1"/>
      <c r="D90" s="1">
        <f t="shared" si="2"/>
        <v>0.67534885174068937</v>
      </c>
      <c r="E90" s="1">
        <f t="shared" si="3"/>
        <v>1223.7701517314958</v>
      </c>
      <c r="F90" s="1"/>
    </row>
    <row r="91" spans="1:6" ht="15.4" x14ac:dyDescent="0.4">
      <c r="A91" s="2">
        <v>0.499</v>
      </c>
      <c r="B91" s="1">
        <v>0.52390000000000003</v>
      </c>
      <c r="C91" s="1"/>
      <c r="D91" s="1">
        <f t="shared" si="2"/>
        <v>6.2001000000000168E-4</v>
      </c>
      <c r="E91" s="1">
        <f t="shared" si="3"/>
        <v>1326.5202957009108</v>
      </c>
      <c r="F91" s="1"/>
    </row>
    <row r="92" spans="1:6" ht="15.4" x14ac:dyDescent="0.4">
      <c r="A92" s="2">
        <v>0.22</v>
      </c>
      <c r="B92" s="1">
        <v>0.23719999999999999</v>
      </c>
      <c r="C92" s="1"/>
      <c r="D92" s="1">
        <f t="shared" si="2"/>
        <v>2.9583999999999974E-4</v>
      </c>
      <c r="E92" s="1">
        <f t="shared" si="3"/>
        <v>1346.9212925914369</v>
      </c>
      <c r="F92" s="1"/>
    </row>
    <row r="93" spans="1:6" ht="15.4" x14ac:dyDescent="0.4">
      <c r="A93" s="2">
        <v>0.45700000000000002</v>
      </c>
      <c r="B93" s="1">
        <v>0.6603843520012076</v>
      </c>
      <c r="C93" s="1"/>
      <c r="D93" s="1">
        <f t="shared" si="2"/>
        <v>4.1365194638951108E-2</v>
      </c>
      <c r="E93" s="1">
        <f t="shared" si="3"/>
        <v>1329.5814595123879</v>
      </c>
      <c r="F93" s="1"/>
    </row>
    <row r="94" spans="1:6" ht="15.4" x14ac:dyDescent="0.4">
      <c r="A94" s="2">
        <v>7.4133333333333331</v>
      </c>
      <c r="B94" s="1">
        <v>9.7270000000000003</v>
      </c>
      <c r="C94" s="1"/>
      <c r="D94" s="1">
        <f t="shared" si="2"/>
        <v>5.3530534444444466</v>
      </c>
      <c r="E94" s="1">
        <f t="shared" si="3"/>
        <v>870.6685369432297</v>
      </c>
      <c r="F94" s="1"/>
    </row>
    <row r="95" spans="1:6" ht="15.4" x14ac:dyDescent="0.4">
      <c r="A95" s="2">
        <v>0.95</v>
      </c>
      <c r="B95" s="1">
        <v>0.93179999999999996</v>
      </c>
      <c r="C95" s="1"/>
      <c r="D95" s="1">
        <f t="shared" si="2"/>
        <v>3.3123999999999979E-4</v>
      </c>
      <c r="E95" s="1">
        <f t="shared" si="3"/>
        <v>1293.8715701538599</v>
      </c>
      <c r="F95" s="1"/>
    </row>
    <row r="96" spans="1:6" ht="15.4" x14ac:dyDescent="0.4">
      <c r="A96" s="2">
        <v>0.34768292682926832</v>
      </c>
      <c r="B96" s="1">
        <v>0.48067619896058195</v>
      </c>
      <c r="C96" s="1"/>
      <c r="D96" s="1">
        <f t="shared" si="2"/>
        <v>1.768721043219364E-2</v>
      </c>
      <c r="E96" s="1">
        <f t="shared" si="3"/>
        <v>1337.5655598225862</v>
      </c>
      <c r="F96" s="1"/>
    </row>
    <row r="97" spans="1:6" ht="15.4" x14ac:dyDescent="0.4">
      <c r="A97" s="2">
        <v>0.33857142857142858</v>
      </c>
      <c r="B97" s="1">
        <v>0.34570000000000001</v>
      </c>
      <c r="C97" s="1"/>
      <c r="D97" s="1">
        <f t="shared" si="2"/>
        <v>5.08165306122449E-5</v>
      </c>
      <c r="E97" s="1">
        <f t="shared" si="3"/>
        <v>1338.2321078175394</v>
      </c>
      <c r="F97" s="1"/>
    </row>
    <row r="98" spans="1:6" ht="15.4" x14ac:dyDescent="0.4">
      <c r="A98" s="2">
        <v>0.33659763313609464</v>
      </c>
      <c r="B98" s="1">
        <v>0.48110000000000003</v>
      </c>
      <c r="C98" s="1"/>
      <c r="D98" s="1">
        <f t="shared" si="2"/>
        <v>2.0880934029270701E-2</v>
      </c>
      <c r="E98" s="1">
        <f t="shared" si="3"/>
        <v>1338.3765219098373</v>
      </c>
      <c r="F98" s="1"/>
    </row>
    <row r="99" spans="1:6" ht="15.4" x14ac:dyDescent="0.4">
      <c r="A99" s="2">
        <v>31.278099999999998</v>
      </c>
      <c r="B99" s="1">
        <v>31.829799999999999</v>
      </c>
      <c r="C99" s="1"/>
      <c r="D99" s="1">
        <f t="shared" si="2"/>
        <v>0.30437289000000034</v>
      </c>
      <c r="E99" s="1">
        <f t="shared" si="3"/>
        <v>31.835846381569137</v>
      </c>
      <c r="F99" s="1"/>
    </row>
    <row r="100" spans="1:6" ht="15.4" x14ac:dyDescent="0.4">
      <c r="A100" s="2">
        <v>36.218699999999998</v>
      </c>
      <c r="B100" s="1">
        <v>36.098700000000001</v>
      </c>
      <c r="C100" s="1"/>
      <c r="D100" s="1">
        <f t="shared" si="2"/>
        <v>1.4399999999999386E-2</v>
      </c>
      <c r="E100" s="1">
        <f t="shared" si="3"/>
        <v>0.49241983815562385</v>
      </c>
      <c r="F100" s="1"/>
    </row>
    <row r="101" spans="1:6" ht="15.4" x14ac:dyDescent="0.4">
      <c r="A101" s="2">
        <v>34.770000000000003</v>
      </c>
      <c r="B101" s="1">
        <v>34.1261518477545</v>
      </c>
      <c r="C101" s="1"/>
      <c r="D101" s="1">
        <f t="shared" si="2"/>
        <v>0.41454044314994909</v>
      </c>
      <c r="E101" s="1">
        <f t="shared" si="3"/>
        <v>4.6243333883165469</v>
      </c>
      <c r="F101" s="1"/>
    </row>
    <row r="102" spans="1:6" ht="15.4" x14ac:dyDescent="0.4">
      <c r="A102" s="2">
        <v>0.83</v>
      </c>
      <c r="B102" s="1">
        <v>0.83032895851896804</v>
      </c>
      <c r="C102" s="1"/>
      <c r="D102" s="1">
        <f t="shared" si="2"/>
        <v>1.0821370720167333E-7</v>
      </c>
      <c r="E102" s="1">
        <f t="shared" si="3"/>
        <v>1302.518872472366</v>
      </c>
      <c r="F102" s="1"/>
    </row>
    <row r="103" spans="1:6" ht="15.4" x14ac:dyDescent="0.4">
      <c r="A103" s="2">
        <v>0.89</v>
      </c>
      <c r="B103" s="1">
        <v>0.89070400266234695</v>
      </c>
      <c r="C103" s="1"/>
      <c r="D103" s="1">
        <f t="shared" si="2"/>
        <v>4.9561974859157461E-7</v>
      </c>
      <c r="E103" s="1">
        <f t="shared" si="3"/>
        <v>1298.191621313113</v>
      </c>
      <c r="F103" s="1"/>
    </row>
    <row r="104" spans="1:6" ht="15.4" x14ac:dyDescent="0.4">
      <c r="A104" s="2">
        <v>0.94</v>
      </c>
      <c r="B104" s="1">
        <v>0.93838448443273204</v>
      </c>
      <c r="C104" s="1"/>
      <c r="D104" s="1">
        <f t="shared" si="2"/>
        <v>2.6098905480849606E-6</v>
      </c>
      <c r="E104" s="1">
        <f t="shared" si="3"/>
        <v>1294.5910786804025</v>
      </c>
      <c r="F104" s="1"/>
    </row>
    <row r="105" spans="1:6" ht="15.4" x14ac:dyDescent="0.4">
      <c r="A105" s="2">
        <v>0.53300000000000003</v>
      </c>
      <c r="B105" s="1">
        <v>0.55960167353843104</v>
      </c>
      <c r="C105" s="1"/>
      <c r="D105" s="1">
        <f t="shared" si="2"/>
        <v>7.0764903504526083E-4</v>
      </c>
      <c r="E105" s="1">
        <f t="shared" si="3"/>
        <v>1324.0447947106677</v>
      </c>
      <c r="F105" s="1"/>
    </row>
    <row r="106" spans="1:6" ht="15.4" x14ac:dyDescent="0.4">
      <c r="A106" s="2">
        <v>0.85</v>
      </c>
      <c r="B106" s="1">
        <v>0.54328234296054001</v>
      </c>
      <c r="C106" s="1"/>
      <c r="D106" s="1">
        <f t="shared" si="2"/>
        <v>9.4075721139775789E-2</v>
      </c>
      <c r="E106" s="1">
        <f t="shared" si="3"/>
        <v>1301.0756554192815</v>
      </c>
      <c r="F106" s="1"/>
    </row>
    <row r="107" spans="1:6" ht="15.4" x14ac:dyDescent="0.4">
      <c r="A107" s="2">
        <v>1.329</v>
      </c>
      <c r="B107" s="1">
        <v>1.14508564965431</v>
      </c>
      <c r="C107" s="1"/>
      <c r="D107" s="1">
        <f t="shared" si="2"/>
        <v>3.3824488263077178E-2</v>
      </c>
      <c r="E107" s="1">
        <f t="shared" si="3"/>
        <v>1266.7496279979127</v>
      </c>
      <c r="F107" s="1"/>
    </row>
    <row r="108" spans="1:6" ht="15.4" x14ac:dyDescent="0.4">
      <c r="A108" s="2">
        <v>1.329</v>
      </c>
      <c r="B108" s="1">
        <v>0.88936609480961404</v>
      </c>
      <c r="C108" s="1"/>
      <c r="D108" s="1">
        <f t="shared" si="2"/>
        <v>0.19327797059294924</v>
      </c>
      <c r="E108" s="1">
        <f t="shared" si="3"/>
        <v>1266.7496279979127</v>
      </c>
      <c r="F108" s="1"/>
    </row>
    <row r="109" spans="1:6" ht="15.4" x14ac:dyDescent="0.4">
      <c r="A109" s="2">
        <v>1.63</v>
      </c>
      <c r="B109" s="1">
        <v>1.0846689894117501</v>
      </c>
      <c r="C109" s="1"/>
      <c r="D109" s="1">
        <f t="shared" si="2"/>
        <v>0.29738591110920187</v>
      </c>
      <c r="E109" s="1">
        <f t="shared" si="3"/>
        <v>1245.414190348994</v>
      </c>
      <c r="F109" s="1"/>
    </row>
    <row r="110" spans="1:6" ht="15.4" x14ac:dyDescent="0.4">
      <c r="A110" s="2">
        <v>0.55000000000000004</v>
      </c>
      <c r="B110" s="1">
        <v>0.60072503117531439</v>
      </c>
      <c r="C110" s="1"/>
      <c r="D110" s="1">
        <f t="shared" si="2"/>
        <v>2.5730287877366127E-3</v>
      </c>
      <c r="E110" s="1">
        <f t="shared" si="3"/>
        <v>1322.8079112155463</v>
      </c>
      <c r="F110" s="1"/>
    </row>
    <row r="111" spans="1:6" ht="15.4" x14ac:dyDescent="0.4">
      <c r="A111" s="2">
        <v>33.129100000000001</v>
      </c>
      <c r="B111" s="1">
        <v>33.6648</v>
      </c>
      <c r="C111" s="1"/>
      <c r="D111" s="1">
        <f t="shared" si="2"/>
        <v>0.28697448999999842</v>
      </c>
      <c r="E111" s="1">
        <f t="shared" si="3"/>
        <v>14.37415531861757</v>
      </c>
      <c r="F111" s="1"/>
    </row>
    <row r="112" spans="1:6" ht="15.4" x14ac:dyDescent="0.4">
      <c r="A112" s="2">
        <v>38.875300000000003</v>
      </c>
      <c r="B112" s="1">
        <v>38.834800000000001</v>
      </c>
      <c r="C112" s="1"/>
      <c r="D112" s="1">
        <f t="shared" si="2"/>
        <v>1.6402500000001242E-3</v>
      </c>
      <c r="E112" s="1">
        <f t="shared" si="3"/>
        <v>3.8215310769686717</v>
      </c>
      <c r="F112" s="1"/>
    </row>
    <row r="113" spans="1:6" ht="15.4" x14ac:dyDescent="0.4">
      <c r="A113" s="2">
        <v>37.85</v>
      </c>
      <c r="B113" s="1">
        <v>36.589355284075303</v>
      </c>
      <c r="C113" s="1"/>
      <c r="D113" s="1">
        <f t="shared" si="2"/>
        <v>1.5892250997888633</v>
      </c>
      <c r="E113" s="1">
        <f t="shared" si="3"/>
        <v>0.8641072133350679</v>
      </c>
      <c r="F113" s="1"/>
    </row>
    <row r="114" spans="1:6" ht="15.4" x14ac:dyDescent="0.4">
      <c r="A114" s="2">
        <v>33.880000000000003</v>
      </c>
      <c r="B114" s="1">
        <v>33.862212678806202</v>
      </c>
      <c r="C114" s="1"/>
      <c r="D114" s="1">
        <f t="shared" si="2"/>
        <v>3.1638879525143032E-4</v>
      </c>
      <c r="E114" s="1">
        <f t="shared" si="3"/>
        <v>9.244192250567691</v>
      </c>
      <c r="F114" s="1"/>
    </row>
    <row r="115" spans="1:6" ht="15.4" x14ac:dyDescent="0.4">
      <c r="A115" s="2">
        <v>3.07</v>
      </c>
      <c r="B115" s="1">
        <v>4.1323807091287836</v>
      </c>
      <c r="C115" s="1"/>
      <c r="D115" s="1">
        <f t="shared" si="2"/>
        <v>1.1286527711289775</v>
      </c>
      <c r="E115" s="1">
        <f t="shared" si="3"/>
        <v>1145.8513625269247</v>
      </c>
      <c r="F115" s="1"/>
    </row>
    <row r="116" spans="1:6" ht="15.4" x14ac:dyDescent="0.4">
      <c r="A116" s="2">
        <v>3.4809999999999999</v>
      </c>
      <c r="B116" s="1">
        <v>4.2492999999999999</v>
      </c>
      <c r="C116" s="1"/>
      <c r="D116" s="1">
        <f t="shared" si="2"/>
        <v>0.59028488999999995</v>
      </c>
      <c r="E116" s="1">
        <f t="shared" si="3"/>
        <v>1118.1952330860424</v>
      </c>
      <c r="F116" s="1"/>
    </row>
    <row r="117" spans="1:6" ht="15.4" x14ac:dyDescent="0.4">
      <c r="A117" s="2">
        <v>0.47</v>
      </c>
      <c r="B117" s="1">
        <v>0.39610000000000001</v>
      </c>
      <c r="C117" s="1"/>
      <c r="D117" s="1">
        <f t="shared" si="2"/>
        <v>5.461209999999995E-3</v>
      </c>
      <c r="E117" s="1">
        <f t="shared" si="3"/>
        <v>1328.6335794278832</v>
      </c>
      <c r="F117" s="1"/>
    </row>
    <row r="118" spans="1:6" ht="15.4" x14ac:dyDescent="0.4">
      <c r="A118" s="2">
        <v>0.56200000000000006</v>
      </c>
      <c r="B118" s="1">
        <v>0.82230000000000003</v>
      </c>
      <c r="C118" s="1"/>
      <c r="D118" s="1">
        <f t="shared" si="2"/>
        <v>6.7756089999999991E-2</v>
      </c>
      <c r="E118" s="1">
        <f t="shared" si="3"/>
        <v>1321.9351649836956</v>
      </c>
      <c r="F118" s="1"/>
    </row>
    <row r="119" spans="1:6" ht="15.4" x14ac:dyDescent="0.4">
      <c r="A119" s="2">
        <v>1.0449999999999999</v>
      </c>
      <c r="B119" s="1">
        <v>1.0127999999999999</v>
      </c>
      <c r="C119" s="1"/>
      <c r="D119" s="1">
        <f t="shared" si="2"/>
        <v>1.0368400000000005E-3</v>
      </c>
      <c r="E119" s="1">
        <f t="shared" si="3"/>
        <v>1287.0462141517096</v>
      </c>
      <c r="F119" s="1"/>
    </row>
    <row r="120" spans="1:6" ht="15.4" x14ac:dyDescent="0.4">
      <c r="A120" s="2">
        <v>0.63800000000000001</v>
      </c>
      <c r="B120" s="1">
        <v>0.78521543868686405</v>
      </c>
      <c r="C120" s="1"/>
      <c r="D120" s="1">
        <f t="shared" si="2"/>
        <v>2.1672385387765825E-2</v>
      </c>
      <c r="E120" s="1">
        <f t="shared" si="3"/>
        <v>1316.4144601819753</v>
      </c>
      <c r="F120" s="1"/>
    </row>
    <row r="121" spans="1:6" ht="15.4" x14ac:dyDescent="0.4">
      <c r="A121" s="2">
        <v>0.68100000000000005</v>
      </c>
      <c r="B121" s="1">
        <v>0.56599999999999995</v>
      </c>
      <c r="C121" s="1"/>
      <c r="D121" s="1">
        <f t="shared" si="2"/>
        <v>1.3225000000000023E-2</v>
      </c>
      <c r="E121" s="1">
        <f t="shared" si="3"/>
        <v>1313.296020517844</v>
      </c>
      <c r="F121" s="1"/>
    </row>
    <row r="122" spans="1:6" ht="15.4" x14ac:dyDescent="0.4">
      <c r="A122" s="2">
        <v>0.749</v>
      </c>
      <c r="B122" s="1">
        <v>0.75439999999999996</v>
      </c>
      <c r="C122" s="1"/>
      <c r="D122" s="1">
        <f t="shared" si="2"/>
        <v>2.9159999999999572E-5</v>
      </c>
      <c r="E122" s="1">
        <f t="shared" si="3"/>
        <v>1308.3720825373571</v>
      </c>
      <c r="F122" s="1"/>
    </row>
    <row r="123" spans="1:6" ht="15.4" x14ac:dyDescent="0.4">
      <c r="A123" s="2">
        <v>0.3</v>
      </c>
      <c r="B123" s="1">
        <v>0.25340000000000001</v>
      </c>
      <c r="C123" s="1"/>
      <c r="D123" s="1">
        <f t="shared" si="2"/>
        <v>2.1715599999999977E-3</v>
      </c>
      <c r="E123" s="1">
        <f t="shared" si="3"/>
        <v>1341.0556243791</v>
      </c>
      <c r="F123" s="1"/>
    </row>
    <row r="124" spans="1:6" ht="15.4" x14ac:dyDescent="0.4">
      <c r="A124" s="2">
        <v>0.74199999999999999</v>
      </c>
      <c r="B124" s="1">
        <v>1.0065763591161598</v>
      </c>
      <c r="C124" s="1"/>
      <c r="D124" s="1">
        <f t="shared" si="2"/>
        <v>7.0000649803163173E-2</v>
      </c>
      <c r="E124" s="1">
        <f t="shared" si="3"/>
        <v>1308.878531505937</v>
      </c>
      <c r="F124" s="1"/>
    </row>
    <row r="125" spans="1:6" ht="15.4" x14ac:dyDescent="0.4">
      <c r="A125" s="2">
        <v>0.75</v>
      </c>
      <c r="B125" s="1">
        <v>1.1131</v>
      </c>
      <c r="C125" s="1"/>
      <c r="D125" s="1">
        <f t="shared" si="2"/>
        <v>0.13184161</v>
      </c>
      <c r="E125" s="1">
        <f t="shared" si="3"/>
        <v>1308.299740684703</v>
      </c>
      <c r="F125" s="1"/>
    </row>
    <row r="126" spans="1:6" ht="15.4" x14ac:dyDescent="0.4">
      <c r="A126" s="2">
        <v>8.1066666666666674</v>
      </c>
      <c r="B126" s="1">
        <v>11.590199999999999</v>
      </c>
      <c r="C126" s="1"/>
      <c r="D126" s="1">
        <f t="shared" si="2"/>
        <v>12.135004484444435</v>
      </c>
      <c r="E126" s="1">
        <f t="shared" si="3"/>
        <v>830.2327457696407</v>
      </c>
      <c r="F126" s="1"/>
    </row>
    <row r="127" spans="1:6" ht="15.4" x14ac:dyDescent="0.4">
      <c r="A127" s="2">
        <v>1.64</v>
      </c>
      <c r="B127" s="1">
        <v>1.0442</v>
      </c>
      <c r="C127" s="1"/>
      <c r="D127" s="1">
        <f t="shared" si="2"/>
        <v>0.35497763999999987</v>
      </c>
      <c r="E127" s="1">
        <f t="shared" si="3"/>
        <v>1244.7084818224519</v>
      </c>
      <c r="F127" s="1"/>
    </row>
    <row r="128" spans="1:6" ht="15.4" x14ac:dyDescent="0.4">
      <c r="A128" s="2">
        <v>0.61596958174904948</v>
      </c>
      <c r="B128" s="1">
        <v>0.73099999999999998</v>
      </c>
      <c r="C128" s="1"/>
      <c r="D128" s="1">
        <f t="shared" si="2"/>
        <v>1.3231997122988608E-2</v>
      </c>
      <c r="E128" s="1">
        <f t="shared" si="3"/>
        <v>1318.0135795755943</v>
      </c>
      <c r="F128" s="1"/>
    </row>
    <row r="129" spans="1:6" ht="15.4" x14ac:dyDescent="0.4">
      <c r="A129" s="2">
        <v>0.47020833333333334</v>
      </c>
      <c r="B129" s="1">
        <v>0.3629</v>
      </c>
      <c r="C129" s="1"/>
      <c r="D129" s="1">
        <f t="shared" si="2"/>
        <v>1.151507840277778E-2</v>
      </c>
      <c r="E129" s="1">
        <f t="shared" si="3"/>
        <v>1328.6183917936498</v>
      </c>
      <c r="F129" s="1"/>
    </row>
    <row r="130" spans="1:6" ht="15.4" x14ac:dyDescent="0.4">
      <c r="A130" s="2">
        <v>42.396500000000003</v>
      </c>
      <c r="B130" s="1">
        <v>41.583799999999997</v>
      </c>
      <c r="C130" s="1"/>
      <c r="D130" s="1">
        <f t="shared" si="2"/>
        <v>0.66048129000001077</v>
      </c>
      <c r="E130" s="1">
        <f t="shared" si="3"/>
        <v>29.987382870947641</v>
      </c>
      <c r="F130" s="1"/>
    </row>
    <row r="131" spans="1:6" ht="15.4" x14ac:dyDescent="0.4">
      <c r="A131" s="2">
        <v>43.55</v>
      </c>
      <c r="B131" s="1">
        <v>39.1091916350126</v>
      </c>
      <c r="C131" s="1"/>
      <c r="D131" s="1">
        <f t="shared" ref="D131:D194" si="4">(A131-B131)^2</f>
        <v>19.720778934542039</v>
      </c>
      <c r="E131" s="1">
        <f t="shared" ref="E131:E194" si="5">(A131-$C$2)^2</f>
        <v>43.951247084310829</v>
      </c>
      <c r="F131" s="1"/>
    </row>
    <row r="132" spans="1:6" ht="15.4" x14ac:dyDescent="0.4">
      <c r="A132" s="2">
        <v>1.4</v>
      </c>
      <c r="B132" s="1">
        <v>0.93054372316453204</v>
      </c>
      <c r="C132" s="1"/>
      <c r="D132" s="1">
        <f t="shared" si="4"/>
        <v>0.22038919586021943</v>
      </c>
      <c r="E132" s="1">
        <f t="shared" si="5"/>
        <v>1261.7006864594637</v>
      </c>
      <c r="F132" s="1"/>
    </row>
    <row r="133" spans="1:6" ht="15.4" x14ac:dyDescent="0.4">
      <c r="A133" s="2">
        <v>1.45</v>
      </c>
      <c r="B133" s="1">
        <v>0.98744697344020904</v>
      </c>
      <c r="C133" s="1"/>
      <c r="D133" s="1">
        <f t="shared" si="4"/>
        <v>0.21395530237962262</v>
      </c>
      <c r="E133" s="1">
        <f t="shared" si="5"/>
        <v>1258.1511438267526</v>
      </c>
      <c r="F133" s="1"/>
    </row>
    <row r="134" spans="1:6" ht="15.4" x14ac:dyDescent="0.4">
      <c r="A134" s="2">
        <v>1.53</v>
      </c>
      <c r="B134" s="1">
        <v>1.0410179352848601</v>
      </c>
      <c r="C134" s="1"/>
      <c r="D134" s="1">
        <f t="shared" si="4"/>
        <v>0.2391034596130813</v>
      </c>
      <c r="E134" s="1">
        <f t="shared" si="5"/>
        <v>1252.4822756144156</v>
      </c>
      <c r="F134" s="1"/>
    </row>
    <row r="135" spans="1:6" ht="15.4" x14ac:dyDescent="0.4">
      <c r="A135" s="2">
        <v>5.68</v>
      </c>
      <c r="B135" s="1">
        <v>5.6799027458735303</v>
      </c>
      <c r="C135" s="1"/>
      <c r="D135" s="1">
        <f t="shared" si="4"/>
        <v>9.458365115333265E-9</v>
      </c>
      <c r="E135" s="1">
        <f t="shared" si="5"/>
        <v>975.96423709942428</v>
      </c>
      <c r="F135" s="1"/>
    </row>
    <row r="136" spans="1:6" ht="15.4" x14ac:dyDescent="0.4">
      <c r="A136" s="1">
        <v>9.6999999999999993</v>
      </c>
      <c r="B136" s="1">
        <v>11.1489067273143</v>
      </c>
      <c r="C136" s="1"/>
      <c r="D136" s="1">
        <f t="shared" si="4"/>
        <v>2.0993307044566363</v>
      </c>
      <c r="E136" s="1">
        <f t="shared" si="5"/>
        <v>740.95160942948087</v>
      </c>
      <c r="F136" s="1"/>
    </row>
    <row r="137" spans="1:6" ht="15.4" x14ac:dyDescent="0.4">
      <c r="A137" s="2">
        <v>0.84</v>
      </c>
      <c r="B137" s="1">
        <v>1.1657999999999999</v>
      </c>
      <c r="C137" s="1"/>
      <c r="D137" s="1">
        <f t="shared" si="4"/>
        <v>0.10614563999999999</v>
      </c>
      <c r="E137" s="1">
        <f t="shared" si="5"/>
        <v>1301.7971639458235</v>
      </c>
      <c r="F137" s="1"/>
    </row>
    <row r="138" spans="1:6" ht="15.4" x14ac:dyDescent="0.4">
      <c r="A138" s="2">
        <v>46.227600000000002</v>
      </c>
      <c r="B138" s="1">
        <v>44.323700000000002</v>
      </c>
      <c r="C138" s="1"/>
      <c r="D138" s="1">
        <f t="shared" si="4"/>
        <v>3.6248352100000005</v>
      </c>
      <c r="E138" s="1">
        <f t="shared" si="5"/>
        <v>86.62348177738545</v>
      </c>
      <c r="F138" s="1"/>
    </row>
    <row r="139" spans="1:6" ht="15.4" x14ac:dyDescent="0.4">
      <c r="A139" s="2">
        <v>48.19</v>
      </c>
      <c r="B139" s="1">
        <v>41.649154452697303</v>
      </c>
      <c r="C139" s="1"/>
      <c r="D139" s="1">
        <f t="shared" si="4"/>
        <v>42.782660473669488</v>
      </c>
      <c r="E139" s="1">
        <f t="shared" si="5"/>
        <v>127.00329076875428</v>
      </c>
      <c r="F139" s="1"/>
    </row>
    <row r="140" spans="1:6" ht="15.4" x14ac:dyDescent="0.4">
      <c r="A140" s="2">
        <v>36.590000000000003</v>
      </c>
      <c r="B140" s="1">
        <v>58.011318769388403</v>
      </c>
      <c r="C140" s="1"/>
      <c r="D140" s="1">
        <f t="shared" si="4"/>
        <v>458.87289781975176</v>
      </c>
      <c r="E140" s="1">
        <f t="shared" si="5"/>
        <v>0.10918155764567472</v>
      </c>
      <c r="F140" s="1"/>
    </row>
    <row r="141" spans="1:6" ht="15.4" x14ac:dyDescent="0.4">
      <c r="A141" s="2">
        <v>4.3360000000000003</v>
      </c>
      <c r="B141" s="1">
        <v>4.7276999999999996</v>
      </c>
      <c r="C141" s="1"/>
      <c r="D141" s="1">
        <f t="shared" si="4"/>
        <v>0.15342888999999943</v>
      </c>
      <c r="E141" s="1">
        <f t="shared" si="5"/>
        <v>1061.7448390666891</v>
      </c>
      <c r="F141" s="1"/>
    </row>
    <row r="142" spans="1:6" ht="15.4" x14ac:dyDescent="0.4">
      <c r="A142" s="2">
        <v>0.621</v>
      </c>
      <c r="B142" s="1">
        <v>0.42009999999999997</v>
      </c>
      <c r="C142" s="1"/>
      <c r="D142" s="1">
        <f t="shared" si="4"/>
        <v>4.0360810000000011E-2</v>
      </c>
      <c r="E142" s="1">
        <f t="shared" si="5"/>
        <v>1317.6483516770966</v>
      </c>
      <c r="F142" s="1"/>
    </row>
    <row r="143" spans="1:6" ht="15.4" x14ac:dyDescent="0.4">
      <c r="A143" s="2">
        <v>4.0999999999999996</v>
      </c>
      <c r="B143" s="1">
        <v>5.7590000000000003</v>
      </c>
      <c r="C143" s="1"/>
      <c r="D143" s="1">
        <f t="shared" si="4"/>
        <v>2.7522810000000022</v>
      </c>
      <c r="E143" s="1">
        <f t="shared" si="5"/>
        <v>1077.1803842930835</v>
      </c>
      <c r="F143" s="1"/>
    </row>
    <row r="144" spans="1:6" ht="15.4" x14ac:dyDescent="0.4">
      <c r="A144" s="2">
        <v>0.45</v>
      </c>
      <c r="B144" s="1">
        <v>0.30309999999999998</v>
      </c>
      <c r="C144" s="1"/>
      <c r="D144" s="1">
        <f t="shared" si="4"/>
        <v>2.1579610000000009E-2</v>
      </c>
      <c r="E144" s="1">
        <f t="shared" si="5"/>
        <v>1330.0919964809673</v>
      </c>
      <c r="F144" s="1"/>
    </row>
    <row r="145" spans="1:6" ht="15.4" x14ac:dyDescent="0.4">
      <c r="A145" s="2">
        <v>1.4630000000000001</v>
      </c>
      <c r="B145" s="1">
        <v>1.0112000000000001</v>
      </c>
      <c r="C145" s="1"/>
      <c r="D145" s="1">
        <f t="shared" si="4"/>
        <v>0.20412323999999998</v>
      </c>
      <c r="E145" s="1">
        <f t="shared" si="5"/>
        <v>1257.2290817422479</v>
      </c>
      <c r="F145" s="1"/>
    </row>
    <row r="146" spans="1:6" ht="15.4" x14ac:dyDescent="0.4">
      <c r="A146" s="2">
        <v>57.127099999999999</v>
      </c>
      <c r="B146" s="1">
        <v>56.616700000000002</v>
      </c>
      <c r="C146" s="1"/>
      <c r="D146" s="1">
        <f t="shared" si="4"/>
        <v>0.26050815999999699</v>
      </c>
      <c r="E146" s="1">
        <f t="shared" si="5"/>
        <v>408.30966092277146</v>
      </c>
      <c r="F146" s="1"/>
    </row>
    <row r="147" spans="1:6" ht="15.4" x14ac:dyDescent="0.4">
      <c r="A147" s="2">
        <v>0.82899999999999996</v>
      </c>
      <c r="B147" s="1">
        <v>0.96922069597864202</v>
      </c>
      <c r="C147" s="1"/>
      <c r="D147" s="1">
        <f t="shared" si="4"/>
        <v>1.9661843580734768E-2</v>
      </c>
      <c r="E147" s="1">
        <f t="shared" si="5"/>
        <v>1302.59105432502</v>
      </c>
      <c r="F147" s="1"/>
    </row>
    <row r="148" spans="1:6" ht="15.4" x14ac:dyDescent="0.4">
      <c r="A148" s="2">
        <v>1.03</v>
      </c>
      <c r="B148" s="1">
        <v>1.21084344045801</v>
      </c>
      <c r="C148" s="1"/>
      <c r="D148" s="1">
        <f t="shared" si="4"/>
        <v>3.2704349956689784E-2</v>
      </c>
      <c r="E148" s="1">
        <f t="shared" si="5"/>
        <v>1288.1227019415228</v>
      </c>
      <c r="F148" s="1"/>
    </row>
    <row r="149" spans="1:6" ht="15.4" x14ac:dyDescent="0.4">
      <c r="A149" s="2">
        <v>1.056</v>
      </c>
      <c r="B149" s="1">
        <v>1.5082</v>
      </c>
      <c r="C149" s="1"/>
      <c r="D149" s="1">
        <f t="shared" si="4"/>
        <v>0.20448483999999995</v>
      </c>
      <c r="E149" s="1">
        <f t="shared" si="5"/>
        <v>1286.2570757725136</v>
      </c>
      <c r="F149" s="1"/>
    </row>
    <row r="150" spans="1:6" ht="15.4" x14ac:dyDescent="0.4">
      <c r="A150" s="2">
        <v>1.0900000000000001</v>
      </c>
      <c r="B150" s="1">
        <v>1.2149000000000001</v>
      </c>
      <c r="C150" s="1"/>
      <c r="D150" s="1">
        <f t="shared" si="4"/>
        <v>1.5600010000000003E-2</v>
      </c>
      <c r="E150" s="1">
        <f t="shared" si="5"/>
        <v>1283.8194507822698</v>
      </c>
      <c r="F150" s="1"/>
    </row>
    <row r="151" spans="1:6" ht="15.4" x14ac:dyDescent="0.4">
      <c r="A151" s="2">
        <v>12.906666666666666</v>
      </c>
      <c r="B151" s="1">
        <v>13.0389</v>
      </c>
      <c r="C151" s="1"/>
      <c r="D151" s="1">
        <f t="shared" si="4"/>
        <v>1.7485654444444526E-2</v>
      </c>
      <c r="E151" s="1">
        <f t="shared" si="5"/>
        <v>576.66065302941001</v>
      </c>
      <c r="F151" s="1"/>
    </row>
    <row r="152" spans="1:6" ht="15.4" x14ac:dyDescent="0.4">
      <c r="A152" s="2">
        <v>2.57</v>
      </c>
      <c r="B152" s="1">
        <v>1.1386000000000001</v>
      </c>
      <c r="C152" s="1"/>
      <c r="D152" s="1">
        <f t="shared" si="4"/>
        <v>2.0489059599999995</v>
      </c>
      <c r="E152" s="1">
        <f t="shared" si="5"/>
        <v>1179.9517888540322</v>
      </c>
      <c r="F152" s="1"/>
    </row>
    <row r="153" spans="1:6" ht="15.4" x14ac:dyDescent="0.4">
      <c r="A153" s="2">
        <v>0.8727272727272728</v>
      </c>
      <c r="B153" s="1">
        <v>0.79710000000000003</v>
      </c>
      <c r="C153" s="1"/>
      <c r="D153" s="1">
        <f t="shared" si="4"/>
        <v>5.7194843801652946E-3</v>
      </c>
      <c r="E153" s="1">
        <f t="shared" si="5"/>
        <v>1299.4366071151567</v>
      </c>
      <c r="F153" s="1"/>
    </row>
    <row r="154" spans="1:6" ht="15.4" x14ac:dyDescent="0.4">
      <c r="A154" s="2">
        <v>0.67452830188679236</v>
      </c>
      <c r="B154" s="1">
        <v>0.3836</v>
      </c>
      <c r="C154" s="1"/>
      <c r="D154" s="1">
        <f t="shared" si="4"/>
        <v>8.4639276838732597E-2</v>
      </c>
      <c r="E154" s="1">
        <f t="shared" si="5"/>
        <v>1313.7651236546899</v>
      </c>
      <c r="F154" s="1"/>
    </row>
    <row r="155" spans="1:6" ht="15.4" x14ac:dyDescent="0.4">
      <c r="A155" s="2">
        <v>0.80104712041884818</v>
      </c>
      <c r="B155" s="1">
        <v>0.55259999999999998</v>
      </c>
      <c r="C155" s="1"/>
      <c r="D155" s="1">
        <f t="shared" si="4"/>
        <v>6.1725971644417656E-2</v>
      </c>
      <c r="E155" s="1">
        <f t="shared" si="5"/>
        <v>1304.609554276564</v>
      </c>
      <c r="F155" s="1"/>
    </row>
    <row r="156" spans="1:6" ht="15.4" x14ac:dyDescent="0.4">
      <c r="A156" s="2">
        <v>60.5289</v>
      </c>
      <c r="B156" s="1">
        <v>58.598199999999999</v>
      </c>
      <c r="C156" s="1"/>
      <c r="D156" s="1">
        <f t="shared" si="4"/>
        <v>3.7276024900000064</v>
      </c>
      <c r="E156" s="1">
        <f t="shared" si="5"/>
        <v>557.36002916366374</v>
      </c>
      <c r="F156" s="1"/>
    </row>
    <row r="157" spans="1:6" ht="15.4" x14ac:dyDescent="0.4">
      <c r="A157" s="2">
        <v>82.06</v>
      </c>
      <c r="B157" s="1">
        <v>95.520861792800204</v>
      </c>
      <c r="C157" s="1"/>
      <c r="D157" s="1">
        <f t="shared" si="4"/>
        <v>181.19480020486827</v>
      </c>
      <c r="E157" s="1">
        <f t="shared" si="5"/>
        <v>2037.5811113705001</v>
      </c>
      <c r="F157" s="1"/>
    </row>
    <row r="158" spans="1:6" ht="15.4" x14ac:dyDescent="0.4">
      <c r="A158" s="2">
        <v>56.89</v>
      </c>
      <c r="B158" s="1">
        <v>44.182043245224897</v>
      </c>
      <c r="C158" s="1"/>
      <c r="D158" s="1">
        <f t="shared" si="4"/>
        <v>161.4921648812342</v>
      </c>
      <c r="E158" s="1">
        <f t="shared" si="5"/>
        <v>398.78387267708587</v>
      </c>
      <c r="F158" s="1"/>
    </row>
    <row r="159" spans="1:6" ht="15.4" x14ac:dyDescent="0.4">
      <c r="A159" s="2">
        <v>42.53</v>
      </c>
      <c r="B159" s="1">
        <v>61.802113231425601</v>
      </c>
      <c r="C159" s="1"/>
      <c r="D159" s="1">
        <f t="shared" si="4"/>
        <v>371.41434840488967</v>
      </c>
      <c r="E159" s="1">
        <f t="shared" si="5"/>
        <v>31.467316791609949</v>
      </c>
      <c r="F159" s="1"/>
    </row>
    <row r="160" spans="1:6" ht="15.4" x14ac:dyDescent="0.4">
      <c r="A160" s="2">
        <v>41.21</v>
      </c>
      <c r="B160" s="1">
        <v>41.178890845898998</v>
      </c>
      <c r="C160" s="1"/>
      <c r="D160" s="1">
        <f t="shared" si="4"/>
        <v>9.677794688799456E-4</v>
      </c>
      <c r="E160" s="1">
        <f t="shared" si="5"/>
        <v>18.400442295173441</v>
      </c>
      <c r="F160" s="1"/>
    </row>
    <row r="161" spans="1:6" ht="15.4" x14ac:dyDescent="0.4">
      <c r="A161" s="2">
        <v>42.19</v>
      </c>
      <c r="B161" s="1">
        <v>38.659731238486003</v>
      </c>
      <c r="C161" s="1"/>
      <c r="D161" s="1">
        <f t="shared" si="4"/>
        <v>12.462797528521552</v>
      </c>
      <c r="E161" s="1">
        <f t="shared" si="5"/>
        <v>27.768406694042934</v>
      </c>
      <c r="F161" s="1"/>
    </row>
    <row r="162" spans="1:6" ht="15.4" x14ac:dyDescent="0.4">
      <c r="A162" s="2">
        <v>64.156700000000001</v>
      </c>
      <c r="B162" s="1">
        <v>60.168300000000002</v>
      </c>
      <c r="C162" s="1"/>
      <c r="D162" s="1">
        <f t="shared" si="4"/>
        <v>15.907334559999988</v>
      </c>
      <c r="E162" s="1">
        <f t="shared" si="5"/>
        <v>741.81460358470338</v>
      </c>
      <c r="F162" s="1"/>
    </row>
    <row r="163" spans="1:6" ht="15.4" x14ac:dyDescent="0.4">
      <c r="A163" s="2">
        <v>0.77100000000000002</v>
      </c>
      <c r="B163" s="1">
        <v>1.2068344238465492</v>
      </c>
      <c r="C163" s="1"/>
      <c r="D163" s="1">
        <f t="shared" si="4"/>
        <v>0.18995164500965345</v>
      </c>
      <c r="E163" s="1">
        <f t="shared" si="5"/>
        <v>1306.7810237789645</v>
      </c>
      <c r="F163" s="1"/>
    </row>
    <row r="164" spans="1:6" ht="15.4" x14ac:dyDescent="0.4">
      <c r="A164" s="2">
        <v>1.05768</v>
      </c>
      <c r="B164" s="1">
        <v>1.1624000000000001</v>
      </c>
      <c r="C164" s="1"/>
      <c r="D164" s="1">
        <f t="shared" si="4"/>
        <v>1.0966278400000031E-2</v>
      </c>
      <c r="E164" s="1">
        <f t="shared" si="5"/>
        <v>1286.1365741224545</v>
      </c>
      <c r="F164" s="1"/>
    </row>
    <row r="165" spans="1:6" ht="15.4" x14ac:dyDescent="0.4">
      <c r="A165" s="2">
        <v>66.379099999999994</v>
      </c>
      <c r="B165" s="1">
        <v>65.855999999999995</v>
      </c>
      <c r="C165" s="1"/>
      <c r="D165" s="1">
        <f t="shared" si="4"/>
        <v>0.27363360999999942</v>
      </c>
      <c r="E165" s="1">
        <f t="shared" si="5"/>
        <v>867.81345456597603</v>
      </c>
      <c r="F165" s="1"/>
    </row>
    <row r="166" spans="1:6" ht="15.4" x14ac:dyDescent="0.4">
      <c r="A166" s="2">
        <v>1.43</v>
      </c>
      <c r="B166" s="1">
        <v>0.62130820049784097</v>
      </c>
      <c r="C166" s="1"/>
      <c r="D166" s="1">
        <f t="shared" si="4"/>
        <v>0.65398242658204009</v>
      </c>
      <c r="E166" s="1">
        <f t="shared" si="5"/>
        <v>1259.5703608798372</v>
      </c>
      <c r="F166" s="1"/>
    </row>
    <row r="167" spans="1:6" ht="15.4" x14ac:dyDescent="0.4">
      <c r="A167" s="2">
        <v>0.93799999999999994</v>
      </c>
      <c r="B167" s="1">
        <v>1.3411082944220101</v>
      </c>
      <c r="C167" s="1"/>
      <c r="D167" s="1">
        <f t="shared" si="4"/>
        <v>0.162496297031822</v>
      </c>
      <c r="E167" s="1">
        <f t="shared" si="5"/>
        <v>1294.7350043857105</v>
      </c>
      <c r="F167" s="1"/>
    </row>
    <row r="168" spans="1:6" ht="15.4" x14ac:dyDescent="0.4">
      <c r="A168" s="2">
        <v>1.1599999999999999</v>
      </c>
      <c r="B168" s="1">
        <v>1.2607999999999999</v>
      </c>
      <c r="C168" s="1"/>
      <c r="D168" s="1">
        <f t="shared" si="4"/>
        <v>1.016064E-2</v>
      </c>
      <c r="E168" s="1">
        <f t="shared" si="5"/>
        <v>1278.8080910964752</v>
      </c>
      <c r="F168" s="1"/>
    </row>
    <row r="169" spans="1:6" ht="15.4" x14ac:dyDescent="0.4">
      <c r="A169" s="2">
        <v>0.79755054814814796</v>
      </c>
      <c r="B169" s="1">
        <v>0.79930000000000001</v>
      </c>
      <c r="C169" s="1"/>
      <c r="D169" s="1">
        <f t="shared" si="4"/>
        <v>3.0605817819485543E-6</v>
      </c>
      <c r="E169" s="1">
        <f t="shared" si="5"/>
        <v>1304.8621545421202</v>
      </c>
      <c r="F169" s="1"/>
    </row>
    <row r="170" spans="1:6" ht="15.4" x14ac:dyDescent="0.4">
      <c r="A170" s="2">
        <v>2.8612805714285727</v>
      </c>
      <c r="B170" s="1">
        <v>2.4725000000000001</v>
      </c>
      <c r="C170" s="1"/>
      <c r="D170" s="1">
        <f t="shared" si="4"/>
        <v>0.15115033272032743</v>
      </c>
      <c r="E170" s="1">
        <f t="shared" si="5"/>
        <v>1160.0254096065742</v>
      </c>
      <c r="F170" s="1"/>
    </row>
    <row r="171" spans="1:6" ht="15.4" x14ac:dyDescent="0.4">
      <c r="A171" s="2">
        <v>68.2179</v>
      </c>
      <c r="B171" s="1">
        <v>62.497599999999998</v>
      </c>
      <c r="C171" s="1"/>
      <c r="D171" s="1">
        <f t="shared" si="4"/>
        <v>32.721832090000021</v>
      </c>
      <c r="E171" s="1">
        <f t="shared" si="5"/>
        <v>979.53185830540633</v>
      </c>
      <c r="F171" s="1"/>
    </row>
    <row r="172" spans="1:6" ht="15.4" x14ac:dyDescent="0.4">
      <c r="A172" s="2">
        <v>69.976600000000005</v>
      </c>
      <c r="B172" s="1">
        <v>68.087599999999995</v>
      </c>
      <c r="C172" s="1"/>
      <c r="D172" s="1">
        <f t="shared" si="4"/>
        <v>3.5683210000000378</v>
      </c>
      <c r="E172" s="1">
        <f t="shared" si="5"/>
        <v>1092.7106178924391</v>
      </c>
      <c r="F172" s="1"/>
    </row>
    <row r="173" spans="1:6" ht="15.4" x14ac:dyDescent="0.4">
      <c r="A173" s="2">
        <v>53.57</v>
      </c>
      <c r="B173" s="1">
        <v>65.397316796434197</v>
      </c>
      <c r="C173" s="1"/>
      <c r="D173" s="1">
        <f t="shared" si="4"/>
        <v>139.88542260321447</v>
      </c>
      <c r="E173" s="1">
        <f t="shared" si="5"/>
        <v>277.20830348907884</v>
      </c>
      <c r="F173" s="1"/>
    </row>
    <row r="174" spans="1:6" ht="15.4" x14ac:dyDescent="0.4">
      <c r="A174" s="2">
        <v>5.13</v>
      </c>
      <c r="B174" s="1">
        <v>6.2408999999999999</v>
      </c>
      <c r="C174" s="1"/>
      <c r="D174" s="1">
        <f t="shared" si="4"/>
        <v>1.2340988100000001</v>
      </c>
      <c r="E174" s="1">
        <f t="shared" si="5"/>
        <v>1010.6312060592425</v>
      </c>
      <c r="F174" s="1"/>
    </row>
    <row r="175" spans="1:6" ht="15.4" x14ac:dyDescent="0.4">
      <c r="A175" s="2">
        <v>5.5149999999999997</v>
      </c>
      <c r="B175" s="1">
        <v>5.2096999999999998</v>
      </c>
      <c r="C175" s="1"/>
      <c r="D175" s="1">
        <f t="shared" si="4"/>
        <v>9.3208089999999938E-2</v>
      </c>
      <c r="E175" s="1">
        <f t="shared" si="5"/>
        <v>986.30080278736966</v>
      </c>
      <c r="F175" s="1"/>
    </row>
    <row r="176" spans="1:6" ht="15.4" x14ac:dyDescent="0.4">
      <c r="A176" s="2">
        <v>1.1020000000000001</v>
      </c>
      <c r="B176" s="1">
        <v>0.96630000000000005</v>
      </c>
      <c r="C176" s="1"/>
      <c r="D176" s="1">
        <f t="shared" si="4"/>
        <v>1.8414490000000013E-2</v>
      </c>
      <c r="E176" s="1">
        <f t="shared" si="5"/>
        <v>1282.9596645504198</v>
      </c>
      <c r="F176" s="1"/>
    </row>
    <row r="177" spans="1:6" ht="15.4" x14ac:dyDescent="0.4">
      <c r="A177" s="2">
        <v>1.8280000000000001</v>
      </c>
      <c r="B177" s="1">
        <v>1.1903999999999999</v>
      </c>
      <c r="C177" s="1"/>
      <c r="D177" s="1">
        <f t="shared" si="4"/>
        <v>0.40653376000000019</v>
      </c>
      <c r="E177" s="1">
        <f t="shared" si="5"/>
        <v>1231.4783855234593</v>
      </c>
      <c r="F177" s="1"/>
    </row>
    <row r="178" spans="1:6" ht="15.4" x14ac:dyDescent="0.4">
      <c r="A178" s="2">
        <v>74.287899999999993</v>
      </c>
      <c r="B178" s="1">
        <v>70.294899999999998</v>
      </c>
      <c r="C178" s="1"/>
      <c r="D178" s="1">
        <f t="shared" si="4"/>
        <v>15.944048999999961</v>
      </c>
      <c r="E178" s="1">
        <f t="shared" si="5"/>
        <v>1396.3280886943221</v>
      </c>
      <c r="F178" s="1"/>
    </row>
    <row r="179" spans="1:6" ht="15.4" x14ac:dyDescent="0.4">
      <c r="A179" s="2">
        <v>11.81</v>
      </c>
      <c r="B179" s="1">
        <v>8.2082456477919408</v>
      </c>
      <c r="C179" s="1"/>
      <c r="D179" s="1">
        <f t="shared" si="4"/>
        <v>12.9726344136497</v>
      </c>
      <c r="E179" s="1">
        <f t="shared" si="5"/>
        <v>630.53351032908756</v>
      </c>
      <c r="F179" s="1"/>
    </row>
    <row r="180" spans="1:6" ht="15.4" x14ac:dyDescent="0.4">
      <c r="A180" s="2">
        <v>31.41</v>
      </c>
      <c r="B180" s="1">
        <v>12.1073970480541</v>
      </c>
      <c r="C180" s="1"/>
      <c r="D180" s="1">
        <f t="shared" si="4"/>
        <v>372.59048072047057</v>
      </c>
      <c r="E180" s="1">
        <f t="shared" si="5"/>
        <v>30.364798306478189</v>
      </c>
      <c r="F180" s="1"/>
    </row>
    <row r="181" spans="1:6" ht="15.4" x14ac:dyDescent="0.4">
      <c r="A181" s="2">
        <v>32.770000000000003</v>
      </c>
      <c r="B181" s="1">
        <v>32.4618683133112</v>
      </c>
      <c r="C181" s="1"/>
      <c r="D181" s="1">
        <f t="shared" si="4"/>
        <v>9.4945136341686706E-2</v>
      </c>
      <c r="E181" s="1">
        <f t="shared" si="5"/>
        <v>17.226038696746077</v>
      </c>
      <c r="F181" s="1"/>
    </row>
    <row r="182" spans="1:6" ht="15.4" x14ac:dyDescent="0.4">
      <c r="A182" s="2">
        <v>61.16</v>
      </c>
      <c r="B182" s="1">
        <v>50.894801940773803</v>
      </c>
      <c r="C182" s="1"/>
      <c r="D182" s="1">
        <f t="shared" si="4"/>
        <v>105.37429119514121</v>
      </c>
      <c r="E182" s="1">
        <f t="shared" si="5"/>
        <v>587.55693184358859</v>
      </c>
      <c r="F182" s="1"/>
    </row>
    <row r="183" spans="1:6" ht="15.4" x14ac:dyDescent="0.4">
      <c r="A183" s="2">
        <v>73.7</v>
      </c>
      <c r="B183" s="1">
        <v>91.6315809044291</v>
      </c>
      <c r="C183" s="1"/>
      <c r="D183" s="1">
        <f t="shared" si="4"/>
        <v>321.54159373208626</v>
      </c>
      <c r="E183" s="1">
        <f t="shared" si="5"/>
        <v>1352.7370395597356</v>
      </c>
      <c r="F183" s="1"/>
    </row>
    <row r="184" spans="1:6" ht="15.4" x14ac:dyDescent="0.4">
      <c r="A184" s="2">
        <v>1.6850000000000001</v>
      </c>
      <c r="B184" s="1">
        <v>1.3123188527269201</v>
      </c>
      <c r="C184" s="1"/>
      <c r="D184" s="1">
        <f t="shared" si="4"/>
        <v>0.13889123753277913</v>
      </c>
      <c r="E184" s="1">
        <f t="shared" si="5"/>
        <v>1241.5352684530121</v>
      </c>
      <c r="F184" s="1"/>
    </row>
    <row r="185" spans="1:6" ht="15.4" x14ac:dyDescent="0.4">
      <c r="A185" s="2">
        <v>0.89</v>
      </c>
      <c r="B185" s="1">
        <v>0.88918043759279597</v>
      </c>
      <c r="C185" s="1"/>
      <c r="D185" s="1">
        <f t="shared" si="4"/>
        <v>6.7168253930208746E-7</v>
      </c>
      <c r="E185" s="1">
        <f t="shared" si="5"/>
        <v>1298.191621313113</v>
      </c>
      <c r="F185" s="1"/>
    </row>
    <row r="186" spans="1:6" ht="15.4" x14ac:dyDescent="0.4">
      <c r="A186" s="2">
        <v>2.06</v>
      </c>
      <c r="B186" s="1">
        <v>2.0598063468705101</v>
      </c>
      <c r="C186" s="1"/>
      <c r="D186" s="1">
        <f t="shared" si="4"/>
        <v>3.7501534561245392E-8</v>
      </c>
      <c r="E186" s="1">
        <f t="shared" si="5"/>
        <v>1215.2493237076815</v>
      </c>
      <c r="F186" s="1"/>
    </row>
    <row r="187" spans="1:6" ht="15.4" x14ac:dyDescent="0.4">
      <c r="A187" s="2">
        <v>7.9</v>
      </c>
      <c r="B187" s="1">
        <v>7.8887243298906</v>
      </c>
      <c r="C187" s="1"/>
      <c r="D187" s="1">
        <f t="shared" si="4"/>
        <v>1.2714073641602422E-4</v>
      </c>
      <c r="E187" s="1">
        <f t="shared" si="5"/>
        <v>842.18514420706754</v>
      </c>
      <c r="F187" s="1"/>
    </row>
    <row r="188" spans="1:6" ht="15.4" x14ac:dyDescent="0.4">
      <c r="A188" s="2">
        <v>2.7330000000000001</v>
      </c>
      <c r="B188" s="1">
        <v>2.8174999999999999</v>
      </c>
      <c r="C188" s="1"/>
      <c r="D188" s="1">
        <f t="shared" si="4"/>
        <v>7.1402499999999661E-3</v>
      </c>
      <c r="E188" s="1">
        <f t="shared" si="5"/>
        <v>1168.7801188713954</v>
      </c>
      <c r="F188" s="1"/>
    </row>
    <row r="189" spans="1:6" ht="15.4" x14ac:dyDescent="0.4">
      <c r="A189" s="2">
        <v>1.4610000000000001</v>
      </c>
      <c r="B189" s="1">
        <v>1.6191</v>
      </c>
      <c r="C189" s="1"/>
      <c r="D189" s="1">
        <f t="shared" si="4"/>
        <v>2.499560999999997E-2</v>
      </c>
      <c r="E189" s="1">
        <f t="shared" si="5"/>
        <v>1257.3709154475564</v>
      </c>
      <c r="F189" s="1"/>
    </row>
    <row r="190" spans="1:6" ht="15.4" x14ac:dyDescent="0.4">
      <c r="A190" s="2">
        <v>1.38</v>
      </c>
      <c r="B190" s="1">
        <v>1.3042</v>
      </c>
      <c r="C190" s="1"/>
      <c r="D190" s="1">
        <f t="shared" si="4"/>
        <v>5.7456399999999798E-3</v>
      </c>
      <c r="E190" s="1">
        <f t="shared" si="5"/>
        <v>1263.1219035125475</v>
      </c>
      <c r="F190" s="1"/>
    </row>
    <row r="191" spans="1:6" ht="15.4" x14ac:dyDescent="0.4">
      <c r="A191" s="2">
        <v>1.1068702290076335</v>
      </c>
      <c r="B191" s="1">
        <v>0.85680000000000001</v>
      </c>
      <c r="C191" s="1"/>
      <c r="D191" s="1">
        <f t="shared" si="4"/>
        <v>6.2535119435930278E-2</v>
      </c>
      <c r="E191" s="1">
        <f t="shared" si="5"/>
        <v>1282.6108003917379</v>
      </c>
      <c r="F191" s="1"/>
    </row>
    <row r="192" spans="1:6" ht="15.4" x14ac:dyDescent="0.4">
      <c r="A192" s="2">
        <v>0.86274509803921573</v>
      </c>
      <c r="B192" s="1">
        <v>0.40570000000000001</v>
      </c>
      <c r="C192" s="1"/>
      <c r="D192" s="1">
        <f t="shared" si="4"/>
        <v>0.20889022164167631</v>
      </c>
      <c r="E192" s="1">
        <f t="shared" si="5"/>
        <v>1300.1563756170954</v>
      </c>
      <c r="F192" s="1"/>
    </row>
    <row r="193" spans="1:6" ht="15.4" x14ac:dyDescent="0.4">
      <c r="A193" s="2">
        <v>1.0769230769230769</v>
      </c>
      <c r="B193" s="1">
        <v>0.58740000000000003</v>
      </c>
      <c r="C193" s="1"/>
      <c r="D193" s="1">
        <f t="shared" si="4"/>
        <v>0.23963284284023662</v>
      </c>
      <c r="E193" s="1">
        <f t="shared" si="5"/>
        <v>1284.7567252459728</v>
      </c>
      <c r="F193" s="1"/>
    </row>
    <row r="194" spans="1:6" ht="15.4" x14ac:dyDescent="0.4">
      <c r="A194" s="2">
        <v>0.90529599999999999</v>
      </c>
      <c r="B194" s="1">
        <v>0.82909999999999995</v>
      </c>
      <c r="C194" s="1"/>
      <c r="D194" s="1">
        <f t="shared" si="4"/>
        <v>5.8058304160000067E-3</v>
      </c>
      <c r="E194" s="1">
        <f t="shared" si="5"/>
        <v>1297.0896124785302</v>
      </c>
      <c r="F194" s="1"/>
    </row>
    <row r="195" spans="1:6" ht="15.4" x14ac:dyDescent="0.4">
      <c r="A195" s="2">
        <v>3.0157259999999995</v>
      </c>
      <c r="B195" s="1">
        <v>2.5853999999999999</v>
      </c>
      <c r="C195" s="1"/>
      <c r="D195" s="1">
        <f t="shared" ref="D195:D243" si="6">(A195-B195)^2</f>
        <v>0.1851804662759996</v>
      </c>
      <c r="E195" s="1">
        <f t="shared" ref="E195:E243" si="7">(A195-$C$2)^2</f>
        <v>1149.5287042709556</v>
      </c>
      <c r="F195" s="1"/>
    </row>
    <row r="196" spans="1:6" ht="15.4" x14ac:dyDescent="0.4">
      <c r="A196" s="2">
        <v>78.462800000000001</v>
      </c>
      <c r="B196" s="1">
        <v>72.478200000000001</v>
      </c>
      <c r="C196" s="1"/>
      <c r="D196" s="1">
        <f t="shared" si="6"/>
        <v>35.815437160000002</v>
      </c>
      <c r="E196" s="1">
        <f t="shared" si="7"/>
        <v>1725.7688103782416</v>
      </c>
      <c r="F196" s="1"/>
    </row>
    <row r="197" spans="1:6" ht="15.4" x14ac:dyDescent="0.4">
      <c r="A197" s="2">
        <v>87.02</v>
      </c>
      <c r="B197" s="1">
        <v>103.42251188543599</v>
      </c>
      <c r="C197" s="1"/>
      <c r="D197" s="1">
        <f t="shared" si="6"/>
        <v>269.04239615186918</v>
      </c>
      <c r="E197" s="1">
        <f t="shared" si="7"/>
        <v>2509.9672822055945</v>
      </c>
      <c r="F197" s="1"/>
    </row>
    <row r="198" spans="1:6" ht="15.4" x14ac:dyDescent="0.4">
      <c r="A198" s="2">
        <v>66.13</v>
      </c>
      <c r="B198" s="1">
        <v>68.825734930786595</v>
      </c>
      <c r="C198" s="1"/>
      <c r="D198" s="1">
        <f t="shared" si="6"/>
        <v>7.2669868170630334</v>
      </c>
      <c r="E198" s="1">
        <f t="shared" si="7"/>
        <v>853.1991941521411</v>
      </c>
      <c r="F198" s="1"/>
    </row>
    <row r="199" spans="1:6" ht="15.4" x14ac:dyDescent="0.4">
      <c r="A199" s="1">
        <v>12.03</v>
      </c>
      <c r="B199" s="1">
        <v>12.5552402284584</v>
      </c>
      <c r="C199" s="1"/>
      <c r="D199" s="1">
        <f t="shared" si="6"/>
        <v>0.27587729759103308</v>
      </c>
      <c r="E199" s="1">
        <f t="shared" si="7"/>
        <v>619.53332274516038</v>
      </c>
      <c r="F199" s="1"/>
    </row>
    <row r="200" spans="1:6" ht="15.4" x14ac:dyDescent="0.4">
      <c r="A200" s="2">
        <v>1.8620000000000001</v>
      </c>
      <c r="B200" s="1">
        <v>1.1208</v>
      </c>
      <c r="C200" s="1"/>
      <c r="D200" s="1">
        <f t="shared" si="6"/>
        <v>0.54937744000000011</v>
      </c>
      <c r="E200" s="1">
        <f t="shared" si="7"/>
        <v>1229.0932565332162</v>
      </c>
      <c r="F200" s="1"/>
    </row>
    <row r="201" spans="1:6" ht="15.4" x14ac:dyDescent="0.4">
      <c r="A201" s="2">
        <v>6.64</v>
      </c>
      <c r="B201" s="1">
        <v>6.4638999999999998</v>
      </c>
      <c r="C201" s="1"/>
      <c r="D201" s="1">
        <f t="shared" si="6"/>
        <v>3.1011209999999973E-2</v>
      </c>
      <c r="E201" s="1">
        <f t="shared" si="7"/>
        <v>916.90421855137799</v>
      </c>
      <c r="F201" s="1"/>
    </row>
    <row r="202" spans="1:6" ht="15.4" x14ac:dyDescent="0.4">
      <c r="A202" s="2">
        <v>51.14</v>
      </c>
      <c r="B202" s="1">
        <v>44.545564721689203</v>
      </c>
      <c r="C202" s="1"/>
      <c r="D202" s="1">
        <f t="shared" si="6"/>
        <v>43.486576639830005</v>
      </c>
      <c r="E202" s="1">
        <f t="shared" si="7"/>
        <v>202.19627543882078</v>
      </c>
      <c r="F202" s="1"/>
    </row>
    <row r="203" spans="1:6" ht="15.4" x14ac:dyDescent="0.4">
      <c r="A203" s="2">
        <v>64.61</v>
      </c>
      <c r="B203" s="1">
        <v>41.6957313796674</v>
      </c>
      <c r="C203" s="1"/>
      <c r="D203" s="1">
        <f t="shared" si="6"/>
        <v>525.06370640475927</v>
      </c>
      <c r="E203" s="1">
        <f t="shared" si="7"/>
        <v>766.71249018654771</v>
      </c>
      <c r="F203" s="1"/>
    </row>
    <row r="204" spans="1:6" ht="15.4" x14ac:dyDescent="0.4">
      <c r="A204" s="2">
        <v>1.1379999999999999</v>
      </c>
      <c r="B204" s="1">
        <v>1.43310604417618</v>
      </c>
      <c r="C204" s="1"/>
      <c r="D204" s="1">
        <f t="shared" si="6"/>
        <v>8.7087577309313588E-2</v>
      </c>
      <c r="E204" s="1">
        <f t="shared" si="7"/>
        <v>1280.3820338548678</v>
      </c>
      <c r="F204" s="1"/>
    </row>
    <row r="205" spans="1:6" ht="15.4" x14ac:dyDescent="0.4">
      <c r="A205" s="2">
        <v>1.5229999999999999</v>
      </c>
      <c r="B205" s="1">
        <v>1.5563</v>
      </c>
      <c r="C205" s="1"/>
      <c r="D205" s="1">
        <f t="shared" si="6"/>
        <v>1.1088900000000071E-3</v>
      </c>
      <c r="E205" s="1">
        <f t="shared" si="7"/>
        <v>1252.9777905829949</v>
      </c>
      <c r="F205" s="1"/>
    </row>
    <row r="206" spans="1:6" ht="15.4" x14ac:dyDescent="0.4">
      <c r="A206" s="2">
        <v>1.7413799999999999</v>
      </c>
      <c r="B206" s="1">
        <v>1.2531000000000001</v>
      </c>
      <c r="C206" s="1"/>
      <c r="D206" s="1">
        <f t="shared" si="6"/>
        <v>0.23841735839999983</v>
      </c>
      <c r="E206" s="1">
        <f t="shared" si="7"/>
        <v>1237.5653004847677</v>
      </c>
      <c r="F206" s="1"/>
    </row>
    <row r="207" spans="1:6" ht="15.4" x14ac:dyDescent="0.4">
      <c r="A207" s="2">
        <v>1.63</v>
      </c>
      <c r="B207" s="1">
        <v>1.3452999999999999</v>
      </c>
      <c r="C207" s="1"/>
      <c r="D207" s="1">
        <f t="shared" si="6"/>
        <v>8.1054089999999968E-2</v>
      </c>
      <c r="E207" s="1">
        <f t="shared" si="7"/>
        <v>1245.414190348994</v>
      </c>
      <c r="F207" s="1"/>
    </row>
    <row r="208" spans="1:6" ht="15.4" x14ac:dyDescent="0.4">
      <c r="A208" s="2">
        <v>1.0081315244239633</v>
      </c>
      <c r="B208" s="1">
        <v>0.85719999999999996</v>
      </c>
      <c r="C208" s="1"/>
      <c r="D208" s="1">
        <f t="shared" si="6"/>
        <v>2.2780325064941428E-2</v>
      </c>
      <c r="E208" s="1">
        <f t="shared" si="7"/>
        <v>1289.6929179948424</v>
      </c>
      <c r="F208" s="1"/>
    </row>
    <row r="209" spans="1:6" ht="15.4" x14ac:dyDescent="0.4">
      <c r="A209" s="2">
        <v>3.1885493684210524</v>
      </c>
      <c r="B209" s="1">
        <v>2.6917</v>
      </c>
      <c r="C209" s="1"/>
      <c r="D209" s="1">
        <f t="shared" si="6"/>
        <v>0.24685929490039868</v>
      </c>
      <c r="E209" s="1">
        <f t="shared" si="7"/>
        <v>1137.8395231559541</v>
      </c>
      <c r="F209" s="1"/>
    </row>
    <row r="210" spans="1:6" ht="15.4" x14ac:dyDescent="0.4">
      <c r="A210" s="2">
        <v>7.08</v>
      </c>
      <c r="B210" s="1">
        <v>6.6769999999999996</v>
      </c>
      <c r="C210" s="1"/>
      <c r="D210" s="1">
        <f t="shared" si="6"/>
        <v>0.16240900000000039</v>
      </c>
      <c r="E210" s="1">
        <f t="shared" si="7"/>
        <v>890.45104338352371</v>
      </c>
      <c r="F210" s="1"/>
    </row>
    <row r="211" spans="1:6" ht="15.4" x14ac:dyDescent="0.4">
      <c r="A211" s="2">
        <v>1.4430000000000001</v>
      </c>
      <c r="B211" s="1">
        <v>1.4841795339814801</v>
      </c>
      <c r="C211" s="1"/>
      <c r="D211" s="1">
        <f t="shared" si="6"/>
        <v>1.6957540189318659E-3</v>
      </c>
      <c r="E211" s="1">
        <f t="shared" si="7"/>
        <v>1258.6477787953324</v>
      </c>
      <c r="F211" s="1"/>
    </row>
    <row r="212" spans="1:6" ht="15.4" x14ac:dyDescent="0.4">
      <c r="A212" s="2">
        <v>1.8360000000000001</v>
      </c>
      <c r="B212" s="1">
        <v>1.6017999999999999</v>
      </c>
      <c r="C212" s="1"/>
      <c r="D212" s="1">
        <f t="shared" si="6"/>
        <v>5.4849640000000088E-2</v>
      </c>
      <c r="E212" s="1">
        <f t="shared" si="7"/>
        <v>1230.9169707022259</v>
      </c>
      <c r="F212" s="1"/>
    </row>
    <row r="213" spans="1:6" ht="15.4" x14ac:dyDescent="0.4">
      <c r="A213" s="2">
        <v>2.1806000000000001</v>
      </c>
      <c r="B213" s="1">
        <v>1.2892999999999999</v>
      </c>
      <c r="C213" s="1"/>
      <c r="D213" s="1">
        <f t="shared" si="6"/>
        <v>0.79441569000000034</v>
      </c>
      <c r="E213" s="1">
        <f t="shared" si="7"/>
        <v>1206.8555332375836</v>
      </c>
      <c r="F213" s="1"/>
    </row>
    <row r="214" spans="1:6" ht="15.4" x14ac:dyDescent="0.4">
      <c r="A214" s="2">
        <v>6.8559999999999999</v>
      </c>
      <c r="B214" s="1">
        <v>5.7225999999999999</v>
      </c>
      <c r="C214" s="1"/>
      <c r="D214" s="1">
        <f t="shared" si="6"/>
        <v>1.2845955599999999</v>
      </c>
      <c r="E214" s="1">
        <f t="shared" si="7"/>
        <v>903.86973037806763</v>
      </c>
      <c r="F214" s="1"/>
    </row>
    <row r="215" spans="1:6" ht="15.4" x14ac:dyDescent="0.4">
      <c r="A215" s="2">
        <v>1.9970000000000001</v>
      </c>
      <c r="B215" s="1">
        <v>0.90629999999999999</v>
      </c>
      <c r="C215" s="1"/>
      <c r="D215" s="1">
        <f t="shared" si="6"/>
        <v>1.18962649</v>
      </c>
      <c r="E215" s="1">
        <f t="shared" si="7"/>
        <v>1219.6457064248973</v>
      </c>
      <c r="F215" s="1"/>
    </row>
    <row r="216" spans="1:6" ht="15.4" x14ac:dyDescent="0.4">
      <c r="A216" s="2">
        <v>2.9870000000000001</v>
      </c>
      <c r="B216" s="1">
        <v>2.9984999999999999</v>
      </c>
      <c r="C216" s="1"/>
      <c r="D216" s="1">
        <f t="shared" si="6"/>
        <v>1.3224999999999641E-4</v>
      </c>
      <c r="E216" s="1">
        <f t="shared" si="7"/>
        <v>1151.4774222972244</v>
      </c>
      <c r="F216" s="1"/>
    </row>
    <row r="217" spans="1:6" ht="15.4" x14ac:dyDescent="0.4">
      <c r="A217" s="2">
        <v>1.585</v>
      </c>
      <c r="B217" s="1">
        <v>1.7189000000000001</v>
      </c>
      <c r="C217" s="1"/>
      <c r="D217" s="1">
        <f t="shared" si="6"/>
        <v>1.7929210000000036E-2</v>
      </c>
      <c r="E217" s="1">
        <f t="shared" si="7"/>
        <v>1248.5923537184337</v>
      </c>
      <c r="F217" s="1"/>
    </row>
    <row r="218" spans="1:6" ht="15.4" x14ac:dyDescent="0.4">
      <c r="A218" s="2">
        <v>1.2015676235294119</v>
      </c>
      <c r="B218" s="1">
        <v>0.88400000000000001</v>
      </c>
      <c r="C218" s="1"/>
      <c r="D218" s="1">
        <f t="shared" si="6"/>
        <v>0.10084919551411831</v>
      </c>
      <c r="E218" s="1">
        <f t="shared" si="7"/>
        <v>1275.8368670861678</v>
      </c>
      <c r="F218" s="1"/>
    </row>
    <row r="219" spans="1:6" ht="15.4" x14ac:dyDescent="0.4">
      <c r="A219" s="2">
        <v>3.4298880000000009</v>
      </c>
      <c r="B219" s="1">
        <v>2.7925</v>
      </c>
      <c r="C219" s="1"/>
      <c r="D219" s="1">
        <f t="shared" si="6"/>
        <v>0.4062634625440012</v>
      </c>
      <c r="E219" s="1">
        <f t="shared" si="7"/>
        <v>1121.6161574394489</v>
      </c>
      <c r="F219" s="1"/>
    </row>
    <row r="220" spans="1:6" ht="15.4" x14ac:dyDescent="0.4">
      <c r="A220" s="2">
        <v>537.78</v>
      </c>
      <c r="B220" s="1">
        <v>538.52050101059694</v>
      </c>
      <c r="C220" s="1"/>
      <c r="D220" s="1">
        <f t="shared" si="6"/>
        <v>0.54834174669513724</v>
      </c>
      <c r="E220" s="1">
        <f t="shared" si="7"/>
        <v>250860.31253979169</v>
      </c>
      <c r="F220" s="1"/>
    </row>
    <row r="221" spans="1:6" ht="15.4" x14ac:dyDescent="0.4">
      <c r="A221" s="1">
        <v>13.42</v>
      </c>
      <c r="B221" s="1">
        <v>13.305773693628501</v>
      </c>
      <c r="C221" s="1"/>
      <c r="D221" s="1">
        <f t="shared" si="6"/>
        <v>1.3047649067275603E-2</v>
      </c>
      <c r="E221" s="1">
        <f t="shared" si="7"/>
        <v>552.27003755580188</v>
      </c>
      <c r="F221" s="1"/>
    </row>
    <row r="222" spans="1:6" ht="15.4" x14ac:dyDescent="0.4">
      <c r="A222" s="2">
        <v>8.4</v>
      </c>
      <c r="B222" s="1">
        <v>6.8814000000000002</v>
      </c>
      <c r="C222" s="1"/>
      <c r="D222" s="1">
        <f t="shared" si="6"/>
        <v>2.3061459600000007</v>
      </c>
      <c r="E222" s="1">
        <f t="shared" si="7"/>
        <v>813.41471787996011</v>
      </c>
      <c r="F222" s="1"/>
    </row>
    <row r="223" spans="1:6" ht="15.4" x14ac:dyDescent="0.4">
      <c r="A223" s="2">
        <v>1.53</v>
      </c>
      <c r="B223" s="1">
        <v>1.53663830278622</v>
      </c>
      <c r="C223" s="1"/>
      <c r="D223" s="1">
        <f t="shared" si="6"/>
        <v>4.4067063881536457E-5</v>
      </c>
      <c r="E223" s="1">
        <f t="shared" si="7"/>
        <v>1252.4822756144156</v>
      </c>
      <c r="F223" s="1"/>
    </row>
    <row r="224" spans="1:6" ht="15.4" x14ac:dyDescent="0.4">
      <c r="A224" s="2">
        <v>42.04</v>
      </c>
      <c r="B224" s="1">
        <v>41.729206672913001</v>
      </c>
      <c r="C224" s="1"/>
      <c r="D224" s="1">
        <f t="shared" si="6"/>
        <v>9.6592492161805599E-2</v>
      </c>
      <c r="E224" s="1">
        <f t="shared" si="7"/>
        <v>26.210034592175166</v>
      </c>
      <c r="F224" s="1"/>
    </row>
    <row r="225" spans="1:6" ht="15.4" x14ac:dyDescent="0.4">
      <c r="A225" s="2">
        <v>103.34</v>
      </c>
      <c r="B225" s="1">
        <v>80.773158176360994</v>
      </c>
      <c r="C225" s="1"/>
      <c r="D225" s="1">
        <f t="shared" si="6"/>
        <v>509.26234989314281</v>
      </c>
      <c r="E225" s="1">
        <f t="shared" si="7"/>
        <v>4411.5597668888113</v>
      </c>
      <c r="F225" s="1"/>
    </row>
    <row r="226" spans="1:6" ht="15.4" x14ac:dyDescent="0.4">
      <c r="A226" s="2">
        <v>129.82</v>
      </c>
      <c r="B226" s="1">
        <v>129.140898596195</v>
      </c>
      <c r="C226" s="1"/>
      <c r="D226" s="1">
        <f t="shared" si="6"/>
        <v>0.46117871664991117</v>
      </c>
      <c r="E226" s="1">
        <f t="shared" si="7"/>
        <v>8630.3307886052025</v>
      </c>
      <c r="F226" s="1"/>
    </row>
    <row r="227" spans="1:6" ht="15.4" x14ac:dyDescent="0.4">
      <c r="A227" s="2">
        <v>155.25</v>
      </c>
      <c r="B227" s="1">
        <v>234.49120139057399</v>
      </c>
      <c r="C227" s="1"/>
      <c r="D227" s="1">
        <f t="shared" si="6"/>
        <v>6279.1679978215052</v>
      </c>
      <c r="E227" s="1">
        <f t="shared" si="7"/>
        <v>14001.888005608522</v>
      </c>
      <c r="F227" s="1"/>
    </row>
    <row r="228" spans="1:6" ht="15.4" x14ac:dyDescent="0.4">
      <c r="A228" s="2">
        <v>237.9</v>
      </c>
      <c r="B228" s="1">
        <v>322.095770125115</v>
      </c>
      <c r="C228" s="1"/>
      <c r="D228" s="1">
        <f t="shared" si="6"/>
        <v>7088.9277069612062</v>
      </c>
      <c r="E228" s="1">
        <f t="shared" si="7"/>
        <v>40392.789033737674</v>
      </c>
      <c r="F228" s="1"/>
    </row>
    <row r="229" spans="1:6" ht="15.4" x14ac:dyDescent="0.4">
      <c r="A229" s="2">
        <v>442.68</v>
      </c>
      <c r="B229" s="1">
        <v>430.35414918112298</v>
      </c>
      <c r="C229" s="1"/>
      <c r="D229" s="1">
        <f t="shared" si="6"/>
        <v>151.92659840921152</v>
      </c>
      <c r="E229" s="1">
        <f t="shared" si="7"/>
        <v>164640.83162720755</v>
      </c>
      <c r="F229" s="1"/>
    </row>
    <row r="230" spans="1:6" ht="15.4" x14ac:dyDescent="0.4">
      <c r="A230" s="2">
        <v>1.3980676439790578</v>
      </c>
      <c r="B230" s="1">
        <v>0.90949999999999998</v>
      </c>
      <c r="C230" s="1"/>
      <c r="D230" s="1">
        <f t="shared" si="6"/>
        <v>0.23869834274324742</v>
      </c>
      <c r="E230" s="1">
        <f t="shared" si="7"/>
        <v>1261.8379664128227</v>
      </c>
      <c r="F230" s="1"/>
    </row>
    <row r="231" spans="1:6" ht="15.4" x14ac:dyDescent="0.4">
      <c r="A231" s="2">
        <v>3.6082632705882354</v>
      </c>
      <c r="B231" s="1">
        <v>2.8885999999999998</v>
      </c>
      <c r="C231" s="1"/>
      <c r="D231" s="1">
        <f t="shared" si="6"/>
        <v>0.51791522303375592</v>
      </c>
      <c r="E231" s="1">
        <f t="shared" si="7"/>
        <v>1109.7002075041196</v>
      </c>
      <c r="F231" s="1"/>
    </row>
    <row r="232" spans="1:6" ht="15.4" x14ac:dyDescent="0.4">
      <c r="A232" s="2">
        <v>577.66</v>
      </c>
      <c r="B232" s="1">
        <v>552.50563544854901</v>
      </c>
      <c r="C232" s="1"/>
      <c r="D232" s="1">
        <f t="shared" si="6"/>
        <v>632.74205598729236</v>
      </c>
      <c r="E232" s="1">
        <f t="shared" si="7"/>
        <v>292399.28653594159</v>
      </c>
      <c r="F232" s="1"/>
    </row>
    <row r="233" spans="1:6" ht="15.4" x14ac:dyDescent="0.4">
      <c r="A233" s="2">
        <v>10</v>
      </c>
      <c r="B233" s="1">
        <v>7.0782999999999996</v>
      </c>
      <c r="C233" s="1"/>
      <c r="D233" s="1">
        <f t="shared" si="6"/>
        <v>8.5363308900000021</v>
      </c>
      <c r="E233" s="1">
        <f t="shared" si="7"/>
        <v>724.70935363321644</v>
      </c>
      <c r="F233" s="1"/>
    </row>
    <row r="234" spans="1:6" ht="15.4" x14ac:dyDescent="0.4">
      <c r="A234" s="2">
        <v>672.03</v>
      </c>
      <c r="B234" s="1">
        <v>588.70507725621701</v>
      </c>
      <c r="C234" s="1"/>
      <c r="D234" s="1">
        <f t="shared" si="6"/>
        <v>6943.0427502573993</v>
      </c>
      <c r="E234" s="1">
        <f t="shared" si="7"/>
        <v>403364.17057096335</v>
      </c>
      <c r="F234" s="1"/>
    </row>
    <row r="235" spans="1:6" ht="15.4" x14ac:dyDescent="0.4">
      <c r="A235" s="1">
        <v>14.38</v>
      </c>
      <c r="B235" s="1">
        <v>13.7767071556879</v>
      </c>
      <c r="C235" s="1"/>
      <c r="D235" s="1">
        <f t="shared" si="6"/>
        <v>0.36396225599818477</v>
      </c>
      <c r="E235" s="1">
        <f t="shared" si="7"/>
        <v>508.07081900775563</v>
      </c>
      <c r="F235" s="1"/>
    </row>
    <row r="236" spans="1:6" ht="15.4" x14ac:dyDescent="0.4">
      <c r="A236" s="2">
        <v>888.17</v>
      </c>
      <c r="B236" s="1">
        <v>940.97794034196602</v>
      </c>
      <c r="C236" s="1"/>
      <c r="D236" s="1">
        <f t="shared" si="6"/>
        <v>2788.6785631606463</v>
      </c>
      <c r="E236" s="1">
        <f t="shared" si="7"/>
        <v>724625.83667828131</v>
      </c>
      <c r="F236" s="1"/>
    </row>
    <row r="237" spans="1:6" ht="15.4" x14ac:dyDescent="0.4">
      <c r="A237" s="2">
        <v>851.13</v>
      </c>
      <c r="B237" s="1">
        <v>818.26051527965296</v>
      </c>
      <c r="C237" s="1"/>
      <c r="D237" s="1">
        <f t="shared" si="6"/>
        <v>1080.4030257811271</v>
      </c>
      <c r="E237" s="1">
        <f t="shared" si="7"/>
        <v>662937.22986059345</v>
      </c>
      <c r="F237" s="1"/>
    </row>
    <row r="238" spans="1:6" ht="15.4" x14ac:dyDescent="0.4">
      <c r="A238" s="2">
        <v>904</v>
      </c>
      <c r="B238" s="1">
        <v>986.605758474239</v>
      </c>
      <c r="C238" s="1"/>
      <c r="D238" s="1">
        <f t="shared" si="6"/>
        <v>6823.7113331043074</v>
      </c>
      <c r="E238" s="1">
        <f t="shared" si="7"/>
        <v>751826.98708076519</v>
      </c>
      <c r="F238" s="1"/>
    </row>
    <row r="239" spans="1:6" ht="15.4" x14ac:dyDescent="0.4">
      <c r="A239" s="2">
        <v>4.0682268000000006</v>
      </c>
      <c r="B239" s="1">
        <v>2.9807000000000001</v>
      </c>
      <c r="C239" s="1"/>
      <c r="D239" s="1">
        <f t="shared" si="6"/>
        <v>1.1827145407182409</v>
      </c>
      <c r="E239" s="1">
        <f t="shared" si="7"/>
        <v>1079.2670137688749</v>
      </c>
      <c r="F239" s="1"/>
    </row>
    <row r="240" spans="1:6" ht="15.4" x14ac:dyDescent="0.4">
      <c r="A240" s="2">
        <v>744.63</v>
      </c>
      <c r="B240" s="1">
        <v>573.60743557615001</v>
      </c>
      <c r="C240" s="1"/>
      <c r="D240" s="1">
        <f t="shared" si="6"/>
        <v>29248.71754210992</v>
      </c>
      <c r="E240" s="1">
        <f t="shared" si="7"/>
        <v>500852.8406682674</v>
      </c>
      <c r="F240" s="1"/>
    </row>
    <row r="241" spans="1:6" ht="15.4" x14ac:dyDescent="0.4">
      <c r="A241" s="2">
        <v>11.9</v>
      </c>
      <c r="B241" s="1">
        <v>7.2695999999999996</v>
      </c>
      <c r="C241" s="1"/>
      <c r="D241" s="1">
        <f t="shared" si="6"/>
        <v>21.440604160000007</v>
      </c>
      <c r="E241" s="1">
        <f t="shared" si="7"/>
        <v>626.02173359020844</v>
      </c>
      <c r="F241" s="1"/>
    </row>
    <row r="242" spans="1:6" ht="15.4" x14ac:dyDescent="0.4">
      <c r="A242" s="1">
        <v>16.79</v>
      </c>
      <c r="B242" s="1">
        <v>14.1025552461237</v>
      </c>
      <c r="C242" s="1"/>
      <c r="D242" s="1">
        <f t="shared" si="6"/>
        <v>7.2223593051372434</v>
      </c>
      <c r="E242" s="1">
        <f t="shared" si="7"/>
        <v>405.23406411109818</v>
      </c>
      <c r="F242" s="1"/>
    </row>
    <row r="243" spans="1:6" ht="15.4" x14ac:dyDescent="0.4">
      <c r="A243" s="1">
        <v>18.96</v>
      </c>
      <c r="B243" s="1">
        <v>14.338164147667801</v>
      </c>
      <c r="C243" s="1"/>
      <c r="D243" s="1">
        <f t="shared" si="6"/>
        <v>21.361366645903317</v>
      </c>
      <c r="E243" s="1">
        <f t="shared" si="7"/>
        <v>322.57691385145205</v>
      </c>
      <c r="F243" s="1"/>
    </row>
    <row r="247" spans="1:6" ht="15.4" x14ac:dyDescent="0.4">
      <c r="B247" s="1"/>
    </row>
    <row r="248" spans="1:6" ht="15.4" x14ac:dyDescent="0.4">
      <c r="B248" s="1"/>
    </row>
    <row r="249" spans="1:6" ht="15.4" x14ac:dyDescent="0.4">
      <c r="B249" s="1"/>
    </row>
    <row r="250" spans="1:6" ht="15.4" x14ac:dyDescent="0.4">
      <c r="B250" s="1"/>
    </row>
    <row r="251" spans="1:6" ht="15.4" x14ac:dyDescent="0.4">
      <c r="B251" s="1"/>
    </row>
    <row r="252" spans="1:6" ht="15.4" x14ac:dyDescent="0.4">
      <c r="B252" s="1"/>
    </row>
    <row r="253" spans="1:6" ht="15.4" x14ac:dyDescent="0.4">
      <c r="B253" s="1"/>
    </row>
    <row r="255" spans="1:6" ht="15.4" x14ac:dyDescent="0.4">
      <c r="A255" s="3"/>
      <c r="B255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83DD6-D127-4595-BD62-A5FFCA0C9940}">
  <dimension ref="A1:D246"/>
  <sheetViews>
    <sheetView workbookViewId="0">
      <pane ySplit="1" topLeftCell="A2" activePane="bottomLeft" state="frozen"/>
      <selection pane="bottomLeft" activeCell="B8" sqref="B8"/>
    </sheetView>
  </sheetViews>
  <sheetFormatPr defaultRowHeight="13.9" x14ac:dyDescent="0.4"/>
  <cols>
    <col min="1" max="1" width="11.265625" style="5" customWidth="1"/>
    <col min="2" max="2" width="17.3984375" style="5" customWidth="1"/>
    <col min="3" max="3" width="19.86328125" style="5" customWidth="1"/>
    <col min="4" max="4" width="16.3984375" style="5" customWidth="1"/>
  </cols>
  <sheetData>
    <row r="1" spans="1:4" ht="45" x14ac:dyDescent="0.4">
      <c r="A1" s="35" t="s">
        <v>0</v>
      </c>
      <c r="B1" s="35" t="s">
        <v>1</v>
      </c>
      <c r="C1" s="35" t="s">
        <v>4</v>
      </c>
      <c r="D1" s="35" t="s">
        <v>3</v>
      </c>
    </row>
    <row r="2" spans="1:4" ht="15.4" x14ac:dyDescent="0.4">
      <c r="A2" s="2">
        <v>0.17</v>
      </c>
      <c r="B2" s="2">
        <v>0.20119999999999999</v>
      </c>
      <c r="C2" s="2">
        <v>0.191060391783369</v>
      </c>
      <c r="D2" s="2">
        <v>0.15910874504887837</v>
      </c>
    </row>
    <row r="3" spans="1:4" ht="15.4" x14ac:dyDescent="0.4">
      <c r="A3" s="2">
        <v>0.18890000000000001</v>
      </c>
      <c r="B3" s="2">
        <v>0.249</v>
      </c>
      <c r="C3" s="2">
        <v>0.18616870085693901</v>
      </c>
      <c r="D3" s="2">
        <v>0.1800111808386381</v>
      </c>
    </row>
    <row r="4" spans="1:4" ht="15.4" x14ac:dyDescent="0.4">
      <c r="A4" s="2">
        <v>0.189</v>
      </c>
      <c r="B4" s="2">
        <v>0.19699509719563069</v>
      </c>
      <c r="C4" s="2">
        <v>0.199036108437428</v>
      </c>
      <c r="D4" s="2">
        <v>0.19722348416348534</v>
      </c>
    </row>
    <row r="5" spans="1:4" ht="15.4" x14ac:dyDescent="0.4">
      <c r="A5" s="2">
        <v>0.19</v>
      </c>
      <c r="B5" s="2">
        <v>0.19439999999999999</v>
      </c>
      <c r="C5" s="2">
        <v>0.16164747171357299</v>
      </c>
      <c r="D5" s="2">
        <v>0.15915492957746477</v>
      </c>
    </row>
    <row r="6" spans="1:4" ht="15.4" x14ac:dyDescent="0.4">
      <c r="A6" s="2">
        <v>0.20399999999999999</v>
      </c>
      <c r="B6" s="2">
        <v>0.20549394754081046</v>
      </c>
      <c r="C6" s="2">
        <v>0.20900704814802001</v>
      </c>
      <c r="D6" s="2">
        <v>0.20490608114319078</v>
      </c>
    </row>
    <row r="7" spans="1:4" ht="15.4" x14ac:dyDescent="0.4">
      <c r="A7" s="2">
        <v>0.21</v>
      </c>
      <c r="B7" s="2">
        <v>0.2722</v>
      </c>
      <c r="C7" s="2">
        <v>0.31165639370777998</v>
      </c>
      <c r="D7" s="2">
        <v>0.21000000000000002</v>
      </c>
    </row>
    <row r="8" spans="1:4" ht="15.4" x14ac:dyDescent="0.4">
      <c r="A8" s="2">
        <v>0.215</v>
      </c>
      <c r="B8" s="2">
        <v>0.215023200896409</v>
      </c>
      <c r="C8" s="2">
        <v>0.21978240334544599</v>
      </c>
      <c r="D8" s="2">
        <v>0.21289650570182242</v>
      </c>
    </row>
    <row r="9" spans="1:4" ht="15.4" x14ac:dyDescent="0.4">
      <c r="A9" s="2">
        <v>0.22</v>
      </c>
      <c r="B9" s="2">
        <v>0.23719999999999999</v>
      </c>
      <c r="C9" s="2">
        <v>0.26988480907740298</v>
      </c>
      <c r="D9" s="2">
        <v>0.18003915187178349</v>
      </c>
    </row>
    <row r="10" spans="1:4" ht="15.4" x14ac:dyDescent="0.4">
      <c r="A10" s="2">
        <v>0.22700000000000001</v>
      </c>
      <c r="B10" s="2">
        <v>0.22156028891849094</v>
      </c>
      <c r="C10" s="2">
        <v>0.22706574808103899</v>
      </c>
      <c r="D10" s="2">
        <v>0.21812759029724346</v>
      </c>
    </row>
    <row r="11" spans="1:4" ht="15.4" x14ac:dyDescent="0.4">
      <c r="A11" s="2">
        <v>0.22700000000000001</v>
      </c>
      <c r="B11" s="2">
        <v>0.22722292703562214</v>
      </c>
      <c r="C11" s="2">
        <v>0.233154047258574</v>
      </c>
      <c r="D11" s="2">
        <v>0.22385712958378923</v>
      </c>
    </row>
    <row r="12" spans="1:4" ht="15.4" x14ac:dyDescent="0.4">
      <c r="A12" s="2">
        <v>0.23</v>
      </c>
      <c r="B12" s="2">
        <v>0.24210000000000001</v>
      </c>
      <c r="C12" s="2">
        <v>0.219530150620216</v>
      </c>
      <c r="D12" s="2">
        <v>0.20999999999999996</v>
      </c>
    </row>
    <row r="13" spans="1:4" ht="15.4" x14ac:dyDescent="0.4">
      <c r="A13" s="2">
        <v>0.23400000000000001</v>
      </c>
      <c r="B13" s="2">
        <v>0.24254825181355716</v>
      </c>
      <c r="C13" s="2">
        <v>0.25031177173622299</v>
      </c>
      <c r="D13" s="2">
        <v>0.23400000000000004</v>
      </c>
    </row>
    <row r="14" spans="1:4" ht="15.4" x14ac:dyDescent="0.4">
      <c r="A14" s="2">
        <v>0.23499999999999999</v>
      </c>
      <c r="B14" s="2">
        <v>0.31459999999999999</v>
      </c>
      <c r="C14" s="2">
        <v>0.23692416860118401</v>
      </c>
      <c r="D14" s="2">
        <v>0.22892694088082755</v>
      </c>
    </row>
    <row r="15" spans="1:4" ht="15.4" x14ac:dyDescent="0.4">
      <c r="A15" s="2">
        <v>0.24199999999999999</v>
      </c>
      <c r="B15" s="2">
        <v>0.25530000000000003</v>
      </c>
      <c r="C15" s="2">
        <v>0.23443596612395301</v>
      </c>
      <c r="D15" s="2">
        <v>0.22150554015587168</v>
      </c>
    </row>
    <row r="16" spans="1:4" ht="15.4" x14ac:dyDescent="0.4">
      <c r="A16" s="2">
        <v>0.24529100529100534</v>
      </c>
      <c r="B16" s="2">
        <v>0.34039999999999998</v>
      </c>
      <c r="C16" s="2">
        <v>0.34789999999999999</v>
      </c>
      <c r="D16" s="2">
        <v>0.30497326581682782</v>
      </c>
    </row>
    <row r="17" spans="1:4" ht="15.4" x14ac:dyDescent="0.4">
      <c r="A17" s="2">
        <v>0.25738303876429502</v>
      </c>
      <c r="B17" s="2">
        <v>0.31319999999999998</v>
      </c>
      <c r="C17" s="2">
        <v>0.347920320792521</v>
      </c>
      <c r="D17" s="2">
        <v>0.28323294915596625</v>
      </c>
    </row>
    <row r="18" spans="1:4" ht="15.4" x14ac:dyDescent="0.4">
      <c r="A18" s="2">
        <v>0.25800000000000001</v>
      </c>
      <c r="B18" s="2">
        <v>0.30149999999999999</v>
      </c>
      <c r="C18" s="2">
        <v>0.26068384792805599</v>
      </c>
      <c r="D18" s="2">
        <v>0.23259217804423749</v>
      </c>
    </row>
    <row r="19" spans="1:4" ht="15.4" x14ac:dyDescent="0.4">
      <c r="A19" s="2">
        <v>0.26400000000000001</v>
      </c>
      <c r="B19" s="2">
        <v>0.28070000000000001</v>
      </c>
      <c r="C19" s="2">
        <v>0.27049630658988399</v>
      </c>
      <c r="D19" s="2">
        <v>0.24453658817490703</v>
      </c>
    </row>
    <row r="20" spans="1:4" ht="15.4" x14ac:dyDescent="0.4">
      <c r="A20" s="2">
        <v>0.27</v>
      </c>
      <c r="B20" s="2">
        <v>0.28770000000000001</v>
      </c>
      <c r="C20" s="2">
        <v>0.241683314331291</v>
      </c>
      <c r="D20" s="2">
        <v>0.22033898305084745</v>
      </c>
    </row>
    <row r="21" spans="1:4" ht="15.4" x14ac:dyDescent="0.4">
      <c r="A21" s="2">
        <v>0.27500000000000002</v>
      </c>
      <c r="B21" s="2">
        <v>0.25659999999999999</v>
      </c>
      <c r="C21" s="2">
        <v>0.17452179702906201</v>
      </c>
      <c r="D21" s="2">
        <v>0.16869009584664538</v>
      </c>
    </row>
    <row r="22" spans="1:4" ht="15.4" x14ac:dyDescent="0.4">
      <c r="A22" s="2">
        <v>0.27590116279069798</v>
      </c>
      <c r="B22" s="2">
        <v>0.39739999999999998</v>
      </c>
      <c r="C22" s="2">
        <v>0.34999872806735599</v>
      </c>
      <c r="D22" s="2">
        <v>0.29428966526966921</v>
      </c>
    </row>
    <row r="23" spans="1:4" ht="15.4" x14ac:dyDescent="0.4">
      <c r="A23" s="2">
        <v>0.28299999999999997</v>
      </c>
      <c r="B23" s="2">
        <v>0.259480831124421</v>
      </c>
      <c r="C23" s="2">
        <v>0.26920904280042102</v>
      </c>
      <c r="D23" s="2">
        <v>0.24608383000516618</v>
      </c>
    </row>
    <row r="24" spans="1:4" ht="15.4" x14ac:dyDescent="0.4">
      <c r="A24" s="2">
        <v>0.29399999999999998</v>
      </c>
      <c r="B24" s="2">
        <v>0.34620000000000001</v>
      </c>
      <c r="C24" s="2">
        <v>0.28880542177103202</v>
      </c>
      <c r="D24" s="2">
        <v>0.24328238219777276</v>
      </c>
    </row>
    <row r="25" spans="1:4" ht="15.4" x14ac:dyDescent="0.4">
      <c r="A25" s="2">
        <v>0.29599999999999999</v>
      </c>
      <c r="B25" s="2">
        <v>0.3085</v>
      </c>
      <c r="C25" s="2">
        <v>0.29315247378019099</v>
      </c>
      <c r="D25" s="2">
        <v>0.2820593423440057</v>
      </c>
    </row>
    <row r="26" spans="1:4" ht="15.4" x14ac:dyDescent="0.4">
      <c r="A26" s="2">
        <v>0.29899999999999999</v>
      </c>
      <c r="B26" s="2">
        <v>0.27526189630324521</v>
      </c>
      <c r="C26" s="2">
        <v>0.28040538625716899</v>
      </c>
      <c r="D26" s="2">
        <v>0.2738260383533952</v>
      </c>
    </row>
    <row r="27" spans="1:4" ht="15.4" x14ac:dyDescent="0.4">
      <c r="A27" s="2">
        <v>0.3</v>
      </c>
      <c r="B27" s="2">
        <v>0.25340000000000001</v>
      </c>
      <c r="C27" s="2">
        <v>0.39768704376702702</v>
      </c>
      <c r="D27" s="2">
        <v>0.20306475057684473</v>
      </c>
    </row>
    <row r="28" spans="1:4" ht="15.4" x14ac:dyDescent="0.4">
      <c r="A28" s="2">
        <v>0.309</v>
      </c>
      <c r="B28" s="2">
        <v>0.26055266111649938</v>
      </c>
      <c r="C28" s="2">
        <v>0.27133230742185299</v>
      </c>
      <c r="D28" s="2">
        <v>0.24807987287955113</v>
      </c>
    </row>
    <row r="29" spans="1:4" ht="15.4" x14ac:dyDescent="0.4">
      <c r="A29" s="2">
        <v>0.31</v>
      </c>
      <c r="B29" s="2">
        <v>0.33900000000000002</v>
      </c>
      <c r="C29" s="2">
        <v>0.26691393511393102</v>
      </c>
      <c r="D29" s="2">
        <v>0.23103448275862065</v>
      </c>
    </row>
    <row r="30" spans="1:4" ht="15.4" x14ac:dyDescent="0.4">
      <c r="A30" s="2">
        <v>0.311</v>
      </c>
      <c r="B30" s="2">
        <v>0.34660000000000002</v>
      </c>
      <c r="C30" s="2">
        <v>0.31653822524479502</v>
      </c>
      <c r="D30" s="2">
        <v>0.29236979590180284</v>
      </c>
    </row>
    <row r="31" spans="1:4" ht="15.4" x14ac:dyDescent="0.4">
      <c r="A31" s="2">
        <v>0.32300000000000001</v>
      </c>
      <c r="B31" s="2">
        <v>0.34139999999999998</v>
      </c>
      <c r="C31" s="2">
        <v>0.33179951320599199</v>
      </c>
      <c r="D31" s="2">
        <v>0.26485394985401151</v>
      </c>
    </row>
    <row r="32" spans="1:4" ht="15.4" x14ac:dyDescent="0.4">
      <c r="A32" s="2">
        <v>0.33659763313609464</v>
      </c>
      <c r="B32" s="2">
        <v>0.48110000000000003</v>
      </c>
      <c r="C32" s="2">
        <v>0.49576801150758498</v>
      </c>
      <c r="D32" s="2">
        <v>0.33659763313609459</v>
      </c>
    </row>
    <row r="33" spans="1:4" ht="15.4" x14ac:dyDescent="0.4">
      <c r="A33" s="2">
        <v>0.33857142857142858</v>
      </c>
      <c r="B33" s="2">
        <v>0.34570000000000001</v>
      </c>
      <c r="C33" s="2">
        <v>0.48837252222972599</v>
      </c>
      <c r="D33" s="2">
        <v>0.31246823769483678</v>
      </c>
    </row>
    <row r="34" spans="1:4" ht="15.4" x14ac:dyDescent="0.4">
      <c r="A34" s="2">
        <v>0.34</v>
      </c>
      <c r="B34" s="2">
        <v>0.39689999999999998</v>
      </c>
      <c r="C34" s="2">
        <v>0.29577389072128102</v>
      </c>
      <c r="D34" s="2">
        <v>0.24210526315789466</v>
      </c>
    </row>
    <row r="35" spans="1:4" ht="15.4" x14ac:dyDescent="0.4">
      <c r="A35" s="2">
        <v>0.34222000000000002</v>
      </c>
      <c r="B35" s="2">
        <v>0.31404997777405519</v>
      </c>
      <c r="C35" s="2">
        <v>0.32526847308772799</v>
      </c>
      <c r="D35" s="2">
        <v>0.30348005757157615</v>
      </c>
    </row>
    <row r="36" spans="1:4" ht="15.4" x14ac:dyDescent="0.4">
      <c r="A36" s="2">
        <v>0.34768292682926832</v>
      </c>
      <c r="B36" s="2">
        <v>0.48067619896058195</v>
      </c>
      <c r="C36" s="2">
        <v>0.4884</v>
      </c>
      <c r="D36" s="2">
        <v>0.36061771825508293</v>
      </c>
    </row>
    <row r="37" spans="1:4" ht="15.4" x14ac:dyDescent="0.4">
      <c r="A37" s="2">
        <v>0.35</v>
      </c>
      <c r="B37" s="2">
        <v>0.35200229428178409</v>
      </c>
      <c r="C37" s="2">
        <v>0.32505546728921703</v>
      </c>
      <c r="D37" s="2">
        <v>0.27775473831009279</v>
      </c>
    </row>
    <row r="38" spans="1:4" ht="15.4" x14ac:dyDescent="0.4">
      <c r="A38" s="2">
        <v>0.35</v>
      </c>
      <c r="B38" s="2">
        <v>0.42620000000000002</v>
      </c>
      <c r="C38" s="2">
        <v>0.32893832248207</v>
      </c>
      <c r="D38" s="2">
        <v>0.2535714285714285</v>
      </c>
    </row>
    <row r="39" spans="1:4" ht="15.4" x14ac:dyDescent="0.4">
      <c r="A39" s="2">
        <v>0.36</v>
      </c>
      <c r="B39" s="2">
        <v>0.43859999999999999</v>
      </c>
      <c r="C39" s="2">
        <v>0.367237352747805</v>
      </c>
      <c r="D39" s="2">
        <v>0.26545454545454533</v>
      </c>
    </row>
    <row r="40" spans="1:4" ht="15.4" x14ac:dyDescent="0.4">
      <c r="A40" s="2">
        <v>0.36199999999999999</v>
      </c>
      <c r="B40" s="2">
        <v>0.37330000000000002</v>
      </c>
      <c r="C40" s="2">
        <v>0.35060000000000002</v>
      </c>
      <c r="D40" s="2">
        <v>0.3259043085677174</v>
      </c>
    </row>
    <row r="41" spans="1:4" ht="15.4" x14ac:dyDescent="0.4">
      <c r="A41" s="2">
        <v>0.373</v>
      </c>
      <c r="B41" s="2">
        <v>0.42620000000000002</v>
      </c>
      <c r="C41" s="2">
        <v>0.37125679069936901</v>
      </c>
      <c r="D41" s="2">
        <v>0.31378261048978379</v>
      </c>
    </row>
    <row r="42" spans="1:4" ht="15.4" x14ac:dyDescent="0.4">
      <c r="A42" s="2">
        <v>0.374</v>
      </c>
      <c r="B42" s="2">
        <v>0.33900000000000002</v>
      </c>
      <c r="C42" s="2">
        <v>0.18878695644298901</v>
      </c>
      <c r="D42" s="2">
        <v>0.17862969004893961</v>
      </c>
    </row>
    <row r="43" spans="1:4" ht="15.4" x14ac:dyDescent="0.4">
      <c r="A43" s="2">
        <v>0.40100000000000002</v>
      </c>
      <c r="B43" s="2">
        <v>0.37480000000000002</v>
      </c>
      <c r="C43" s="2">
        <v>0.42238556009104</v>
      </c>
      <c r="D43" s="2">
        <v>0.28867046155317228</v>
      </c>
    </row>
    <row r="44" spans="1:4" ht="15.4" x14ac:dyDescent="0.4">
      <c r="A44" s="2">
        <v>0.41499999999999998</v>
      </c>
      <c r="B44" s="2">
        <v>0.37722685272329315</v>
      </c>
      <c r="C44" s="2">
        <v>0.3337563903745</v>
      </c>
      <c r="D44" s="2">
        <v>0.28296043349628713</v>
      </c>
    </row>
    <row r="45" spans="1:4" ht="15.4" x14ac:dyDescent="0.4">
      <c r="A45" s="2">
        <v>0.42699999999999999</v>
      </c>
      <c r="B45" s="2">
        <v>0.42058029900842497</v>
      </c>
      <c r="C45" s="2">
        <v>0.37359999999999999</v>
      </c>
      <c r="D45" s="2">
        <v>0.35748659453831971</v>
      </c>
    </row>
    <row r="46" spans="1:4" ht="15.4" x14ac:dyDescent="0.4">
      <c r="A46" s="2">
        <v>0.45</v>
      </c>
      <c r="B46" s="2">
        <v>0.57289999999999996</v>
      </c>
      <c r="C46" s="2">
        <v>0.27404352464052401</v>
      </c>
      <c r="D46" s="2">
        <v>0.24855714406176241</v>
      </c>
    </row>
    <row r="47" spans="1:4" ht="15.4" x14ac:dyDescent="0.4">
      <c r="A47" s="2">
        <v>0.45</v>
      </c>
      <c r="B47" s="2">
        <v>0.30309999999999998</v>
      </c>
      <c r="C47" s="2">
        <v>0.60215992142814001</v>
      </c>
      <c r="D47" s="2">
        <v>0.25499999999999995</v>
      </c>
    </row>
    <row r="48" spans="1:4" ht="15.4" x14ac:dyDescent="0.4">
      <c r="A48" s="2">
        <v>0.45100000000000001</v>
      </c>
      <c r="B48" s="2">
        <v>0.44075142521208999</v>
      </c>
      <c r="C48" s="2">
        <v>0.37359999999999999</v>
      </c>
      <c r="D48" s="2">
        <v>0.36052739017286217</v>
      </c>
    </row>
    <row r="49" spans="1:4" ht="15.4" x14ac:dyDescent="0.4">
      <c r="A49" s="2">
        <v>0.45400000000000001</v>
      </c>
      <c r="B49" s="2">
        <v>0.43655360762921203</v>
      </c>
      <c r="C49" s="2">
        <v>0.37359999999999999</v>
      </c>
      <c r="D49" s="2">
        <v>0.36089006636731541</v>
      </c>
    </row>
    <row r="50" spans="1:4" ht="15.4" x14ac:dyDescent="0.4">
      <c r="A50" s="2">
        <v>0.45500000000000002</v>
      </c>
      <c r="B50" s="2">
        <v>0.5746</v>
      </c>
      <c r="C50" s="2">
        <v>0.488636047855603</v>
      </c>
      <c r="D50" s="2">
        <v>0.41223320535005115</v>
      </c>
    </row>
    <row r="51" spans="1:4" ht="15.4" x14ac:dyDescent="0.4">
      <c r="A51" s="2">
        <v>0.45700000000000002</v>
      </c>
      <c r="B51" s="2">
        <v>0.6603843520012076</v>
      </c>
      <c r="C51" s="2">
        <v>0.498418914839107</v>
      </c>
      <c r="D51" s="2">
        <v>0.39283847353512169</v>
      </c>
    </row>
    <row r="52" spans="1:4" ht="15.4" x14ac:dyDescent="0.4">
      <c r="A52" s="2">
        <v>0.46400000000000002</v>
      </c>
      <c r="B52" s="2">
        <v>0.46079999999999999</v>
      </c>
      <c r="C52" s="2">
        <v>0.498</v>
      </c>
      <c r="D52" s="2">
        <v>0.34532599418434801</v>
      </c>
    </row>
    <row r="53" spans="1:4" ht="15.4" x14ac:dyDescent="0.4">
      <c r="A53" s="2">
        <v>0.47</v>
      </c>
      <c r="B53" s="2">
        <v>0.39610000000000001</v>
      </c>
      <c r="C53" s="2">
        <v>0.56452733109667297</v>
      </c>
      <c r="D53" s="2">
        <v>0.31697525981416547</v>
      </c>
    </row>
    <row r="54" spans="1:4" ht="15.4" x14ac:dyDescent="0.4">
      <c r="A54" s="2">
        <v>0.47020833333333334</v>
      </c>
      <c r="B54" s="2">
        <v>0.3629</v>
      </c>
      <c r="C54" s="2">
        <v>0.71251492664702298</v>
      </c>
      <c r="D54" s="2">
        <v>0.34393513121083602</v>
      </c>
    </row>
    <row r="55" spans="1:4" ht="15.4" x14ac:dyDescent="0.4">
      <c r="A55" s="2">
        <v>0.47299999999999998</v>
      </c>
      <c r="B55" s="2">
        <v>0.3821</v>
      </c>
      <c r="C55" s="2">
        <v>0.24799026520578199</v>
      </c>
      <c r="D55" s="2">
        <v>0.24500094951461088</v>
      </c>
    </row>
    <row r="56" spans="1:4" ht="15.4" x14ac:dyDescent="0.4">
      <c r="A56" s="2">
        <v>0.47399999999999998</v>
      </c>
      <c r="B56" s="2">
        <v>0.40710000000000002</v>
      </c>
      <c r="C56" s="2">
        <v>0.35091415519276897</v>
      </c>
      <c r="D56" s="2">
        <v>0.26355560654803695</v>
      </c>
    </row>
    <row r="57" spans="1:4" ht="15.4" x14ac:dyDescent="0.4">
      <c r="A57" s="2">
        <v>0.499</v>
      </c>
      <c r="B57" s="2">
        <v>0.52390000000000003</v>
      </c>
      <c r="C57" s="2">
        <v>0.52453981458492505</v>
      </c>
      <c r="D57" s="2">
        <v>0.36007503066091656</v>
      </c>
    </row>
    <row r="58" spans="1:4" ht="15.4" x14ac:dyDescent="0.4">
      <c r="A58" s="2">
        <v>0.51400000000000001</v>
      </c>
      <c r="B58" s="2">
        <v>0.83609999999999995</v>
      </c>
      <c r="C58" s="2">
        <v>0.28616205852805698</v>
      </c>
      <c r="D58" s="2">
        <v>0.27604889457896153</v>
      </c>
    </row>
    <row r="59" spans="1:4" ht="15.4" x14ac:dyDescent="0.4">
      <c r="A59" s="2">
        <v>0.51500000000000001</v>
      </c>
      <c r="B59" s="2">
        <v>0.48013206410805997</v>
      </c>
      <c r="C59" s="2">
        <v>0.49130000000000001</v>
      </c>
      <c r="D59" s="2">
        <v>0.39302033999705055</v>
      </c>
    </row>
    <row r="60" spans="1:4" ht="15.4" x14ac:dyDescent="0.4">
      <c r="A60" s="2">
        <v>0.53</v>
      </c>
      <c r="B60" s="2">
        <v>0.595075487910804</v>
      </c>
      <c r="C60" s="2">
        <v>0.42349999999999999</v>
      </c>
      <c r="D60" s="2">
        <v>0.38911245334445643</v>
      </c>
    </row>
    <row r="61" spans="1:4" ht="15.4" x14ac:dyDescent="0.4">
      <c r="A61" s="2">
        <v>0.53300000000000003</v>
      </c>
      <c r="B61" s="2">
        <v>0.55960167353843104</v>
      </c>
      <c r="C61" s="2">
        <v>0.40440371404338399</v>
      </c>
      <c r="D61" s="2">
        <v>0.31480787094145785</v>
      </c>
    </row>
    <row r="62" spans="1:4" ht="15.4" x14ac:dyDescent="0.4">
      <c r="A62" s="2">
        <v>0.53600000000000003</v>
      </c>
      <c r="B62" s="2">
        <v>0.58171540154845403</v>
      </c>
      <c r="C62" s="2">
        <v>0.42349999999999999</v>
      </c>
      <c r="D62" s="2">
        <v>0.38993831831712589</v>
      </c>
    </row>
    <row r="63" spans="1:4" ht="15.4" x14ac:dyDescent="0.4">
      <c r="A63" s="2">
        <v>0.55000000000000004</v>
      </c>
      <c r="B63" s="2">
        <v>0.60072503117531439</v>
      </c>
      <c r="C63" s="2">
        <v>0.43082251531240201</v>
      </c>
      <c r="D63" s="2">
        <v>0.32919573586131051</v>
      </c>
    </row>
    <row r="64" spans="1:4" ht="15.4" x14ac:dyDescent="0.4">
      <c r="A64" s="2">
        <v>0.56200000000000006</v>
      </c>
      <c r="B64" s="2">
        <v>0.82230000000000003</v>
      </c>
      <c r="C64" s="2">
        <v>0.42318754621141402</v>
      </c>
      <c r="D64" s="2">
        <v>0.28972480599401107</v>
      </c>
    </row>
    <row r="65" spans="1:4" ht="15.4" x14ac:dyDescent="0.4">
      <c r="A65" s="2">
        <v>0.56599999999999995</v>
      </c>
      <c r="B65" s="2">
        <v>0.57999999999999996</v>
      </c>
      <c r="C65" s="2">
        <v>0.74029999999999996</v>
      </c>
      <c r="D65" s="2">
        <v>0.36957697615067719</v>
      </c>
    </row>
    <row r="66" spans="1:4" ht="15.4" x14ac:dyDescent="0.4">
      <c r="A66" s="2">
        <v>0.57599999999999996</v>
      </c>
      <c r="B66" s="2">
        <v>0.53362512116458105</v>
      </c>
      <c r="C66" s="2">
        <v>0.42349999999999999</v>
      </c>
      <c r="D66" s="2">
        <v>0.38221571050668107</v>
      </c>
    </row>
    <row r="67" spans="1:4" ht="15.4" x14ac:dyDescent="0.4">
      <c r="A67" s="2">
        <v>0.61596958174904948</v>
      </c>
      <c r="B67" s="2">
        <v>0.73099999999999998</v>
      </c>
      <c r="C67" s="2">
        <v>0.71250000000000002</v>
      </c>
      <c r="D67" s="2">
        <v>0.42439612026346574</v>
      </c>
    </row>
    <row r="68" spans="1:4" ht="15.4" x14ac:dyDescent="0.4">
      <c r="A68" s="2">
        <v>0.61719190000000002</v>
      </c>
      <c r="B68" s="2">
        <v>0.54579999999999995</v>
      </c>
      <c r="C68" s="2">
        <v>0.74610583488789595</v>
      </c>
      <c r="D68" s="2">
        <v>0.61719190000000013</v>
      </c>
    </row>
    <row r="69" spans="1:4" ht="15.4" x14ac:dyDescent="0.4">
      <c r="A69" s="2">
        <v>0.621</v>
      </c>
      <c r="B69" s="2">
        <v>0.42009999999999997</v>
      </c>
      <c r="C69" s="2">
        <v>0.80558931013746105</v>
      </c>
      <c r="D69" s="2">
        <v>0.35116907513657492</v>
      </c>
    </row>
    <row r="70" spans="1:4" ht="15.4" x14ac:dyDescent="0.4">
      <c r="A70" s="2">
        <v>0.62338340000000003</v>
      </c>
      <c r="B70" s="2">
        <v>0.52869999999999995</v>
      </c>
      <c r="C70" s="2">
        <v>0.80169140012682905</v>
      </c>
      <c r="D70" s="2">
        <v>0.61965725217276824</v>
      </c>
    </row>
    <row r="71" spans="1:4" ht="15.4" x14ac:dyDescent="0.4">
      <c r="A71" s="2">
        <v>0.62659809999999994</v>
      </c>
      <c r="B71" s="2">
        <v>0.51549999999999996</v>
      </c>
      <c r="C71" s="2">
        <v>0.86107291078584902</v>
      </c>
      <c r="D71" s="2">
        <v>0.62205803294601225</v>
      </c>
    </row>
    <row r="72" spans="1:4" ht="15.4" x14ac:dyDescent="0.4">
      <c r="A72" s="2">
        <v>0.63800000000000001</v>
      </c>
      <c r="B72" s="2">
        <v>0.78521543868686405</v>
      </c>
      <c r="C72" s="2">
        <v>0.55581800270360304</v>
      </c>
      <c r="D72" s="2">
        <v>0.37100976941895258</v>
      </c>
    </row>
    <row r="73" spans="1:4" ht="15.4" x14ac:dyDescent="0.4">
      <c r="A73" s="2">
        <v>0.64002420000000004</v>
      </c>
      <c r="B73" s="2">
        <v>0.48270000000000002</v>
      </c>
      <c r="C73" s="2">
        <v>1.04080824165667</v>
      </c>
      <c r="D73" s="2">
        <v>0.62818882746147331</v>
      </c>
    </row>
    <row r="74" spans="1:4" ht="15.4" x14ac:dyDescent="0.4">
      <c r="A74" s="2">
        <v>0.67452830188679236</v>
      </c>
      <c r="B74" s="2">
        <v>0.3836</v>
      </c>
      <c r="C74" s="2">
        <v>1.0884358998110299</v>
      </c>
      <c r="D74" s="2">
        <v>0.37789928502737746</v>
      </c>
    </row>
    <row r="75" spans="1:4" ht="15.4" x14ac:dyDescent="0.4">
      <c r="A75" s="2">
        <v>0.68100000000000005</v>
      </c>
      <c r="B75" s="2">
        <v>0.56599999999999995</v>
      </c>
      <c r="C75" s="2">
        <v>0.77320650987064299</v>
      </c>
      <c r="D75" s="2">
        <v>0.41164906283640207</v>
      </c>
    </row>
    <row r="76" spans="1:4" ht="15.4" x14ac:dyDescent="0.4">
      <c r="A76" s="2">
        <v>0.69799999999999995</v>
      </c>
      <c r="B76" s="2">
        <v>0.74580000000000002</v>
      </c>
      <c r="C76" s="2">
        <v>1.1673</v>
      </c>
      <c r="D76" s="2">
        <v>0.40071423558229163</v>
      </c>
    </row>
    <row r="77" spans="1:4" ht="15.4" x14ac:dyDescent="0.4">
      <c r="A77" s="2">
        <v>0.72599999999999998</v>
      </c>
      <c r="B77" s="2">
        <v>0.68530615244450099</v>
      </c>
      <c r="C77" s="2">
        <v>0.49180000000000001</v>
      </c>
      <c r="D77" s="2">
        <v>0.41265742639025127</v>
      </c>
    </row>
    <row r="78" spans="1:4" ht="15.4" x14ac:dyDescent="0.4">
      <c r="A78" s="2">
        <v>0.74199999999999999</v>
      </c>
      <c r="B78" s="2">
        <v>1.0065763591161598</v>
      </c>
      <c r="C78" s="2">
        <v>0.74163273186504297</v>
      </c>
      <c r="D78" s="2">
        <v>0.48133198423594198</v>
      </c>
    </row>
    <row r="79" spans="1:4" ht="15.4" x14ac:dyDescent="0.4">
      <c r="A79" s="2">
        <v>0.749</v>
      </c>
      <c r="B79" s="2">
        <v>0.75439999999999996</v>
      </c>
      <c r="C79" s="2">
        <v>1.0291766090052701</v>
      </c>
      <c r="D79" s="2">
        <v>0.54175594270374527</v>
      </c>
    </row>
    <row r="80" spans="1:4" ht="15.4" x14ac:dyDescent="0.4">
      <c r="A80" s="2">
        <v>0.75</v>
      </c>
      <c r="B80" s="2">
        <v>1.1131</v>
      </c>
      <c r="C80" s="2">
        <v>0.57977167668865903</v>
      </c>
      <c r="D80" s="2">
        <v>0.37799353093471294</v>
      </c>
    </row>
    <row r="81" spans="1:4" ht="15.4" x14ac:dyDescent="0.4">
      <c r="A81" s="2">
        <v>0.77100000000000002</v>
      </c>
      <c r="B81" s="2">
        <v>1.2068344238465492</v>
      </c>
      <c r="C81" s="2">
        <v>1.02671257952424</v>
      </c>
      <c r="D81" s="2">
        <v>0.5008697416154767</v>
      </c>
    </row>
    <row r="82" spans="1:4" ht="15.4" x14ac:dyDescent="0.4">
      <c r="A82" s="2">
        <v>0.79755054814814796</v>
      </c>
      <c r="B82" s="2">
        <v>0.79930000000000001</v>
      </c>
      <c r="C82" s="2">
        <v>0.78787943026968099</v>
      </c>
      <c r="D82" s="2">
        <v>0.35130503483580977</v>
      </c>
    </row>
    <row r="83" spans="1:4" ht="15.4" x14ac:dyDescent="0.4">
      <c r="A83" s="2">
        <v>0.80104712041884818</v>
      </c>
      <c r="B83" s="2">
        <v>0.55259999999999998</v>
      </c>
      <c r="C83" s="2">
        <v>1.1481465650418501</v>
      </c>
      <c r="D83" s="2">
        <v>0.43609534221105078</v>
      </c>
    </row>
    <row r="84" spans="1:4" ht="15.4" x14ac:dyDescent="0.4">
      <c r="A84" s="2">
        <v>0.81200000000000006</v>
      </c>
      <c r="B84" s="2">
        <v>0.82031022230226003</v>
      </c>
      <c r="C84" s="2">
        <v>0.49180000000000001</v>
      </c>
      <c r="D84" s="2">
        <v>0.42458246223269297</v>
      </c>
    </row>
    <row r="85" spans="1:4" ht="15.4" x14ac:dyDescent="0.4">
      <c r="A85" s="2">
        <v>0.81599999999999995</v>
      </c>
      <c r="B85" s="2">
        <v>0.78959062128118096</v>
      </c>
      <c r="C85" s="2">
        <v>0.49180000000000001</v>
      </c>
      <c r="D85" s="2">
        <v>0.42601751485843398</v>
      </c>
    </row>
    <row r="86" spans="1:4" ht="15.4" x14ac:dyDescent="0.4">
      <c r="A86" s="2">
        <v>0.82899999999999996</v>
      </c>
      <c r="B86" s="2">
        <v>0.96922069597864202</v>
      </c>
      <c r="C86" s="2">
        <v>0.731449319512531</v>
      </c>
      <c r="D86" s="2">
        <v>0.43447337631516697</v>
      </c>
    </row>
    <row r="87" spans="1:4" ht="15.4" x14ac:dyDescent="0.4">
      <c r="A87" s="2">
        <v>0.83</v>
      </c>
      <c r="B87" s="2">
        <v>0.83032895851896804</v>
      </c>
      <c r="C87" s="2">
        <v>0.6673</v>
      </c>
      <c r="D87" s="2">
        <v>0.48734712424807691</v>
      </c>
    </row>
    <row r="88" spans="1:4" ht="15.4" x14ac:dyDescent="0.4">
      <c r="A88" s="2">
        <v>0.84</v>
      </c>
      <c r="B88" s="2">
        <v>1.1657999999999999</v>
      </c>
      <c r="C88" s="2">
        <v>0.72256652022129497</v>
      </c>
      <c r="D88" s="2">
        <v>0.41846037892791954</v>
      </c>
    </row>
    <row r="89" spans="1:4" ht="15.4" x14ac:dyDescent="0.4">
      <c r="A89" s="2">
        <v>0.85</v>
      </c>
      <c r="B89" s="2">
        <v>0.54328234296054001</v>
      </c>
      <c r="C89" s="2">
        <v>0.7167</v>
      </c>
      <c r="D89" s="2">
        <v>0.44670678998923696</v>
      </c>
    </row>
    <row r="90" spans="1:4" ht="15.4" x14ac:dyDescent="0.4">
      <c r="A90" s="2">
        <v>0.86274509803921573</v>
      </c>
      <c r="B90" s="2">
        <v>0.40570000000000001</v>
      </c>
      <c r="C90" s="2">
        <v>1.7538672619723901</v>
      </c>
      <c r="D90" s="2">
        <v>0.41467026238440591</v>
      </c>
    </row>
    <row r="91" spans="1:4" ht="15.4" x14ac:dyDescent="0.4">
      <c r="A91" s="2">
        <v>0.8727272727272728</v>
      </c>
      <c r="B91" s="2">
        <v>0.79710000000000003</v>
      </c>
      <c r="C91" s="2">
        <v>1.0884</v>
      </c>
      <c r="D91" s="2">
        <v>0.49823260051072132</v>
      </c>
    </row>
    <row r="92" spans="1:4" ht="15.4" x14ac:dyDescent="0.4">
      <c r="A92" s="2">
        <v>0.89</v>
      </c>
      <c r="B92" s="2">
        <v>0.89070400266234695</v>
      </c>
      <c r="C92" s="2">
        <v>0.85240000000000005</v>
      </c>
      <c r="D92" s="2">
        <v>0.60501256013785409</v>
      </c>
    </row>
    <row r="93" spans="1:4" ht="15.4" x14ac:dyDescent="0.4">
      <c r="A93" s="2">
        <v>0.89</v>
      </c>
      <c r="B93" s="2">
        <v>0.88918043759279597</v>
      </c>
      <c r="C93" s="2">
        <v>1.04436380990904</v>
      </c>
      <c r="D93" s="2">
        <v>0.41063713221823472</v>
      </c>
    </row>
    <row r="94" spans="1:4" ht="15.4" x14ac:dyDescent="0.4">
      <c r="A94" s="2">
        <v>0.90529599999999999</v>
      </c>
      <c r="B94" s="2">
        <v>0.82909999999999995</v>
      </c>
      <c r="C94" s="2">
        <v>1.02347392102871</v>
      </c>
      <c r="D94" s="2">
        <v>0.38868506694283106</v>
      </c>
    </row>
    <row r="95" spans="1:4" ht="15.4" x14ac:dyDescent="0.4">
      <c r="A95" s="2">
        <v>0.91600000000000004</v>
      </c>
      <c r="B95" s="2">
        <v>0.81064342159766301</v>
      </c>
      <c r="C95" s="2">
        <v>0.59330000000000005</v>
      </c>
      <c r="D95" s="2">
        <v>0.45104971176106862</v>
      </c>
    </row>
    <row r="96" spans="1:4" ht="15.4" x14ac:dyDescent="0.4">
      <c r="A96" s="2">
        <v>0.93799999999999994</v>
      </c>
      <c r="B96" s="2">
        <v>1.3411082944220101</v>
      </c>
      <c r="C96" s="2">
        <v>0.97127644137357805</v>
      </c>
      <c r="D96" s="2">
        <v>0.49693839692836272</v>
      </c>
    </row>
    <row r="97" spans="1:4" ht="15.4" x14ac:dyDescent="0.4">
      <c r="A97" s="2">
        <v>0.94</v>
      </c>
      <c r="B97" s="2">
        <v>0.93838448443273204</v>
      </c>
      <c r="C97" s="2">
        <v>0.90739999999999998</v>
      </c>
      <c r="D97" s="2">
        <v>0.64450697872901974</v>
      </c>
    </row>
    <row r="98" spans="1:4" ht="15.4" x14ac:dyDescent="0.4">
      <c r="A98" s="2">
        <v>0.95</v>
      </c>
      <c r="B98" s="2">
        <v>0.93179999999999996</v>
      </c>
      <c r="C98" s="2">
        <v>0.38951450520390302</v>
      </c>
      <c r="D98" s="2">
        <v>0.30566565918235611</v>
      </c>
    </row>
    <row r="99" spans="1:4" ht="15.4" x14ac:dyDescent="0.4">
      <c r="A99" s="2">
        <v>1.0081315244239633</v>
      </c>
      <c r="B99" s="2">
        <v>0.85719999999999996</v>
      </c>
      <c r="C99" s="2">
        <v>1.3561699984428099</v>
      </c>
      <c r="D99" s="2">
        <v>0.43077029513993853</v>
      </c>
    </row>
    <row r="100" spans="1:4" ht="15.4" x14ac:dyDescent="0.4">
      <c r="A100" s="2">
        <v>1.03</v>
      </c>
      <c r="B100" s="2">
        <v>1.21084344045801</v>
      </c>
      <c r="C100" s="2">
        <v>0.83125043934141596</v>
      </c>
      <c r="D100" s="2">
        <v>0.4458258846817118</v>
      </c>
    </row>
    <row r="101" spans="1:4" ht="15.4" x14ac:dyDescent="0.4">
      <c r="A101" s="2">
        <v>1.0449999999999999</v>
      </c>
      <c r="B101" s="2">
        <v>1.0127999999999999</v>
      </c>
      <c r="C101" s="2">
        <v>0.53811053475715798</v>
      </c>
      <c r="D101" s="2">
        <v>0.36694514171881892</v>
      </c>
    </row>
    <row r="102" spans="1:4" ht="15.4" x14ac:dyDescent="0.4">
      <c r="A102" s="2">
        <v>1.0509999999999999</v>
      </c>
      <c r="B102" s="2">
        <v>1.02187294652083</v>
      </c>
      <c r="C102" s="2">
        <v>0.59330000000000005</v>
      </c>
      <c r="D102" s="2">
        <v>0.46976543556578243</v>
      </c>
    </row>
    <row r="103" spans="1:4" ht="15.4" x14ac:dyDescent="0.4">
      <c r="A103" s="2">
        <v>1.056</v>
      </c>
      <c r="B103" s="2">
        <v>1.5082</v>
      </c>
      <c r="C103" s="2">
        <v>1.1710795755127801</v>
      </c>
      <c r="D103" s="2">
        <v>0.58901126025089379</v>
      </c>
    </row>
    <row r="104" spans="1:4" ht="15.4" x14ac:dyDescent="0.4">
      <c r="A104" s="2">
        <v>1.05768</v>
      </c>
      <c r="B104" s="2">
        <v>1.1624000000000001</v>
      </c>
      <c r="C104" s="2">
        <v>1.02671257952424</v>
      </c>
      <c r="D104" s="2">
        <v>0.47746372311148388</v>
      </c>
    </row>
    <row r="105" spans="1:4" ht="15.4" x14ac:dyDescent="0.4">
      <c r="A105" s="2">
        <v>1.0769230769230769</v>
      </c>
      <c r="B105" s="2">
        <v>0.58740000000000003</v>
      </c>
      <c r="C105" s="2">
        <v>1.92894751501053</v>
      </c>
      <c r="D105" s="2">
        <v>0.495138628663914</v>
      </c>
    </row>
    <row r="106" spans="1:4" ht="15.4" x14ac:dyDescent="0.4">
      <c r="A106" s="2">
        <v>1.079</v>
      </c>
      <c r="B106" s="2">
        <v>0.97238212000462398</v>
      </c>
      <c r="C106" s="2">
        <v>0.59330000000000005</v>
      </c>
      <c r="D106" s="2">
        <v>0.47203181581158554</v>
      </c>
    </row>
    <row r="107" spans="1:4" ht="15.4" x14ac:dyDescent="0.4">
      <c r="A107" s="2">
        <v>1.0900000000000001</v>
      </c>
      <c r="B107" s="2">
        <v>1.2149000000000001</v>
      </c>
      <c r="C107" s="2">
        <v>0.916004057990363</v>
      </c>
      <c r="D107" s="2">
        <v>0.46336792262578613</v>
      </c>
    </row>
    <row r="108" spans="1:4" ht="15.4" x14ac:dyDescent="0.4">
      <c r="A108" s="2">
        <v>1.1020000000000001</v>
      </c>
      <c r="B108" s="2">
        <v>0.96630000000000005</v>
      </c>
      <c r="C108" s="2">
        <v>1.0565268828010299</v>
      </c>
      <c r="D108" s="2">
        <v>0.42596151078059658</v>
      </c>
    </row>
    <row r="109" spans="1:4" ht="15.4" x14ac:dyDescent="0.4">
      <c r="A109" s="2">
        <v>1.1068702290076335</v>
      </c>
      <c r="B109" s="2">
        <v>0.85680000000000001</v>
      </c>
      <c r="C109" s="2">
        <v>1.7539</v>
      </c>
      <c r="D109" s="2">
        <v>0.58471012159128322</v>
      </c>
    </row>
    <row r="110" spans="1:4" ht="15.4" x14ac:dyDescent="0.4">
      <c r="A110" s="2">
        <v>1.1379999999999999</v>
      </c>
      <c r="B110" s="2">
        <v>1.43310604417618</v>
      </c>
      <c r="C110" s="2">
        <v>1.4248682934724399</v>
      </c>
      <c r="D110" s="2">
        <v>0.58966636866240008</v>
      </c>
    </row>
    <row r="111" spans="1:4" ht="15.4" x14ac:dyDescent="0.4">
      <c r="A111" s="2">
        <v>1.1599999999999999</v>
      </c>
      <c r="B111" s="2">
        <v>1.2607999999999999</v>
      </c>
      <c r="C111" s="2">
        <v>1.1844226154508599</v>
      </c>
      <c r="D111" s="2">
        <v>0.51348955743451019</v>
      </c>
    </row>
    <row r="112" spans="1:4" ht="15.4" x14ac:dyDescent="0.4">
      <c r="A112" s="2">
        <v>1.2015676235294119</v>
      </c>
      <c r="B112" s="2">
        <v>0.88400000000000001</v>
      </c>
      <c r="C112" s="2">
        <v>1.8355315404278001</v>
      </c>
      <c r="D112" s="2">
        <v>0.47850878502938216</v>
      </c>
    </row>
    <row r="113" spans="1:4" ht="15.4" x14ac:dyDescent="0.4">
      <c r="A113" s="2">
        <v>1.329</v>
      </c>
      <c r="B113" s="2">
        <v>1.14508564965431</v>
      </c>
      <c r="C113" s="2">
        <v>0.75629999999999997</v>
      </c>
      <c r="D113" s="2">
        <v>0.52928392202964669</v>
      </c>
    </row>
    <row r="114" spans="1:4" ht="15.4" x14ac:dyDescent="0.4">
      <c r="A114" s="2">
        <v>1.329</v>
      </c>
      <c r="B114" s="2">
        <v>0.88936609480961404</v>
      </c>
      <c r="C114" s="2">
        <v>0.75629999999999997</v>
      </c>
      <c r="D114" s="2">
        <v>0.50097511737015632</v>
      </c>
    </row>
    <row r="115" spans="1:4" ht="15.4" x14ac:dyDescent="0.4">
      <c r="A115" s="2">
        <v>1.38</v>
      </c>
      <c r="B115" s="2">
        <v>1.3042</v>
      </c>
      <c r="C115" s="2">
        <v>1.5673672788250099</v>
      </c>
      <c r="D115" s="2">
        <v>0.56978934101202217</v>
      </c>
    </row>
    <row r="116" spans="1:4" ht="15.4" x14ac:dyDescent="0.4">
      <c r="A116" s="2">
        <v>1.3980676439790578</v>
      </c>
      <c r="B116" s="2">
        <v>0.90949999999999998</v>
      </c>
      <c r="C116" s="1">
        <v>2.5396420543820799</v>
      </c>
      <c r="D116" s="1">
        <v>0.53312164625026914</v>
      </c>
    </row>
    <row r="117" spans="1:4" ht="15.4" x14ac:dyDescent="0.4">
      <c r="A117" s="2">
        <v>1.4</v>
      </c>
      <c r="B117" s="2">
        <v>0.93054372316453204</v>
      </c>
      <c r="C117" s="2">
        <v>0.97309999999999997</v>
      </c>
      <c r="D117" s="2">
        <v>0.57043808496481574</v>
      </c>
    </row>
    <row r="118" spans="1:4" ht="15.4" x14ac:dyDescent="0.4">
      <c r="A118" s="2">
        <v>1.43</v>
      </c>
      <c r="B118" s="2">
        <v>0.62130820049784097</v>
      </c>
      <c r="C118" s="2">
        <v>1.61</v>
      </c>
      <c r="D118" s="2">
        <v>0.5594593271807804</v>
      </c>
    </row>
    <row r="119" spans="1:4" ht="15.4" x14ac:dyDescent="0.4">
      <c r="A119" s="2">
        <v>1.4430000000000001</v>
      </c>
      <c r="B119" s="2">
        <v>1.4841795339814801</v>
      </c>
      <c r="C119" s="2">
        <v>1.82100598559447</v>
      </c>
      <c r="D119" s="2">
        <v>0.65519878850964253</v>
      </c>
    </row>
    <row r="120" spans="1:4" ht="15.4" x14ac:dyDescent="0.4">
      <c r="A120" s="2">
        <v>1.45</v>
      </c>
      <c r="B120" s="2">
        <v>0.98744697344020904</v>
      </c>
      <c r="C120" s="2">
        <v>1.2353000000000001</v>
      </c>
      <c r="D120" s="2">
        <v>0.69668132295077845</v>
      </c>
    </row>
    <row r="121" spans="1:4" ht="15.4" x14ac:dyDescent="0.4">
      <c r="A121" s="2">
        <v>1.4610000000000001</v>
      </c>
      <c r="B121" s="2">
        <v>1.6191</v>
      </c>
      <c r="C121" s="2">
        <v>2.0014665211178699</v>
      </c>
      <c r="D121" s="2">
        <v>0.72287422288584058</v>
      </c>
    </row>
    <row r="122" spans="1:4" ht="15.4" x14ac:dyDescent="0.4">
      <c r="A122" s="2">
        <v>1.4630000000000001</v>
      </c>
      <c r="B122" s="2">
        <v>1.0112000000000001</v>
      </c>
      <c r="C122" s="2">
        <v>0.498</v>
      </c>
      <c r="D122" s="2">
        <v>0.58653795008678733</v>
      </c>
    </row>
    <row r="123" spans="1:4" ht="15.4" x14ac:dyDescent="0.4">
      <c r="A123" s="2">
        <v>1.5229999999999999</v>
      </c>
      <c r="B123" s="2">
        <v>1.5563</v>
      </c>
      <c r="C123" s="2">
        <v>1.95251641263037</v>
      </c>
      <c r="D123" s="2">
        <v>0.64059502549600045</v>
      </c>
    </row>
    <row r="124" spans="1:4" ht="15.4" x14ac:dyDescent="0.4">
      <c r="A124" s="2">
        <v>1.53</v>
      </c>
      <c r="B124" s="2">
        <v>1.53663830278622</v>
      </c>
      <c r="C124" s="2">
        <v>2.4036409603375501</v>
      </c>
      <c r="D124" s="2">
        <v>0.73670498100935444</v>
      </c>
    </row>
    <row r="125" spans="1:4" ht="15.4" x14ac:dyDescent="0.4">
      <c r="A125" s="2">
        <v>1.53</v>
      </c>
      <c r="B125" s="2">
        <v>1.0410179352848601</v>
      </c>
      <c r="C125" s="2">
        <v>1.3128</v>
      </c>
      <c r="D125" s="2">
        <v>0.74170943638689146</v>
      </c>
    </row>
    <row r="126" spans="1:4" ht="15.4" x14ac:dyDescent="0.4">
      <c r="A126" s="2">
        <v>1.585</v>
      </c>
      <c r="B126" s="2">
        <v>1.7189000000000001</v>
      </c>
      <c r="C126" s="2">
        <v>3.81639551569554</v>
      </c>
      <c r="D126" s="2">
        <v>0.89379312163643143</v>
      </c>
    </row>
    <row r="127" spans="1:4" ht="15.4" x14ac:dyDescent="0.4">
      <c r="A127" s="2">
        <v>1.63</v>
      </c>
      <c r="B127" s="2">
        <v>1.3452999999999999</v>
      </c>
      <c r="C127" s="2">
        <v>2.1313286982927302</v>
      </c>
      <c r="D127" s="2">
        <v>0.6334846062612588</v>
      </c>
    </row>
    <row r="128" spans="1:4" ht="15.4" x14ac:dyDescent="0.4">
      <c r="A128" s="2">
        <v>1.63</v>
      </c>
      <c r="B128" s="2">
        <v>1.0846689894117501</v>
      </c>
      <c r="C128" s="2">
        <v>0.75629999999999997</v>
      </c>
      <c r="D128" s="2">
        <v>0.53274019334517586</v>
      </c>
    </row>
    <row r="129" spans="1:4" ht="15.4" x14ac:dyDescent="0.4">
      <c r="A129" s="2">
        <v>1.64</v>
      </c>
      <c r="B129" s="2">
        <v>1.0442</v>
      </c>
      <c r="C129" s="2">
        <v>0.57977167668865903</v>
      </c>
      <c r="D129" s="2">
        <v>0.37380262999526481</v>
      </c>
    </row>
    <row r="130" spans="1:4" ht="15.4" x14ac:dyDescent="0.4">
      <c r="A130" s="2">
        <v>1.6850000000000001</v>
      </c>
      <c r="B130" s="2">
        <v>1.3123188527269201</v>
      </c>
      <c r="C130" s="2">
        <v>1.47894465226782</v>
      </c>
      <c r="D130" s="2">
        <v>0.55963930545480278</v>
      </c>
    </row>
    <row r="131" spans="1:4" ht="15.4" x14ac:dyDescent="0.4">
      <c r="A131" s="2">
        <v>1.7413799999999999</v>
      </c>
      <c r="B131" s="2">
        <v>1.2531000000000001</v>
      </c>
      <c r="C131" s="2">
        <v>1.95251641263037</v>
      </c>
      <c r="D131" s="2">
        <v>0.60147496244916532</v>
      </c>
    </row>
    <row r="132" spans="1:4" ht="15.4" x14ac:dyDescent="0.4">
      <c r="A132" s="2">
        <v>1.77</v>
      </c>
      <c r="B132" s="2">
        <v>2.1017112876670634</v>
      </c>
      <c r="C132" s="2">
        <v>2.2115083580286399</v>
      </c>
      <c r="D132" s="2">
        <v>1.986857329737467</v>
      </c>
    </row>
    <row r="133" spans="1:4" ht="15.4" x14ac:dyDescent="0.4">
      <c r="A133" s="2">
        <v>1.8280000000000001</v>
      </c>
      <c r="B133" s="2">
        <v>1.1903999999999999</v>
      </c>
      <c r="C133" s="2">
        <v>1.3405075553950501</v>
      </c>
      <c r="D133" s="2">
        <v>0.53756156870671246</v>
      </c>
    </row>
    <row r="134" spans="1:4" ht="15.4" x14ac:dyDescent="0.4">
      <c r="A134" s="2">
        <v>1.8360000000000001</v>
      </c>
      <c r="B134" s="2">
        <v>1.6017999999999999</v>
      </c>
      <c r="C134" s="2">
        <v>2.7054323228111201</v>
      </c>
      <c r="D134" s="2">
        <v>0.71562760720298613</v>
      </c>
    </row>
    <row r="135" spans="1:4" ht="15.4" x14ac:dyDescent="0.4">
      <c r="A135" s="2">
        <v>1.8620000000000001</v>
      </c>
      <c r="B135" s="2">
        <v>1.1208</v>
      </c>
      <c r="C135" s="2">
        <v>0.74029999999999996</v>
      </c>
      <c r="D135" s="2">
        <v>0.7298930399931326</v>
      </c>
    </row>
    <row r="136" spans="1:4" ht="15.4" x14ac:dyDescent="0.4">
      <c r="A136" s="2">
        <v>1.9379999999999999</v>
      </c>
      <c r="B136" s="2">
        <v>1.1162038867573725</v>
      </c>
      <c r="C136" s="2">
        <v>0.42343368595983599</v>
      </c>
      <c r="D136" s="2">
        <v>0.36786103061297526</v>
      </c>
    </row>
    <row r="137" spans="1:4" ht="15.4" x14ac:dyDescent="0.4">
      <c r="A137" s="2">
        <v>1.9970000000000001</v>
      </c>
      <c r="B137" s="2">
        <v>0.90629999999999999</v>
      </c>
      <c r="C137" s="2">
        <v>5.1437534371025597</v>
      </c>
      <c r="D137" s="2">
        <v>0.80354429670170557</v>
      </c>
    </row>
    <row r="138" spans="1:4" ht="15.4" x14ac:dyDescent="0.4">
      <c r="A138" s="2">
        <v>2.06</v>
      </c>
      <c r="B138" s="2">
        <v>2.0598063468705101</v>
      </c>
      <c r="C138" s="2">
        <v>1.04436380990904</v>
      </c>
      <c r="D138" s="2">
        <v>0.49427052538391408</v>
      </c>
    </row>
    <row r="139" spans="1:4" ht="15.4" x14ac:dyDescent="0.4">
      <c r="A139" s="2">
        <v>2.1806000000000001</v>
      </c>
      <c r="B139" s="2">
        <v>1.2892999999999999</v>
      </c>
      <c r="C139" s="2">
        <v>2.7054323228111201</v>
      </c>
      <c r="D139" s="2">
        <v>0.66685656284424444</v>
      </c>
    </row>
    <row r="140" spans="1:4" ht="15.4" x14ac:dyDescent="0.4">
      <c r="A140" s="2">
        <v>2.2400000000000002</v>
      </c>
      <c r="B140" s="2">
        <v>1.8952313603970199</v>
      </c>
      <c r="C140" s="2">
        <v>1.7012</v>
      </c>
      <c r="D140" s="2">
        <v>1.6119548626672284</v>
      </c>
    </row>
    <row r="141" spans="1:4" ht="15.4" x14ac:dyDescent="0.4">
      <c r="A141" s="2">
        <v>2.36</v>
      </c>
      <c r="B141" s="2">
        <v>2.680644744303438</v>
      </c>
      <c r="C141" s="2">
        <v>2.7872467309270199</v>
      </c>
      <c r="D141" s="2">
        <v>2.2526412991561857</v>
      </c>
    </row>
    <row r="142" spans="1:4" ht="15.4" x14ac:dyDescent="0.4">
      <c r="A142" s="2">
        <v>2.57</v>
      </c>
      <c r="B142" s="2">
        <v>1.1386000000000001</v>
      </c>
      <c r="C142" s="2">
        <v>0.916004057990363</v>
      </c>
      <c r="D142" s="2">
        <v>0.45650411179020711</v>
      </c>
    </row>
    <row r="143" spans="1:4" ht="15.4" x14ac:dyDescent="0.4">
      <c r="A143" s="2">
        <v>2.7330000000000001</v>
      </c>
      <c r="B143" s="2">
        <v>2.8174999999999999</v>
      </c>
      <c r="C143" s="2">
        <v>2.5465712481293901</v>
      </c>
      <c r="D143" s="2">
        <v>1.0066988349440602</v>
      </c>
    </row>
    <row r="144" spans="1:4" ht="15.4" x14ac:dyDescent="0.4">
      <c r="A144" s="2">
        <v>2.8612805714285727</v>
      </c>
      <c r="B144" s="2">
        <v>2.4725000000000001</v>
      </c>
      <c r="C144" s="2">
        <v>1.8973974879645801</v>
      </c>
      <c r="D144" s="2">
        <v>0.97185490870598235</v>
      </c>
    </row>
    <row r="145" spans="1:4" ht="15.4" x14ac:dyDescent="0.4">
      <c r="A145" s="2">
        <v>2.92</v>
      </c>
      <c r="B145" s="2">
        <v>2.8524673567079102</v>
      </c>
      <c r="C145" s="2">
        <v>2.0013000000000001</v>
      </c>
      <c r="D145" s="2">
        <v>1.6431156658384898</v>
      </c>
    </row>
    <row r="146" spans="1:4" ht="15.4" x14ac:dyDescent="0.4">
      <c r="A146" s="2">
        <v>2.9870000000000001</v>
      </c>
      <c r="B146" s="2">
        <v>2.9984999999999999</v>
      </c>
      <c r="C146" s="2">
        <v>4.7932347991735504</v>
      </c>
      <c r="D146" s="2">
        <v>1.2706290182487288</v>
      </c>
    </row>
    <row r="147" spans="1:4" ht="15.4" x14ac:dyDescent="0.4">
      <c r="A147" s="1">
        <v>3.0157259999999995</v>
      </c>
      <c r="B147" s="2">
        <v>2.5853999999999999</v>
      </c>
      <c r="C147" s="2">
        <v>2.3939249861975802</v>
      </c>
      <c r="D147" s="2">
        <v>1.0815984490729238</v>
      </c>
    </row>
    <row r="148" spans="1:4" ht="15.4" x14ac:dyDescent="0.4">
      <c r="A148" s="2">
        <v>3.07</v>
      </c>
      <c r="B148" s="2">
        <v>4.1323807091287836</v>
      </c>
      <c r="C148" s="2">
        <v>4.0019339949894004</v>
      </c>
      <c r="D148" s="2">
        <v>2.6816729786677325</v>
      </c>
    </row>
    <row r="149" spans="1:4" ht="15.4" x14ac:dyDescent="0.4">
      <c r="A149" s="2">
        <v>3.17</v>
      </c>
      <c r="B149" s="2">
        <v>3.9635035039171198</v>
      </c>
      <c r="C149" s="2">
        <v>2.5663999999999998</v>
      </c>
      <c r="D149" s="2">
        <v>1.6895895753096462</v>
      </c>
    </row>
    <row r="150" spans="1:4" ht="15.4" x14ac:dyDescent="0.4">
      <c r="A150" s="2">
        <v>3.1885493684210524</v>
      </c>
      <c r="B150" s="2">
        <v>2.6917</v>
      </c>
      <c r="C150" s="2">
        <v>3.0538683777440898</v>
      </c>
      <c r="D150" s="2">
        <v>1.2063767053657077</v>
      </c>
    </row>
    <row r="151" spans="1:4" ht="15.4" x14ac:dyDescent="0.4">
      <c r="A151" s="1">
        <v>3.4298880000000009</v>
      </c>
      <c r="B151" s="2">
        <v>2.7925</v>
      </c>
      <c r="C151" s="2">
        <v>3.9344270952212299</v>
      </c>
      <c r="D151" s="2">
        <v>1.3495064797624317</v>
      </c>
    </row>
    <row r="152" spans="1:4" ht="15.4" x14ac:dyDescent="0.4">
      <c r="A152" s="2">
        <v>3.4809999999999999</v>
      </c>
      <c r="B152" s="2">
        <v>4.2492999999999999</v>
      </c>
      <c r="C152" s="2">
        <v>0.55996765065702403</v>
      </c>
      <c r="D152" s="2">
        <v>0.43990512497028772</v>
      </c>
    </row>
    <row r="153" spans="1:4" ht="15.4" x14ac:dyDescent="0.4">
      <c r="A153" s="1">
        <v>3.6082632705882354</v>
      </c>
      <c r="B153" s="2">
        <v>2.8885999999999998</v>
      </c>
      <c r="C153" s="2">
        <v>5.1130830738826898</v>
      </c>
      <c r="D153" s="2">
        <v>1.5153576374228992</v>
      </c>
    </row>
    <row r="154" spans="1:4" ht="15.4" x14ac:dyDescent="0.4">
      <c r="A154" s="1">
        <v>4.0682268000000006</v>
      </c>
      <c r="B154" s="2">
        <v>2.9807000000000001</v>
      </c>
      <c r="C154" s="2">
        <v>6.6772379580550902</v>
      </c>
      <c r="D154" s="2">
        <v>1.7098070644108052</v>
      </c>
    </row>
    <row r="155" spans="1:4" ht="15.4" x14ac:dyDescent="0.4">
      <c r="A155" s="2">
        <v>4.0999999999999996</v>
      </c>
      <c r="B155" s="2">
        <v>5.7590000000000003</v>
      </c>
      <c r="C155" s="2">
        <v>5.9990164356216198</v>
      </c>
      <c r="D155" s="2">
        <v>3.181723965392123</v>
      </c>
    </row>
    <row r="156" spans="1:4" ht="15.4" x14ac:dyDescent="0.4">
      <c r="A156" s="2">
        <v>4.3360000000000003</v>
      </c>
      <c r="B156" s="2">
        <v>4.7276999999999996</v>
      </c>
      <c r="C156" s="2">
        <v>0.81405653925251897</v>
      </c>
      <c r="D156" s="2">
        <v>0.54570235495814279</v>
      </c>
    </row>
    <row r="157" spans="1:4" ht="15.4" x14ac:dyDescent="0.4">
      <c r="A157" s="1">
        <v>5.13</v>
      </c>
      <c r="B157" s="2">
        <v>6.2408999999999999</v>
      </c>
      <c r="C157" s="2">
        <v>9.4618094360558906</v>
      </c>
      <c r="D157" s="2">
        <v>3.7720196457053485</v>
      </c>
    </row>
    <row r="158" spans="1:4" ht="15.4" x14ac:dyDescent="0.4">
      <c r="A158" s="1">
        <v>5.1733333333333302</v>
      </c>
      <c r="B158" s="2">
        <v>3.2675999999999998</v>
      </c>
      <c r="C158" s="2">
        <v>2.3213613633101602</v>
      </c>
      <c r="D158" s="2">
        <v>2.2448704930965784</v>
      </c>
    </row>
    <row r="159" spans="1:4" ht="15.4" x14ac:dyDescent="0.4">
      <c r="A159" s="2">
        <v>5.5149999999999997</v>
      </c>
      <c r="B159" s="2">
        <v>5.2096999999999998</v>
      </c>
      <c r="C159" s="2">
        <v>1.38427422153321</v>
      </c>
      <c r="D159" s="2">
        <v>0.71622948090017813</v>
      </c>
    </row>
    <row r="160" spans="1:4" ht="15.4" x14ac:dyDescent="0.4">
      <c r="A160" s="2">
        <v>5.68</v>
      </c>
      <c r="B160" s="2">
        <v>5.6799027458735303</v>
      </c>
      <c r="C160" s="2">
        <v>3.9386999999999999</v>
      </c>
      <c r="D160" s="2">
        <v>1.7671086081566365</v>
      </c>
    </row>
    <row r="161" spans="1:4" ht="15.4" x14ac:dyDescent="0.4">
      <c r="A161" s="2">
        <v>5.9200000000000008</v>
      </c>
      <c r="B161" s="2">
        <v>5.3413000000000004</v>
      </c>
      <c r="C161" s="2">
        <v>2.71390913998103</v>
      </c>
      <c r="D161" s="2">
        <v>2.5105785914346845</v>
      </c>
    </row>
    <row r="162" spans="1:4" ht="15.4" x14ac:dyDescent="0.4">
      <c r="A162" s="2">
        <v>6.64</v>
      </c>
      <c r="B162" s="2">
        <v>6.4638999999999998</v>
      </c>
      <c r="C162" s="2">
        <v>12.137448727276499</v>
      </c>
      <c r="D162" s="2">
        <v>4.1090042837185612</v>
      </c>
    </row>
    <row r="163" spans="1:4" ht="15.4" x14ac:dyDescent="0.4">
      <c r="A163" s="2">
        <v>6.8559999999999999</v>
      </c>
      <c r="B163" s="2">
        <v>5.7225999999999999</v>
      </c>
      <c r="C163" s="2">
        <v>3.1553315189093198</v>
      </c>
      <c r="D163" s="2">
        <v>1.0370747342017177</v>
      </c>
    </row>
    <row r="164" spans="1:4" ht="15.4" x14ac:dyDescent="0.4">
      <c r="A164" s="2">
        <v>7.08</v>
      </c>
      <c r="B164" s="2">
        <v>6.6769999999999996</v>
      </c>
      <c r="C164" s="2">
        <v>15.7984131414303</v>
      </c>
      <c r="D164" s="2">
        <v>4.4794129279740798</v>
      </c>
    </row>
    <row r="165" spans="1:4" ht="15.4" x14ac:dyDescent="0.4">
      <c r="A165" s="2">
        <v>7.4133333333333331</v>
      </c>
      <c r="B165" s="2">
        <v>9.7270000000000003</v>
      </c>
      <c r="C165" s="2">
        <v>3.8006439825110698</v>
      </c>
      <c r="D165" s="2">
        <v>3.116136408776371</v>
      </c>
    </row>
    <row r="166" spans="1:4" ht="15.4" x14ac:dyDescent="0.4">
      <c r="A166" s="2">
        <v>7.9</v>
      </c>
      <c r="B166" s="2">
        <v>7.8887243298906</v>
      </c>
      <c r="C166" s="2">
        <v>15.464734382657801</v>
      </c>
      <c r="D166" s="2">
        <v>9.6968942998398795</v>
      </c>
    </row>
    <row r="167" spans="1:4" ht="15.4" x14ac:dyDescent="0.4">
      <c r="A167" s="2">
        <v>8.1066666666666674</v>
      </c>
      <c r="B167" s="2">
        <v>11.590199999999999</v>
      </c>
      <c r="C167" s="2">
        <v>5.5249916410374897</v>
      </c>
      <c r="D167" s="2">
        <v>3.8458937113264557</v>
      </c>
    </row>
    <row r="168" spans="1:4" ht="15.4" x14ac:dyDescent="0.4">
      <c r="A168" s="2">
        <v>8.4</v>
      </c>
      <c r="B168" s="2">
        <v>6.8814000000000002</v>
      </c>
      <c r="C168" s="2">
        <v>20.8533718229173</v>
      </c>
      <c r="D168" s="2">
        <v>4.8884778278349934</v>
      </c>
    </row>
    <row r="169" spans="1:4" ht="15.4" x14ac:dyDescent="0.4">
      <c r="A169" s="2">
        <v>9.6999999999999993</v>
      </c>
      <c r="B169" s="2">
        <v>11.1489067273143</v>
      </c>
      <c r="C169" s="2">
        <v>10.677300000000001</v>
      </c>
      <c r="D169" s="2">
        <v>5.8117830938957518</v>
      </c>
    </row>
    <row r="170" spans="1:4" ht="15.4" x14ac:dyDescent="0.4">
      <c r="A170" s="2">
        <v>10</v>
      </c>
      <c r="B170" s="2">
        <v>7.0782999999999996</v>
      </c>
      <c r="C170" s="2">
        <v>27.875681968358599</v>
      </c>
      <c r="D170" s="2">
        <v>5.3425834422533143</v>
      </c>
    </row>
    <row r="171" spans="1:4" ht="15.4" x14ac:dyDescent="0.4">
      <c r="A171" s="2">
        <v>11.81</v>
      </c>
      <c r="B171" s="2">
        <v>8.2082456477919408</v>
      </c>
      <c r="C171" s="2">
        <v>84.362700000000004</v>
      </c>
      <c r="D171" s="2">
        <v>13.01312377791737</v>
      </c>
    </row>
    <row r="172" spans="1:4" ht="15.4" x14ac:dyDescent="0.4">
      <c r="A172" s="2">
        <v>11.9</v>
      </c>
      <c r="B172" s="2">
        <v>7.2695999999999996</v>
      </c>
      <c r="C172" s="2">
        <v>37.511389543286001</v>
      </c>
      <c r="D172" s="2">
        <v>5.8496020824805086</v>
      </c>
    </row>
    <row r="173" spans="1:4" ht="15.4" x14ac:dyDescent="0.4">
      <c r="A173" s="2">
        <v>12.03</v>
      </c>
      <c r="B173" s="2">
        <v>12.5552402284584</v>
      </c>
      <c r="C173" s="2">
        <v>24.742899999999999</v>
      </c>
      <c r="D173" s="2">
        <v>7.7345050363139336</v>
      </c>
    </row>
    <row r="174" spans="1:4" ht="15.4" x14ac:dyDescent="0.4">
      <c r="A174" s="2">
        <v>12.906666666666666</v>
      </c>
      <c r="B174" s="2">
        <v>13.0389</v>
      </c>
      <c r="C174" s="2">
        <v>8.3912379041694294</v>
      </c>
      <c r="D174" s="2">
        <v>4.7424264939309531</v>
      </c>
    </row>
    <row r="175" spans="1:4" ht="15.4" x14ac:dyDescent="0.4">
      <c r="A175" s="2">
        <v>13.42</v>
      </c>
      <c r="B175" s="2">
        <v>13.305773693628501</v>
      </c>
      <c r="C175" s="2">
        <v>46.7866</v>
      </c>
      <c r="D175" s="2">
        <v>9.2090766321629545</v>
      </c>
    </row>
    <row r="176" spans="1:4" ht="15.4" x14ac:dyDescent="0.4">
      <c r="A176" s="2">
        <v>14.38</v>
      </c>
      <c r="B176" s="2">
        <v>13.7767071556879</v>
      </c>
      <c r="C176" s="2">
        <v>76.750299999999996</v>
      </c>
      <c r="D176" s="2">
        <v>10.375826977979946</v>
      </c>
    </row>
    <row r="177" spans="1:4" ht="15.4" x14ac:dyDescent="0.4">
      <c r="A177" s="2">
        <v>15.8</v>
      </c>
      <c r="B177" s="2">
        <v>15.6957073311697</v>
      </c>
      <c r="C177" s="2">
        <v>15.3683</v>
      </c>
      <c r="D177" s="2">
        <v>15.233076295980478</v>
      </c>
    </row>
    <row r="178" spans="1:4" ht="15.4" x14ac:dyDescent="0.4">
      <c r="A178" s="2">
        <v>16.7</v>
      </c>
      <c r="B178" s="2">
        <v>16.5667754190052</v>
      </c>
      <c r="C178" s="1">
        <v>15.834099999999999</v>
      </c>
      <c r="D178" s="1">
        <v>15.521247061880597</v>
      </c>
    </row>
    <row r="179" spans="1:4" ht="15.4" x14ac:dyDescent="0.4">
      <c r="A179" s="2">
        <v>16.79</v>
      </c>
      <c r="B179" s="2">
        <v>14.1025552461237</v>
      </c>
      <c r="C179" s="2">
        <v>103.11190000000001</v>
      </c>
      <c r="D179" s="2">
        <v>11.322034203753596</v>
      </c>
    </row>
    <row r="180" spans="1:4" ht="15.4" x14ac:dyDescent="0.4">
      <c r="A180" s="2">
        <v>18.96</v>
      </c>
      <c r="B180" s="2">
        <v>14.338164147667801</v>
      </c>
      <c r="C180" s="2">
        <v>152.3717</v>
      </c>
      <c r="D180" s="2">
        <v>12.104830376963797</v>
      </c>
    </row>
    <row r="181" spans="1:4" ht="15.4" x14ac:dyDescent="0.4">
      <c r="A181" s="2">
        <v>19.68</v>
      </c>
      <c r="B181" s="2">
        <v>19.004572621693701</v>
      </c>
      <c r="C181" s="2">
        <v>17.198</v>
      </c>
      <c r="D181" s="2">
        <v>16.326159546949231</v>
      </c>
    </row>
    <row r="182" spans="1:4" ht="15.4" x14ac:dyDescent="0.4">
      <c r="A182" s="2">
        <v>20.27</v>
      </c>
      <c r="B182" s="2">
        <v>17.370482481750201</v>
      </c>
      <c r="C182" s="2">
        <v>16.273099999999999</v>
      </c>
      <c r="D182" s="2">
        <v>15.786425280228762</v>
      </c>
    </row>
    <row r="183" spans="1:4" ht="15.4" x14ac:dyDescent="0.4">
      <c r="A183" s="2">
        <v>20.34</v>
      </c>
      <c r="B183" s="2">
        <v>18.1833933660719</v>
      </c>
      <c r="C183" s="2">
        <v>16.727599999999999</v>
      </c>
      <c r="D183" s="2">
        <v>16.054711125433748</v>
      </c>
    </row>
    <row r="184" spans="1:4" ht="15.4" x14ac:dyDescent="0.4">
      <c r="A184" s="2">
        <v>22.6</v>
      </c>
      <c r="B184" s="2">
        <v>19.8335996218688</v>
      </c>
      <c r="C184" s="2">
        <v>17.685300000000002</v>
      </c>
      <c r="D184" s="2">
        <v>16.600826797407496</v>
      </c>
    </row>
    <row r="185" spans="1:4" ht="15.4" x14ac:dyDescent="0.4">
      <c r="A185" s="2">
        <v>24.66</v>
      </c>
      <c r="B185" s="2">
        <v>24.472877999950299</v>
      </c>
      <c r="C185" s="2">
        <v>23.797000000000001</v>
      </c>
      <c r="D185" s="2">
        <v>23.643544983494962</v>
      </c>
    </row>
    <row r="186" spans="1:4" ht="15.4" x14ac:dyDescent="0.4">
      <c r="A186" s="2">
        <v>26.3</v>
      </c>
      <c r="B186" s="2">
        <v>25.789192182363202</v>
      </c>
      <c r="C186" s="2">
        <v>24.4129</v>
      </c>
      <c r="D186" s="2">
        <v>24.092779447526102</v>
      </c>
    </row>
    <row r="187" spans="1:4" ht="15.4" x14ac:dyDescent="0.4">
      <c r="A187" s="2">
        <v>27.26</v>
      </c>
      <c r="B187" s="2">
        <v>28.5002065403995</v>
      </c>
      <c r="C187" s="2">
        <v>25.7043</v>
      </c>
      <c r="D187" s="2">
        <v>25.008760390776111</v>
      </c>
    </row>
    <row r="188" spans="1:4" ht="15.4" x14ac:dyDescent="0.4">
      <c r="A188" s="2">
        <v>28.66</v>
      </c>
      <c r="B188" s="2">
        <v>27.133105051848801</v>
      </c>
      <c r="C188" s="2">
        <v>25.048500000000001</v>
      </c>
      <c r="D188" s="2">
        <v>24.547813569666268</v>
      </c>
    </row>
    <row r="189" spans="1:4" ht="15.4" x14ac:dyDescent="0.4">
      <c r="A189" s="2">
        <v>28.763100000000001</v>
      </c>
      <c r="B189" s="2">
        <v>29.333200000000001</v>
      </c>
      <c r="C189" s="2">
        <v>33.813400000000001</v>
      </c>
      <c r="D189" s="2">
        <v>29.825627799694317</v>
      </c>
    </row>
    <row r="190" spans="1:4" ht="15.4" x14ac:dyDescent="0.4">
      <c r="A190" s="2">
        <v>30.123799999999999</v>
      </c>
      <c r="B190" s="2">
        <v>30.1113</v>
      </c>
      <c r="C190" s="2">
        <v>35.665700000000001</v>
      </c>
      <c r="D190" s="2">
        <v>30.636231555335513</v>
      </c>
    </row>
    <row r="191" spans="1:4" ht="15.4" x14ac:dyDescent="0.4">
      <c r="A191" s="2">
        <v>31.02</v>
      </c>
      <c r="B191" s="2">
        <v>30.033215631165099</v>
      </c>
      <c r="C191" s="2">
        <v>31.238700000000001</v>
      </c>
      <c r="D191" s="2">
        <v>29.021214571257431</v>
      </c>
    </row>
    <row r="192" spans="1:4" ht="15.4" x14ac:dyDescent="0.4">
      <c r="A192" s="2">
        <v>31.278099999999998</v>
      </c>
      <c r="B192" s="2">
        <v>31.829799999999999</v>
      </c>
      <c r="C192" s="2">
        <v>39.703400000000002</v>
      </c>
      <c r="D192" s="2">
        <v>32.306594346062369</v>
      </c>
    </row>
    <row r="193" spans="1:4" ht="15.4" x14ac:dyDescent="0.4">
      <c r="A193" s="2">
        <v>31.41</v>
      </c>
      <c r="B193" s="2">
        <v>12.1073970480541</v>
      </c>
      <c r="C193" s="2">
        <v>84.362700000000004</v>
      </c>
      <c r="D193" s="2">
        <v>15.866342094698597</v>
      </c>
    </row>
    <row r="194" spans="1:4" ht="15.4" x14ac:dyDescent="0.4">
      <c r="A194" s="2">
        <v>32.770000000000003</v>
      </c>
      <c r="B194" s="2">
        <v>32.4618683133112</v>
      </c>
      <c r="C194" s="2">
        <v>84.362700000000004</v>
      </c>
      <c r="D194" s="2">
        <v>25.59569145464652</v>
      </c>
    </row>
    <row r="195" spans="1:4" ht="15.4" x14ac:dyDescent="0.4">
      <c r="A195" s="2">
        <v>33.129100000000001</v>
      </c>
      <c r="B195" s="2">
        <v>33.6648</v>
      </c>
      <c r="C195" s="2">
        <v>44.223199999999999</v>
      </c>
      <c r="D195" s="2">
        <v>34.045877828809637</v>
      </c>
    </row>
    <row r="196" spans="1:4" ht="15.4" x14ac:dyDescent="0.4">
      <c r="A196" s="2">
        <v>33.79</v>
      </c>
      <c r="B196" s="2">
        <v>29.888311778061301</v>
      </c>
      <c r="C196" s="2">
        <v>26.3811</v>
      </c>
      <c r="D196" s="2">
        <v>25.475735908625989</v>
      </c>
    </row>
    <row r="197" spans="1:4" ht="15.4" x14ac:dyDescent="0.4">
      <c r="A197" s="2">
        <v>33.880000000000003</v>
      </c>
      <c r="B197" s="2">
        <v>33.862212678806202</v>
      </c>
      <c r="C197" s="2">
        <v>52.179099999999998</v>
      </c>
      <c r="D197" s="2">
        <v>34.030748764078425</v>
      </c>
    </row>
    <row r="198" spans="1:4" ht="15.4" x14ac:dyDescent="0.4">
      <c r="A198" s="2">
        <v>33.950000000000003</v>
      </c>
      <c r="B198" s="2">
        <v>31.7648473896108</v>
      </c>
      <c r="C198" s="2">
        <v>34.546399999999998</v>
      </c>
      <c r="D198" s="2">
        <v>30.848729605632105</v>
      </c>
    </row>
    <row r="199" spans="1:4" ht="15.4" x14ac:dyDescent="0.4">
      <c r="A199" s="2">
        <v>34.75</v>
      </c>
      <c r="B199" s="2">
        <v>35.500722202847399</v>
      </c>
      <c r="C199" s="2">
        <v>39.167999999999999</v>
      </c>
      <c r="D199" s="2">
        <v>31.782931193851105</v>
      </c>
    </row>
    <row r="200" spans="1:4" ht="15.4" x14ac:dyDescent="0.4">
      <c r="A200" s="2">
        <v>34.770000000000003</v>
      </c>
      <c r="B200" s="2">
        <v>34.1261518477545</v>
      </c>
      <c r="C200" s="1">
        <v>38.222999999999999</v>
      </c>
      <c r="D200" s="1">
        <v>32.761450752758073</v>
      </c>
    </row>
    <row r="201" spans="1:4" ht="15.4" x14ac:dyDescent="0.4">
      <c r="A201" s="2">
        <v>35.72</v>
      </c>
      <c r="B201" s="2">
        <v>31.2963248903033</v>
      </c>
      <c r="C201" s="2">
        <v>27.079599999999999</v>
      </c>
      <c r="D201" s="2">
        <v>25.948859175215539</v>
      </c>
    </row>
    <row r="202" spans="1:4" ht="15.4" x14ac:dyDescent="0.4">
      <c r="A202" s="2">
        <v>36.218699999999998</v>
      </c>
      <c r="B202" s="2">
        <v>36.098700000000001</v>
      </c>
      <c r="C202" s="2">
        <v>39.703400000000002</v>
      </c>
      <c r="D202" s="2">
        <v>33.615026644307214</v>
      </c>
    </row>
    <row r="203" spans="1:4" ht="15.4" x14ac:dyDescent="0.4">
      <c r="A203" s="2">
        <v>36.31</v>
      </c>
      <c r="B203" s="2">
        <v>32.724058111303599</v>
      </c>
      <c r="C203" s="2">
        <v>27.8017</v>
      </c>
      <c r="D203" s="2">
        <v>26.428252397962311</v>
      </c>
    </row>
    <row r="204" spans="1:4" ht="15.4" x14ac:dyDescent="0.4">
      <c r="A204" s="2">
        <v>36.590000000000003</v>
      </c>
      <c r="B204" s="2">
        <v>58.011318769388403</v>
      </c>
      <c r="C204" s="2">
        <v>54.686700000000002</v>
      </c>
      <c r="D204" s="2">
        <v>36.590000000000018</v>
      </c>
    </row>
    <row r="205" spans="1:4" ht="15.4" x14ac:dyDescent="0.4">
      <c r="A205" s="2">
        <v>37.85</v>
      </c>
      <c r="B205" s="2">
        <v>36.589355284075303</v>
      </c>
      <c r="C205" s="2">
        <v>42.302500000000002</v>
      </c>
      <c r="D205" s="2">
        <v>34.765479222448207</v>
      </c>
    </row>
    <row r="206" spans="1:4" ht="15.4" x14ac:dyDescent="0.4">
      <c r="A206" s="2">
        <v>38.875300000000003</v>
      </c>
      <c r="B206" s="2">
        <v>38.834800000000001</v>
      </c>
      <c r="C206" s="2">
        <v>44.223199999999999</v>
      </c>
      <c r="D206" s="2">
        <v>35.756921830071256</v>
      </c>
    </row>
    <row r="207" spans="1:4" ht="15.4" x14ac:dyDescent="0.4">
      <c r="A207" s="2">
        <v>41.21</v>
      </c>
      <c r="B207" s="2">
        <v>41.178890845898998</v>
      </c>
      <c r="C207" s="2">
        <v>80.721800000000002</v>
      </c>
      <c r="D207" s="2">
        <v>40.427750740800157</v>
      </c>
    </row>
    <row r="208" spans="1:4" ht="15.4" x14ac:dyDescent="0.4">
      <c r="A208" s="2">
        <v>42.04</v>
      </c>
      <c r="B208" s="2">
        <v>41.729206672913001</v>
      </c>
      <c r="C208" s="2">
        <v>352.45589999999999</v>
      </c>
      <c r="D208" s="2">
        <v>47.827321074842878</v>
      </c>
    </row>
    <row r="209" spans="1:4" ht="15.4" x14ac:dyDescent="0.4">
      <c r="A209" s="2">
        <v>42.19</v>
      </c>
      <c r="B209" s="2">
        <v>38.659731238486003</v>
      </c>
      <c r="C209" s="2">
        <v>80.721800000000002</v>
      </c>
      <c r="D209" s="2">
        <v>39.292598292917219</v>
      </c>
    </row>
    <row r="210" spans="1:4" ht="15.4" x14ac:dyDescent="0.4">
      <c r="A210" s="2">
        <v>42.396500000000003</v>
      </c>
      <c r="B210" s="2">
        <v>41.583799999999997</v>
      </c>
      <c r="C210" s="2">
        <v>49.2727</v>
      </c>
      <c r="D210" s="2">
        <v>38.008737774925947</v>
      </c>
    </row>
    <row r="211" spans="1:4" ht="15.4" x14ac:dyDescent="0.4">
      <c r="A211" s="2">
        <v>42.53</v>
      </c>
      <c r="B211" s="2">
        <v>61.802113231425601</v>
      </c>
      <c r="C211" s="2">
        <v>64.047499999999999</v>
      </c>
      <c r="D211" s="2">
        <v>39.739718896408149</v>
      </c>
    </row>
    <row r="212" spans="1:4" ht="15.4" x14ac:dyDescent="0.4">
      <c r="A212" s="2">
        <v>43.55</v>
      </c>
      <c r="B212" s="2">
        <v>39.1091916350126</v>
      </c>
      <c r="C212" s="2">
        <v>46.818199999999997</v>
      </c>
      <c r="D212" s="2">
        <v>36.867512973306354</v>
      </c>
    </row>
    <row r="213" spans="1:4" ht="15.4" x14ac:dyDescent="0.4">
      <c r="A213" s="2">
        <v>46.227600000000002</v>
      </c>
      <c r="B213" s="2">
        <v>44.323700000000002</v>
      </c>
      <c r="C213" s="2">
        <v>54.895099999999999</v>
      </c>
      <c r="D213" s="2">
        <v>40.379158918780327</v>
      </c>
    </row>
    <row r="214" spans="1:4" ht="15.4" x14ac:dyDescent="0.4">
      <c r="A214" s="2">
        <v>48.19</v>
      </c>
      <c r="B214" s="2">
        <v>41.649154452697303</v>
      </c>
      <c r="C214" s="1">
        <v>51.809600000000003</v>
      </c>
      <c r="D214" s="1">
        <v>39.074921500144661</v>
      </c>
    </row>
    <row r="215" spans="1:4" ht="15.4" x14ac:dyDescent="0.4">
      <c r="A215" s="2">
        <v>51.14</v>
      </c>
      <c r="B215" s="2">
        <v>44.545564721689203</v>
      </c>
      <c r="C215" s="2">
        <v>108.2778</v>
      </c>
      <c r="D215" s="2">
        <v>44.670175601576226</v>
      </c>
    </row>
    <row r="216" spans="1:4" ht="15.4" x14ac:dyDescent="0.4">
      <c r="A216" s="2">
        <v>53.57</v>
      </c>
      <c r="B216" s="2">
        <v>65.397316796434197</v>
      </c>
      <c r="C216" s="2">
        <v>75.177899999999994</v>
      </c>
      <c r="D216" s="2">
        <v>43.159609120521203</v>
      </c>
    </row>
    <row r="217" spans="1:4" ht="15.4" x14ac:dyDescent="0.4">
      <c r="A217" s="2">
        <v>56.89</v>
      </c>
      <c r="B217" s="2">
        <v>44.182043245224897</v>
      </c>
      <c r="C217" s="2">
        <v>57.307400000000001</v>
      </c>
      <c r="D217" s="2">
        <v>41.395832157821779</v>
      </c>
    </row>
    <row r="218" spans="1:4" ht="15.4" x14ac:dyDescent="0.4">
      <c r="A218" s="2">
        <v>57.127099999999999</v>
      </c>
      <c r="B218" s="2">
        <v>56.616700000000002</v>
      </c>
      <c r="C218" s="2">
        <v>57.947299999999998</v>
      </c>
      <c r="D218" s="2">
        <v>45.303713970656531</v>
      </c>
    </row>
    <row r="219" spans="1:4" ht="15.4" x14ac:dyDescent="0.4">
      <c r="A219" s="2">
        <v>60.5289</v>
      </c>
      <c r="B219" s="2">
        <v>58.598199999999999</v>
      </c>
      <c r="C219" s="2">
        <v>61.156599999999997</v>
      </c>
      <c r="D219" s="2">
        <v>46.936050048887545</v>
      </c>
    </row>
    <row r="220" spans="1:4" ht="15.4" x14ac:dyDescent="0.4">
      <c r="A220" s="2">
        <v>61.16</v>
      </c>
      <c r="B220" s="2">
        <v>50.894801940773803</v>
      </c>
      <c r="C220" s="2">
        <v>84.362700000000004</v>
      </c>
      <c r="D220" s="2">
        <v>30.539387345016241</v>
      </c>
    </row>
    <row r="221" spans="1:4" ht="15.4" x14ac:dyDescent="0.4">
      <c r="A221" s="2">
        <v>64.156700000000001</v>
      </c>
      <c r="B221" s="2">
        <v>60.168300000000002</v>
      </c>
      <c r="C221" s="1">
        <v>63.8459</v>
      </c>
      <c r="D221" s="1">
        <v>48.281887624726124</v>
      </c>
    </row>
    <row r="222" spans="1:4" ht="15.4" x14ac:dyDescent="0.4">
      <c r="A222" s="2">
        <v>64.61</v>
      </c>
      <c r="B222" s="2">
        <v>41.6957313796674</v>
      </c>
      <c r="C222" s="1">
        <v>108.2778</v>
      </c>
      <c r="D222" s="1">
        <v>43.130110465145968</v>
      </c>
    </row>
    <row r="223" spans="1:4" ht="15.4" x14ac:dyDescent="0.4">
      <c r="A223" s="2">
        <v>66.13</v>
      </c>
      <c r="B223" s="2">
        <v>68.825734930786595</v>
      </c>
      <c r="C223" s="1">
        <v>88.242099999999994</v>
      </c>
      <c r="D223" s="1">
        <v>46.885989790130502</v>
      </c>
    </row>
    <row r="224" spans="1:4" ht="15.4" x14ac:dyDescent="0.4">
      <c r="A224" s="2">
        <v>66.379099999999994</v>
      </c>
      <c r="B224" s="2">
        <v>65.855999999999995</v>
      </c>
      <c r="C224" s="1">
        <v>64.535499999999999</v>
      </c>
      <c r="D224" s="1">
        <v>50.303369573193393</v>
      </c>
    </row>
    <row r="225" spans="1:4" ht="15.4" x14ac:dyDescent="0.4">
      <c r="A225" s="2">
        <v>68.2179</v>
      </c>
      <c r="B225" s="2">
        <v>62.497599999999998</v>
      </c>
      <c r="C225" s="1">
        <v>68.088999999999999</v>
      </c>
      <c r="D225" s="1">
        <v>50.37072740877727</v>
      </c>
    </row>
    <row r="226" spans="1:4" ht="15.4" x14ac:dyDescent="0.4">
      <c r="A226" s="2">
        <v>69.976600000000005</v>
      </c>
      <c r="B226" s="2">
        <v>68.087599999999995</v>
      </c>
      <c r="C226" s="1">
        <v>68.088999999999999</v>
      </c>
      <c r="D226" s="1">
        <v>52.21342798557869</v>
      </c>
    </row>
    <row r="227" spans="1:4" ht="15.4" x14ac:dyDescent="0.4">
      <c r="A227" s="2">
        <v>73.7</v>
      </c>
      <c r="B227" s="2">
        <v>91.6315809044291</v>
      </c>
      <c r="C227" s="1">
        <v>84.362700000000004</v>
      </c>
      <c r="D227" s="1">
        <v>36.457850400483608</v>
      </c>
    </row>
    <row r="228" spans="1:4" ht="15.4" x14ac:dyDescent="0.4">
      <c r="A228" s="2">
        <v>74.287899999999993</v>
      </c>
      <c r="B228" s="2">
        <v>70.294899999999998</v>
      </c>
      <c r="C228" s="1">
        <v>71.822199999999995</v>
      </c>
      <c r="D228" s="1">
        <v>54.19616699981961</v>
      </c>
    </row>
    <row r="229" spans="1:4" ht="15.4" x14ac:dyDescent="0.4">
      <c r="A229" s="2">
        <v>78.462800000000001</v>
      </c>
      <c r="B229" s="2">
        <v>72.478200000000001</v>
      </c>
      <c r="C229" s="1">
        <v>75.744799999999998</v>
      </c>
      <c r="D229" s="1">
        <v>56.255815482991046</v>
      </c>
    </row>
    <row r="230" spans="1:4" ht="15.4" x14ac:dyDescent="0.4">
      <c r="A230" s="2">
        <v>82.06</v>
      </c>
      <c r="B230" s="2">
        <v>95.520861792800204</v>
      </c>
      <c r="C230" s="1">
        <v>117.0325</v>
      </c>
      <c r="D230" s="1">
        <v>54.228533063380361</v>
      </c>
    </row>
    <row r="231" spans="1:4" ht="15.4" x14ac:dyDescent="0.4">
      <c r="A231" s="2">
        <v>87.02</v>
      </c>
      <c r="B231" s="2">
        <v>103.42251188543599</v>
      </c>
      <c r="C231" s="1">
        <v>181.53229999999999</v>
      </c>
      <c r="D231" s="1">
        <v>63.00056388728261</v>
      </c>
    </row>
    <row r="232" spans="1:4" ht="15.4" x14ac:dyDescent="0.4">
      <c r="A232" s="2">
        <v>103.34</v>
      </c>
      <c r="B232" s="2">
        <v>80.773158176360994</v>
      </c>
      <c r="C232" s="1">
        <v>352.45589999999999</v>
      </c>
      <c r="D232" s="1">
        <v>71.715561415985363</v>
      </c>
    </row>
    <row r="233" spans="1:4" ht="15.4" x14ac:dyDescent="0.4">
      <c r="A233" s="2">
        <v>129.82</v>
      </c>
      <c r="B233" s="2">
        <v>129.140898596195</v>
      </c>
      <c r="C233" s="1">
        <v>352.45589999999999</v>
      </c>
      <c r="D233" s="1">
        <v>91.795273009349501</v>
      </c>
    </row>
    <row r="234" spans="1:4" ht="15.4" x14ac:dyDescent="0.4">
      <c r="A234" s="2">
        <v>155.25</v>
      </c>
      <c r="B234" s="2">
        <v>234.49120139057399</v>
      </c>
      <c r="C234" s="1">
        <v>352.45589999999999</v>
      </c>
      <c r="D234" s="1">
        <v>117.71081185995557</v>
      </c>
    </row>
    <row r="235" spans="1:4" ht="15.4" x14ac:dyDescent="0.4">
      <c r="A235" s="2">
        <v>237.9</v>
      </c>
      <c r="B235" s="2">
        <v>322.095770125115</v>
      </c>
      <c r="C235" s="1">
        <v>352.45589999999999</v>
      </c>
      <c r="D235" s="1">
        <v>130.31611302754675</v>
      </c>
    </row>
    <row r="236" spans="1:4" ht="15.4" x14ac:dyDescent="0.4">
      <c r="A236" s="2">
        <v>442.68</v>
      </c>
      <c r="B236" s="2">
        <v>430.35414918112298</v>
      </c>
      <c r="C236" s="1">
        <v>962.10421721501098</v>
      </c>
      <c r="D236" s="1">
        <v>533.69025626638404</v>
      </c>
    </row>
    <row r="237" spans="1:4" ht="15.4" x14ac:dyDescent="0.4">
      <c r="A237" s="2">
        <v>537.78</v>
      </c>
      <c r="B237" s="2">
        <v>538.52050101059694</v>
      </c>
      <c r="C237" s="1">
        <v>1102.6204214188399</v>
      </c>
      <c r="D237" s="1">
        <v>607.68216327496941</v>
      </c>
    </row>
    <row r="238" spans="1:4" ht="15.4" x14ac:dyDescent="0.4">
      <c r="A238" s="2">
        <v>577.66</v>
      </c>
      <c r="B238" s="2">
        <v>552.50563544854901</v>
      </c>
      <c r="C238" s="1">
        <v>1172.0751459524899</v>
      </c>
      <c r="D238" s="1">
        <v>628.15792763549553</v>
      </c>
    </row>
    <row r="239" spans="1:4" ht="15.4" x14ac:dyDescent="0.4">
      <c r="A239" s="2">
        <v>672.03</v>
      </c>
      <c r="B239" s="2">
        <v>588.70507725621701</v>
      </c>
      <c r="C239" s="1">
        <v>976.573413294842</v>
      </c>
      <c r="D239" s="1">
        <v>652.82729897666547</v>
      </c>
    </row>
    <row r="240" spans="1:4" ht="15.4" x14ac:dyDescent="0.4">
      <c r="A240" s="2">
        <v>744.63</v>
      </c>
      <c r="B240" s="2">
        <v>573.60743557615001</v>
      </c>
      <c r="C240" s="1">
        <v>1268.3865428056499</v>
      </c>
      <c r="D240" s="1">
        <v>649.23728398418859</v>
      </c>
    </row>
    <row r="241" spans="1:4" ht="15.4" x14ac:dyDescent="0.4">
      <c r="A241" s="2">
        <v>851.13</v>
      </c>
      <c r="B241" s="2">
        <v>818.26051527965296</v>
      </c>
      <c r="C241" s="1">
        <v>1013.3242977533999</v>
      </c>
      <c r="D241" s="1">
        <v>807.77354543257275</v>
      </c>
    </row>
    <row r="242" spans="1:4" ht="15.4" x14ac:dyDescent="0.4">
      <c r="A242" s="2">
        <v>888.17</v>
      </c>
      <c r="B242" s="2">
        <v>940.97794034196602</v>
      </c>
      <c r="C242" s="1">
        <v>1009.66734671365</v>
      </c>
      <c r="D242" s="1">
        <v>877.26081137933488</v>
      </c>
    </row>
    <row r="243" spans="1:4" ht="15.4" x14ac:dyDescent="0.4">
      <c r="A243" s="2">
        <v>904</v>
      </c>
      <c r="B243" s="2">
        <v>986.605758474239</v>
      </c>
      <c r="C243" s="1">
        <v>1018.18731228876</v>
      </c>
      <c r="D243" s="1">
        <v>905.85429093609378</v>
      </c>
    </row>
    <row r="244" spans="1:4" ht="15.4" x14ac:dyDescent="0.4">
      <c r="B244" s="2"/>
      <c r="C244" s="1"/>
      <c r="D244" s="1"/>
    </row>
    <row r="245" spans="1:4" ht="15.4" x14ac:dyDescent="0.4">
      <c r="B245" s="2"/>
      <c r="C245" s="1"/>
      <c r="D245" s="1"/>
    </row>
    <row r="246" spans="1:4" ht="15.4" x14ac:dyDescent="0.4">
      <c r="B246" s="2"/>
      <c r="C246" s="1"/>
      <c r="D246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D714-F1CD-4E5B-A3F0-CBD6D48CB949}">
  <dimension ref="A1:C246"/>
  <sheetViews>
    <sheetView workbookViewId="0">
      <pane ySplit="1" topLeftCell="A14" activePane="bottomLeft" state="frozen"/>
      <selection pane="bottomLeft" activeCell="D8" sqref="D8"/>
    </sheetView>
  </sheetViews>
  <sheetFormatPr defaultRowHeight="13.9" x14ac:dyDescent="0.4"/>
  <cols>
    <col min="1" max="1" width="12.265625" bestFit="1" customWidth="1"/>
    <col min="2" max="2" width="18.3984375" customWidth="1"/>
    <col min="3" max="3" width="12.265625" bestFit="1" customWidth="1"/>
  </cols>
  <sheetData>
    <row r="1" spans="1:3" ht="30" x14ac:dyDescent="0.4">
      <c r="A1" s="13" t="s">
        <v>5</v>
      </c>
      <c r="B1" s="13" t="s">
        <v>6</v>
      </c>
      <c r="C1" s="13" t="s">
        <v>7</v>
      </c>
    </row>
    <row r="2" spans="1:3" ht="15.4" x14ac:dyDescent="0.4">
      <c r="A2" s="3">
        <v>4.7096816405386095</v>
      </c>
      <c r="B2" s="3">
        <v>0.96200210128682218</v>
      </c>
      <c r="C2" s="3">
        <v>4.2229729729729772</v>
      </c>
    </row>
    <row r="3" spans="1:3" ht="15.4" x14ac:dyDescent="0.4">
      <c r="A3" s="3">
        <v>5.9904193241791495</v>
      </c>
      <c r="B3" s="3">
        <v>1.7807798214774999</v>
      </c>
      <c r="C3" s="3">
        <v>11.446945337620585</v>
      </c>
    </row>
    <row r="4" spans="1:3" ht="15.4" x14ac:dyDescent="0.4">
      <c r="A4" s="3">
        <v>15.875975740004348</v>
      </c>
      <c r="B4" s="3">
        <v>0.46734833797077424</v>
      </c>
      <c r="C4" s="3">
        <v>14.26273458445041</v>
      </c>
    </row>
    <row r="5" spans="1:3" ht="15.4" x14ac:dyDescent="0.4">
      <c r="A5" s="3">
        <v>27.840675218253192</v>
      </c>
      <c r="B5" s="3">
        <v>5.1181993156162422</v>
      </c>
      <c r="C5" s="3">
        <v>4.9899799599198467</v>
      </c>
    </row>
    <row r="6" spans="1:3" ht="15.4" x14ac:dyDescent="0.4">
      <c r="A6" s="3">
        <v>39.552266837532741</v>
      </c>
      <c r="B6" s="3">
        <v>13.53986929084331</v>
      </c>
      <c r="C6" s="3">
        <v>16.886930983847297</v>
      </c>
    </row>
    <row r="7" spans="1:3" ht="15.4" x14ac:dyDescent="0.4">
      <c r="A7" s="3">
        <v>9.3992955274612893</v>
      </c>
      <c r="B7" s="3">
        <v>7.3925379902424133</v>
      </c>
      <c r="C7" s="3">
        <v>26.285714285714278</v>
      </c>
    </row>
    <row r="8" spans="1:3" ht="15.4" x14ac:dyDescent="0.4">
      <c r="A8" s="3">
        <v>27.669433550901836</v>
      </c>
      <c r="B8" s="3">
        <v>37.406756876538061</v>
      </c>
      <c r="C8" s="3">
        <v>0.72096128170893992</v>
      </c>
    </row>
    <row r="9" spans="1:3" ht="15.4" x14ac:dyDescent="0.4">
      <c r="A9" s="3">
        <v>59.762428808126913</v>
      </c>
      <c r="B9" s="3">
        <v>157.57403290448471</v>
      </c>
      <c r="C9" s="3">
        <v>54.616925388082116</v>
      </c>
    </row>
    <row r="10" spans="1:3" ht="15.4" x14ac:dyDescent="0.4">
      <c r="A10" s="3">
        <v>6.4066205594833185</v>
      </c>
      <c r="B10" s="3">
        <v>12.388465754922935</v>
      </c>
      <c r="C10" s="3">
        <v>18.352941176470576</v>
      </c>
    </row>
    <row r="11" spans="1:3" ht="15.4" x14ac:dyDescent="0.4">
      <c r="A11" s="3">
        <v>18.164021876462051</v>
      </c>
      <c r="B11" s="3">
        <v>22.674913217001354</v>
      </c>
      <c r="C11" s="3">
        <v>7.8181818181818148</v>
      </c>
    </row>
    <row r="12" spans="1:3" ht="15.4" x14ac:dyDescent="0.4">
      <c r="A12" s="3">
        <v>32.311749807718421</v>
      </c>
      <c r="B12" s="3">
        <v>32.562347922342347</v>
      </c>
      <c r="C12" s="3">
        <v>15.533333333333326</v>
      </c>
    </row>
    <row r="13" spans="1:3" ht="15.4" x14ac:dyDescent="0.4">
      <c r="A13" s="3">
        <v>7.3725044792018855</v>
      </c>
      <c r="B13" s="3">
        <v>2.460722193137872</v>
      </c>
      <c r="C13" s="3">
        <v>6.3257575757575717</v>
      </c>
    </row>
    <row r="14" spans="1:3" ht="15.4" x14ac:dyDescent="0.4">
      <c r="A14" s="3">
        <v>18.001873110213161</v>
      </c>
      <c r="B14" s="3">
        <v>2.7243074941151648</v>
      </c>
      <c r="C14" s="3">
        <v>5.6965944272445732</v>
      </c>
    </row>
    <row r="15" spans="1:3" ht="15.4" x14ac:dyDescent="0.4">
      <c r="A15" s="3">
        <v>28.012353727388462</v>
      </c>
      <c r="B15" s="3">
        <v>5.3330573793117155</v>
      </c>
      <c r="C15" s="3">
        <v>6.5336658354114716</v>
      </c>
    </row>
    <row r="16" spans="1:3" ht="15.4" x14ac:dyDescent="0.4">
      <c r="A16" s="3">
        <v>32.558455358688192</v>
      </c>
      <c r="B16" s="3">
        <v>20.112198105675105</v>
      </c>
      <c r="C16" s="3">
        <v>15.723404255319142</v>
      </c>
    </row>
    <row r="17" spans="1:3" ht="15.4" x14ac:dyDescent="0.4">
      <c r="A17" s="3">
        <v>43.451034599585356</v>
      </c>
      <c r="B17" s="3">
        <v>29.724526592183743</v>
      </c>
      <c r="C17" s="3">
        <v>32.351046698872786</v>
      </c>
    </row>
    <row r="18" spans="1:3" ht="15.4" x14ac:dyDescent="0.4">
      <c r="A18" s="3">
        <v>1.7988295449521559E-14</v>
      </c>
      <c r="B18" s="3">
        <v>20.887172188730268</v>
      </c>
      <c r="C18" s="3">
        <v>11.567212725896121</v>
      </c>
    </row>
    <row r="19" spans="1:3" ht="15.4" x14ac:dyDescent="0.4">
      <c r="A19" s="3">
        <v>0.59772971613164483</v>
      </c>
      <c r="B19" s="3">
        <v>28.603264079028897</v>
      </c>
      <c r="C19" s="3">
        <v>15.188630303598089</v>
      </c>
    </row>
    <row r="20" spans="1:3" ht="15.4" x14ac:dyDescent="0.4">
      <c r="A20" s="3">
        <v>0.72455806265414535</v>
      </c>
      <c r="B20" s="3">
        <v>37.420287547288943</v>
      </c>
      <c r="C20" s="3">
        <v>17.730360178238648</v>
      </c>
    </row>
    <row r="21" spans="1:3" ht="15.4" x14ac:dyDescent="0.4">
      <c r="A21" s="3">
        <v>1.8492070360037531</v>
      </c>
      <c r="B21" s="3">
        <v>62.620138684860649</v>
      </c>
      <c r="C21" s="3">
        <v>24.580976781815441</v>
      </c>
    </row>
    <row r="22" spans="1:3" ht="15.4" x14ac:dyDescent="0.4">
      <c r="A22" s="3">
        <v>63.165062753601894</v>
      </c>
      <c r="B22" s="3">
        <v>6.8213959703845601</v>
      </c>
      <c r="C22" s="3">
        <v>3.0918404683497913</v>
      </c>
    </row>
    <row r="23" spans="1:3" ht="15.4" x14ac:dyDescent="0.4">
      <c r="A23" s="3">
        <v>57.461365308043902</v>
      </c>
      <c r="B23" s="3">
        <v>60.469862710865428</v>
      </c>
      <c r="C23" s="3">
        <v>0.38500167392031615</v>
      </c>
    </row>
    <row r="24" spans="1:3" ht="15.4" x14ac:dyDescent="0.4">
      <c r="A24" s="3">
        <v>35.036349985022483</v>
      </c>
      <c r="B24" s="3">
        <v>33.166352726879374</v>
      </c>
      <c r="C24" s="3">
        <v>56.528459642872775</v>
      </c>
    </row>
    <row r="25" spans="1:3" ht="15.4" x14ac:dyDescent="0.4">
      <c r="A25" s="3">
        <v>54.857449974332127</v>
      </c>
      <c r="B25" s="3">
        <v>2.9278629146584936</v>
      </c>
      <c r="C25" s="3">
        <v>9.9009152106497389</v>
      </c>
    </row>
    <row r="26" spans="1:3" ht="15.4" x14ac:dyDescent="0.4">
      <c r="A26" s="3">
        <v>57.938606336441204</v>
      </c>
      <c r="B26" s="3">
        <v>28.201996889715701</v>
      </c>
      <c r="C26" s="3">
        <v>2.1864740643466911</v>
      </c>
    </row>
    <row r="27" spans="1:3" ht="15.4" x14ac:dyDescent="0.4">
      <c r="A27" s="3">
        <v>65.459867320793535</v>
      </c>
      <c r="B27" s="3">
        <v>12.124660477918093</v>
      </c>
      <c r="C27" s="3">
        <v>28.039830479275047</v>
      </c>
    </row>
    <row r="28" spans="1:3" ht="15.4" x14ac:dyDescent="0.4">
      <c r="A28" s="3">
        <v>61.022461481318835</v>
      </c>
      <c r="B28" s="3">
        <v>47.354701678165576</v>
      </c>
      <c r="C28" s="3">
        <v>12.755991285403059</v>
      </c>
    </row>
    <row r="29" spans="1:3" ht="15.4" x14ac:dyDescent="0.4">
      <c r="A29" s="3">
        <v>69.418666291651633</v>
      </c>
      <c r="B29" s="3">
        <v>24.068252903380721</v>
      </c>
      <c r="C29" s="3">
        <v>40.874071356507393</v>
      </c>
    </row>
    <row r="30" spans="1:3" ht="15.4" x14ac:dyDescent="0.4">
      <c r="A30" s="3">
        <v>48.202759087820105</v>
      </c>
      <c r="B30" s="3">
        <v>47.570768455437204</v>
      </c>
      <c r="C30" s="3">
        <v>19.217758985200842</v>
      </c>
    </row>
    <row r="31" spans="1:3" ht="15.4" x14ac:dyDescent="0.4">
      <c r="A31" s="3">
        <v>46.293989381524995</v>
      </c>
      <c r="B31" s="3">
        <v>44.32644775718736</v>
      </c>
      <c r="C31" s="3">
        <v>62.665369649805434</v>
      </c>
    </row>
    <row r="32" spans="1:3" ht="15.4" x14ac:dyDescent="0.4">
      <c r="A32" s="3">
        <v>81.018522672189093</v>
      </c>
      <c r="B32" s="3">
        <v>78.150996596499695</v>
      </c>
      <c r="C32" s="3">
        <v>42.404340208597908</v>
      </c>
    </row>
    <row r="33" spans="1:3" ht="15.4" x14ac:dyDescent="0.4">
      <c r="A33" s="3">
        <v>87.36267954696099</v>
      </c>
      <c r="B33" s="3">
        <v>83.913598085118522</v>
      </c>
      <c r="C33" s="3">
        <v>22.071243895432346</v>
      </c>
    </row>
    <row r="34" spans="1:3" ht="15.4" x14ac:dyDescent="0.4">
      <c r="A34" s="3">
        <v>87.414613584913681</v>
      </c>
      <c r="B34" s="3">
        <v>81.225633319821981</v>
      </c>
      <c r="C34" s="3">
        <v>9.0336715867158492</v>
      </c>
    </row>
    <row r="35" spans="1:3" ht="15.4" x14ac:dyDescent="0.4">
      <c r="A35" s="3">
        <v>87.013064716225244</v>
      </c>
      <c r="B35" s="3">
        <v>74.899832791782231</v>
      </c>
      <c r="C35" s="3">
        <v>5.5358114233907507</v>
      </c>
    </row>
    <row r="36" spans="1:3" ht="15.4" x14ac:dyDescent="0.4">
      <c r="A36" s="3">
        <v>84.873472371620224</v>
      </c>
      <c r="B36" s="3">
        <v>53.977078195605024</v>
      </c>
      <c r="C36" s="3">
        <v>16.531505250875146</v>
      </c>
    </row>
    <row r="37" spans="1:3" ht="15.4" x14ac:dyDescent="0.4">
      <c r="A37" s="3">
        <v>8.4193851660885599</v>
      </c>
      <c r="B37" s="3">
        <v>6.2189343621508364</v>
      </c>
      <c r="C37" s="3">
        <v>7.9391651159714973</v>
      </c>
    </row>
    <row r="38" spans="1:3" ht="15.4" x14ac:dyDescent="0.4">
      <c r="A38" s="3">
        <v>11.32018655497162</v>
      </c>
      <c r="B38" s="3">
        <v>4.9534004185237652</v>
      </c>
      <c r="C38" s="3">
        <v>8.2315534527335732</v>
      </c>
    </row>
    <row r="39" spans="1:3" ht="15.4" x14ac:dyDescent="0.4">
      <c r="A39" s="3">
        <v>14.039721327106855</v>
      </c>
      <c r="B39" s="3">
        <v>9.0632198772662971</v>
      </c>
      <c r="C39" s="3">
        <v>44.504234573568397</v>
      </c>
    </row>
    <row r="40" spans="1:3" ht="15.4" x14ac:dyDescent="0.4">
      <c r="A40" s="3">
        <v>35.13046034556038</v>
      </c>
      <c r="B40" s="3">
        <v>4.949705322870912E-2</v>
      </c>
      <c r="C40" s="3">
        <v>35.657191255547147</v>
      </c>
    </row>
    <row r="41" spans="1:3" ht="15.4" x14ac:dyDescent="0.4">
      <c r="A41" s="3">
        <v>44.222418536847179</v>
      </c>
      <c r="B41" s="3">
        <v>10.897687075073865</v>
      </c>
      <c r="C41" s="3">
        <v>42.821969696969688</v>
      </c>
    </row>
    <row r="42" spans="1:3" ht="15.4" x14ac:dyDescent="0.4">
      <c r="A42" s="3">
        <v>50.521955996862388</v>
      </c>
      <c r="B42" s="3">
        <v>36.992917256527704</v>
      </c>
      <c r="C42" s="3">
        <v>10.821355236139624</v>
      </c>
    </row>
    <row r="43" spans="1:3" ht="15.4" x14ac:dyDescent="0.4">
      <c r="A43" s="3">
        <v>43.609266773726723</v>
      </c>
      <c r="B43" s="3">
        <v>140.78205146344104</v>
      </c>
      <c r="C43" s="3">
        <v>8.447949526813888</v>
      </c>
    </row>
    <row r="44" spans="1:3" ht="15.4" x14ac:dyDescent="0.4">
      <c r="A44" s="3">
        <v>4.7055686402127668</v>
      </c>
      <c r="B44" s="3">
        <v>1.4458968465119111</v>
      </c>
      <c r="C44" s="3">
        <v>31.815775542615132</v>
      </c>
    </row>
    <row r="45" spans="1:3" ht="15.4" x14ac:dyDescent="0.4">
      <c r="A45" s="3">
        <v>2.5842804762435923</v>
      </c>
      <c r="B45" s="3">
        <v>0.81879514944000997</v>
      </c>
      <c r="C45" s="3">
        <v>33.872340425531917</v>
      </c>
    </row>
    <row r="46" spans="1:3" ht="15.4" x14ac:dyDescent="0.4">
      <c r="A46" s="3">
        <v>48.447543417435753</v>
      </c>
      <c r="B46" s="3">
        <v>24.699724873413885</v>
      </c>
      <c r="C46" s="3">
        <v>46.316725978647675</v>
      </c>
    </row>
    <row r="47" spans="1:3" ht="15.4" x14ac:dyDescent="0.4">
      <c r="A47" s="3">
        <v>64.885632371404881</v>
      </c>
      <c r="B47" s="3">
        <v>48.506168922760004</v>
      </c>
      <c r="C47" s="3">
        <v>3.0813397129186613</v>
      </c>
    </row>
    <row r="48" spans="1:3" ht="15.4" x14ac:dyDescent="0.4">
      <c r="A48" s="3">
        <v>61.346505373811567</v>
      </c>
      <c r="B48" s="3">
        <v>4.1264171686905788</v>
      </c>
      <c r="C48" s="3">
        <v>12.313974591651546</v>
      </c>
    </row>
    <row r="49" spans="1:3" ht="15.4" x14ac:dyDescent="0.4">
      <c r="A49" s="3">
        <v>70.592911996350523</v>
      </c>
      <c r="B49" s="3">
        <v>26.668076838345183</v>
      </c>
      <c r="C49" s="3">
        <v>34.879649890590819</v>
      </c>
    </row>
    <row r="50" spans="1:3" ht="15.4" x14ac:dyDescent="0.4">
      <c r="A50" s="3">
        <v>4.351049821949915</v>
      </c>
      <c r="B50" s="3">
        <v>5.3101102843534385</v>
      </c>
      <c r="C50" s="3">
        <v>4.2302101564183525</v>
      </c>
    </row>
    <row r="51" spans="1:3" ht="15.4" x14ac:dyDescent="0.4">
      <c r="A51" s="3">
        <v>0.44415742313274298</v>
      </c>
      <c r="B51" s="3">
        <v>2.454435366676484</v>
      </c>
      <c r="C51" s="3">
        <v>0.73232722588748789</v>
      </c>
    </row>
    <row r="52" spans="1:3" ht="15.4" x14ac:dyDescent="0.4">
      <c r="A52" s="3">
        <v>0.97836944101282675</v>
      </c>
      <c r="B52" s="3">
        <v>2.2243736490446491</v>
      </c>
      <c r="C52" s="3">
        <v>1.0791114608838874E-2</v>
      </c>
    </row>
    <row r="53" spans="1:3" ht="15.4" x14ac:dyDescent="0.4">
      <c r="A53" s="3">
        <v>3.9085505298486987</v>
      </c>
      <c r="B53" s="3">
        <v>2.8963912351975964E-2</v>
      </c>
      <c r="C53" s="3">
        <v>2.396348494056856</v>
      </c>
    </row>
    <row r="54" spans="1:3" ht="15.4" x14ac:dyDescent="0.4">
      <c r="A54" s="3">
        <v>1.1861357100696117E-14</v>
      </c>
      <c r="B54" s="3">
        <v>6.9708426223175097</v>
      </c>
      <c r="C54" s="3">
        <v>3.6530990656227114</v>
      </c>
    </row>
    <row r="55" spans="1:3" ht="15.4" x14ac:dyDescent="0.4">
      <c r="A55" s="3">
        <v>13.044583037043747</v>
      </c>
      <c r="B55" s="3">
        <v>4.8731297525013995</v>
      </c>
      <c r="C55" s="3">
        <v>8.3106603800632435</v>
      </c>
    </row>
    <row r="56" spans="1:3" ht="15.4" x14ac:dyDescent="0.4">
      <c r="A56" s="3">
        <v>31.816763012942857</v>
      </c>
      <c r="B56" s="3">
        <v>19.576773403734933</v>
      </c>
      <c r="C56" s="3">
        <v>9.101963199206466</v>
      </c>
    </row>
    <row r="57" spans="1:3" ht="15.4" x14ac:dyDescent="0.4">
      <c r="A57" s="3">
        <v>40.146229843398096</v>
      </c>
      <c r="B57" s="3">
        <v>21.668633579563277</v>
      </c>
      <c r="C57" s="3">
        <v>9.222732940966246</v>
      </c>
    </row>
    <row r="58" spans="1:3" ht="15.4" x14ac:dyDescent="0.4">
      <c r="A58" s="3">
        <v>47.590666306976239</v>
      </c>
      <c r="B58" s="3">
        <v>11.767271470141008</v>
      </c>
      <c r="C58" s="3">
        <v>16.914438598147417</v>
      </c>
    </row>
    <row r="59" spans="1:3" ht="15.4" x14ac:dyDescent="0.4">
      <c r="A59" s="3">
        <v>47.021492864780093</v>
      </c>
      <c r="B59" s="3">
        <v>3.5475950291661089</v>
      </c>
      <c r="C59" s="3">
        <v>42.975297912794261</v>
      </c>
    </row>
    <row r="60" spans="1:3" ht="15.4" x14ac:dyDescent="0.4">
      <c r="A60" s="3">
        <v>48.18397463423549</v>
      </c>
      <c r="B60" s="3">
        <v>25.208110146963097</v>
      </c>
      <c r="C60" s="3">
        <v>25.931989822159945</v>
      </c>
    </row>
    <row r="61" spans="1:3" ht="15.4" x14ac:dyDescent="0.4">
      <c r="A61" s="3">
        <v>54.594678550960332</v>
      </c>
      <c r="B61" s="3">
        <v>26.195840997537768</v>
      </c>
      <c r="C61" s="3">
        <v>2.8537445586611221</v>
      </c>
    </row>
    <row r="62" spans="1:3" ht="15.4" x14ac:dyDescent="0.4">
      <c r="A62" s="3">
        <v>51.84934764644742</v>
      </c>
      <c r="B62" s="3">
        <v>57.100716361931383</v>
      </c>
      <c r="C62" s="3">
        <v>0.4338759990993476</v>
      </c>
    </row>
    <row r="63" spans="1:3" ht="15.4" x14ac:dyDescent="0.4">
      <c r="A63" s="3">
        <v>8.4687850595571561</v>
      </c>
      <c r="B63" s="3">
        <v>3.1256338330772655</v>
      </c>
      <c r="C63" s="3">
        <v>5.4958677685950557</v>
      </c>
    </row>
    <row r="64" spans="1:3" ht="15.4" x14ac:dyDescent="0.4">
      <c r="A64" s="3">
        <v>9.8479930061095047</v>
      </c>
      <c r="B64" s="3">
        <v>1.0402511349054195</v>
      </c>
      <c r="C64" s="3">
        <v>16.860465116279062</v>
      </c>
    </row>
    <row r="65" spans="1:3" ht="15.4" x14ac:dyDescent="0.4">
      <c r="A65" s="3">
        <v>17.250890408920824</v>
      </c>
      <c r="B65" s="3">
        <v>1.7668633431863816</v>
      </c>
      <c r="C65" s="3">
        <v>17.755102040816336</v>
      </c>
    </row>
    <row r="66" spans="1:3" ht="15.4" x14ac:dyDescent="0.4">
      <c r="A66" s="3">
        <v>44.39755136117364</v>
      </c>
      <c r="B66" s="3">
        <v>25.967477807432704</v>
      </c>
      <c r="C66" s="3">
        <v>14.113924050632903</v>
      </c>
    </row>
    <row r="67" spans="1:3" ht="15.4" x14ac:dyDescent="0.4">
      <c r="A67" s="3">
        <v>8.6956521739130626</v>
      </c>
      <c r="B67" s="3">
        <v>4.5521084259930493</v>
      </c>
      <c r="C67" s="3">
        <v>5.2608695652173907</v>
      </c>
    </row>
    <row r="68" spans="1:3" ht="15.4" x14ac:dyDescent="0.4">
      <c r="A68" s="3">
        <v>18.392969240426872</v>
      </c>
      <c r="B68" s="3">
        <v>10.487661358781116</v>
      </c>
      <c r="C68" s="3">
        <v>6.5555555555555536</v>
      </c>
    </row>
    <row r="69" spans="1:3" ht="15.4" x14ac:dyDescent="0.4">
      <c r="A69" s="3">
        <v>25.472747497219146</v>
      </c>
      <c r="B69" s="3">
        <v>13.898730608409346</v>
      </c>
      <c r="C69" s="3">
        <v>9.3548387096774288</v>
      </c>
    </row>
    <row r="70" spans="1:3" ht="15.4" x14ac:dyDescent="0.4">
      <c r="A70" s="3">
        <v>28.792569659442751</v>
      </c>
      <c r="B70" s="3">
        <v>13.007679199623237</v>
      </c>
      <c r="C70" s="3">
        <v>16.735294117647044</v>
      </c>
    </row>
    <row r="71" spans="1:3" ht="15.4" x14ac:dyDescent="0.4">
      <c r="A71" s="3">
        <v>27.551020408163279</v>
      </c>
      <c r="B71" s="3">
        <v>6.0176221479799938</v>
      </c>
      <c r="C71" s="3">
        <v>21.771428571428586</v>
      </c>
    </row>
    <row r="72" spans="1:3" ht="15.4" x14ac:dyDescent="0.4">
      <c r="A72" s="3">
        <v>26.262626262626291</v>
      </c>
      <c r="B72" s="3">
        <v>2.0103757632791708</v>
      </c>
      <c r="C72" s="3">
        <v>21.833333333333336</v>
      </c>
    </row>
    <row r="73" spans="1:3" ht="15.4" x14ac:dyDescent="0.4">
      <c r="A73" s="3">
        <v>49.600862542038278</v>
      </c>
      <c r="B73" s="3">
        <v>22.697109774845462</v>
      </c>
      <c r="C73" s="3">
        <v>48.413333333333327</v>
      </c>
    </row>
    <row r="74" spans="1:3" ht="15.4" x14ac:dyDescent="0.4">
      <c r="A74" s="3">
        <v>50.183288222866715</v>
      </c>
      <c r="B74" s="3">
        <v>13.980176164131548</v>
      </c>
      <c r="C74" s="3">
        <v>38.785714285714285</v>
      </c>
    </row>
    <row r="75" spans="1:3" ht="15.4" x14ac:dyDescent="0.4">
      <c r="A75" s="3">
        <v>57.489181410478338</v>
      </c>
      <c r="B75" s="3">
        <v>15.962930459599731</v>
      </c>
      <c r="C75" s="3">
        <v>11.458715596330276</v>
      </c>
    </row>
    <row r="76" spans="1:3" ht="15.4" x14ac:dyDescent="0.4">
      <c r="A76" s="3">
        <v>55.733658841852559</v>
      </c>
      <c r="B76" s="3">
        <v>2.1053978836948275</v>
      </c>
      <c r="C76" s="3">
        <v>8.6896551724137936</v>
      </c>
    </row>
    <row r="77" spans="1:3" ht="15.4" x14ac:dyDescent="0.4">
      <c r="A77" s="3">
        <v>58.710917317969404</v>
      </c>
      <c r="B77" s="3">
        <v>13.577339045290582</v>
      </c>
      <c r="C77" s="3">
        <v>5.4927536231883973</v>
      </c>
    </row>
    <row r="78" spans="1:3" ht="15.4" x14ac:dyDescent="0.4">
      <c r="A78" s="3">
        <v>61.135913726303137</v>
      </c>
      <c r="B78" s="3">
        <v>30.756361858449715</v>
      </c>
      <c r="C78" s="3">
        <v>17.466257668711656</v>
      </c>
    </row>
    <row r="79" spans="1:3" ht="15.4" x14ac:dyDescent="0.4">
      <c r="A79" s="3">
        <v>56.606884798390858</v>
      </c>
      <c r="B79" s="3">
        <v>55.128324162819041</v>
      </c>
      <c r="C79" s="3">
        <v>36.837628865979347</v>
      </c>
    </row>
    <row r="80" spans="1:3" ht="15.4" x14ac:dyDescent="0.4">
      <c r="A80" s="3">
        <v>57.591577847387086</v>
      </c>
      <c r="B80" s="3">
        <v>54.156940203023154</v>
      </c>
      <c r="C80" s="3">
        <v>9.7753378378378439</v>
      </c>
    </row>
    <row r="81" spans="1:3" ht="15.4" x14ac:dyDescent="0.4">
      <c r="A81" s="3">
        <v>57.965785852836724</v>
      </c>
      <c r="B81" s="3">
        <v>48.732320379796718</v>
      </c>
      <c r="C81" s="3">
        <v>31.209532374100728</v>
      </c>
    </row>
    <row r="82" spans="1:3" ht="15.4" x14ac:dyDescent="0.4">
      <c r="A82" s="3">
        <v>52.558876916203268</v>
      </c>
      <c r="B82" s="3">
        <v>31.84632021746518</v>
      </c>
      <c r="C82" s="3">
        <v>42.971217105263136</v>
      </c>
    </row>
    <row r="83" spans="1:3" ht="15.4" x14ac:dyDescent="0.4">
      <c r="A83" s="3">
        <v>63.255993073882081</v>
      </c>
      <c r="B83" s="3">
        <v>34.985243511083965</v>
      </c>
      <c r="C83" s="3">
        <v>1.0245351239669445</v>
      </c>
    </row>
    <row r="84" spans="1:3" ht="15.4" x14ac:dyDescent="0.4">
      <c r="A84" s="3">
        <v>12.251826538839941</v>
      </c>
      <c r="B84" s="3">
        <v>24.943975029866657</v>
      </c>
      <c r="C84" s="3">
        <v>18.740750715653299</v>
      </c>
    </row>
    <row r="85" spans="1:3" ht="15.4" x14ac:dyDescent="0.4">
      <c r="A85" s="3">
        <v>4.5490974933819563</v>
      </c>
      <c r="B85" s="3">
        <v>18.10367503928051</v>
      </c>
      <c r="C85" s="3">
        <v>13.586641707772804</v>
      </c>
    </row>
    <row r="86" spans="1:3" ht="15.4" x14ac:dyDescent="0.4">
      <c r="A86" s="3">
        <v>12.649088642744866</v>
      </c>
      <c r="B86" s="3">
        <v>30.356156188579824</v>
      </c>
      <c r="C86" s="3">
        <v>34.605234825041819</v>
      </c>
    </row>
    <row r="87" spans="1:3" ht="15.4" x14ac:dyDescent="0.4">
      <c r="A87" s="3">
        <v>22.396976453850652</v>
      </c>
      <c r="B87" s="3">
        <v>46.317474039551712</v>
      </c>
      <c r="C87" s="3">
        <v>40.463414634146361</v>
      </c>
    </row>
    <row r="88" spans="1:3" ht="15.4" x14ac:dyDescent="0.4">
      <c r="A88" s="3">
        <v>26.471351935568254</v>
      </c>
      <c r="B88" s="3">
        <v>84.440729747678191</v>
      </c>
      <c r="C88" s="3">
        <v>21.654970760233919</v>
      </c>
    </row>
    <row r="89" spans="1:3" ht="15.4" x14ac:dyDescent="0.4">
      <c r="A89" s="3">
        <v>38.117405365684313</v>
      </c>
      <c r="B89" s="3">
        <v>82.792902519224398</v>
      </c>
      <c r="C89" s="3">
        <v>2.6521084337349388</v>
      </c>
    </row>
    <row r="90" spans="1:3" ht="15.4" x14ac:dyDescent="0.4">
      <c r="A90" s="3">
        <v>36.731455819575146</v>
      </c>
      <c r="B90" s="3">
        <v>123.14142855127544</v>
      </c>
      <c r="C90" s="3">
        <v>5.692090395480232</v>
      </c>
    </row>
    <row r="91" spans="1:3" ht="15.4" x14ac:dyDescent="0.4">
      <c r="A91" s="3">
        <v>41.803835382916752</v>
      </c>
      <c r="B91" s="3">
        <v>148.25442646330117</v>
      </c>
      <c r="C91" s="3">
        <v>18.078571428571429</v>
      </c>
    </row>
    <row r="92" spans="1:3" ht="15.4" x14ac:dyDescent="0.4">
      <c r="A92" s="3">
        <v>46.574165577466857</v>
      </c>
      <c r="B92" s="3">
        <v>178.756819683586</v>
      </c>
      <c r="C92" s="3">
        <v>29.217000000000006</v>
      </c>
    </row>
    <row r="93" spans="1:3" ht="15.4" x14ac:dyDescent="0.4">
      <c r="A93" s="3">
        <v>50.84367997915539</v>
      </c>
      <c r="B93" s="3">
        <v>215.2217608679496</v>
      </c>
      <c r="C93" s="3">
        <v>38.91092436974791</v>
      </c>
    </row>
    <row r="94" spans="1:3" ht="15.4" x14ac:dyDescent="0.4">
      <c r="A94" s="3">
        <v>44.765079097386135</v>
      </c>
      <c r="B94" s="3">
        <v>39.101438968772442</v>
      </c>
      <c r="C94" s="3">
        <v>27.311111111111103</v>
      </c>
    </row>
    <row r="95" spans="1:3" ht="15.4" x14ac:dyDescent="0.4">
      <c r="A95" s="3">
        <v>67.824667454488832</v>
      </c>
      <c r="B95" s="3">
        <v>58.998473136431251</v>
      </c>
      <c r="C95" s="3">
        <v>1.91578947368421</v>
      </c>
    </row>
    <row r="96" spans="1:3" ht="15.4" x14ac:dyDescent="0.4">
      <c r="A96" s="3">
        <v>77.207156707605805</v>
      </c>
      <c r="B96" s="3">
        <v>64.648068494593957</v>
      </c>
      <c r="C96" s="3">
        <v>36.329268292682919</v>
      </c>
    </row>
    <row r="97" spans="1:3" ht="15.4" x14ac:dyDescent="0.4">
      <c r="A97" s="3">
        <v>82.237194093766263</v>
      </c>
      <c r="B97" s="3">
        <v>64.357818755238796</v>
      </c>
      <c r="C97" s="3">
        <v>55.696498054474709</v>
      </c>
    </row>
    <row r="98" spans="1:3" ht="15.4" x14ac:dyDescent="0.4">
      <c r="A98" s="3">
        <v>1.3845244124276563</v>
      </c>
      <c r="B98" s="3">
        <v>2.7110340346140931</v>
      </c>
      <c r="C98" s="3">
        <v>9.8205742564814097E-2</v>
      </c>
    </row>
    <row r="99" spans="1:3" ht="15.4" x14ac:dyDescent="0.4">
      <c r="A99" s="3">
        <v>19.715251495290893</v>
      </c>
      <c r="B99" s="3">
        <v>12.190191772863109</v>
      </c>
      <c r="C99" s="3">
        <v>15.678750447734826</v>
      </c>
    </row>
    <row r="100" spans="1:3" ht="15.4" x14ac:dyDescent="0.4">
      <c r="A100" s="3">
        <v>20.641503339973486</v>
      </c>
      <c r="B100" s="3">
        <v>7.127009345937986</v>
      </c>
      <c r="C100" s="3">
        <v>0.57208408050974624</v>
      </c>
    </row>
    <row r="101" spans="1:3" ht="15.4" x14ac:dyDescent="0.4">
      <c r="A101" s="3">
        <v>40.93660957946382</v>
      </c>
      <c r="B101" s="3">
        <v>24.126882918689688</v>
      </c>
      <c r="C101" s="3">
        <v>4.9909331216568509</v>
      </c>
    </row>
    <row r="102" spans="1:3" ht="15.4" x14ac:dyDescent="0.4">
      <c r="A102" s="3">
        <v>41.847998523675145</v>
      </c>
      <c r="B102" s="3">
        <v>12.881190798808301</v>
      </c>
      <c r="C102" s="3">
        <v>23.074520170354866</v>
      </c>
    </row>
    <row r="103" spans="1:3" ht="15.4" x14ac:dyDescent="0.4">
      <c r="A103" s="3">
        <v>56.715933526047401</v>
      </c>
      <c r="B103" s="3">
        <v>19.296073850347966</v>
      </c>
      <c r="C103" s="3">
        <v>17.557615578447567</v>
      </c>
    </row>
    <row r="104" spans="1:3" ht="15.4" x14ac:dyDescent="0.4">
      <c r="A104" s="3">
        <v>66.786984839477583</v>
      </c>
      <c r="B104" s="3">
        <v>12.228804019713948</v>
      </c>
      <c r="C104" s="3">
        <v>22.117575505820771</v>
      </c>
    </row>
    <row r="105" spans="1:3" ht="15.4" x14ac:dyDescent="0.4">
      <c r="A105" s="3">
        <v>16.234247590808014</v>
      </c>
      <c r="B105" s="3">
        <v>14.922383308645795</v>
      </c>
      <c r="C105" s="3">
        <v>2.3157894736842035</v>
      </c>
    </row>
    <row r="106" spans="1:3" ht="15.4" x14ac:dyDescent="0.4">
      <c r="A106" s="3">
        <v>38.658146964856229</v>
      </c>
      <c r="B106" s="3">
        <v>36.537528353068367</v>
      </c>
      <c r="C106" s="3">
        <v>6.6909090909091002</v>
      </c>
    </row>
    <row r="107" spans="1:3" ht="15.4" x14ac:dyDescent="0.4">
      <c r="A107" s="3">
        <v>52.238050789053581</v>
      </c>
      <c r="B107" s="3">
        <v>49.522204159628608</v>
      </c>
      <c r="C107" s="3">
        <v>9.3582887700534698</v>
      </c>
    </row>
    <row r="108" spans="1:3" ht="15.4" x14ac:dyDescent="0.4">
      <c r="A108" s="3">
        <v>1.3216940769347102E-14</v>
      </c>
      <c r="B108" s="3">
        <v>48.407806527514282</v>
      </c>
      <c r="C108" s="3">
        <v>29.619047619047624</v>
      </c>
    </row>
    <row r="109" spans="1:3" ht="15.4" x14ac:dyDescent="0.4">
      <c r="A109" s="3">
        <v>43.333333333333343</v>
      </c>
      <c r="B109" s="3">
        <v>33.813315872919993</v>
      </c>
      <c r="C109" s="3">
        <v>32.644444444444446</v>
      </c>
    </row>
    <row r="110" spans="1:3" ht="15.4" x14ac:dyDescent="0.4">
      <c r="A110" s="3">
        <v>24.331206297196822</v>
      </c>
      <c r="B110" s="3">
        <v>41.83153580672991</v>
      </c>
      <c r="C110" s="3">
        <v>38.773943054357169</v>
      </c>
    </row>
    <row r="111" spans="1:3" ht="15.4" x14ac:dyDescent="0.4">
      <c r="A111" s="3">
        <v>3.7202837492697221</v>
      </c>
      <c r="B111" s="3">
        <v>40.472816555594513</v>
      </c>
      <c r="C111" s="3">
        <v>38.251309416933417</v>
      </c>
    </row>
    <row r="112" spans="1:3" ht="15.4" x14ac:dyDescent="0.4">
      <c r="A112" s="3">
        <v>31.101123685622547</v>
      </c>
      <c r="B112" s="3">
        <v>15.671296296296292</v>
      </c>
      <c r="C112" s="3">
        <v>18.674691358024678</v>
      </c>
    </row>
    <row r="113" spans="1:3" ht="15.4" x14ac:dyDescent="0.4">
      <c r="A113" s="3">
        <v>42.910847858146518</v>
      </c>
      <c r="B113" s="3">
        <v>24.712499999999991</v>
      </c>
      <c r="C113" s="3">
        <v>8.6656250000000039</v>
      </c>
    </row>
    <row r="114" spans="1:3" ht="15.4" x14ac:dyDescent="0.4">
      <c r="A114" s="3">
        <v>47.174464876925441</v>
      </c>
      <c r="B114" s="3">
        <v>58.455793103448286</v>
      </c>
      <c r="C114" s="3">
        <v>22.592551724137927</v>
      </c>
    </row>
    <row r="115" spans="1:3" ht="15.4" x14ac:dyDescent="0.4">
      <c r="A115" s="3">
        <v>10.043362031848545</v>
      </c>
      <c r="B115" s="3">
        <v>35.17608715123523</v>
      </c>
      <c r="C115" s="3">
        <v>21.686340134798368</v>
      </c>
    </row>
    <row r="116" spans="1:3" ht="15.4" x14ac:dyDescent="0.4">
      <c r="A116" s="3">
        <v>7.7098032124954665</v>
      </c>
      <c r="B116" s="3">
        <v>44.245048759834674</v>
      </c>
      <c r="C116" s="3">
        <v>2.1054852320675104</v>
      </c>
    </row>
    <row r="117" spans="1:3" ht="15.4" x14ac:dyDescent="0.4">
      <c r="A117" s="3">
        <v>26.854735054851002</v>
      </c>
      <c r="B117" s="3">
        <v>51.531752233305724</v>
      </c>
      <c r="C117" s="3">
        <v>22.821444395214886</v>
      </c>
    </row>
    <row r="118" spans="1:3" ht="15.4" x14ac:dyDescent="0.4">
      <c r="A118" s="3">
        <v>43.975770331605574</v>
      </c>
      <c r="B118" s="3">
        <v>61.362525006949923</v>
      </c>
      <c r="C118" s="3">
        <v>43.130629370629364</v>
      </c>
    </row>
    <row r="119" spans="1:3" ht="15.4" x14ac:dyDescent="0.4">
      <c r="A119" s="3">
        <v>51.935946859989315</v>
      </c>
      <c r="B119" s="3">
        <v>103.2891599104361</v>
      </c>
      <c r="C119" s="3">
        <v>52.975681818181819</v>
      </c>
    </row>
    <row r="120" spans="1:3" ht="15.4" x14ac:dyDescent="0.4">
      <c r="A120" s="3">
        <v>6.6648876333011211</v>
      </c>
      <c r="B120" s="3">
        <v>26.8565614320623</v>
      </c>
      <c r="C120" s="3">
        <v>44.037087767358379</v>
      </c>
    </row>
    <row r="121" spans="1:3" ht="15.4" x14ac:dyDescent="0.4">
      <c r="A121" s="3">
        <v>1.649184241554465E-14</v>
      </c>
      <c r="B121" s="3">
        <v>47.288026623506845</v>
      </c>
      <c r="C121" s="3">
        <v>42.930297969587791</v>
      </c>
    </row>
    <row r="122" spans="1:3" ht="15.4" x14ac:dyDescent="0.4">
      <c r="A122" s="3">
        <v>45.559339632476672</v>
      </c>
      <c r="B122" s="3">
        <v>43.330714982348603</v>
      </c>
      <c r="C122" s="3">
        <v>31.015294117647063</v>
      </c>
    </row>
    <row r="123" spans="1:3" ht="15.4" x14ac:dyDescent="0.4">
      <c r="A123" s="3">
        <v>54.022841624065123</v>
      </c>
      <c r="B123" s="3">
        <v>79.116554965263504</v>
      </c>
      <c r="C123" s="3">
        <v>45.455714285714279</v>
      </c>
    </row>
    <row r="124" spans="1:3" ht="15.4" x14ac:dyDescent="0.4">
      <c r="A124" s="3">
        <v>55.952003838313011</v>
      </c>
      <c r="B124" s="3">
        <v>1.2126024991046118</v>
      </c>
      <c r="C124" s="3">
        <v>0.21935310005292344</v>
      </c>
    </row>
    <row r="125" spans="1:3" ht="15.4" x14ac:dyDescent="0.4">
      <c r="A125" s="3">
        <v>57.065416510971978</v>
      </c>
      <c r="B125" s="3">
        <v>13.054064198749366</v>
      </c>
      <c r="C125" s="3">
        <v>8.4166946501475817</v>
      </c>
    </row>
    <row r="126" spans="1:3" ht="15.4" x14ac:dyDescent="0.4">
      <c r="A126" s="3">
        <v>57.270427052057848</v>
      </c>
      <c r="B126" s="3">
        <v>34.523121793826711</v>
      </c>
      <c r="C126" s="3">
        <v>14.971412039734014</v>
      </c>
    </row>
    <row r="127" spans="1:3" ht="15.4" x14ac:dyDescent="0.4">
      <c r="A127" s="3">
        <v>60.176291732641786</v>
      </c>
      <c r="B127" s="3">
        <v>52.76140139630435</v>
      </c>
      <c r="C127" s="3">
        <v>26.429442447575944</v>
      </c>
    </row>
    <row r="128" spans="1:3" ht="15.4" x14ac:dyDescent="0.4">
      <c r="A128" s="3">
        <v>61.867249517845579</v>
      </c>
      <c r="B128" s="3">
        <v>81.653732229577457</v>
      </c>
      <c r="C128" s="3">
        <v>34.945923116319278</v>
      </c>
    </row>
    <row r="129" spans="1:3" ht="15.4" x14ac:dyDescent="0.4">
      <c r="A129" s="3">
        <v>66.034267369286425</v>
      </c>
      <c r="B129" s="3">
        <v>33.687122230825047</v>
      </c>
      <c r="C129" s="3">
        <v>13.58764237631066</v>
      </c>
    </row>
    <row r="130" spans="1:3" ht="15.4" x14ac:dyDescent="0.4">
      <c r="A130" s="3">
        <v>64.134724140292448</v>
      </c>
      <c r="B130" s="3">
        <v>20.618617666274037</v>
      </c>
      <c r="C130" s="3">
        <v>14.269399806215805</v>
      </c>
    </row>
    <row r="131" spans="1:3" ht="15.4" x14ac:dyDescent="0.4">
      <c r="A131" s="3">
        <v>62.165343359162193</v>
      </c>
      <c r="B131" s="3">
        <v>4.2238954181115815</v>
      </c>
      <c r="C131" s="3">
        <v>15.582301260309128</v>
      </c>
    </row>
    <row r="132" spans="1:3" ht="15.4" x14ac:dyDescent="0.4">
      <c r="A132" s="3">
        <v>60.654503011106165</v>
      </c>
      <c r="B132" s="3">
        <v>14.710074941841508</v>
      </c>
      <c r="C132" s="3">
        <v>18.583347327959419</v>
      </c>
    </row>
    <row r="133" spans="1:3" ht="15.4" x14ac:dyDescent="0.4">
      <c r="A133" s="3">
        <v>58.003129933036767</v>
      </c>
      <c r="B133" s="3">
        <v>41.704822803828613</v>
      </c>
      <c r="C133" s="3">
        <v>19.944865898626983</v>
      </c>
    </row>
    <row r="134" spans="1:3" ht="15.4" x14ac:dyDescent="0.4">
      <c r="A134" s="3">
        <v>57.971687704067897</v>
      </c>
      <c r="B134" s="3">
        <v>64.131408751721736</v>
      </c>
      <c r="C134" s="3">
        <v>26.732206768806506</v>
      </c>
    </row>
    <row r="135" spans="1:3" ht="15.4" x14ac:dyDescent="0.4">
      <c r="A135" s="3">
        <v>9.9711854785311012</v>
      </c>
      <c r="B135" s="3">
        <v>3.1491712707182229</v>
      </c>
      <c r="C135" s="3">
        <v>3.1215469613259756</v>
      </c>
    </row>
    <row r="136" spans="1:3" ht="15.4" x14ac:dyDescent="0.4">
      <c r="A136" s="3">
        <v>25.576294356821556</v>
      </c>
      <c r="B136" s="3">
        <v>7.3275862068965454</v>
      </c>
      <c r="C136" s="3">
        <v>0.68965517241380092</v>
      </c>
    </row>
    <row r="137" spans="1:3" ht="15.4" x14ac:dyDescent="0.4">
      <c r="A137" s="3">
        <v>34.703714461011096</v>
      </c>
      <c r="B137" s="3">
        <v>30.795053003533575</v>
      </c>
      <c r="C137" s="3">
        <v>2.4734982332155502</v>
      </c>
    </row>
    <row r="138" spans="1:3" ht="15.4" x14ac:dyDescent="0.4">
      <c r="A138" s="3">
        <v>42.591083727465382</v>
      </c>
      <c r="B138" s="3">
        <v>67.234957020057323</v>
      </c>
      <c r="C138" s="3">
        <v>6.8481375358166288</v>
      </c>
    </row>
    <row r="139" spans="1:3" ht="15.4" x14ac:dyDescent="0.4">
      <c r="A139" s="3">
        <v>59.908547499194306</v>
      </c>
      <c r="B139" s="3">
        <v>65.960355434039641</v>
      </c>
      <c r="C139" s="3">
        <v>30.881749829118249</v>
      </c>
    </row>
    <row r="140" spans="1:3" ht="15.4" x14ac:dyDescent="0.4">
      <c r="A140" s="3">
        <v>60.800588614761949</v>
      </c>
      <c r="B140" s="3">
        <v>60.241675617615478</v>
      </c>
      <c r="C140" s="3">
        <v>39.806659505907625</v>
      </c>
    </row>
    <row r="141" spans="1:3" ht="15.4" x14ac:dyDescent="0.4">
      <c r="A141" s="3">
        <v>28.037729345213023</v>
      </c>
      <c r="B141" s="3">
        <v>24.053571428571434</v>
      </c>
      <c r="C141" s="3">
        <v>15.391457125133048</v>
      </c>
    </row>
    <row r="142" spans="1:3" ht="15.4" x14ac:dyDescent="0.4">
      <c r="A142" s="3">
        <v>43.728915553476376</v>
      </c>
      <c r="B142" s="3">
        <v>31.462328767123282</v>
      </c>
      <c r="C142" s="3">
        <v>2.312761756578416</v>
      </c>
    </row>
    <row r="143" spans="1:3" ht="15.4" x14ac:dyDescent="0.4">
      <c r="A143" s="3">
        <v>46.700644311998538</v>
      </c>
      <c r="B143" s="3">
        <v>19.041009463722403</v>
      </c>
      <c r="C143" s="3">
        <v>25.031656274988006</v>
      </c>
    </row>
    <row r="144" spans="1:3" ht="15.4" x14ac:dyDescent="0.4">
      <c r="A144" s="3">
        <v>68.888932954988789</v>
      </c>
      <c r="B144" s="3">
        <v>30.656690140845072</v>
      </c>
      <c r="C144" s="3">
        <v>1.7122205364337518E-3</v>
      </c>
    </row>
    <row r="145" spans="1:3" ht="15.4" x14ac:dyDescent="0.4">
      <c r="A145" s="3">
        <v>3.6940656594536589</v>
      </c>
      <c r="B145" s="3">
        <v>17.558260410039249</v>
      </c>
      <c r="C145" s="3">
        <v>1.9820533948009775</v>
      </c>
    </row>
    <row r="146" spans="1:3" ht="15.4" x14ac:dyDescent="0.4">
      <c r="A146" s="3">
        <v>1.70108537214931</v>
      </c>
      <c r="B146" s="3">
        <v>18.397081377515459</v>
      </c>
      <c r="C146" s="3">
        <v>4.1495428863554035E-2</v>
      </c>
    </row>
    <row r="147" spans="1:3" ht="15.4" x14ac:dyDescent="0.4">
      <c r="A147" s="3">
        <v>3.2882251353578709</v>
      </c>
      <c r="B147" s="3">
        <v>26.936738484754517</v>
      </c>
      <c r="C147" s="3">
        <v>1.7638539425348738</v>
      </c>
    </row>
    <row r="148" spans="1:3" ht="15.4" x14ac:dyDescent="0.4">
      <c r="A148" s="3">
        <v>7.1887543056288168</v>
      </c>
      <c r="B148" s="3">
        <v>9.621272988815182</v>
      </c>
      <c r="C148" s="3">
        <v>0.33132056092570261</v>
      </c>
    </row>
    <row r="149" spans="1:3" ht="15.4" x14ac:dyDescent="0.4">
      <c r="A149" s="3">
        <v>2.7672886640736869</v>
      </c>
      <c r="B149" s="3">
        <v>33.487477776335602</v>
      </c>
      <c r="C149" s="3">
        <v>1.6170074043665494</v>
      </c>
    </row>
    <row r="150" spans="1:3" ht="15.4" x14ac:dyDescent="0.4">
      <c r="A150" s="3">
        <v>8.0214896603466634</v>
      </c>
      <c r="B150" s="3">
        <v>13.756549788683289</v>
      </c>
      <c r="C150" s="3">
        <v>0.10417926035297871</v>
      </c>
    </row>
    <row r="151" spans="1:3" ht="15.4" x14ac:dyDescent="0.4">
      <c r="A151" s="3">
        <v>10.349350123415979</v>
      </c>
      <c r="B151" s="3">
        <v>16.218791645536772</v>
      </c>
      <c r="C151" s="3">
        <v>1.9169035179790941</v>
      </c>
    </row>
    <row r="152" spans="1:3" ht="15.4" x14ac:dyDescent="0.4">
      <c r="A152" s="3">
        <v>12.651405396818513</v>
      </c>
      <c r="B152" s="3">
        <v>18.749621438274964</v>
      </c>
      <c r="C152" s="3">
        <v>4.1185352473414145</v>
      </c>
    </row>
    <row r="153" spans="1:3" ht="15.4" x14ac:dyDescent="0.4">
      <c r="A153" s="3">
        <v>20.6966326478037</v>
      </c>
      <c r="B153" s="3">
        <v>1.4357459069338367</v>
      </c>
      <c r="C153" s="3">
        <v>0.89344636783592557</v>
      </c>
    </row>
    <row r="154" spans="1:3" ht="15.4" x14ac:dyDescent="0.4">
      <c r="A154" s="3">
        <v>22.456793285707249</v>
      </c>
      <c r="B154" s="3">
        <v>1.0370252887463629</v>
      </c>
      <c r="C154" s="3">
        <v>3.1897159869087357</v>
      </c>
    </row>
    <row r="155" spans="1:3" ht="15.4" x14ac:dyDescent="0.4">
      <c r="A155" s="3">
        <v>24.743810662446599</v>
      </c>
      <c r="B155" s="3">
        <v>0.48443888167564791</v>
      </c>
      <c r="C155" s="3">
        <v>6.2166539114387094</v>
      </c>
    </row>
    <row r="156" spans="1:3" ht="15.4" x14ac:dyDescent="0.4">
      <c r="A156" s="3">
        <v>24.218060243068379</v>
      </c>
      <c r="B156" s="3">
        <v>2.7773802296204608</v>
      </c>
      <c r="C156" s="3">
        <v>0.78804925044177987</v>
      </c>
    </row>
    <row r="157" spans="1:3" ht="15.4" x14ac:dyDescent="0.4">
      <c r="A157" s="3">
        <v>26.162008199054398</v>
      </c>
      <c r="B157" s="3">
        <v>0.18895333922621713</v>
      </c>
      <c r="C157" s="3">
        <v>8.3853358136207667</v>
      </c>
    </row>
    <row r="158" spans="1:3" ht="15.4" x14ac:dyDescent="0.4">
      <c r="A158" s="3">
        <v>25.384445678157146</v>
      </c>
      <c r="B158" s="3">
        <v>2.6974731553119269</v>
      </c>
      <c r="C158" s="3">
        <v>2.6994738241069296</v>
      </c>
    </row>
    <row r="159" spans="1:3" ht="15.4" x14ac:dyDescent="0.4">
      <c r="A159" s="3">
        <v>27.045767884380073</v>
      </c>
      <c r="B159" s="3">
        <v>3.3191138799185311</v>
      </c>
      <c r="C159" s="3">
        <v>5.375034157648817</v>
      </c>
    </row>
    <row r="160" spans="1:3" ht="15.4" x14ac:dyDescent="0.4">
      <c r="A160" s="3">
        <v>28.302564421622673</v>
      </c>
      <c r="B160" s="3">
        <v>3.4640619503764887</v>
      </c>
      <c r="C160" s="3">
        <v>7.6273087373889288</v>
      </c>
    </row>
    <row r="161" spans="1:3" ht="15.4" x14ac:dyDescent="0.4">
      <c r="A161" s="3">
        <v>10.187330888377385</v>
      </c>
      <c r="B161" s="3">
        <v>614.33276883996609</v>
      </c>
      <c r="C161" s="3">
        <v>30.497496631736322</v>
      </c>
    </row>
    <row r="162" spans="1:3" ht="15.4" x14ac:dyDescent="0.4">
      <c r="A162" s="3">
        <v>49.486335260431083</v>
      </c>
      <c r="B162" s="3">
        <v>168.58548233046801</v>
      </c>
      <c r="C162" s="3">
        <v>61.453686570983443</v>
      </c>
    </row>
    <row r="163" spans="1:3" ht="15.4" x14ac:dyDescent="0.4">
      <c r="A163" s="3">
        <v>21.892915915024357</v>
      </c>
      <c r="B163" s="3">
        <v>157.43881599023496</v>
      </c>
      <c r="C163" s="3">
        <v>0.94028589163504139</v>
      </c>
    </row>
    <row r="164" spans="1:3" ht="15.4" x14ac:dyDescent="0.4">
      <c r="A164" s="3">
        <v>50.066403948632697</v>
      </c>
      <c r="B164" s="3">
        <v>37.937704381948997</v>
      </c>
      <c r="C164" s="3">
        <v>16.784169488597438</v>
      </c>
    </row>
    <row r="165" spans="1:3" ht="15.4" x14ac:dyDescent="0.4">
      <c r="A165" s="3">
        <v>50.532089008841787</v>
      </c>
      <c r="B165" s="3">
        <v>14.467706919945728</v>
      </c>
      <c r="C165" s="3">
        <v>24.330503262454677</v>
      </c>
    </row>
    <row r="166" spans="1:3" ht="15.4" x14ac:dyDescent="0.4">
      <c r="A166" s="3">
        <v>0.44494912655968699</v>
      </c>
      <c r="B166" s="3">
        <v>54.011511216056654</v>
      </c>
      <c r="C166" s="3">
        <v>5.2500948033650123E-2</v>
      </c>
    </row>
    <row r="167" spans="1:3" ht="15.4" x14ac:dyDescent="0.4">
      <c r="A167" s="3">
        <v>1.8982025217176508</v>
      </c>
      <c r="B167" s="3">
        <v>95.879155544770683</v>
      </c>
      <c r="C167" s="3">
        <v>7.5489332931334377E-2</v>
      </c>
    </row>
    <row r="168" spans="1:3" ht="15.4" x14ac:dyDescent="0.4">
      <c r="A168" s="3">
        <v>6.8675081940810108</v>
      </c>
      <c r="B168" s="3">
        <v>91.329224934818683</v>
      </c>
      <c r="C168" s="3">
        <v>8.367548617004017</v>
      </c>
    </row>
    <row r="169" spans="1:3" ht="15.4" x14ac:dyDescent="0.4">
      <c r="A169" s="3">
        <v>12.651201404817705</v>
      </c>
      <c r="B169" s="3">
        <v>111.72819710598357</v>
      </c>
      <c r="C169" s="3">
        <v>12.894867575891272</v>
      </c>
    </row>
    <row r="170" spans="1:3" ht="15.4" x14ac:dyDescent="0.4">
      <c r="A170" s="3">
        <v>33.24545663961311</v>
      </c>
      <c r="B170" s="3">
        <v>67.586751276892116</v>
      </c>
      <c r="C170" s="3">
        <v>35.465514038589383</v>
      </c>
    </row>
    <row r="171" spans="1:3" ht="15.4" x14ac:dyDescent="0.4">
      <c r="A171" s="3">
        <v>12.998282434261119</v>
      </c>
      <c r="B171" s="3">
        <v>105.03187575195061</v>
      </c>
      <c r="C171" s="3">
        <v>0.13769589992133816</v>
      </c>
    </row>
    <row r="172" spans="1:3" ht="15.4" x14ac:dyDescent="0.4">
      <c r="A172" s="3">
        <v>8.7418079208350168</v>
      </c>
      <c r="B172" s="3">
        <v>102.90052036708271</v>
      </c>
      <c r="C172" s="3">
        <v>4.3545276722381603</v>
      </c>
    </row>
    <row r="173" spans="1:3" ht="15.4" x14ac:dyDescent="0.4">
      <c r="A173" s="3">
        <v>12.810753799311255</v>
      </c>
      <c r="B173" s="3">
        <v>70.337824531062395</v>
      </c>
      <c r="C173" s="3">
        <v>22.967455571740324</v>
      </c>
    </row>
    <row r="174" spans="1:3" ht="15.4" x14ac:dyDescent="0.4">
      <c r="A174" s="3">
        <v>53.860996379973628</v>
      </c>
      <c r="B174" s="3">
        <v>17.344248304386515</v>
      </c>
      <c r="C174" s="3">
        <v>9.2085663730791467E-2</v>
      </c>
    </row>
    <row r="175" spans="1:3" ht="15.4" x14ac:dyDescent="0.4">
      <c r="A175" s="3">
        <v>76.006285175538153</v>
      </c>
      <c r="B175" s="3">
        <v>49.302727674318447</v>
      </c>
      <c r="C175" s="3">
        <v>9.4006373538803208E-3</v>
      </c>
    </row>
    <row r="176" spans="1:3" ht="15.4" x14ac:dyDescent="0.4">
      <c r="A176" s="3">
        <v>22.745497466327581</v>
      </c>
      <c r="B176" s="3">
        <v>95.7561314260481</v>
      </c>
      <c r="C176" s="3">
        <v>0.14273000138481437</v>
      </c>
    </row>
    <row r="177" spans="1:3" ht="15.4" x14ac:dyDescent="0.4">
      <c r="A177" s="3">
        <v>13.766225201814649</v>
      </c>
      <c r="B177" s="3">
        <v>738.38225499524253</v>
      </c>
      <c r="C177" s="3">
        <v>0.73928003588724511</v>
      </c>
    </row>
    <row r="178" spans="1:3" ht="15.4" x14ac:dyDescent="0.4">
      <c r="A178" s="3">
        <v>30.602321060590903</v>
      </c>
      <c r="B178" s="3">
        <v>241.06435068705241</v>
      </c>
      <c r="C178" s="3">
        <v>21.837470315114192</v>
      </c>
    </row>
    <row r="179" spans="1:3" ht="15.4" x14ac:dyDescent="0.4">
      <c r="A179" s="3">
        <v>29.290345856301414</v>
      </c>
      <c r="B179" s="3">
        <v>171.49584039439222</v>
      </c>
      <c r="C179" s="3">
        <v>0.52311000139038077</v>
      </c>
    </row>
    <row r="180" spans="1:3" ht="15.4" x14ac:dyDescent="0.4">
      <c r="A180" s="3">
        <v>24.17983133014134</v>
      </c>
      <c r="B180" s="3">
        <v>127.02473429951691</v>
      </c>
      <c r="C180" s="3">
        <v>51.041031491513031</v>
      </c>
    </row>
    <row r="181" spans="1:3" ht="15.4" x14ac:dyDescent="0.4">
      <c r="A181" s="3">
        <v>45.222314826588168</v>
      </c>
      <c r="B181" s="3">
        <v>48.152963430012605</v>
      </c>
      <c r="C181" s="3">
        <v>35.391244272852035</v>
      </c>
    </row>
    <row r="182" spans="1:3" ht="15.4" x14ac:dyDescent="0.4">
      <c r="A182" s="3">
        <v>8.5383274997090481</v>
      </c>
      <c r="B182" s="3">
        <v>12.713669064748197</v>
      </c>
      <c r="C182" s="3">
        <v>2.1603516628702129</v>
      </c>
    </row>
    <row r="183" spans="1:3" ht="15.4" x14ac:dyDescent="0.4">
      <c r="A183" s="3">
        <v>33.915996754350033</v>
      </c>
      <c r="B183" s="3">
        <v>42.618206190592247</v>
      </c>
      <c r="C183" s="3">
        <v>16.403682418718258</v>
      </c>
    </row>
    <row r="184" spans="1:3" ht="15.4" x14ac:dyDescent="0.4">
      <c r="A184" s="3">
        <v>27.602201922221774</v>
      </c>
      <c r="B184" s="3">
        <v>108.6098598023443</v>
      </c>
      <c r="C184" s="3">
        <v>18.849128804224318</v>
      </c>
    </row>
    <row r="185" spans="1:3" ht="15.4" x14ac:dyDescent="0.4">
      <c r="A185" s="3">
        <v>6.4435378102597305</v>
      </c>
      <c r="B185" s="3">
        <v>0.70502901353965797</v>
      </c>
      <c r="C185" s="3">
        <v>3.1811230458894277</v>
      </c>
    </row>
    <row r="186" spans="1:3" ht="15.4" x14ac:dyDescent="0.4">
      <c r="A186" s="3">
        <v>9.1348170673575773</v>
      </c>
      <c r="B186" s="3">
        <v>1.7567010309278219</v>
      </c>
      <c r="C186" s="3">
        <v>6.4363847139593586</v>
      </c>
    </row>
    <row r="187" spans="1:3" ht="15.4" x14ac:dyDescent="0.4">
      <c r="A187" s="3">
        <v>5.7766731298301126</v>
      </c>
      <c r="B187" s="3">
        <v>9.9309749784296688</v>
      </c>
      <c r="C187" s="3">
        <v>1.8517346915315025</v>
      </c>
    </row>
    <row r="188" spans="1:3" ht="15.4" x14ac:dyDescent="0.4">
      <c r="A188" s="3">
        <v>8.1493283422768688</v>
      </c>
      <c r="B188" s="3">
        <v>11.763540290620874</v>
      </c>
      <c r="C188" s="3">
        <v>3.3306333313730465</v>
      </c>
    </row>
    <row r="189" spans="1:3" ht="15.4" x14ac:dyDescent="0.4">
      <c r="A189" s="3">
        <v>15.344401898263246</v>
      </c>
      <c r="B189" s="3">
        <v>7.5044776119402998</v>
      </c>
      <c r="C189" s="3">
        <v>10.197034133151314</v>
      </c>
    </row>
    <row r="190" spans="1:3" ht="15.4" x14ac:dyDescent="0.4">
      <c r="A190" s="3">
        <v>18.914875492540645</v>
      </c>
      <c r="B190" s="3">
        <v>7.5111018883585929</v>
      </c>
      <c r="C190" s="3">
        <v>13.573034960163302</v>
      </c>
    </row>
    <row r="191" spans="1:3" ht="15.4" x14ac:dyDescent="0.4">
      <c r="A191" s="3">
        <v>27.235309970431043</v>
      </c>
      <c r="B191" s="3">
        <v>0.73369660748813614</v>
      </c>
      <c r="C191" s="3">
        <v>22.337768948453338</v>
      </c>
    </row>
    <row r="192" spans="1:3" ht="15.4" x14ac:dyDescent="0.4">
      <c r="A192" s="3">
        <v>3.8838083397655107E-14</v>
      </c>
      <c r="B192" s="3">
        <v>49.458048647171346</v>
      </c>
      <c r="C192" s="3">
        <v>58.544189039050011</v>
      </c>
    </row>
    <row r="193" spans="1:3" ht="15.4" x14ac:dyDescent="0.4">
      <c r="A193" s="3">
        <v>6.5607361946669451</v>
      </c>
      <c r="B193" s="3">
        <v>50.593698565718313</v>
      </c>
      <c r="C193" s="3">
        <v>45.314162312310366</v>
      </c>
    </row>
    <row r="194" spans="1:3" ht="15.4" x14ac:dyDescent="0.4">
      <c r="A194" s="3">
        <v>19.433247861636733</v>
      </c>
      <c r="B194" s="3">
        <v>40.33582228859435</v>
      </c>
      <c r="C194" s="3">
        <v>22.078246773257789</v>
      </c>
    </row>
    <row r="195" spans="1:3" ht="15.4" x14ac:dyDescent="0.4">
      <c r="A195" s="3">
        <v>29.10027250849765</v>
      </c>
      <c r="B195" s="3">
        <v>33.437320429457131</v>
      </c>
      <c r="C195" s="3">
        <v>4.0764175575179191</v>
      </c>
    </row>
    <row r="196" spans="1:3" ht="15.4" x14ac:dyDescent="0.4">
      <c r="A196" s="3">
        <v>40.08471037220874</v>
      </c>
      <c r="B196" s="3">
        <v>10.075257731958779</v>
      </c>
      <c r="C196" s="3">
        <v>14.937182755817529</v>
      </c>
    </row>
    <row r="197" spans="1:3" ht="15.4" x14ac:dyDescent="0.4">
      <c r="A197" s="3">
        <v>35.706525051421991</v>
      </c>
      <c r="B197" s="3">
        <v>105.67664172901081</v>
      </c>
      <c r="C197" s="3">
        <v>4.3660866871022508</v>
      </c>
    </row>
    <row r="198" spans="1:3" ht="15.4" x14ac:dyDescent="0.4">
      <c r="A198" s="3">
        <v>31.377968463763377</v>
      </c>
      <c r="B198" s="3">
        <v>248.6333830104322</v>
      </c>
      <c r="C198" s="3">
        <v>0.85116472706035196</v>
      </c>
    </row>
    <row r="199" spans="1:3" ht="15.4" x14ac:dyDescent="0.4">
      <c r="A199" s="3">
        <v>27.845431307510811</v>
      </c>
      <c r="B199" s="3">
        <v>433.72948539638384</v>
      </c>
      <c r="C199" s="3">
        <v>4.195360530682203</v>
      </c>
    </row>
    <row r="200" spans="1:3" ht="15.4" x14ac:dyDescent="0.4">
      <c r="A200" s="3">
        <v>32.566800454117953</v>
      </c>
      <c r="B200" s="3">
        <v>514.12686122692082</v>
      </c>
      <c r="C200" s="3">
        <v>16.006222476928524</v>
      </c>
    </row>
    <row r="201" spans="1:3" ht="15.4" x14ac:dyDescent="0.4">
      <c r="A201" s="3">
        <v>36.155957927406142</v>
      </c>
      <c r="B201" s="3">
        <v>703.64820675105477</v>
      </c>
      <c r="C201" s="3">
        <v>24.376771373060127</v>
      </c>
    </row>
    <row r="202" spans="1:3" ht="15.4" x14ac:dyDescent="0.4">
      <c r="A202" s="3">
        <v>3.5881247089843207</v>
      </c>
      <c r="B202" s="3">
        <v>2.7322784810126648</v>
      </c>
      <c r="C202" s="3">
        <v>0.66008018247025646</v>
      </c>
    </row>
    <row r="203" spans="1:3" ht="15.4" x14ac:dyDescent="0.4">
      <c r="A203" s="3">
        <v>4.1218776013991807</v>
      </c>
      <c r="B203" s="3">
        <v>3.4995944849959431</v>
      </c>
      <c r="C203" s="3">
        <v>0.75880778608962351</v>
      </c>
    </row>
    <row r="204" spans="1:3" ht="15.4" x14ac:dyDescent="0.4">
      <c r="A204" s="3">
        <v>7.0584008270622878</v>
      </c>
      <c r="B204" s="3">
        <v>5.1850299401197599</v>
      </c>
      <c r="C204" s="3">
        <v>0.79775198200478548</v>
      </c>
    </row>
    <row r="205" spans="1:3" ht="15.4" x14ac:dyDescent="0.4">
      <c r="A205" s="3">
        <v>8.392473583550947</v>
      </c>
      <c r="B205" s="3">
        <v>7.1752851711026615</v>
      </c>
      <c r="C205" s="3">
        <v>1.9422350480486652</v>
      </c>
    </row>
    <row r="206" spans="1:3" ht="15.4" x14ac:dyDescent="0.4">
      <c r="A206" s="3">
        <v>22.119263541051986</v>
      </c>
      <c r="B206" s="3">
        <v>19.718302910705475</v>
      </c>
      <c r="C206" s="3">
        <v>14.304477149727667</v>
      </c>
    </row>
    <row r="207" spans="1:3" ht="15.4" x14ac:dyDescent="0.4">
      <c r="A207" s="3">
        <v>14.3481731693431</v>
      </c>
      <c r="B207" s="3">
        <v>12.601186322400556</v>
      </c>
      <c r="C207" s="3">
        <v>5.3276167067383069</v>
      </c>
    </row>
    <row r="208" spans="1:3" ht="15.4" x14ac:dyDescent="0.4">
      <c r="A208" s="3">
        <v>21.068283552439784</v>
      </c>
      <c r="B208" s="3">
        <v>17.760078662733537</v>
      </c>
      <c r="C208" s="3">
        <v>10.602785810855945</v>
      </c>
    </row>
    <row r="209" spans="1:3" ht="15.4" x14ac:dyDescent="0.4">
      <c r="A209" s="3">
        <v>8.2583991534258647</v>
      </c>
      <c r="B209" s="3">
        <v>5.7068965517241432</v>
      </c>
      <c r="C209" s="3">
        <v>4.549547103446435</v>
      </c>
    </row>
    <row r="210" spans="1:3" ht="15.4" x14ac:dyDescent="0.4">
      <c r="A210" s="3">
        <v>17.041872220786423</v>
      </c>
      <c r="B210" s="3">
        <v>12.611788617886175</v>
      </c>
      <c r="C210" s="3">
        <v>3.4320496865157479</v>
      </c>
    </row>
    <row r="211" spans="1:3" ht="15.4" x14ac:dyDescent="0.4">
      <c r="A211" s="3">
        <v>24.605694262722729</v>
      </c>
      <c r="B211" s="3">
        <v>21.926309559041137</v>
      </c>
      <c r="C211" s="3">
        <v>11.546872512396266</v>
      </c>
    </row>
    <row r="212" spans="1:3" ht="15.4" x14ac:dyDescent="0.4">
      <c r="A212" s="3">
        <v>26.545014170763299</v>
      </c>
      <c r="B212" s="3">
        <v>21.746460176991146</v>
      </c>
      <c r="C212" s="3">
        <v>12.240709637748679</v>
      </c>
    </row>
    <row r="213" spans="1:3" ht="15.4" x14ac:dyDescent="0.4">
      <c r="A213" s="3">
        <v>27.354817538590314</v>
      </c>
      <c r="B213" s="3">
        <v>24.189249720044792</v>
      </c>
      <c r="C213" s="3">
        <v>12.384308817739919</v>
      </c>
    </row>
    <row r="214" spans="1:3" ht="15.4" x14ac:dyDescent="0.4">
      <c r="A214" s="3">
        <v>27.214947953835555</v>
      </c>
      <c r="B214" s="3">
        <v>23.432387771963651</v>
      </c>
      <c r="C214" s="3">
        <v>9.8759071569716426</v>
      </c>
    </row>
    <row r="215" spans="1:3" ht="15.4" x14ac:dyDescent="0.4">
      <c r="A215" s="3">
        <v>20.558926598532583</v>
      </c>
      <c r="B215" s="3">
        <v>117.33627388068378</v>
      </c>
      <c r="C215" s="3">
        <v>2.7843703846744896</v>
      </c>
    </row>
    <row r="216" spans="1:3" ht="15.4" x14ac:dyDescent="0.4">
      <c r="A216" s="3">
        <v>2.8574172318697824</v>
      </c>
      <c r="B216" s="3">
        <v>45.316937234177352</v>
      </c>
      <c r="C216" s="3">
        <v>12.398988548693209</v>
      </c>
    </row>
    <row r="217" spans="1:3" ht="15.4" x14ac:dyDescent="0.4">
      <c r="A217" s="3">
        <v>1.2282770889204857</v>
      </c>
      <c r="B217" s="3">
        <v>13.679514812890552</v>
      </c>
      <c r="C217" s="3">
        <v>5.9457018748624764</v>
      </c>
    </row>
    <row r="218" spans="1:3" ht="15.4" x14ac:dyDescent="0.4">
      <c r="A218" s="3">
        <v>5.0939873541559164</v>
      </c>
      <c r="B218" s="3">
        <v>19.056348354939896</v>
      </c>
      <c r="C218" s="3">
        <v>3.8618641946996388</v>
      </c>
    </row>
    <row r="219" spans="1:3" ht="15.4" x14ac:dyDescent="0.4">
      <c r="A219" s="3">
        <v>0.20512067877143536</v>
      </c>
      <c r="B219" s="3">
        <v>12.631339854951332</v>
      </c>
      <c r="C219" s="3">
        <v>9.137805140955642</v>
      </c>
    </row>
    <row r="220" spans="1:3" ht="15.4" x14ac:dyDescent="0.4">
      <c r="A220" s="3">
        <v>41.283479006255789</v>
      </c>
      <c r="B220" s="3">
        <v>19.602409638554214</v>
      </c>
      <c r="C220" s="3">
        <v>3.9633556502178438E-2</v>
      </c>
    </row>
    <row r="221" spans="1:3" ht="15.4" x14ac:dyDescent="0.4">
      <c r="A221" s="3">
        <v>32.021060658668084</v>
      </c>
      <c r="B221" s="3">
        <v>4.2247191011235916</v>
      </c>
      <c r="C221" s="3">
        <v>7.9101422735610841E-2</v>
      </c>
    </row>
    <row r="222" spans="1:3" ht="15.4" x14ac:dyDescent="0.4">
      <c r="A222" s="3">
        <v>31.435427794785131</v>
      </c>
      <c r="B222" s="3">
        <v>3.4680851063829747</v>
      </c>
      <c r="C222" s="3">
        <v>0.17186335821999055</v>
      </c>
    </row>
    <row r="223" spans="1:3" ht="15.4" x14ac:dyDescent="0.4">
      <c r="A223" s="3">
        <v>59.254422502513158</v>
      </c>
      <c r="B223" s="3">
        <v>30.492857142857137</v>
      </c>
      <c r="C223" s="3">
        <v>33.532591202533425</v>
      </c>
    </row>
    <row r="224" spans="1:3" ht="15.4" x14ac:dyDescent="0.4">
      <c r="A224" s="3">
        <v>51.953012210291135</v>
      </c>
      <c r="B224" s="3">
        <v>14.80689655172413</v>
      </c>
      <c r="C224" s="3">
        <v>31.900208728261443</v>
      </c>
    </row>
    <row r="225" spans="1:3" ht="15.4" x14ac:dyDescent="0.4">
      <c r="A225" s="3">
        <v>51.522259059680295</v>
      </c>
      <c r="B225" s="3">
        <v>14.196078431372552</v>
      </c>
      <c r="C225" s="3">
        <v>31.959612072884962</v>
      </c>
    </row>
    <row r="226" spans="1:3" ht="15.4" x14ac:dyDescent="0.4">
      <c r="A226" s="3">
        <v>16.279486056599595</v>
      </c>
      <c r="B226" s="3">
        <v>12.505854800936769</v>
      </c>
      <c r="C226" s="3">
        <v>1.5034428551697934</v>
      </c>
    </row>
    <row r="227" spans="1:3" ht="15.4" x14ac:dyDescent="0.4">
      <c r="A227" s="3">
        <v>20.060445637946305</v>
      </c>
      <c r="B227" s="3">
        <v>17.161862527716192</v>
      </c>
      <c r="C227" s="3">
        <v>2.2724112611773895</v>
      </c>
    </row>
    <row r="228" spans="1:3" ht="15.4" x14ac:dyDescent="0.4">
      <c r="A228" s="3">
        <v>20.508795954335817</v>
      </c>
      <c r="B228" s="3">
        <v>17.709251101321591</v>
      </c>
      <c r="C228" s="3">
        <v>3.8428177028167374</v>
      </c>
    </row>
    <row r="229" spans="1:3" ht="15.4" x14ac:dyDescent="0.4">
      <c r="A229" s="3">
        <v>26.582555972744071</v>
      </c>
      <c r="B229" s="3">
        <v>20.094339622641517</v>
      </c>
      <c r="C229" s="3">
        <v>12.278393945434711</v>
      </c>
    </row>
    <row r="230" spans="1:3" ht="15.4" x14ac:dyDescent="0.4">
      <c r="A230" s="3">
        <v>27.250313746804878</v>
      </c>
      <c r="B230" s="3">
        <v>20.988805970149262</v>
      </c>
      <c r="C230" s="3">
        <v>8.528992826204103</v>
      </c>
    </row>
    <row r="231" spans="1:3" ht="15.4" x14ac:dyDescent="0.4">
      <c r="A231" s="3">
        <v>33.643105814812309</v>
      </c>
      <c r="B231" s="3">
        <v>26.475694444444443</v>
      </c>
      <c r="C231" s="3">
        <v>7.356749797815783</v>
      </c>
    </row>
    <row r="232" spans="1:3" ht="15.4" x14ac:dyDescent="0.4">
      <c r="A232" s="3">
        <v>43.160134106025993</v>
      </c>
      <c r="B232" s="3">
        <v>32.258953168044073</v>
      </c>
      <c r="C232" s="3">
        <v>5.6052131619144605</v>
      </c>
    </row>
    <row r="233" spans="1:3" ht="15.4" x14ac:dyDescent="0.4">
      <c r="A233" s="3">
        <v>47.711519429471309</v>
      </c>
      <c r="B233" s="3">
        <v>39.433497536945815</v>
      </c>
      <c r="C233" s="3">
        <v>1.0234263919039375</v>
      </c>
    </row>
    <row r="234" spans="1:3" ht="15.4" x14ac:dyDescent="0.4">
      <c r="A234" s="3">
        <v>47.791971218329167</v>
      </c>
      <c r="B234" s="3">
        <v>39.730392156862735</v>
      </c>
      <c r="C234" s="3">
        <v>3.2364434704435037</v>
      </c>
    </row>
    <row r="235" spans="1:3" ht="15.4" x14ac:dyDescent="0.4">
      <c r="A235" s="3">
        <v>50.758765091586397</v>
      </c>
      <c r="B235" s="3">
        <v>35.229257641921393</v>
      </c>
      <c r="C235" s="3">
        <v>11.501809869250767</v>
      </c>
    </row>
    <row r="236" spans="1:3" ht="15.4" x14ac:dyDescent="0.4">
      <c r="A236" s="3">
        <v>55.30300327632898</v>
      </c>
      <c r="B236" s="3">
        <v>43.549000951474774</v>
      </c>
      <c r="C236" s="3">
        <v>2.7713656973520346</v>
      </c>
    </row>
    <row r="237" spans="1:3" ht="15.4" x14ac:dyDescent="0.4">
      <c r="A237" s="3">
        <v>56.25284376166956</v>
      </c>
      <c r="B237" s="3">
        <v>45.013901760889709</v>
      </c>
      <c r="C237" s="3">
        <v>9.8811751617586641</v>
      </c>
    </row>
    <row r="238" spans="1:3" ht="15.4" x14ac:dyDescent="0.4">
      <c r="A238" s="3">
        <v>60.174272232532225</v>
      </c>
      <c r="B238" s="3">
        <v>43.092550790067719</v>
      </c>
      <c r="C238" s="3">
        <v>13.838551568524448</v>
      </c>
    </row>
    <row r="239" spans="1:3" ht="15.4" x14ac:dyDescent="0.4">
      <c r="A239" s="3">
        <v>62.304355352132703</v>
      </c>
      <c r="B239" s="3">
        <v>43.092550790067719</v>
      </c>
      <c r="C239" s="3">
        <v>33.080053061729565</v>
      </c>
    </row>
    <row r="240" spans="1:3" ht="15.4" x14ac:dyDescent="0.4">
      <c r="A240" s="3">
        <v>67.316552555510683</v>
      </c>
      <c r="B240" s="3">
        <v>53.601226993865026</v>
      </c>
      <c r="C240" s="3">
        <v>33.455890220138031</v>
      </c>
    </row>
    <row r="241" spans="1:3" ht="15.4" x14ac:dyDescent="0.4">
      <c r="A241" s="3">
        <v>23.685370874359119</v>
      </c>
      <c r="B241" s="3">
        <v>4.6019417475728153</v>
      </c>
      <c r="C241" s="3">
        <v>6.7704729887262216</v>
      </c>
    </row>
    <row r="242" spans="1:3" ht="15.4" x14ac:dyDescent="0.4">
      <c r="A242" s="3">
        <v>47.446260001266239</v>
      </c>
      <c r="B242" s="3">
        <v>15.682352941176466</v>
      </c>
      <c r="C242" s="3">
        <v>36.084430239936466</v>
      </c>
    </row>
    <row r="243" spans="1:3" ht="15.4" x14ac:dyDescent="0.4">
      <c r="A243" s="3">
        <v>60.876970127218158</v>
      </c>
      <c r="B243" s="3">
        <v>12.587412587412599</v>
      </c>
      <c r="C243" s="3">
        <v>56.551874091060071</v>
      </c>
    </row>
    <row r="244" spans="1:3" ht="15.4" x14ac:dyDescent="0.4">
      <c r="A244" s="3"/>
      <c r="B244" s="3"/>
      <c r="C244" s="3"/>
    </row>
    <row r="245" spans="1:3" ht="15.4" x14ac:dyDescent="0.4">
      <c r="A245" s="3"/>
      <c r="B245" s="3"/>
      <c r="C245" s="3"/>
    </row>
    <row r="246" spans="1:3" ht="15.4" x14ac:dyDescent="0.4">
      <c r="A246" s="3"/>
      <c r="B246" s="3"/>
      <c r="C246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BD74-DBE0-4312-A2EC-A728A0491511}">
  <dimension ref="A1:N255"/>
  <sheetViews>
    <sheetView zoomScale="85" zoomScaleNormal="85" workbookViewId="0">
      <pane ySplit="1" topLeftCell="A2" activePane="bottomLeft" state="frozen"/>
      <selection pane="bottomLeft" activeCell="H11" sqref="H11"/>
    </sheetView>
  </sheetViews>
  <sheetFormatPr defaultRowHeight="13.9" x14ac:dyDescent="0.4"/>
  <cols>
    <col min="1" max="1" width="14.3984375" style="12" customWidth="1"/>
    <col min="2" max="2" width="9.73046875" style="49" bestFit="1" customWidth="1"/>
    <col min="3" max="3" width="12.265625" bestFit="1" customWidth="1"/>
    <col min="4" max="4" width="18.59765625" customWidth="1"/>
    <col min="5" max="5" width="12.265625" bestFit="1" customWidth="1"/>
    <col min="7" max="7" width="14.73046875" style="9" customWidth="1"/>
    <col min="8" max="8" width="11.59765625" customWidth="1"/>
    <col min="9" max="9" width="17.59765625" customWidth="1"/>
    <col min="10" max="10" width="11.59765625" customWidth="1"/>
    <col min="12" max="12" width="17.73046875" customWidth="1"/>
    <col min="13" max="13" width="17.59765625" customWidth="1"/>
    <col min="14" max="14" width="14.46484375" customWidth="1"/>
  </cols>
  <sheetData>
    <row r="1" spans="1:14" ht="33" x14ac:dyDescent="0.4">
      <c r="A1" s="10" t="s">
        <v>15</v>
      </c>
      <c r="B1" s="42" t="s">
        <v>69</v>
      </c>
      <c r="C1" s="13" t="s">
        <v>5</v>
      </c>
      <c r="D1" s="13" t="s">
        <v>6</v>
      </c>
      <c r="E1" s="13" t="s">
        <v>7</v>
      </c>
      <c r="G1" s="14" t="s">
        <v>16</v>
      </c>
      <c r="H1" s="13" t="s">
        <v>5</v>
      </c>
      <c r="I1" s="13" t="s">
        <v>6</v>
      </c>
      <c r="J1" s="13" t="s">
        <v>7</v>
      </c>
      <c r="L1" s="13"/>
      <c r="M1" s="13"/>
      <c r="N1" s="13"/>
    </row>
    <row r="2" spans="1:14" ht="15.4" x14ac:dyDescent="0.4">
      <c r="A2" s="11" t="s">
        <v>8</v>
      </c>
      <c r="B2" s="43">
        <v>0.89999999999999991</v>
      </c>
      <c r="C2" s="3">
        <v>3.5881247089843207</v>
      </c>
      <c r="D2" s="3">
        <v>2.7322784810126648</v>
      </c>
      <c r="E2" s="3">
        <v>0.66008018247025646</v>
      </c>
      <c r="G2" s="16" t="s">
        <v>8</v>
      </c>
      <c r="H2" s="7">
        <f>AVERAGE(C2:C63)</f>
        <v>17.838152676710319</v>
      </c>
      <c r="I2" s="7">
        <f t="shared" ref="I2:J2" si="0">AVERAGE(D2:D63)</f>
        <v>16.562498655295968</v>
      </c>
      <c r="J2" s="7">
        <f t="shared" si="0"/>
        <v>11.464286126533844</v>
      </c>
      <c r="L2" s="5"/>
      <c r="M2" s="5"/>
      <c r="N2" s="5"/>
    </row>
    <row r="3" spans="1:14" ht="15.4" x14ac:dyDescent="0.4">
      <c r="B3" s="43">
        <v>1</v>
      </c>
      <c r="C3" s="3">
        <v>4.1218776013991807</v>
      </c>
      <c r="D3" s="3">
        <v>3.4995944849959431</v>
      </c>
      <c r="E3" s="3">
        <v>0.75880778608962351</v>
      </c>
      <c r="G3" s="16" t="s">
        <v>9</v>
      </c>
      <c r="H3" s="7">
        <f>AVERAGE(C64:C104)</f>
        <v>26.601390297798805</v>
      </c>
      <c r="I3" s="7">
        <f t="shared" ref="I3:J3" si="1">AVERAGE(D64:D104)</f>
        <v>25.543643230771433</v>
      </c>
      <c r="J3" s="7">
        <f t="shared" si="1"/>
        <v>12.42530168224482</v>
      </c>
      <c r="L3" s="5"/>
      <c r="M3" s="5"/>
      <c r="N3" s="5"/>
    </row>
    <row r="4" spans="1:14" ht="15.4" x14ac:dyDescent="0.4">
      <c r="B4" s="43">
        <v>1.5817223198594026</v>
      </c>
      <c r="C4" s="3">
        <v>4.351049821949915</v>
      </c>
      <c r="D4" s="3">
        <v>5.3101102843534385</v>
      </c>
      <c r="E4" s="3">
        <v>4.2302101564183525</v>
      </c>
      <c r="G4" s="16" t="s">
        <v>10</v>
      </c>
      <c r="H4" s="7">
        <f>AVERAGE(C105:C134)</f>
        <v>39.528961482022282</v>
      </c>
      <c r="I4" s="7">
        <f>AVERAGE(D105:D134)</f>
        <v>29.597481120079063</v>
      </c>
      <c r="J4" s="7">
        <f>AVERAGE(E105:E134)</f>
        <v>20.938803397618603</v>
      </c>
      <c r="L4" s="5"/>
      <c r="M4" s="5"/>
      <c r="N4" s="5"/>
    </row>
    <row r="5" spans="1:14" ht="15.4" x14ac:dyDescent="0.4">
      <c r="B5" s="43">
        <v>2</v>
      </c>
      <c r="C5" s="3">
        <v>7.0584008270622878</v>
      </c>
      <c r="D5" s="3">
        <v>5.1850299401197599</v>
      </c>
      <c r="E5" s="3">
        <v>0.79775198200478548</v>
      </c>
      <c r="G5" s="16" t="s">
        <v>11</v>
      </c>
      <c r="H5" s="7">
        <f>AVERAGE(C135:C159)</f>
        <v>41.682021261339429</v>
      </c>
      <c r="I5" s="7">
        <f t="shared" ref="I5:J5" si="2">AVERAGE(D135:D159)</f>
        <v>30.822533557580805</v>
      </c>
      <c r="J5" s="7">
        <f t="shared" si="2"/>
        <v>23.670351714910407</v>
      </c>
      <c r="L5" s="5"/>
      <c r="M5" s="5"/>
      <c r="N5" s="5"/>
    </row>
    <row r="6" spans="1:14" ht="15.4" x14ac:dyDescent="0.4">
      <c r="B6" s="43">
        <v>2</v>
      </c>
      <c r="C6" s="3">
        <v>8.392473583550947</v>
      </c>
      <c r="D6" s="3">
        <v>7.1752851711026615</v>
      </c>
      <c r="E6" s="3">
        <v>1.9422350480486652</v>
      </c>
      <c r="G6" s="16" t="s">
        <v>12</v>
      </c>
      <c r="H6" s="7">
        <f>AVERAGE(C160:C199)</f>
        <v>43.642420278359232</v>
      </c>
      <c r="I6" s="7">
        <f t="shared" ref="I6:J6" si="3">AVERAGE(D160:D199)</f>
        <v>56.67222701466919</v>
      </c>
      <c r="J6" s="7">
        <f t="shared" si="3"/>
        <v>16.780657572611936</v>
      </c>
      <c r="L6" s="5"/>
      <c r="M6" s="5"/>
      <c r="N6" s="5"/>
    </row>
    <row r="7" spans="1:14" ht="15.4" x14ac:dyDescent="0.4">
      <c r="B7" s="43">
        <v>2.4</v>
      </c>
      <c r="C7" s="3">
        <v>28.037729345213023</v>
      </c>
      <c r="D7" s="3">
        <v>24.053571428571434</v>
      </c>
      <c r="E7" s="3">
        <v>15.391457125133048</v>
      </c>
      <c r="G7" s="16" t="s">
        <v>13</v>
      </c>
      <c r="H7" s="7">
        <f>AVERAGE(C200:C221)</f>
        <v>51.34771025003031</v>
      </c>
      <c r="I7" s="7">
        <f t="shared" ref="I7:J7" si="4">AVERAGE(D200:D221)</f>
        <v>68.731257164090223</v>
      </c>
      <c r="J7" s="7">
        <f t="shared" si="4"/>
        <v>17.416197487587272</v>
      </c>
      <c r="L7" s="5"/>
      <c r="M7" s="5"/>
      <c r="N7" s="5"/>
    </row>
    <row r="8" spans="1:14" ht="15.4" x14ac:dyDescent="0.4">
      <c r="B8" s="43">
        <v>2.5</v>
      </c>
      <c r="C8" s="3">
        <v>16.234247590808014</v>
      </c>
      <c r="D8" s="3">
        <v>14.922383308645795</v>
      </c>
      <c r="E8" s="3">
        <v>2.3157894736842035</v>
      </c>
      <c r="G8" s="16" t="s">
        <v>14</v>
      </c>
      <c r="H8" s="7">
        <f>AVERAGE(C222:C243)</f>
        <v>30.001755198991102</v>
      </c>
      <c r="I8" s="7">
        <f t="shared" ref="I8:J8" si="5">AVERAGE(D222:D243)</f>
        <v>188.44123378992091</v>
      </c>
      <c r="J8" s="7">
        <f t="shared" si="5"/>
        <v>17.446571430293783</v>
      </c>
      <c r="L8" s="5"/>
      <c r="M8" s="5"/>
      <c r="N8" s="5"/>
    </row>
    <row r="9" spans="1:14" ht="15.4" x14ac:dyDescent="0.4">
      <c r="B9" s="43">
        <v>2.5</v>
      </c>
      <c r="C9" s="3">
        <v>4.7096816405386095</v>
      </c>
      <c r="D9" s="3">
        <v>0.96200210128682218</v>
      </c>
      <c r="E9" s="3">
        <v>4.2229729729729772</v>
      </c>
      <c r="L9" s="5"/>
      <c r="M9" s="5"/>
      <c r="N9" s="5"/>
    </row>
    <row r="10" spans="1:14" ht="15.4" x14ac:dyDescent="0.4">
      <c r="B10" s="43">
        <v>2.7027027027027026</v>
      </c>
      <c r="C10" s="3">
        <v>9.9711854785311012</v>
      </c>
      <c r="D10" s="3">
        <v>3.1491712707182229</v>
      </c>
      <c r="E10" s="3">
        <v>3.1215469613259756</v>
      </c>
      <c r="L10" s="5"/>
      <c r="M10" s="5"/>
      <c r="N10" s="5"/>
    </row>
    <row r="11" spans="1:14" ht="15.4" x14ac:dyDescent="0.4">
      <c r="B11" s="43">
        <v>3</v>
      </c>
      <c r="C11" s="3">
        <v>8.4193851660885599</v>
      </c>
      <c r="D11" s="3">
        <v>6.2189343621508364</v>
      </c>
      <c r="E11" s="3">
        <v>7.9391651159714973</v>
      </c>
      <c r="L11" s="5"/>
      <c r="M11" s="5"/>
      <c r="N11" s="5"/>
    </row>
    <row r="12" spans="1:14" ht="15.4" x14ac:dyDescent="0.4">
      <c r="B12" s="43">
        <v>3</v>
      </c>
      <c r="C12" s="3">
        <v>22.119263541051986</v>
      </c>
      <c r="D12" s="3">
        <v>19.718302910705475</v>
      </c>
      <c r="E12" s="3">
        <v>14.304477149727667</v>
      </c>
      <c r="L12" s="5"/>
      <c r="M12" s="5"/>
      <c r="N12" s="5"/>
    </row>
    <row r="13" spans="1:14" ht="15.4" x14ac:dyDescent="0.4">
      <c r="B13" s="43">
        <v>3</v>
      </c>
      <c r="C13" s="3">
        <v>14.3481731693431</v>
      </c>
      <c r="D13" s="3">
        <v>12.601186322400556</v>
      </c>
      <c r="E13" s="3">
        <v>5.3276167067383069</v>
      </c>
      <c r="L13" s="5"/>
      <c r="M13" s="5"/>
      <c r="N13" s="5"/>
    </row>
    <row r="14" spans="1:14" ht="15.4" x14ac:dyDescent="0.4">
      <c r="B14" s="43">
        <v>3.0674846625766872</v>
      </c>
      <c r="C14" s="3">
        <v>8.6956521739130626</v>
      </c>
      <c r="D14" s="3">
        <v>4.5521084259930493</v>
      </c>
      <c r="E14" s="3">
        <v>5.2608695652173907</v>
      </c>
      <c r="L14" s="5"/>
      <c r="M14" s="5"/>
      <c r="N14" s="5"/>
    </row>
    <row r="15" spans="1:14" ht="15.4" x14ac:dyDescent="0.4">
      <c r="B15" s="43">
        <v>3.2211047952193561</v>
      </c>
      <c r="C15" s="3">
        <v>0.44415742313274298</v>
      </c>
      <c r="D15" s="3">
        <v>2.454435366676484</v>
      </c>
      <c r="E15" s="3">
        <v>0.73232722588748789</v>
      </c>
      <c r="L15" s="5"/>
      <c r="M15" s="5"/>
      <c r="N15" s="5"/>
    </row>
    <row r="16" spans="1:14" ht="15.4" x14ac:dyDescent="0.4">
      <c r="B16" s="43">
        <v>3.5106670267350801</v>
      </c>
      <c r="C16" s="3">
        <v>16.279486056599595</v>
      </c>
      <c r="D16" s="3">
        <v>12.505854800936769</v>
      </c>
      <c r="E16" s="3">
        <v>1.5034428551697934</v>
      </c>
      <c r="L16" s="5"/>
      <c r="M16" s="5"/>
      <c r="N16" s="5"/>
    </row>
    <row r="17" spans="2:14" ht="15.4" x14ac:dyDescent="0.4">
      <c r="B17" s="43">
        <v>3.5106670267350801</v>
      </c>
      <c r="C17" s="3">
        <v>20.060445637946305</v>
      </c>
      <c r="D17" s="3">
        <v>17.161862527716192</v>
      </c>
      <c r="E17" s="3">
        <v>2.2724112611773895</v>
      </c>
      <c r="L17" s="5"/>
      <c r="M17" s="5"/>
      <c r="N17" s="5"/>
    </row>
    <row r="18" spans="2:14" ht="15.4" x14ac:dyDescent="0.4">
      <c r="B18" s="43">
        <v>3.5106670267350801</v>
      </c>
      <c r="C18" s="3">
        <v>20.508795954335817</v>
      </c>
      <c r="D18" s="3">
        <v>17.709251101321591</v>
      </c>
      <c r="E18" s="3">
        <v>3.8428177028167374</v>
      </c>
      <c r="L18" s="5"/>
      <c r="M18" s="5"/>
      <c r="N18" s="5"/>
    </row>
    <row r="19" spans="2:14" ht="15.4" x14ac:dyDescent="0.4">
      <c r="B19" s="43">
        <v>3.6144578313253009</v>
      </c>
      <c r="C19" s="3">
        <v>8.4687850595571561</v>
      </c>
      <c r="D19" s="3">
        <v>3.1256338330772655</v>
      </c>
      <c r="E19" s="3">
        <v>5.4958677685950557</v>
      </c>
      <c r="L19" s="5"/>
      <c r="M19" s="5"/>
      <c r="N19" s="5"/>
    </row>
    <row r="20" spans="2:14" ht="15.4" x14ac:dyDescent="0.4">
      <c r="B20" s="43">
        <v>3.9292730844793713</v>
      </c>
      <c r="C20" s="3">
        <v>48.202759087820105</v>
      </c>
      <c r="D20" s="3">
        <v>47.570768455437204</v>
      </c>
      <c r="E20" s="3">
        <v>19.217758985200842</v>
      </c>
      <c r="L20" s="5"/>
      <c r="M20" s="5"/>
      <c r="N20" s="5"/>
    </row>
    <row r="21" spans="2:14" ht="15.4" x14ac:dyDescent="0.4">
      <c r="B21" s="43">
        <v>3.9525691699604737</v>
      </c>
      <c r="C21" s="3">
        <v>4.7055686402127668</v>
      </c>
      <c r="D21" s="3">
        <v>1.4458968465119111</v>
      </c>
      <c r="E21" s="3">
        <v>31.815775542615132</v>
      </c>
      <c r="L21" s="5"/>
      <c r="M21" s="5"/>
      <c r="N21" s="5"/>
    </row>
    <row r="22" spans="2:14" ht="15.4" x14ac:dyDescent="0.4">
      <c r="B22" s="43">
        <v>3.9525691699604737</v>
      </c>
      <c r="C22" s="3">
        <v>2.5842804762435923</v>
      </c>
      <c r="D22" s="3">
        <v>0.81879514944000997</v>
      </c>
      <c r="E22" s="3">
        <v>33.872340425531917</v>
      </c>
      <c r="L22" s="5"/>
      <c r="M22" s="5"/>
      <c r="N22" s="5"/>
    </row>
    <row r="23" spans="2:14" ht="15.4" x14ac:dyDescent="0.4">
      <c r="B23" s="43">
        <v>4</v>
      </c>
      <c r="C23" s="3">
        <v>21.068283552439784</v>
      </c>
      <c r="D23" s="3">
        <v>17.760078662733537</v>
      </c>
      <c r="E23" s="3">
        <v>10.602785810855945</v>
      </c>
      <c r="L23" s="5"/>
      <c r="M23" s="5"/>
      <c r="N23" s="5"/>
    </row>
    <row r="24" spans="2:14" ht="15.4" x14ac:dyDescent="0.4">
      <c r="B24" s="43">
        <v>4</v>
      </c>
      <c r="C24" s="3">
        <v>8.2583991534258647</v>
      </c>
      <c r="D24" s="3">
        <v>5.7068965517241432</v>
      </c>
      <c r="E24" s="3">
        <v>4.549547103446435</v>
      </c>
      <c r="L24" s="5"/>
      <c r="M24" s="5"/>
      <c r="N24" s="5"/>
    </row>
    <row r="25" spans="2:14" ht="15.4" x14ac:dyDescent="0.4">
      <c r="B25" s="43">
        <v>4.8811013767209008</v>
      </c>
      <c r="C25" s="3">
        <v>0.97836944101282675</v>
      </c>
      <c r="D25" s="3">
        <v>2.2243736490446491</v>
      </c>
      <c r="E25" s="3">
        <v>1.0791114608838874E-2</v>
      </c>
      <c r="L25" s="5"/>
      <c r="M25" s="5"/>
      <c r="N25" s="5"/>
    </row>
    <row r="26" spans="2:14" ht="15.4" x14ac:dyDescent="0.4">
      <c r="B26" s="43">
        <v>5</v>
      </c>
      <c r="C26" s="3">
        <v>1.3845244124276563</v>
      </c>
      <c r="D26" s="3">
        <v>2.7110340346140931</v>
      </c>
      <c r="E26" s="3">
        <v>9.8205742564814097E-2</v>
      </c>
      <c r="L26" s="5"/>
      <c r="M26" s="5"/>
      <c r="N26" s="5"/>
    </row>
    <row r="27" spans="2:14" ht="15.4" x14ac:dyDescent="0.4">
      <c r="B27" s="43">
        <v>5</v>
      </c>
      <c r="C27" s="3">
        <v>38.658146964856229</v>
      </c>
      <c r="D27" s="3">
        <v>36.537528353068367</v>
      </c>
      <c r="E27" s="3">
        <v>6.6909090909091002</v>
      </c>
      <c r="L27" s="5"/>
      <c r="M27" s="5"/>
      <c r="N27" s="5"/>
    </row>
    <row r="28" spans="2:14" ht="15.4" x14ac:dyDescent="0.4">
      <c r="B28" s="43">
        <v>5</v>
      </c>
      <c r="C28" s="3">
        <v>5.9904193241791495</v>
      </c>
      <c r="D28" s="3">
        <v>1.7807798214774999</v>
      </c>
      <c r="E28" s="3">
        <v>11.446945337620585</v>
      </c>
      <c r="L28" s="5"/>
      <c r="M28" s="5"/>
      <c r="N28" s="5"/>
    </row>
    <row r="29" spans="2:14" ht="15.4" x14ac:dyDescent="0.4">
      <c r="B29" s="43">
        <v>5</v>
      </c>
      <c r="C29" s="3">
        <v>56.606884798390858</v>
      </c>
      <c r="D29" s="3">
        <v>55.128324162819041</v>
      </c>
      <c r="E29" s="3">
        <v>36.837628865979347</v>
      </c>
      <c r="L29" s="5"/>
      <c r="M29" s="5"/>
      <c r="N29" s="5"/>
    </row>
    <row r="30" spans="2:14" ht="15.4" x14ac:dyDescent="0.4">
      <c r="B30" s="43">
        <v>5</v>
      </c>
      <c r="C30" s="3">
        <v>17.041872220786423</v>
      </c>
      <c r="D30" s="3">
        <v>12.611788617886175</v>
      </c>
      <c r="E30" s="3">
        <v>3.4320496865157479</v>
      </c>
      <c r="L30" s="5"/>
      <c r="M30" s="5"/>
      <c r="N30" s="5"/>
    </row>
    <row r="31" spans="2:14" ht="15.4" x14ac:dyDescent="0.4">
      <c r="B31" s="43">
        <v>5</v>
      </c>
      <c r="C31" s="3">
        <v>24.605694262722729</v>
      </c>
      <c r="D31" s="3">
        <v>21.926309559041137</v>
      </c>
      <c r="E31" s="3">
        <v>11.546872512396266</v>
      </c>
      <c r="L31" s="5"/>
      <c r="M31" s="5"/>
      <c r="N31" s="5"/>
    </row>
    <row r="32" spans="2:14" ht="15.4" x14ac:dyDescent="0.4">
      <c r="B32" s="43">
        <v>5.8139534883720927</v>
      </c>
      <c r="C32" s="3">
        <v>7.3725044792018855</v>
      </c>
      <c r="D32" s="3">
        <v>2.460722193137872</v>
      </c>
      <c r="E32" s="3">
        <v>6.3257575757575717</v>
      </c>
      <c r="L32" s="5"/>
      <c r="M32" s="5"/>
      <c r="N32" s="5"/>
    </row>
    <row r="33" spans="2:14" ht="15.4" x14ac:dyDescent="0.4">
      <c r="B33" s="43">
        <v>5.8823529411764701</v>
      </c>
      <c r="C33" s="3">
        <v>25.576294356821556</v>
      </c>
      <c r="D33" s="3">
        <v>7.3275862068965454</v>
      </c>
      <c r="E33" s="3">
        <v>0.68965517241380092</v>
      </c>
      <c r="L33" s="5"/>
      <c r="M33" s="5"/>
      <c r="N33" s="5"/>
    </row>
    <row r="34" spans="2:14" ht="15.4" x14ac:dyDescent="0.4">
      <c r="B34" s="43">
        <v>5.9438275636838664</v>
      </c>
      <c r="C34" s="3">
        <v>3.9085505298486987</v>
      </c>
      <c r="D34" s="3">
        <v>2.8963912351975964E-2</v>
      </c>
      <c r="E34" s="3">
        <v>2.396348494056856</v>
      </c>
      <c r="L34" s="5"/>
      <c r="M34" s="5"/>
      <c r="N34" s="5"/>
    </row>
    <row r="35" spans="2:14" ht="15.4" x14ac:dyDescent="0.4">
      <c r="B35" s="43">
        <v>6</v>
      </c>
      <c r="C35" s="3">
        <v>26.545014170763299</v>
      </c>
      <c r="D35" s="3">
        <v>21.746460176991146</v>
      </c>
      <c r="E35" s="3">
        <v>12.240709637748679</v>
      </c>
      <c r="L35" s="5"/>
      <c r="M35" s="5"/>
      <c r="N35" s="5"/>
    </row>
    <row r="36" spans="2:14" ht="15.4" x14ac:dyDescent="0.4">
      <c r="B36" s="43">
        <v>6</v>
      </c>
      <c r="C36" s="3">
        <v>27.354817538590314</v>
      </c>
      <c r="D36" s="3">
        <v>24.189249720044792</v>
      </c>
      <c r="E36" s="3">
        <v>12.384308817739919</v>
      </c>
      <c r="L36" s="5"/>
      <c r="M36" s="5"/>
      <c r="N36" s="5"/>
    </row>
    <row r="37" spans="2:14" ht="15.4" x14ac:dyDescent="0.4">
      <c r="B37" s="43">
        <v>6.1349693251533743</v>
      </c>
      <c r="C37" s="3">
        <v>18.392969240426872</v>
      </c>
      <c r="D37" s="3">
        <v>10.487661358781116</v>
      </c>
      <c r="E37" s="3">
        <v>6.5555555555555536</v>
      </c>
      <c r="L37" s="5"/>
      <c r="M37" s="5"/>
      <c r="N37" s="5"/>
    </row>
    <row r="38" spans="2:14" ht="15.4" x14ac:dyDescent="0.4">
      <c r="B38" s="43">
        <v>6.5250000000000004</v>
      </c>
      <c r="C38" s="3">
        <v>1.7988295449521559E-14</v>
      </c>
      <c r="D38" s="3">
        <v>20.887172188730268</v>
      </c>
      <c r="E38" s="3">
        <v>11.567212725896121</v>
      </c>
      <c r="L38" s="5"/>
      <c r="M38" s="5"/>
      <c r="N38" s="5"/>
    </row>
    <row r="39" spans="2:14" ht="15.4" x14ac:dyDescent="0.4">
      <c r="B39" s="43">
        <v>6.9767441860465116</v>
      </c>
      <c r="C39" s="3">
        <v>9.8479930061095047</v>
      </c>
      <c r="D39" s="3">
        <v>1.0402511349054195</v>
      </c>
      <c r="E39" s="3">
        <v>16.860465116279062</v>
      </c>
      <c r="L39" s="5"/>
      <c r="M39" s="5"/>
      <c r="N39" s="5"/>
    </row>
    <row r="40" spans="2:14" ht="15.4" x14ac:dyDescent="0.4">
      <c r="B40" s="43">
        <v>7.0000000000000009</v>
      </c>
      <c r="C40" s="3">
        <v>27.214947953835555</v>
      </c>
      <c r="D40" s="3">
        <v>23.432387771963651</v>
      </c>
      <c r="E40" s="3">
        <v>9.8759071569716426</v>
      </c>
      <c r="L40" s="5"/>
      <c r="M40" s="5"/>
      <c r="N40" s="5"/>
    </row>
    <row r="41" spans="2:14" ht="15.4" x14ac:dyDescent="0.4">
      <c r="B41" s="43">
        <v>7.5</v>
      </c>
      <c r="C41" s="3">
        <v>52.238050789053581</v>
      </c>
      <c r="D41" s="3">
        <v>49.522204159628608</v>
      </c>
      <c r="E41" s="3">
        <v>9.3582887700534698</v>
      </c>
      <c r="L41" s="5"/>
      <c r="M41" s="5"/>
      <c r="N41" s="5"/>
    </row>
    <row r="42" spans="2:14" ht="15.4" x14ac:dyDescent="0.4">
      <c r="B42" s="43">
        <v>7.5669383003492436</v>
      </c>
      <c r="C42" s="3">
        <v>26.582555972744071</v>
      </c>
      <c r="D42" s="3">
        <v>20.094339622641517</v>
      </c>
      <c r="E42" s="3">
        <v>12.278393945434711</v>
      </c>
      <c r="L42" s="5"/>
      <c r="M42" s="5"/>
      <c r="N42" s="5"/>
    </row>
    <row r="43" spans="2:14" ht="15.4" x14ac:dyDescent="0.4">
      <c r="B43" s="43">
        <v>7.5669383003492436</v>
      </c>
      <c r="C43" s="3">
        <v>27.250313746804878</v>
      </c>
      <c r="D43" s="3">
        <v>20.988805970149262</v>
      </c>
      <c r="E43" s="3">
        <v>8.528992826204103</v>
      </c>
      <c r="L43" s="5"/>
      <c r="M43" s="5"/>
      <c r="N43" s="5"/>
    </row>
    <row r="44" spans="2:14" ht="15.4" x14ac:dyDescent="0.4">
      <c r="B44" s="43">
        <v>7.5669383003492436</v>
      </c>
      <c r="C44" s="3">
        <v>33.643105814812309</v>
      </c>
      <c r="D44" s="3">
        <v>26.475694444444443</v>
      </c>
      <c r="E44" s="3">
        <v>7.356749797815783</v>
      </c>
      <c r="L44" s="5"/>
      <c r="M44" s="5"/>
      <c r="N44" s="5"/>
    </row>
    <row r="45" spans="2:14" ht="15.4" x14ac:dyDescent="0.4">
      <c r="B45" s="43">
        <v>7.7</v>
      </c>
      <c r="C45" s="3">
        <v>11.32018655497162</v>
      </c>
      <c r="D45" s="3">
        <v>4.9534004185237652</v>
      </c>
      <c r="E45" s="3">
        <v>8.2315534527335732</v>
      </c>
      <c r="L45" s="5"/>
      <c r="M45" s="5"/>
      <c r="N45" s="5"/>
    </row>
    <row r="46" spans="2:14" ht="15.4" x14ac:dyDescent="0.4">
      <c r="B46" s="43">
        <v>8.4269662921348321</v>
      </c>
      <c r="C46" s="3">
        <v>46.293989381524995</v>
      </c>
      <c r="D46" s="3">
        <v>44.32644775718736</v>
      </c>
      <c r="E46" s="3">
        <v>62.665369649805434</v>
      </c>
      <c r="L46" s="5"/>
      <c r="M46" s="5"/>
      <c r="N46" s="5"/>
    </row>
    <row r="47" spans="2:14" ht="15.4" x14ac:dyDescent="0.4">
      <c r="B47" s="43">
        <v>8.6</v>
      </c>
      <c r="C47" s="3">
        <v>43.728915553476376</v>
      </c>
      <c r="D47" s="3">
        <v>31.462328767123282</v>
      </c>
      <c r="E47" s="3">
        <v>2.312761756578416</v>
      </c>
      <c r="L47" s="5"/>
      <c r="M47" s="5"/>
      <c r="N47" s="5"/>
    </row>
    <row r="48" spans="2:14" ht="15.4" x14ac:dyDescent="0.4">
      <c r="B48" s="43">
        <v>8.75</v>
      </c>
      <c r="C48" s="3">
        <v>0.59772971613164483</v>
      </c>
      <c r="D48" s="3">
        <v>28.603264079028897</v>
      </c>
      <c r="E48" s="3">
        <v>15.188630303598089</v>
      </c>
      <c r="L48" s="5"/>
      <c r="M48" s="5"/>
      <c r="N48" s="5"/>
    </row>
    <row r="49" spans="1:14" ht="15.4" x14ac:dyDescent="0.4">
      <c r="B49" s="43">
        <v>9</v>
      </c>
      <c r="C49" s="3">
        <v>12.251826538839941</v>
      </c>
      <c r="D49" s="3">
        <v>24.943975029866657</v>
      </c>
      <c r="E49" s="3">
        <v>18.740750715653299</v>
      </c>
      <c r="L49" s="5"/>
      <c r="M49" s="5"/>
      <c r="N49" s="5"/>
    </row>
    <row r="50" spans="1:14" ht="15.4" x14ac:dyDescent="0.4">
      <c r="B50" s="43">
        <v>9.0575724239090576</v>
      </c>
      <c r="C50" s="3">
        <v>1.1861357100696117E-14</v>
      </c>
      <c r="D50" s="3">
        <v>6.9708426223175097</v>
      </c>
      <c r="E50" s="3">
        <v>3.6530990656227114</v>
      </c>
      <c r="L50" s="5"/>
      <c r="M50" s="5"/>
      <c r="N50" s="5"/>
    </row>
    <row r="51" spans="1:14" ht="15.4" x14ac:dyDescent="0.4">
      <c r="B51" s="43">
        <v>9.2024539877300615</v>
      </c>
      <c r="C51" s="3">
        <v>25.472747497219146</v>
      </c>
      <c r="D51" s="3">
        <v>13.898730608409346</v>
      </c>
      <c r="E51" s="3">
        <v>9.3548387096774288</v>
      </c>
      <c r="L51" s="5"/>
      <c r="M51" s="5"/>
      <c r="N51" s="5"/>
    </row>
    <row r="52" spans="1:14" ht="15.4" x14ac:dyDescent="0.4">
      <c r="B52" s="43">
        <v>9.67741935483871</v>
      </c>
      <c r="C52" s="3">
        <v>34.703714461011096</v>
      </c>
      <c r="D52" s="3">
        <v>30.795053003533575</v>
      </c>
      <c r="E52" s="3">
        <v>2.4734982332155502</v>
      </c>
      <c r="L52" s="5"/>
      <c r="M52" s="5"/>
      <c r="N52" s="5"/>
    </row>
    <row r="53" spans="1:14" ht="15.4" x14ac:dyDescent="0.4">
      <c r="B53" s="43">
        <v>9.7000000000000011</v>
      </c>
      <c r="C53" s="3">
        <v>19.715251495290893</v>
      </c>
      <c r="D53" s="3">
        <v>12.190191772863109</v>
      </c>
      <c r="E53" s="3">
        <v>15.678750447734826</v>
      </c>
      <c r="L53" s="5"/>
      <c r="M53" s="5"/>
      <c r="N53" s="5"/>
    </row>
    <row r="54" spans="1:14" ht="15.4" x14ac:dyDescent="0.4">
      <c r="B54" s="43">
        <v>10</v>
      </c>
      <c r="C54" s="3">
        <v>6.4066205594833185</v>
      </c>
      <c r="D54" s="3">
        <v>12.388465754922935</v>
      </c>
      <c r="E54" s="3">
        <v>18.352941176470576</v>
      </c>
      <c r="L54" s="5"/>
      <c r="M54" s="5"/>
      <c r="N54" s="5"/>
    </row>
    <row r="55" spans="1:14" ht="15.4" x14ac:dyDescent="0.4">
      <c r="B55" s="43">
        <v>10</v>
      </c>
      <c r="C55" s="3">
        <v>24.331206297196822</v>
      </c>
      <c r="D55" s="3">
        <v>41.83153580672991</v>
      </c>
      <c r="E55" s="3">
        <v>38.773943054357169</v>
      </c>
      <c r="L55" s="5"/>
      <c r="M55" s="5"/>
      <c r="N55" s="5"/>
    </row>
    <row r="56" spans="1:14" ht="15.4" x14ac:dyDescent="0.4">
      <c r="B56" s="43">
        <v>10</v>
      </c>
      <c r="C56" s="3">
        <v>10.043362031848545</v>
      </c>
      <c r="D56" s="3">
        <v>35.17608715123523</v>
      </c>
      <c r="E56" s="3">
        <v>21.686340134798368</v>
      </c>
      <c r="L56" s="5"/>
      <c r="M56" s="5"/>
      <c r="N56" s="5"/>
    </row>
    <row r="57" spans="1:14" ht="15.4" x14ac:dyDescent="0.4">
      <c r="B57" s="43">
        <v>10</v>
      </c>
      <c r="C57" s="3">
        <v>6.6648876333011211</v>
      </c>
      <c r="D57" s="3">
        <v>26.8565614320623</v>
      </c>
      <c r="E57" s="3">
        <v>44.037087767358379</v>
      </c>
      <c r="L57" s="5"/>
      <c r="M57" s="5"/>
      <c r="N57" s="5"/>
    </row>
    <row r="58" spans="1:14" ht="15.4" x14ac:dyDescent="0.4">
      <c r="B58" s="43">
        <v>10</v>
      </c>
      <c r="C58" s="3">
        <v>15.875975740004348</v>
      </c>
      <c r="D58" s="3">
        <v>0.46734833797077424</v>
      </c>
      <c r="E58" s="3">
        <v>14.26273458445041</v>
      </c>
      <c r="L58" s="5"/>
      <c r="M58" s="5"/>
      <c r="N58" s="5"/>
    </row>
    <row r="59" spans="1:14" ht="15.4" x14ac:dyDescent="0.4">
      <c r="B59" s="43">
        <v>10</v>
      </c>
      <c r="C59" s="3">
        <v>44.765079097386135</v>
      </c>
      <c r="D59" s="3">
        <v>39.101438968772442</v>
      </c>
      <c r="E59" s="3">
        <v>27.311111111111103</v>
      </c>
      <c r="L59" s="5"/>
      <c r="M59" s="5"/>
      <c r="N59" s="5"/>
    </row>
    <row r="60" spans="1:14" ht="15.4" x14ac:dyDescent="0.4">
      <c r="B60" s="43">
        <v>10</v>
      </c>
      <c r="C60" s="3">
        <v>9.3992955274612893</v>
      </c>
      <c r="D60" s="3">
        <v>7.3925379902424133</v>
      </c>
      <c r="E60" s="3">
        <v>26.285714285714278</v>
      </c>
      <c r="L60" s="5"/>
      <c r="M60" s="5"/>
      <c r="N60" s="5"/>
    </row>
    <row r="61" spans="1:14" ht="15.4" x14ac:dyDescent="0.4">
      <c r="B61" s="43">
        <v>10</v>
      </c>
      <c r="C61" s="3">
        <v>57.591577847387086</v>
      </c>
      <c r="D61" s="3">
        <v>54.156940203023154</v>
      </c>
      <c r="E61" s="3">
        <v>9.7753378378378439</v>
      </c>
      <c r="L61" s="5"/>
      <c r="M61" s="5"/>
      <c r="N61" s="5"/>
    </row>
    <row r="62" spans="1:14" ht="15.4" x14ac:dyDescent="0.4">
      <c r="B62" s="43">
        <v>10</v>
      </c>
      <c r="C62" s="3">
        <v>6.4435378102597305</v>
      </c>
      <c r="D62" s="3">
        <v>0.70502901353965797</v>
      </c>
      <c r="E62" s="3">
        <v>3.1811230458894277</v>
      </c>
      <c r="L62" s="5"/>
      <c r="M62" s="5"/>
      <c r="N62" s="5"/>
    </row>
    <row r="63" spans="1:14" ht="15.4" x14ac:dyDescent="0.4">
      <c r="B63" s="43">
        <v>10</v>
      </c>
      <c r="C63" s="3">
        <v>8.5383274997090481</v>
      </c>
      <c r="D63" s="3">
        <v>12.713669064748197</v>
      </c>
      <c r="E63" s="3">
        <v>2.1603516628702129</v>
      </c>
      <c r="L63" s="5"/>
      <c r="M63" s="5"/>
      <c r="N63" s="5"/>
    </row>
    <row r="64" spans="1:14" ht="15.4" x14ac:dyDescent="0.4">
      <c r="A64" s="11" t="s">
        <v>9</v>
      </c>
      <c r="B64" s="43">
        <v>10.112359550561797</v>
      </c>
      <c r="C64" s="3">
        <v>17.250890408920824</v>
      </c>
      <c r="D64" s="3">
        <v>1.7668633431863816</v>
      </c>
      <c r="E64" s="3">
        <v>17.755102040816336</v>
      </c>
      <c r="L64" s="5"/>
      <c r="M64" s="5"/>
      <c r="N64" s="5"/>
    </row>
    <row r="65" spans="2:14" ht="15.4" x14ac:dyDescent="0.4">
      <c r="B65" s="43">
        <v>10.911</v>
      </c>
      <c r="C65" s="3">
        <v>0.72455806265414535</v>
      </c>
      <c r="D65" s="3">
        <v>37.420287547288943</v>
      </c>
      <c r="E65" s="3">
        <v>17.730360178238648</v>
      </c>
      <c r="L65" s="5"/>
      <c r="M65" s="5"/>
      <c r="N65" s="5"/>
    </row>
    <row r="66" spans="2:14" ht="15.4" x14ac:dyDescent="0.4">
      <c r="B66" s="43">
        <v>11.322248614410135</v>
      </c>
      <c r="C66" s="3">
        <v>13.044583037043747</v>
      </c>
      <c r="D66" s="3">
        <v>4.8731297525013995</v>
      </c>
      <c r="E66" s="3">
        <v>8.3106603800632435</v>
      </c>
      <c r="L66" s="5"/>
      <c r="M66" s="5"/>
      <c r="N66" s="5"/>
    </row>
    <row r="67" spans="2:14" ht="15.4" x14ac:dyDescent="0.4">
      <c r="B67" s="43">
        <v>12</v>
      </c>
      <c r="C67" s="3">
        <v>23.685370874359119</v>
      </c>
      <c r="D67" s="3">
        <v>4.6019417475728153</v>
      </c>
      <c r="E67" s="3">
        <v>6.7704729887262216</v>
      </c>
      <c r="L67" s="5"/>
      <c r="M67" s="5"/>
      <c r="N67" s="5"/>
    </row>
    <row r="68" spans="2:14" ht="15.4" x14ac:dyDescent="0.4">
      <c r="B68" s="43">
        <v>12.195121951219512</v>
      </c>
      <c r="C68" s="3">
        <v>18.001873110213161</v>
      </c>
      <c r="D68" s="3">
        <v>2.7243074941151648</v>
      </c>
      <c r="E68" s="3">
        <v>5.6965944272445732</v>
      </c>
      <c r="L68" s="5"/>
      <c r="M68" s="5"/>
      <c r="N68" s="5"/>
    </row>
    <row r="69" spans="2:14" ht="15.4" x14ac:dyDescent="0.4">
      <c r="B69" s="43">
        <v>12.269938650306749</v>
      </c>
      <c r="C69" s="3">
        <v>28.792569659442751</v>
      </c>
      <c r="D69" s="3">
        <v>13.007679199623237</v>
      </c>
      <c r="E69" s="3">
        <v>16.735294117647044</v>
      </c>
      <c r="L69" s="5"/>
      <c r="M69" s="5"/>
      <c r="N69" s="5"/>
    </row>
    <row r="70" spans="2:14" ht="15.4" x14ac:dyDescent="0.4">
      <c r="B70" s="43">
        <v>12.306721363206059</v>
      </c>
      <c r="C70" s="3">
        <v>43.160134106025993</v>
      </c>
      <c r="D70" s="3">
        <v>32.258953168044073</v>
      </c>
      <c r="E70" s="3">
        <v>5.6052131619144605</v>
      </c>
      <c r="L70" s="5"/>
      <c r="M70" s="5"/>
      <c r="N70" s="5"/>
    </row>
    <row r="71" spans="2:14" ht="15.4" x14ac:dyDescent="0.4">
      <c r="B71" s="43">
        <v>12.306721363206059</v>
      </c>
      <c r="C71" s="3">
        <v>47.711519429471309</v>
      </c>
      <c r="D71" s="3">
        <v>39.433497536945815</v>
      </c>
      <c r="E71" s="3">
        <v>1.0234263919039375</v>
      </c>
      <c r="L71" s="5"/>
      <c r="M71" s="5"/>
      <c r="N71" s="5"/>
    </row>
    <row r="72" spans="2:14" ht="15.4" x14ac:dyDescent="0.4">
      <c r="B72" s="43">
        <v>12.306721363206059</v>
      </c>
      <c r="C72" s="3">
        <v>47.791971218329167</v>
      </c>
      <c r="D72" s="3">
        <v>39.730392156862735</v>
      </c>
      <c r="E72" s="3">
        <v>3.2364434704435037</v>
      </c>
      <c r="L72" s="5"/>
      <c r="M72" s="5"/>
      <c r="N72" s="5"/>
    </row>
    <row r="73" spans="2:14" ht="15.4" x14ac:dyDescent="0.4">
      <c r="B73" s="43">
        <v>12.5</v>
      </c>
      <c r="C73" s="3">
        <v>3.6940656594536589</v>
      </c>
      <c r="D73" s="3">
        <v>17.558260410039249</v>
      </c>
      <c r="E73" s="3">
        <v>1.9820533948009775</v>
      </c>
      <c r="L73" s="5"/>
      <c r="M73" s="5"/>
      <c r="N73" s="5"/>
    </row>
    <row r="74" spans="2:14" ht="15.4" x14ac:dyDescent="0.4">
      <c r="B74" s="43">
        <v>14.285714285714288</v>
      </c>
      <c r="C74" s="3">
        <v>42.591083727465382</v>
      </c>
      <c r="D74" s="3">
        <v>67.234957020057323</v>
      </c>
      <c r="E74" s="3">
        <v>6.8481375358166288</v>
      </c>
      <c r="L74" s="5"/>
      <c r="M74" s="5"/>
      <c r="N74" s="5"/>
    </row>
    <row r="75" spans="2:14" ht="15.4" x14ac:dyDescent="0.4">
      <c r="B75" s="43">
        <v>15</v>
      </c>
      <c r="C75" s="3">
        <v>20.641503339973486</v>
      </c>
      <c r="D75" s="3">
        <v>7.127009345937986</v>
      </c>
      <c r="E75" s="3">
        <v>0.57208408050974624</v>
      </c>
      <c r="L75" s="5"/>
      <c r="M75" s="5"/>
      <c r="N75" s="5"/>
    </row>
    <row r="76" spans="2:14" ht="15.4" x14ac:dyDescent="0.4">
      <c r="B76" s="43">
        <v>15</v>
      </c>
      <c r="C76" s="3">
        <v>1.70108537214931</v>
      </c>
      <c r="D76" s="3">
        <v>18.397081377515459</v>
      </c>
      <c r="E76" s="3">
        <v>4.1495428863554035E-2</v>
      </c>
      <c r="L76" s="5"/>
      <c r="M76" s="5"/>
      <c r="N76" s="5"/>
    </row>
    <row r="77" spans="2:14" ht="15.4" x14ac:dyDescent="0.4">
      <c r="B77" s="43">
        <v>15</v>
      </c>
      <c r="C77" s="3">
        <v>9.1348170673575773</v>
      </c>
      <c r="D77" s="3">
        <v>1.7567010309278219</v>
      </c>
      <c r="E77" s="3">
        <v>6.4363847139593586</v>
      </c>
      <c r="L77" s="5"/>
      <c r="M77" s="5"/>
      <c r="N77" s="5"/>
    </row>
    <row r="78" spans="2:14" ht="15.4" x14ac:dyDescent="0.4">
      <c r="B78" s="43">
        <v>15.337423312883436</v>
      </c>
      <c r="C78" s="3">
        <v>27.551020408163279</v>
      </c>
      <c r="D78" s="3">
        <v>6.0176221479799938</v>
      </c>
      <c r="E78" s="3">
        <v>21.771428571428586</v>
      </c>
      <c r="L78" s="5"/>
      <c r="M78" s="5"/>
      <c r="N78" s="5"/>
    </row>
    <row r="79" spans="2:14" ht="15.4" x14ac:dyDescent="0.4">
      <c r="B79" s="43">
        <v>15.789473684210526</v>
      </c>
      <c r="C79" s="3">
        <v>44.39755136117364</v>
      </c>
      <c r="D79" s="3">
        <v>25.967477807432704</v>
      </c>
      <c r="E79" s="3">
        <v>14.113924050632903</v>
      </c>
      <c r="L79" s="5"/>
      <c r="M79" s="5"/>
      <c r="N79" s="5"/>
    </row>
    <row r="80" spans="2:14" ht="15.4" x14ac:dyDescent="0.4">
      <c r="B80" s="43">
        <v>16</v>
      </c>
      <c r="C80" s="3">
        <v>4.5490974933819563</v>
      </c>
      <c r="D80" s="3">
        <v>18.10367503928051</v>
      </c>
      <c r="E80" s="3">
        <v>13.586641707772804</v>
      </c>
      <c r="L80" s="5"/>
      <c r="M80" s="5"/>
      <c r="N80" s="5"/>
    </row>
    <row r="81" spans="2:14" ht="15.4" x14ac:dyDescent="0.4">
      <c r="B81" s="43">
        <v>16.404</v>
      </c>
      <c r="C81" s="3">
        <v>1.8492070360037531</v>
      </c>
      <c r="D81" s="3">
        <v>62.620138684860649</v>
      </c>
      <c r="E81" s="3">
        <v>24.580976781815441</v>
      </c>
      <c r="L81" s="5"/>
      <c r="M81" s="5"/>
      <c r="N81" s="5"/>
    </row>
    <row r="82" spans="2:14" ht="15.4" x14ac:dyDescent="0.4">
      <c r="B82" s="43">
        <v>17.7</v>
      </c>
      <c r="C82" s="3">
        <v>46.700644311998538</v>
      </c>
      <c r="D82" s="3">
        <v>19.041009463722403</v>
      </c>
      <c r="E82" s="3">
        <v>25.031656274988006</v>
      </c>
      <c r="L82" s="5"/>
      <c r="M82" s="5"/>
      <c r="N82" s="5"/>
    </row>
    <row r="83" spans="2:14" ht="15.4" x14ac:dyDescent="0.4">
      <c r="B83" s="43">
        <v>17.723032767280557</v>
      </c>
      <c r="C83" s="3">
        <v>31.816763012942857</v>
      </c>
      <c r="D83" s="3">
        <v>19.576773403734933</v>
      </c>
      <c r="E83" s="3">
        <v>9.101963199206466</v>
      </c>
      <c r="L83" s="5"/>
      <c r="M83" s="5"/>
      <c r="N83" s="5"/>
    </row>
    <row r="84" spans="2:14" ht="15.4" x14ac:dyDescent="0.4">
      <c r="B84" s="43">
        <v>17.918676774638183</v>
      </c>
      <c r="C84" s="3">
        <v>50.758765091586397</v>
      </c>
      <c r="D84" s="3">
        <v>35.229257641921393</v>
      </c>
      <c r="E84" s="3">
        <v>11.501809869250767</v>
      </c>
      <c r="L84" s="5"/>
      <c r="M84" s="5"/>
      <c r="N84" s="5"/>
    </row>
    <row r="85" spans="2:14" ht="15.4" x14ac:dyDescent="0.4">
      <c r="B85" s="43">
        <v>17.918676774638183</v>
      </c>
      <c r="C85" s="3">
        <v>55.30300327632898</v>
      </c>
      <c r="D85" s="3">
        <v>43.549000951474774</v>
      </c>
      <c r="E85" s="3">
        <v>2.7713656973520346</v>
      </c>
      <c r="L85" s="5"/>
      <c r="M85" s="5"/>
      <c r="N85" s="5"/>
    </row>
    <row r="86" spans="2:14" ht="15.4" x14ac:dyDescent="0.4">
      <c r="B86" s="43">
        <v>17.918676774638183</v>
      </c>
      <c r="C86" s="3">
        <v>56.25284376166956</v>
      </c>
      <c r="D86" s="3">
        <v>45.013901760889709</v>
      </c>
      <c r="E86" s="3">
        <v>9.8811751617586641</v>
      </c>
      <c r="L86" s="5"/>
      <c r="M86" s="5"/>
      <c r="N86" s="5"/>
    </row>
    <row r="87" spans="2:14" ht="15.4" x14ac:dyDescent="0.4">
      <c r="B87" s="43">
        <v>18.404907975460123</v>
      </c>
      <c r="C87" s="3">
        <v>26.262626262626291</v>
      </c>
      <c r="D87" s="3">
        <v>2.0103757632791708</v>
      </c>
      <c r="E87" s="3">
        <v>21.833333333333336</v>
      </c>
      <c r="L87" s="5"/>
      <c r="M87" s="5"/>
      <c r="N87" s="5"/>
    </row>
    <row r="88" spans="2:14" ht="15.4" x14ac:dyDescent="0.4">
      <c r="B88" s="43">
        <v>19.230769230769234</v>
      </c>
      <c r="C88" s="3">
        <v>28.012353727388462</v>
      </c>
      <c r="D88" s="3">
        <v>5.3330573793117155</v>
      </c>
      <c r="E88" s="3">
        <v>6.5336658354114716</v>
      </c>
      <c r="L88" s="5"/>
      <c r="M88" s="5"/>
      <c r="N88" s="5"/>
    </row>
    <row r="89" spans="2:14" ht="15.4" x14ac:dyDescent="0.4">
      <c r="B89" s="43">
        <v>19.5</v>
      </c>
      <c r="C89" s="3">
        <v>1.3216940769347102E-14</v>
      </c>
      <c r="D89" s="3">
        <v>48.407806527514282</v>
      </c>
      <c r="E89" s="3">
        <v>29.619047619047624</v>
      </c>
      <c r="L89" s="5"/>
      <c r="M89" s="5"/>
      <c r="N89" s="5"/>
    </row>
    <row r="90" spans="2:14" ht="15.4" x14ac:dyDescent="0.4">
      <c r="B90" s="43">
        <v>19.704433497536947</v>
      </c>
      <c r="C90" s="3">
        <v>81.018522672189093</v>
      </c>
      <c r="D90" s="3">
        <v>78.150996596499695</v>
      </c>
      <c r="E90" s="3">
        <v>42.404340208597908</v>
      </c>
      <c r="L90" s="5"/>
      <c r="M90" s="5"/>
      <c r="N90" s="5"/>
    </row>
    <row r="91" spans="2:14" ht="15.4" x14ac:dyDescent="0.4">
      <c r="B91" s="43">
        <v>20</v>
      </c>
      <c r="C91" s="3">
        <v>18.164021876462051</v>
      </c>
      <c r="D91" s="3">
        <v>22.674913217001354</v>
      </c>
      <c r="E91" s="3">
        <v>7.8181818181818148</v>
      </c>
      <c r="L91" s="5"/>
      <c r="M91" s="5"/>
      <c r="N91" s="5"/>
    </row>
    <row r="92" spans="2:14" ht="15.4" x14ac:dyDescent="0.4">
      <c r="B92" s="43">
        <v>20</v>
      </c>
      <c r="C92" s="3">
        <v>1.649184241554465E-14</v>
      </c>
      <c r="D92" s="3">
        <v>47.288026623506845</v>
      </c>
      <c r="E92" s="3">
        <v>42.930297969587791</v>
      </c>
      <c r="L92" s="5"/>
      <c r="M92" s="5"/>
      <c r="N92" s="5"/>
    </row>
    <row r="93" spans="2:14" ht="15.4" x14ac:dyDescent="0.4">
      <c r="B93" s="43">
        <v>20</v>
      </c>
      <c r="C93" s="3">
        <v>7.7098032124954665</v>
      </c>
      <c r="D93" s="3">
        <v>44.245048759834674</v>
      </c>
      <c r="E93" s="3">
        <v>2.1054852320675104</v>
      </c>
      <c r="L93" s="5"/>
      <c r="M93" s="5"/>
      <c r="N93" s="5"/>
    </row>
    <row r="94" spans="2:14" ht="15.4" x14ac:dyDescent="0.4">
      <c r="B94" s="43">
        <v>20</v>
      </c>
      <c r="C94" s="3">
        <v>3.7202837492697221</v>
      </c>
      <c r="D94" s="3">
        <v>40.472816555594513</v>
      </c>
      <c r="E94" s="3">
        <v>38.251309416933417</v>
      </c>
      <c r="L94" s="5"/>
      <c r="M94" s="5"/>
      <c r="N94" s="5"/>
    </row>
    <row r="95" spans="2:14" ht="15.4" x14ac:dyDescent="0.4">
      <c r="B95" s="43">
        <v>20</v>
      </c>
      <c r="C95" s="3">
        <v>14.039721327106855</v>
      </c>
      <c r="D95" s="3">
        <v>9.0632198772662971</v>
      </c>
      <c r="E95" s="3">
        <v>44.504234573568397</v>
      </c>
      <c r="L95" s="5"/>
      <c r="M95" s="5"/>
      <c r="N95" s="5"/>
    </row>
    <row r="96" spans="2:14" ht="15.4" x14ac:dyDescent="0.4">
      <c r="B96" s="43">
        <v>20</v>
      </c>
      <c r="C96" s="3">
        <v>27.840675218253192</v>
      </c>
      <c r="D96" s="3">
        <v>5.1181993156162422</v>
      </c>
      <c r="E96" s="3">
        <v>4.9899799599198467</v>
      </c>
      <c r="L96" s="5"/>
      <c r="M96" s="5"/>
      <c r="N96" s="5"/>
    </row>
    <row r="97" spans="1:14" ht="15.4" x14ac:dyDescent="0.4">
      <c r="B97" s="43">
        <v>20</v>
      </c>
      <c r="C97" s="3">
        <v>41.283479006255789</v>
      </c>
      <c r="D97" s="3">
        <v>19.602409638554214</v>
      </c>
      <c r="E97" s="3">
        <v>3.9633556502178438E-2</v>
      </c>
      <c r="L97" s="5"/>
      <c r="M97" s="5"/>
      <c r="N97" s="5"/>
    </row>
    <row r="98" spans="1:14" ht="15.4" x14ac:dyDescent="0.4">
      <c r="B98" s="43">
        <v>20</v>
      </c>
      <c r="C98" s="3">
        <v>32.021060658668084</v>
      </c>
      <c r="D98" s="3">
        <v>4.2247191011235916</v>
      </c>
      <c r="E98" s="3">
        <v>7.9101422735610841E-2</v>
      </c>
      <c r="L98" s="5"/>
      <c r="M98" s="5"/>
      <c r="N98" s="5"/>
    </row>
    <row r="99" spans="1:14" ht="15.4" x14ac:dyDescent="0.4">
      <c r="B99" s="43">
        <v>20</v>
      </c>
      <c r="C99" s="3">
        <v>31.435427794785131</v>
      </c>
      <c r="D99" s="3">
        <v>3.4680851063829747</v>
      </c>
      <c r="E99" s="3">
        <v>0.17186335821999055</v>
      </c>
      <c r="L99" s="5"/>
      <c r="M99" s="5"/>
      <c r="N99" s="5"/>
    </row>
    <row r="100" spans="1:14" ht="15.4" x14ac:dyDescent="0.4">
      <c r="B100" s="43">
        <v>20</v>
      </c>
      <c r="C100" s="3">
        <v>67.824667454488832</v>
      </c>
      <c r="D100" s="3">
        <v>58.998473136431251</v>
      </c>
      <c r="E100" s="3">
        <v>1.91578947368421</v>
      </c>
      <c r="L100" s="5"/>
      <c r="M100" s="5"/>
      <c r="N100" s="5"/>
    </row>
    <row r="101" spans="1:14" ht="15.4" x14ac:dyDescent="0.4">
      <c r="B101" s="43">
        <v>20</v>
      </c>
      <c r="C101" s="3">
        <v>57.965785852836724</v>
      </c>
      <c r="D101" s="3">
        <v>48.732320379796718</v>
      </c>
      <c r="E101" s="3">
        <v>31.209532374100728</v>
      </c>
      <c r="L101" s="5"/>
      <c r="M101" s="5"/>
      <c r="N101" s="5"/>
    </row>
    <row r="102" spans="1:14" ht="15.4" x14ac:dyDescent="0.4">
      <c r="B102" s="43">
        <v>20</v>
      </c>
      <c r="C102" s="3">
        <v>3.2882251353578709</v>
      </c>
      <c r="D102" s="3">
        <v>26.936738484754517</v>
      </c>
      <c r="E102" s="3">
        <v>1.7638539425348738</v>
      </c>
      <c r="L102" s="5"/>
      <c r="M102" s="5"/>
      <c r="N102" s="5"/>
    </row>
    <row r="103" spans="1:14" ht="15.4" x14ac:dyDescent="0.4">
      <c r="B103" s="43">
        <v>20</v>
      </c>
      <c r="C103" s="3">
        <v>5.7766731298301126</v>
      </c>
      <c r="D103" s="3">
        <v>9.9309749784296688</v>
      </c>
      <c r="E103" s="3">
        <v>1.8517346915315025</v>
      </c>
      <c r="L103" s="5"/>
      <c r="M103" s="5"/>
      <c r="N103" s="5"/>
    </row>
    <row r="104" spans="1:14" ht="15.4" x14ac:dyDescent="0.4">
      <c r="B104" s="43">
        <v>20</v>
      </c>
      <c r="C104" s="3">
        <v>7.1887543056288168</v>
      </c>
      <c r="D104" s="3">
        <v>9.621272988815182</v>
      </c>
      <c r="E104" s="3">
        <v>0.33132056092570261</v>
      </c>
      <c r="L104" s="5"/>
      <c r="M104" s="5"/>
      <c r="N104" s="5"/>
    </row>
    <row r="105" spans="1:14" ht="15.4" x14ac:dyDescent="0.4">
      <c r="A105" s="11" t="s">
        <v>10</v>
      </c>
      <c r="B105" s="43">
        <v>21</v>
      </c>
      <c r="C105" s="3">
        <v>40.93660957946382</v>
      </c>
      <c r="D105" s="3">
        <v>24.126882918689688</v>
      </c>
      <c r="E105" s="3">
        <v>4.9909331216568509</v>
      </c>
      <c r="L105" s="5"/>
      <c r="M105" s="5"/>
      <c r="N105" s="5"/>
    </row>
    <row r="106" spans="1:14" ht="15.4" x14ac:dyDescent="0.4">
      <c r="B106" s="43">
        <v>23</v>
      </c>
      <c r="C106" s="3">
        <v>47.446260001266239</v>
      </c>
      <c r="D106" s="3">
        <v>15.682352941176466</v>
      </c>
      <c r="E106" s="3">
        <v>36.084430239936466</v>
      </c>
      <c r="L106" s="5"/>
      <c r="M106" s="5"/>
      <c r="N106" s="5"/>
    </row>
    <row r="107" spans="1:14" ht="15.4" x14ac:dyDescent="0.4">
      <c r="B107" s="43">
        <v>24.667931688804558</v>
      </c>
      <c r="C107" s="3">
        <v>60.174272232532225</v>
      </c>
      <c r="D107" s="3">
        <v>43.092550790067719</v>
      </c>
      <c r="E107" s="3">
        <v>13.838551568524448</v>
      </c>
      <c r="L107" s="5"/>
      <c r="M107" s="5"/>
      <c r="N107" s="5"/>
    </row>
    <row r="108" spans="1:14" ht="15.4" x14ac:dyDescent="0.4">
      <c r="B108" s="43">
        <v>24.667931688804558</v>
      </c>
      <c r="C108" s="3">
        <v>62.304355352132703</v>
      </c>
      <c r="D108" s="3">
        <v>43.092550790067719</v>
      </c>
      <c r="E108" s="3">
        <v>33.080053061729565</v>
      </c>
      <c r="L108" s="5"/>
      <c r="M108" s="5"/>
      <c r="N108" s="5"/>
    </row>
    <row r="109" spans="1:14" ht="15.4" x14ac:dyDescent="0.4">
      <c r="B109" s="43">
        <v>24.667931688804558</v>
      </c>
      <c r="C109" s="3">
        <v>67.316552555510683</v>
      </c>
      <c r="D109" s="3">
        <v>53.601226993865026</v>
      </c>
      <c r="E109" s="3">
        <v>33.455890220138031</v>
      </c>
      <c r="L109" s="5"/>
      <c r="M109" s="5"/>
      <c r="N109" s="5"/>
    </row>
    <row r="110" spans="1:14" ht="15.4" x14ac:dyDescent="0.4">
      <c r="B110" s="43">
        <v>24.807747080603818</v>
      </c>
      <c r="C110" s="3">
        <v>40.146229843398096</v>
      </c>
      <c r="D110" s="3">
        <v>21.668633579563277</v>
      </c>
      <c r="E110" s="3">
        <v>9.222732940966246</v>
      </c>
      <c r="L110" s="5"/>
      <c r="M110" s="5"/>
      <c r="N110" s="5"/>
    </row>
    <row r="111" spans="1:14" ht="15.4" x14ac:dyDescent="0.4">
      <c r="B111" s="43">
        <v>25</v>
      </c>
      <c r="C111" s="3">
        <v>2.7672886640736869</v>
      </c>
      <c r="D111" s="3">
        <v>33.487477776335602</v>
      </c>
      <c r="E111" s="3">
        <v>1.6170074043665494</v>
      </c>
      <c r="L111" s="5"/>
      <c r="M111" s="5"/>
      <c r="N111" s="5"/>
    </row>
    <row r="112" spans="1:14" ht="15.4" x14ac:dyDescent="0.4">
      <c r="B112" s="43">
        <v>25</v>
      </c>
      <c r="C112" s="3">
        <v>8.1493283422768688</v>
      </c>
      <c r="D112" s="3">
        <v>11.763540290620874</v>
      </c>
      <c r="E112" s="3">
        <v>3.3306333313730465</v>
      </c>
      <c r="L112" s="5"/>
      <c r="M112" s="5"/>
      <c r="N112" s="5"/>
    </row>
    <row r="113" spans="2:14" ht="15.4" x14ac:dyDescent="0.4">
      <c r="B113" s="43">
        <v>25</v>
      </c>
      <c r="C113" s="3">
        <v>8.0214896603466634</v>
      </c>
      <c r="D113" s="3">
        <v>13.756549788683289</v>
      </c>
      <c r="E113" s="3">
        <v>0.10417926035297871</v>
      </c>
      <c r="L113" s="5"/>
      <c r="M113" s="5"/>
      <c r="N113" s="5"/>
    </row>
    <row r="114" spans="2:14" ht="15.4" x14ac:dyDescent="0.4">
      <c r="B114" s="43">
        <v>25.8</v>
      </c>
      <c r="C114" s="3">
        <v>0.44494912655968699</v>
      </c>
      <c r="D114" s="3">
        <v>54.011511216056654</v>
      </c>
      <c r="E114" s="3">
        <v>5.2500948033650123E-2</v>
      </c>
      <c r="L114" s="5"/>
      <c r="M114" s="5"/>
      <c r="N114" s="5"/>
    </row>
    <row r="115" spans="2:14" ht="15.4" x14ac:dyDescent="0.4">
      <c r="B115" s="43">
        <v>26</v>
      </c>
      <c r="C115" s="3">
        <v>12.649088642744866</v>
      </c>
      <c r="D115" s="3">
        <v>30.356156188579824</v>
      </c>
      <c r="E115" s="3">
        <v>34.605234825041819</v>
      </c>
      <c r="L115" s="5"/>
      <c r="M115" s="5"/>
      <c r="N115" s="5"/>
    </row>
    <row r="116" spans="2:14" ht="15.4" x14ac:dyDescent="0.4">
      <c r="B116" s="43">
        <v>26.905829596412556</v>
      </c>
      <c r="C116" s="3">
        <v>87.36267954696099</v>
      </c>
      <c r="D116" s="3">
        <v>83.913598085118522</v>
      </c>
      <c r="E116" s="3">
        <v>22.071243895432346</v>
      </c>
      <c r="L116" s="5"/>
      <c r="M116" s="5"/>
      <c r="N116" s="5"/>
    </row>
    <row r="117" spans="2:14" ht="15.4" x14ac:dyDescent="0.4">
      <c r="B117" s="43">
        <v>27.027027027027025</v>
      </c>
      <c r="C117" s="3">
        <v>32.558455358688192</v>
      </c>
      <c r="D117" s="3">
        <v>20.112198105675105</v>
      </c>
      <c r="E117" s="3">
        <v>15.723404255319142</v>
      </c>
      <c r="L117" s="5"/>
      <c r="M117" s="5"/>
      <c r="N117" s="5"/>
    </row>
    <row r="118" spans="2:14" ht="15.4" x14ac:dyDescent="0.4">
      <c r="B118" s="43">
        <v>27.027027027027028</v>
      </c>
      <c r="C118" s="3">
        <v>48.447543417435753</v>
      </c>
      <c r="D118" s="3">
        <v>24.699724873413885</v>
      </c>
      <c r="E118" s="3">
        <v>46.316725978647675</v>
      </c>
      <c r="L118" s="5"/>
      <c r="M118" s="5"/>
      <c r="N118" s="5"/>
    </row>
    <row r="119" spans="2:14" ht="15.4" x14ac:dyDescent="0.4">
      <c r="B119" s="43">
        <v>27.027027027027028</v>
      </c>
      <c r="C119" s="3">
        <v>64.885632371404881</v>
      </c>
      <c r="D119" s="3">
        <v>48.506168922760004</v>
      </c>
      <c r="E119" s="3">
        <v>3.0813397129186613</v>
      </c>
      <c r="L119" s="5"/>
      <c r="M119" s="5"/>
      <c r="N119" s="5"/>
    </row>
    <row r="120" spans="2:14" ht="15.4" x14ac:dyDescent="0.4">
      <c r="B120" s="43">
        <v>28.999999999999996</v>
      </c>
      <c r="C120" s="3">
        <v>41.847998523675145</v>
      </c>
      <c r="D120" s="3">
        <v>12.881190798808301</v>
      </c>
      <c r="E120" s="3">
        <v>23.074520170354866</v>
      </c>
      <c r="L120" s="5"/>
      <c r="M120" s="5"/>
      <c r="N120" s="5"/>
    </row>
    <row r="121" spans="2:14" ht="15.4" x14ac:dyDescent="0.4">
      <c r="B121" s="43">
        <v>30</v>
      </c>
      <c r="C121" s="3">
        <v>32.311749807718421</v>
      </c>
      <c r="D121" s="3">
        <v>32.562347922342347</v>
      </c>
      <c r="E121" s="3">
        <v>15.533333333333326</v>
      </c>
      <c r="L121" s="5"/>
      <c r="M121" s="5"/>
      <c r="N121" s="5"/>
    </row>
    <row r="122" spans="2:14" ht="15.4" x14ac:dyDescent="0.4">
      <c r="B122" s="43">
        <v>30</v>
      </c>
      <c r="C122" s="3">
        <v>26.854735054851002</v>
      </c>
      <c r="D122" s="3">
        <v>51.531752233305724</v>
      </c>
      <c r="E122" s="3">
        <v>22.821444395214886</v>
      </c>
      <c r="L122" s="5"/>
      <c r="M122" s="5"/>
      <c r="N122" s="5"/>
    </row>
    <row r="123" spans="2:14" ht="15.4" x14ac:dyDescent="0.4">
      <c r="B123" s="43">
        <v>30</v>
      </c>
      <c r="C123" s="3">
        <v>31.101123685622547</v>
      </c>
      <c r="D123" s="3">
        <v>15.671296296296292</v>
      </c>
      <c r="E123" s="3">
        <v>18.674691358024678</v>
      </c>
      <c r="L123" s="5"/>
      <c r="M123" s="5"/>
      <c r="N123" s="5"/>
    </row>
    <row r="124" spans="2:14" ht="15.4" x14ac:dyDescent="0.4">
      <c r="B124" s="43">
        <v>30</v>
      </c>
      <c r="C124" s="3">
        <v>39.552266837532741</v>
      </c>
      <c r="D124" s="3">
        <v>13.53986929084331</v>
      </c>
      <c r="E124" s="3">
        <v>16.886930983847297</v>
      </c>
      <c r="L124" s="5"/>
      <c r="M124" s="5"/>
      <c r="N124" s="5"/>
    </row>
    <row r="125" spans="2:14" ht="15.4" x14ac:dyDescent="0.4">
      <c r="B125" s="43">
        <v>30</v>
      </c>
      <c r="C125" s="3">
        <v>35.13046034556038</v>
      </c>
      <c r="D125" s="3">
        <v>4.949705322870912E-2</v>
      </c>
      <c r="E125" s="3">
        <v>35.657191255547147</v>
      </c>
      <c r="L125" s="5"/>
      <c r="M125" s="5"/>
      <c r="N125" s="5"/>
    </row>
    <row r="126" spans="2:14" ht="15.4" x14ac:dyDescent="0.4">
      <c r="B126" s="43">
        <v>30</v>
      </c>
      <c r="C126" s="3">
        <v>27.669433550901836</v>
      </c>
      <c r="D126" s="3">
        <v>37.406756876538061</v>
      </c>
      <c r="E126" s="3">
        <v>0.72096128170893992</v>
      </c>
      <c r="L126" s="5"/>
      <c r="M126" s="5"/>
      <c r="N126" s="5"/>
    </row>
    <row r="127" spans="2:14" ht="15.4" x14ac:dyDescent="0.4">
      <c r="B127" s="43">
        <v>30</v>
      </c>
      <c r="C127" s="3">
        <v>49.600862542038278</v>
      </c>
      <c r="D127" s="3">
        <v>22.697109774845462</v>
      </c>
      <c r="E127" s="3">
        <v>48.413333333333327</v>
      </c>
      <c r="L127" s="5"/>
      <c r="M127" s="5"/>
      <c r="N127" s="5"/>
    </row>
    <row r="128" spans="2:14" ht="15.4" x14ac:dyDescent="0.4">
      <c r="B128" s="43">
        <v>30</v>
      </c>
      <c r="C128" s="3">
        <v>59.254422502513158</v>
      </c>
      <c r="D128" s="3">
        <v>30.492857142857137</v>
      </c>
      <c r="E128" s="3">
        <v>33.532591202533425</v>
      </c>
      <c r="L128" s="5"/>
      <c r="M128" s="5"/>
      <c r="N128" s="5"/>
    </row>
    <row r="129" spans="1:14" ht="15.4" x14ac:dyDescent="0.4">
      <c r="B129" s="43">
        <v>30</v>
      </c>
      <c r="C129" s="3">
        <v>51.953012210291135</v>
      </c>
      <c r="D129" s="3">
        <v>14.80689655172413</v>
      </c>
      <c r="E129" s="3">
        <v>31.900208728261443</v>
      </c>
      <c r="L129" s="5"/>
      <c r="M129" s="5"/>
      <c r="N129" s="5"/>
    </row>
    <row r="130" spans="1:14" ht="15.4" x14ac:dyDescent="0.4">
      <c r="B130" s="43">
        <v>30</v>
      </c>
      <c r="C130" s="3">
        <v>51.522259059680295</v>
      </c>
      <c r="D130" s="3">
        <v>14.196078431372552</v>
      </c>
      <c r="E130" s="3">
        <v>31.959612072884962</v>
      </c>
      <c r="L130" s="5"/>
      <c r="M130" s="5"/>
      <c r="N130" s="5"/>
    </row>
    <row r="131" spans="1:14" ht="15.4" x14ac:dyDescent="0.4">
      <c r="B131" s="43">
        <v>30</v>
      </c>
      <c r="C131" s="3">
        <v>77.207156707605805</v>
      </c>
      <c r="D131" s="3">
        <v>64.648068494593957</v>
      </c>
      <c r="E131" s="3">
        <v>36.329268292682919</v>
      </c>
      <c r="L131" s="5"/>
      <c r="M131" s="5"/>
      <c r="N131" s="5"/>
    </row>
    <row r="132" spans="1:14" ht="15.4" x14ac:dyDescent="0.4">
      <c r="B132" s="43">
        <v>30</v>
      </c>
      <c r="C132" s="3">
        <v>52.558876916203268</v>
      </c>
      <c r="D132" s="3">
        <v>31.84632021746518</v>
      </c>
      <c r="E132" s="3">
        <v>42.971217105263136</v>
      </c>
      <c r="L132" s="5"/>
      <c r="M132" s="5"/>
      <c r="N132" s="5"/>
    </row>
    <row r="133" spans="1:14" ht="15.4" x14ac:dyDescent="0.4">
      <c r="B133" s="43">
        <v>30</v>
      </c>
      <c r="C133" s="3">
        <v>10.349350123415979</v>
      </c>
      <c r="D133" s="3">
        <v>16.218791645536772</v>
      </c>
      <c r="E133" s="3">
        <v>1.9169035179790941</v>
      </c>
      <c r="L133" s="5"/>
      <c r="M133" s="5"/>
      <c r="N133" s="5"/>
    </row>
    <row r="134" spans="1:14" ht="15.4" x14ac:dyDescent="0.4">
      <c r="B134" s="43">
        <v>30</v>
      </c>
      <c r="C134" s="3">
        <v>15.344401898263246</v>
      </c>
      <c r="D134" s="3">
        <v>7.5044776119402998</v>
      </c>
      <c r="E134" s="3">
        <v>10.197034133151314</v>
      </c>
      <c r="L134" s="5"/>
      <c r="M134" s="5"/>
      <c r="N134" s="5"/>
    </row>
    <row r="135" spans="1:14" ht="15.4" x14ac:dyDescent="0.4">
      <c r="A135" s="11" t="s">
        <v>11</v>
      </c>
      <c r="B135" s="43">
        <v>32.5</v>
      </c>
      <c r="C135" s="3">
        <v>68.888932954988789</v>
      </c>
      <c r="D135" s="3">
        <v>30.656690140845072</v>
      </c>
      <c r="E135" s="3">
        <v>1.7122205364337518E-3</v>
      </c>
      <c r="L135" s="5"/>
      <c r="M135" s="5"/>
      <c r="N135" s="5"/>
    </row>
    <row r="136" spans="1:14" ht="15.4" x14ac:dyDescent="0.4">
      <c r="B136" s="43">
        <v>33.333333333333329</v>
      </c>
      <c r="C136" s="3">
        <v>40.08471037220874</v>
      </c>
      <c r="D136" s="3">
        <v>10.075257731958779</v>
      </c>
      <c r="E136" s="3">
        <v>14.937182755817529</v>
      </c>
      <c r="L136" s="5"/>
      <c r="M136" s="5"/>
      <c r="N136" s="5"/>
    </row>
    <row r="137" spans="1:14" ht="15.4" x14ac:dyDescent="0.4">
      <c r="B137" s="43">
        <v>35</v>
      </c>
      <c r="C137" s="3">
        <v>50.183288222866715</v>
      </c>
      <c r="D137" s="3">
        <v>13.980176164131548</v>
      </c>
      <c r="E137" s="3">
        <v>38.785714285714285</v>
      </c>
      <c r="L137" s="5"/>
      <c r="M137" s="5"/>
      <c r="N137" s="5"/>
    </row>
    <row r="138" spans="1:14" ht="15.4" x14ac:dyDescent="0.4">
      <c r="B138" s="43">
        <v>35</v>
      </c>
      <c r="C138" s="3">
        <v>3.8838083397655107E-14</v>
      </c>
      <c r="D138" s="3">
        <v>49.458048647171346</v>
      </c>
      <c r="E138" s="3">
        <v>58.544189039050011</v>
      </c>
      <c r="L138" s="5"/>
      <c r="M138" s="5"/>
      <c r="N138" s="5"/>
    </row>
    <row r="139" spans="1:14" ht="15.4" x14ac:dyDescent="0.4">
      <c r="B139" s="43">
        <v>35</v>
      </c>
      <c r="C139" s="3">
        <v>12.651405396818513</v>
      </c>
      <c r="D139" s="3">
        <v>18.749621438274964</v>
      </c>
      <c r="E139" s="3">
        <v>4.1185352473414145</v>
      </c>
      <c r="L139" s="5"/>
      <c r="M139" s="5"/>
      <c r="N139" s="5"/>
    </row>
    <row r="140" spans="1:14" ht="15.4" x14ac:dyDescent="0.4">
      <c r="B140" s="43">
        <v>35</v>
      </c>
      <c r="C140" s="3">
        <v>18.914875492540645</v>
      </c>
      <c r="D140" s="3">
        <v>7.5111018883585929</v>
      </c>
      <c r="E140" s="3">
        <v>13.573034960163302</v>
      </c>
      <c r="L140" s="5"/>
      <c r="M140" s="5"/>
      <c r="N140" s="5"/>
    </row>
    <row r="141" spans="1:14" ht="15.4" x14ac:dyDescent="0.4">
      <c r="B141" s="43">
        <v>35.573122529644266</v>
      </c>
      <c r="C141" s="3">
        <v>87.414613584913681</v>
      </c>
      <c r="D141" s="3">
        <v>81.225633319821981</v>
      </c>
      <c r="E141" s="3">
        <v>9.0336715867158492</v>
      </c>
      <c r="L141" s="5"/>
      <c r="M141" s="5"/>
      <c r="N141" s="5"/>
    </row>
    <row r="142" spans="1:14" ht="15.4" x14ac:dyDescent="0.4">
      <c r="B142" s="43">
        <v>35.714285714285722</v>
      </c>
      <c r="C142" s="3">
        <v>43.451034599585356</v>
      </c>
      <c r="D142" s="3">
        <v>29.724526592183743</v>
      </c>
      <c r="E142" s="3">
        <v>32.351046698872786</v>
      </c>
      <c r="L142" s="5"/>
      <c r="M142" s="5"/>
      <c r="N142" s="5"/>
    </row>
    <row r="143" spans="1:14" ht="15.4" x14ac:dyDescent="0.4">
      <c r="B143" s="43">
        <v>36</v>
      </c>
      <c r="C143" s="3">
        <v>43.333333333333343</v>
      </c>
      <c r="D143" s="3">
        <v>33.813315872919993</v>
      </c>
      <c r="E143" s="3">
        <v>32.644444444444446</v>
      </c>
      <c r="L143" s="5"/>
      <c r="M143" s="5"/>
      <c r="N143" s="5"/>
    </row>
    <row r="144" spans="1:14" ht="15.4" x14ac:dyDescent="0.4">
      <c r="B144" s="43">
        <v>36</v>
      </c>
      <c r="C144" s="3">
        <v>22.396976453850652</v>
      </c>
      <c r="D144" s="3">
        <v>46.317474039551712</v>
      </c>
      <c r="E144" s="3">
        <v>40.463414634146361</v>
      </c>
      <c r="L144" s="5"/>
      <c r="M144" s="5"/>
      <c r="N144" s="5"/>
    </row>
    <row r="145" spans="1:14" ht="15.4" x14ac:dyDescent="0.4">
      <c r="B145" s="43">
        <v>36.84210526315789</v>
      </c>
      <c r="C145" s="3">
        <v>59.908547499194306</v>
      </c>
      <c r="D145" s="3">
        <v>65.960355434039641</v>
      </c>
      <c r="E145" s="3">
        <v>30.881749829118249</v>
      </c>
      <c r="L145" s="5"/>
      <c r="M145" s="5"/>
      <c r="N145" s="5"/>
    </row>
    <row r="146" spans="1:14" ht="15.4" x14ac:dyDescent="0.4">
      <c r="B146" s="43">
        <v>37.5</v>
      </c>
      <c r="C146" s="3">
        <v>20.6966326478037</v>
      </c>
      <c r="D146" s="3">
        <v>1.4357459069338367</v>
      </c>
      <c r="E146" s="3">
        <v>0.89344636783592557</v>
      </c>
      <c r="L146" s="5"/>
      <c r="M146" s="5"/>
      <c r="N146" s="5"/>
    </row>
    <row r="147" spans="1:14" ht="15.4" x14ac:dyDescent="0.4">
      <c r="B147" s="43">
        <v>37.938677502770595</v>
      </c>
      <c r="C147" s="3">
        <v>47.590666306976239</v>
      </c>
      <c r="D147" s="3">
        <v>11.767271470141008</v>
      </c>
      <c r="E147" s="3">
        <v>16.914438598147417</v>
      </c>
      <c r="L147" s="5"/>
      <c r="M147" s="5"/>
      <c r="N147" s="5"/>
    </row>
    <row r="148" spans="1:14" ht="15.4" x14ac:dyDescent="0.4">
      <c r="B148" s="43">
        <v>38</v>
      </c>
      <c r="C148" s="3">
        <v>56.715933526047401</v>
      </c>
      <c r="D148" s="3">
        <v>19.296073850347966</v>
      </c>
      <c r="E148" s="3">
        <v>17.557615578447567</v>
      </c>
      <c r="L148" s="5"/>
      <c r="M148" s="5"/>
      <c r="N148" s="5"/>
    </row>
    <row r="149" spans="1:14" ht="15.4" x14ac:dyDescent="0.4">
      <c r="B149" s="43">
        <v>40</v>
      </c>
      <c r="C149" s="3">
        <v>43.975770331605574</v>
      </c>
      <c r="D149" s="3">
        <v>61.362525006949923</v>
      </c>
      <c r="E149" s="3">
        <v>43.130629370629364</v>
      </c>
      <c r="L149" s="5"/>
      <c r="M149" s="5"/>
      <c r="N149" s="5"/>
    </row>
    <row r="150" spans="1:14" ht="15.4" x14ac:dyDescent="0.4">
      <c r="B150" s="43">
        <v>40</v>
      </c>
      <c r="C150" s="3">
        <v>45.559339632476672</v>
      </c>
      <c r="D150" s="3">
        <v>43.330714982348603</v>
      </c>
      <c r="E150" s="3">
        <v>31.015294117647063</v>
      </c>
      <c r="L150" s="5"/>
      <c r="M150" s="5"/>
      <c r="N150" s="5"/>
    </row>
    <row r="151" spans="1:14" ht="15.4" x14ac:dyDescent="0.4">
      <c r="B151" s="43">
        <v>40</v>
      </c>
      <c r="C151" s="3">
        <v>42.910847858146518</v>
      </c>
      <c r="D151" s="3">
        <v>24.712499999999991</v>
      </c>
      <c r="E151" s="3">
        <v>8.6656250000000039</v>
      </c>
      <c r="L151" s="5"/>
      <c r="M151" s="5"/>
      <c r="N151" s="5"/>
    </row>
    <row r="152" spans="1:14" ht="15.4" x14ac:dyDescent="0.4">
      <c r="B152" s="43">
        <v>40</v>
      </c>
      <c r="C152" s="3">
        <v>44.222418536847179</v>
      </c>
      <c r="D152" s="3">
        <v>10.897687075073865</v>
      </c>
      <c r="E152" s="3">
        <v>42.821969696969688</v>
      </c>
      <c r="L152" s="5"/>
      <c r="M152" s="5"/>
      <c r="N152" s="5"/>
    </row>
    <row r="153" spans="1:14" ht="15.4" x14ac:dyDescent="0.4">
      <c r="B153" s="43">
        <v>40</v>
      </c>
      <c r="C153" s="3">
        <v>57.489181410478338</v>
      </c>
      <c r="D153" s="3">
        <v>15.962930459599731</v>
      </c>
      <c r="E153" s="3">
        <v>11.458715596330276</v>
      </c>
      <c r="L153" s="5"/>
      <c r="M153" s="5"/>
      <c r="N153" s="5"/>
    </row>
    <row r="154" spans="1:14" ht="15.4" x14ac:dyDescent="0.4">
      <c r="B154" s="43">
        <v>40</v>
      </c>
      <c r="C154" s="3">
        <v>82.237194093766263</v>
      </c>
      <c r="D154" s="3">
        <v>64.357818755238796</v>
      </c>
      <c r="E154" s="3">
        <v>55.696498054474709</v>
      </c>
      <c r="L154" s="5"/>
      <c r="M154" s="5"/>
      <c r="N154" s="5"/>
    </row>
    <row r="155" spans="1:14" ht="15.4" x14ac:dyDescent="0.4">
      <c r="B155" s="43">
        <v>40</v>
      </c>
      <c r="C155" s="3">
        <v>63.255993073882081</v>
      </c>
      <c r="D155" s="3">
        <v>34.985243511083965</v>
      </c>
      <c r="E155" s="3">
        <v>1.0245351239669445</v>
      </c>
      <c r="L155" s="5"/>
      <c r="M155" s="5"/>
      <c r="N155" s="5"/>
    </row>
    <row r="156" spans="1:14" ht="15.4" x14ac:dyDescent="0.4">
      <c r="B156" s="43">
        <v>40</v>
      </c>
      <c r="C156" s="3">
        <v>6.5607361946669451</v>
      </c>
      <c r="D156" s="3">
        <v>50.593698565718313</v>
      </c>
      <c r="E156" s="3">
        <v>45.314162312310366</v>
      </c>
      <c r="L156" s="5"/>
      <c r="M156" s="5"/>
      <c r="N156" s="5"/>
    </row>
    <row r="157" spans="1:14" ht="15.4" x14ac:dyDescent="0.4">
      <c r="B157" s="43">
        <v>40</v>
      </c>
      <c r="C157" s="3">
        <v>27.235309970431043</v>
      </c>
      <c r="D157" s="3">
        <v>0.73369660748813614</v>
      </c>
      <c r="E157" s="3">
        <v>22.337768948453338</v>
      </c>
      <c r="L157" s="5"/>
      <c r="M157" s="5"/>
      <c r="N157" s="5"/>
    </row>
    <row r="158" spans="1:14" ht="15.4" x14ac:dyDescent="0.4">
      <c r="B158" s="43">
        <v>40</v>
      </c>
      <c r="C158" s="3">
        <v>22.456793285707249</v>
      </c>
      <c r="D158" s="3">
        <v>1.0370252887463629</v>
      </c>
      <c r="E158" s="3">
        <v>3.1897159869087357</v>
      </c>
      <c r="L158" s="5"/>
      <c r="M158" s="5"/>
      <c r="N158" s="5"/>
    </row>
    <row r="159" spans="1:14" ht="15.4" x14ac:dyDescent="0.4">
      <c r="B159" s="43">
        <v>40</v>
      </c>
      <c r="C159" s="3">
        <v>33.915996754350033</v>
      </c>
      <c r="D159" s="3">
        <v>42.618206190592247</v>
      </c>
      <c r="E159" s="3">
        <v>16.403682418718258</v>
      </c>
      <c r="L159" s="5"/>
      <c r="M159" s="5"/>
      <c r="N159" s="5"/>
    </row>
    <row r="160" spans="1:14" ht="15.4" x14ac:dyDescent="0.4">
      <c r="A160" s="11" t="s">
        <v>12</v>
      </c>
      <c r="B160" s="43">
        <v>41.099999999999994</v>
      </c>
      <c r="C160" s="3">
        <v>1.8982025217176508</v>
      </c>
      <c r="D160" s="3">
        <v>95.879155544770683</v>
      </c>
      <c r="E160" s="3">
        <v>7.5489332931334377E-2</v>
      </c>
      <c r="L160" s="5"/>
      <c r="M160" s="5"/>
      <c r="N160" s="5"/>
    </row>
    <row r="161" spans="2:14" ht="15.4" x14ac:dyDescent="0.4">
      <c r="B161" s="43">
        <v>41.099999999999994</v>
      </c>
      <c r="C161" s="3">
        <v>6.8675081940810108</v>
      </c>
      <c r="D161" s="3">
        <v>91.329224934818683</v>
      </c>
      <c r="E161" s="3">
        <v>8.367548617004017</v>
      </c>
      <c r="L161" s="5"/>
      <c r="M161" s="5"/>
      <c r="N161" s="5"/>
    </row>
    <row r="162" spans="2:14" ht="15.4" x14ac:dyDescent="0.4">
      <c r="B162" s="43">
        <v>42</v>
      </c>
      <c r="C162" s="3">
        <v>24.743810662446599</v>
      </c>
      <c r="D162" s="3">
        <v>0.48443888167564791</v>
      </c>
      <c r="E162" s="3">
        <v>6.2166539114387094</v>
      </c>
      <c r="L162" s="5"/>
      <c r="M162" s="5"/>
      <c r="N162" s="5"/>
    </row>
    <row r="163" spans="2:14" ht="15.4" x14ac:dyDescent="0.4">
      <c r="B163" s="43">
        <v>42.199999999999996</v>
      </c>
      <c r="C163" s="3">
        <v>35.036349985022483</v>
      </c>
      <c r="D163" s="3">
        <v>33.166352726879374</v>
      </c>
      <c r="E163" s="3">
        <v>56.528459642872775</v>
      </c>
      <c r="L163" s="5"/>
      <c r="M163" s="5"/>
      <c r="N163" s="5"/>
    </row>
    <row r="164" spans="2:14" ht="15.4" x14ac:dyDescent="0.4">
      <c r="B164" s="43">
        <v>42.199999999999996</v>
      </c>
      <c r="C164" s="3">
        <v>54.857449974332127</v>
      </c>
      <c r="D164" s="3">
        <v>2.9278629146584936</v>
      </c>
      <c r="E164" s="3">
        <v>9.9009152106497389</v>
      </c>
      <c r="L164" s="5"/>
      <c r="M164" s="5"/>
      <c r="N164" s="5"/>
    </row>
    <row r="165" spans="2:14" ht="15.4" x14ac:dyDescent="0.4">
      <c r="B165" s="43">
        <v>42.5</v>
      </c>
      <c r="C165" s="3">
        <v>24.218060243068379</v>
      </c>
      <c r="D165" s="3">
        <v>2.7773802296204608</v>
      </c>
      <c r="E165" s="3">
        <v>0.78804925044177987</v>
      </c>
      <c r="L165" s="5"/>
      <c r="M165" s="5"/>
      <c r="N165" s="5"/>
    </row>
    <row r="166" spans="2:14" ht="15.4" x14ac:dyDescent="0.4">
      <c r="B166" s="43">
        <v>43</v>
      </c>
      <c r="C166" s="3">
        <v>60.876970127218158</v>
      </c>
      <c r="D166" s="3">
        <v>12.587412587412599</v>
      </c>
      <c r="E166" s="3">
        <v>56.551874091060071</v>
      </c>
      <c r="L166" s="5"/>
      <c r="M166" s="5"/>
      <c r="N166" s="5"/>
    </row>
    <row r="167" spans="2:14" ht="15.4" x14ac:dyDescent="0.4">
      <c r="B167" s="43">
        <v>44.239442394423946</v>
      </c>
      <c r="C167" s="3">
        <v>47.021492864780093</v>
      </c>
      <c r="D167" s="3">
        <v>3.5475950291661089</v>
      </c>
      <c r="E167" s="3">
        <v>42.975297912794261</v>
      </c>
      <c r="L167" s="5"/>
      <c r="M167" s="5"/>
      <c r="N167" s="5"/>
    </row>
    <row r="168" spans="2:14" ht="15.4" x14ac:dyDescent="0.4">
      <c r="B168" s="43">
        <v>45</v>
      </c>
      <c r="C168" s="3">
        <v>55.952003838313011</v>
      </c>
      <c r="D168" s="3">
        <v>1.2126024991046118</v>
      </c>
      <c r="E168" s="3">
        <v>0.21935310005292344</v>
      </c>
      <c r="L168" s="5"/>
      <c r="M168" s="5"/>
      <c r="N168" s="5"/>
    </row>
    <row r="169" spans="2:14" ht="15.4" x14ac:dyDescent="0.4">
      <c r="B169" s="43">
        <v>45</v>
      </c>
      <c r="C169" s="3">
        <v>55.733658841852559</v>
      </c>
      <c r="D169" s="3">
        <v>2.1053978836948275</v>
      </c>
      <c r="E169" s="3">
        <v>8.6896551724137936</v>
      </c>
      <c r="L169" s="5"/>
      <c r="M169" s="5"/>
      <c r="N169" s="5"/>
    </row>
    <row r="170" spans="2:14" ht="15.4" x14ac:dyDescent="0.4">
      <c r="B170" s="43">
        <v>45</v>
      </c>
      <c r="C170" s="3">
        <v>66.034267369286425</v>
      </c>
      <c r="D170" s="3">
        <v>33.687122230825047</v>
      </c>
      <c r="E170" s="3">
        <v>13.58764237631066</v>
      </c>
      <c r="L170" s="5"/>
      <c r="M170" s="5"/>
      <c r="N170" s="5"/>
    </row>
    <row r="171" spans="2:14" ht="15.4" x14ac:dyDescent="0.4">
      <c r="B171" s="43">
        <v>45</v>
      </c>
      <c r="C171" s="3">
        <v>19.433247861636733</v>
      </c>
      <c r="D171" s="3">
        <v>40.33582228859435</v>
      </c>
      <c r="E171" s="3">
        <v>22.078246773257789</v>
      </c>
      <c r="L171" s="5"/>
      <c r="M171" s="5"/>
      <c r="N171" s="5"/>
    </row>
    <row r="172" spans="2:14" ht="15.4" x14ac:dyDescent="0.4">
      <c r="B172" s="43">
        <v>45</v>
      </c>
      <c r="C172" s="3">
        <v>26.162008199054398</v>
      </c>
      <c r="D172" s="3">
        <v>0.18895333922621713</v>
      </c>
      <c r="E172" s="3">
        <v>8.3853358136207667</v>
      </c>
      <c r="L172" s="5"/>
      <c r="M172" s="5"/>
      <c r="N172" s="5"/>
    </row>
    <row r="173" spans="2:14" ht="15.4" x14ac:dyDescent="0.4">
      <c r="B173" s="43">
        <v>45</v>
      </c>
      <c r="C173" s="3">
        <v>25.384445678157146</v>
      </c>
      <c r="D173" s="3">
        <v>2.6974731553119269</v>
      </c>
      <c r="E173" s="3">
        <v>2.6994738241069296</v>
      </c>
      <c r="L173" s="5"/>
      <c r="M173" s="5"/>
      <c r="N173" s="5"/>
    </row>
    <row r="174" spans="2:14" ht="15.4" x14ac:dyDescent="0.4">
      <c r="B174" s="43">
        <v>46</v>
      </c>
      <c r="C174" s="3">
        <v>26.471351935568254</v>
      </c>
      <c r="D174" s="3">
        <v>84.440729747678191</v>
      </c>
      <c r="E174" s="3">
        <v>21.654970760233919</v>
      </c>
      <c r="L174" s="5"/>
      <c r="M174" s="5"/>
      <c r="N174" s="5"/>
    </row>
    <row r="175" spans="2:14" ht="15.4" x14ac:dyDescent="0.4">
      <c r="B175" s="43">
        <v>46.204620462046208</v>
      </c>
      <c r="C175" s="3">
        <v>87.013064716225244</v>
      </c>
      <c r="D175" s="3">
        <v>74.899832791782231</v>
      </c>
      <c r="E175" s="3">
        <v>5.5358114233907507</v>
      </c>
      <c r="L175" s="5"/>
      <c r="M175" s="5"/>
      <c r="N175" s="5"/>
    </row>
    <row r="176" spans="2:14" ht="15.4" x14ac:dyDescent="0.4">
      <c r="B176" s="43">
        <v>46.357615894039732</v>
      </c>
      <c r="C176" s="3">
        <v>61.346505373811567</v>
      </c>
      <c r="D176" s="3">
        <v>4.1264171686905788</v>
      </c>
      <c r="E176" s="3">
        <v>12.313974591651546</v>
      </c>
      <c r="L176" s="5"/>
      <c r="M176" s="5"/>
      <c r="N176" s="5"/>
    </row>
    <row r="177" spans="2:14" ht="15.4" x14ac:dyDescent="0.4">
      <c r="B177" s="43">
        <v>46.357615894039732</v>
      </c>
      <c r="C177" s="3">
        <v>70.592911996350523</v>
      </c>
      <c r="D177" s="3">
        <v>26.668076838345183</v>
      </c>
      <c r="E177" s="3">
        <v>34.879649890590819</v>
      </c>
      <c r="L177" s="5"/>
      <c r="M177" s="5"/>
      <c r="N177" s="5"/>
    </row>
    <row r="178" spans="2:14" ht="15.4" x14ac:dyDescent="0.4">
      <c r="B178" s="43">
        <v>47.5</v>
      </c>
      <c r="C178" s="3">
        <v>27.045767884380073</v>
      </c>
      <c r="D178" s="3">
        <v>3.3191138799185311</v>
      </c>
      <c r="E178" s="3">
        <v>5.375034157648817</v>
      </c>
      <c r="L178" s="5"/>
      <c r="M178" s="5"/>
      <c r="N178" s="5"/>
    </row>
    <row r="179" spans="2:14" ht="15.4" x14ac:dyDescent="0.4">
      <c r="B179" s="43">
        <v>48</v>
      </c>
      <c r="C179" s="3">
        <v>10.187330888377385</v>
      </c>
      <c r="D179" s="3">
        <v>614.33276883996609</v>
      </c>
      <c r="E179" s="3">
        <v>30.497496631736322</v>
      </c>
      <c r="L179" s="5"/>
      <c r="M179" s="5"/>
      <c r="N179" s="5"/>
    </row>
    <row r="180" spans="2:14" ht="15.4" x14ac:dyDescent="0.4">
      <c r="B180" s="43">
        <v>48</v>
      </c>
      <c r="C180" s="3">
        <v>49.486335260431083</v>
      </c>
      <c r="D180" s="3">
        <v>168.58548233046801</v>
      </c>
      <c r="E180" s="3">
        <v>61.453686570983443</v>
      </c>
      <c r="L180" s="5"/>
      <c r="M180" s="5"/>
      <c r="N180" s="5"/>
    </row>
    <row r="181" spans="2:14" ht="15.4" x14ac:dyDescent="0.4">
      <c r="B181" s="43">
        <v>48</v>
      </c>
      <c r="C181" s="3">
        <v>21.892915915024357</v>
      </c>
      <c r="D181" s="3">
        <v>157.43881599023496</v>
      </c>
      <c r="E181" s="3">
        <v>0.94028589163504139</v>
      </c>
      <c r="L181" s="5"/>
      <c r="M181" s="5"/>
      <c r="N181" s="5"/>
    </row>
    <row r="182" spans="2:14" ht="15.4" x14ac:dyDescent="0.4">
      <c r="B182" s="43">
        <v>48</v>
      </c>
      <c r="C182" s="3">
        <v>50.066403948632697</v>
      </c>
      <c r="D182" s="3">
        <v>37.937704381948997</v>
      </c>
      <c r="E182" s="3">
        <v>16.784169488597438</v>
      </c>
      <c r="L182" s="5"/>
      <c r="M182" s="5"/>
      <c r="N182" s="5"/>
    </row>
    <row r="183" spans="2:14" ht="15.4" x14ac:dyDescent="0.4">
      <c r="B183" s="43">
        <v>48</v>
      </c>
      <c r="C183" s="3">
        <v>50.532089008841787</v>
      </c>
      <c r="D183" s="3">
        <v>14.467706919945728</v>
      </c>
      <c r="E183" s="3">
        <v>24.330503262454677</v>
      </c>
      <c r="L183" s="5"/>
      <c r="M183" s="5"/>
      <c r="N183" s="5"/>
    </row>
    <row r="184" spans="2:14" ht="15.4" x14ac:dyDescent="0.4">
      <c r="B184" s="43">
        <v>49</v>
      </c>
      <c r="C184" s="3">
        <v>66.786984839477583</v>
      </c>
      <c r="D184" s="3">
        <v>12.228804019713948</v>
      </c>
      <c r="E184" s="3">
        <v>22.117575505820771</v>
      </c>
      <c r="L184" s="5"/>
      <c r="M184" s="5"/>
      <c r="N184" s="5"/>
    </row>
    <row r="185" spans="2:14" ht="15.4" x14ac:dyDescent="0.4">
      <c r="B185" s="43">
        <v>49.243098842386459</v>
      </c>
      <c r="C185" s="3">
        <v>53.860996379973628</v>
      </c>
      <c r="D185" s="3">
        <v>17.344248304386515</v>
      </c>
      <c r="E185" s="3">
        <v>9.2085663730791467E-2</v>
      </c>
      <c r="L185" s="5"/>
      <c r="M185" s="5"/>
      <c r="N185" s="5"/>
    </row>
    <row r="186" spans="2:14" ht="15.4" x14ac:dyDescent="0.4">
      <c r="B186" s="43">
        <v>49.243098842386459</v>
      </c>
      <c r="C186" s="3">
        <v>76.006285175538153</v>
      </c>
      <c r="D186" s="3">
        <v>49.302727674318447</v>
      </c>
      <c r="E186" s="3">
        <v>9.4006373538803208E-3</v>
      </c>
      <c r="L186" s="5"/>
      <c r="M186" s="5"/>
      <c r="N186" s="5"/>
    </row>
    <row r="187" spans="2:14" ht="15.4" x14ac:dyDescent="0.4">
      <c r="B187" s="43">
        <v>49.243098842386459</v>
      </c>
      <c r="C187" s="3">
        <v>22.745497466327581</v>
      </c>
      <c r="D187" s="3">
        <v>95.7561314260481</v>
      </c>
      <c r="E187" s="3">
        <v>0.14273000138481437</v>
      </c>
      <c r="L187" s="5"/>
      <c r="M187" s="5"/>
      <c r="N187" s="5"/>
    </row>
    <row r="188" spans="2:14" ht="15.4" x14ac:dyDescent="0.4">
      <c r="B188" s="43">
        <v>50</v>
      </c>
      <c r="C188" s="3">
        <v>51.935946859989315</v>
      </c>
      <c r="D188" s="3">
        <v>103.2891599104361</v>
      </c>
      <c r="E188" s="3">
        <v>52.975681818181819</v>
      </c>
      <c r="L188" s="5"/>
      <c r="M188" s="5"/>
      <c r="N188" s="5"/>
    </row>
    <row r="189" spans="2:14" ht="15.4" x14ac:dyDescent="0.4">
      <c r="B189" s="43">
        <v>50</v>
      </c>
      <c r="C189" s="3">
        <v>57.065416510971978</v>
      </c>
      <c r="D189" s="3">
        <v>13.054064198749366</v>
      </c>
      <c r="E189" s="3">
        <v>8.4166946501475817</v>
      </c>
      <c r="L189" s="5"/>
      <c r="M189" s="5"/>
      <c r="N189" s="5"/>
    </row>
    <row r="190" spans="2:14" ht="15.4" x14ac:dyDescent="0.4">
      <c r="B190" s="43">
        <v>50</v>
      </c>
      <c r="C190" s="3">
        <v>54.022841624065123</v>
      </c>
      <c r="D190" s="3">
        <v>79.116554965263504</v>
      </c>
      <c r="E190" s="3">
        <v>45.455714285714279</v>
      </c>
      <c r="L190" s="5"/>
      <c r="M190" s="5"/>
      <c r="N190" s="5"/>
    </row>
    <row r="191" spans="2:14" ht="15.4" x14ac:dyDescent="0.4">
      <c r="B191" s="43">
        <v>50</v>
      </c>
      <c r="C191" s="3">
        <v>47.174464876925441</v>
      </c>
      <c r="D191" s="3">
        <v>58.455793103448286</v>
      </c>
      <c r="E191" s="3">
        <v>22.592551724137927</v>
      </c>
      <c r="L191" s="5"/>
      <c r="M191" s="5"/>
      <c r="N191" s="5"/>
    </row>
    <row r="192" spans="2:14" ht="15.4" x14ac:dyDescent="0.4">
      <c r="B192" s="43">
        <v>50</v>
      </c>
      <c r="C192" s="3">
        <v>58.710917317969404</v>
      </c>
      <c r="D192" s="3">
        <v>13.577339045290582</v>
      </c>
      <c r="E192" s="3">
        <v>5.4927536231883973</v>
      </c>
      <c r="L192" s="5"/>
      <c r="M192" s="5"/>
      <c r="N192" s="5"/>
    </row>
    <row r="193" spans="1:14" ht="15.4" x14ac:dyDescent="0.4">
      <c r="B193" s="43">
        <v>50</v>
      </c>
      <c r="C193" s="3">
        <v>50.521955996862388</v>
      </c>
      <c r="D193" s="3">
        <v>36.992917256527704</v>
      </c>
      <c r="E193" s="3">
        <v>10.821355236139624</v>
      </c>
      <c r="L193" s="5"/>
      <c r="M193" s="5"/>
      <c r="N193" s="5"/>
    </row>
    <row r="194" spans="1:14" ht="15.4" x14ac:dyDescent="0.4">
      <c r="B194" s="43">
        <v>50</v>
      </c>
      <c r="C194" s="3">
        <v>63.165062753601894</v>
      </c>
      <c r="D194" s="3">
        <v>6.8213959703845601</v>
      </c>
      <c r="E194" s="3">
        <v>3.0918404683497913</v>
      </c>
      <c r="L194" s="5"/>
      <c r="M194" s="5"/>
      <c r="N194" s="5"/>
    </row>
    <row r="195" spans="1:14" ht="15.4" x14ac:dyDescent="0.4">
      <c r="B195" s="43">
        <v>50</v>
      </c>
      <c r="C195" s="3">
        <v>64.134724140292448</v>
      </c>
      <c r="D195" s="3">
        <v>20.618617666274037</v>
      </c>
      <c r="E195" s="3">
        <v>14.269399806215805</v>
      </c>
      <c r="L195" s="5"/>
      <c r="M195" s="5"/>
      <c r="N195" s="5"/>
    </row>
    <row r="196" spans="1:14" ht="15.4" x14ac:dyDescent="0.4">
      <c r="B196" s="43">
        <v>50</v>
      </c>
      <c r="C196" s="3">
        <v>35.706525051421991</v>
      </c>
      <c r="D196" s="3">
        <v>105.67664172901081</v>
      </c>
      <c r="E196" s="3">
        <v>4.3660866871022508</v>
      </c>
      <c r="L196" s="5"/>
      <c r="M196" s="5"/>
      <c r="N196" s="5"/>
    </row>
    <row r="197" spans="1:14" ht="15.4" x14ac:dyDescent="0.4">
      <c r="B197" s="43">
        <v>50</v>
      </c>
      <c r="C197" s="3">
        <v>29.10027250849765</v>
      </c>
      <c r="D197" s="3">
        <v>33.437320429457131</v>
      </c>
      <c r="E197" s="3">
        <v>4.0764175575179191</v>
      </c>
      <c r="L197" s="5"/>
      <c r="M197" s="5"/>
      <c r="N197" s="5"/>
    </row>
    <row r="198" spans="1:14" ht="15.4" x14ac:dyDescent="0.4">
      <c r="B198" s="43">
        <v>50</v>
      </c>
      <c r="C198" s="3">
        <v>28.302564421622673</v>
      </c>
      <c r="D198" s="3">
        <v>3.4640619503764887</v>
      </c>
      <c r="E198" s="3">
        <v>7.6273087373889288</v>
      </c>
      <c r="L198" s="5"/>
      <c r="M198" s="5"/>
      <c r="N198" s="5"/>
    </row>
    <row r="199" spans="1:14" ht="15.4" x14ac:dyDescent="0.4">
      <c r="B199" s="43">
        <v>50</v>
      </c>
      <c r="C199" s="3">
        <v>27.602201922221774</v>
      </c>
      <c r="D199" s="3">
        <v>108.6098598023443</v>
      </c>
      <c r="E199" s="3">
        <v>18.849128804224318</v>
      </c>
      <c r="L199" s="5"/>
      <c r="M199" s="5"/>
      <c r="N199" s="5"/>
    </row>
    <row r="200" spans="1:14" ht="15.4" x14ac:dyDescent="0.4">
      <c r="B200" s="43">
        <v>50.000000000000014</v>
      </c>
      <c r="C200" s="3">
        <v>60.800588614761949</v>
      </c>
      <c r="D200" s="3">
        <v>60.241675617615478</v>
      </c>
      <c r="E200" s="3">
        <v>39.806659505907625</v>
      </c>
      <c r="L200" s="5"/>
      <c r="M200" s="5"/>
      <c r="N200" s="5"/>
    </row>
    <row r="201" spans="1:14" ht="15.4" x14ac:dyDescent="0.4">
      <c r="A201" s="11" t="s">
        <v>13</v>
      </c>
      <c r="B201" s="43">
        <v>51</v>
      </c>
      <c r="C201" s="3">
        <v>38.117405365684313</v>
      </c>
      <c r="D201" s="3">
        <v>82.792902519224398</v>
      </c>
      <c r="E201" s="3">
        <v>2.6521084337349388</v>
      </c>
      <c r="L201" s="5"/>
      <c r="M201" s="5"/>
      <c r="N201" s="5"/>
    </row>
    <row r="202" spans="1:14" ht="15.4" x14ac:dyDescent="0.4">
      <c r="B202" s="43">
        <v>51.2</v>
      </c>
      <c r="C202" s="3">
        <v>12.651201404817705</v>
      </c>
      <c r="D202" s="3">
        <v>111.72819710598357</v>
      </c>
      <c r="E202" s="3">
        <v>12.894867575891272</v>
      </c>
      <c r="L202" s="5"/>
      <c r="M202" s="5"/>
      <c r="N202" s="5"/>
    </row>
    <row r="203" spans="1:14" ht="15.4" x14ac:dyDescent="0.4">
      <c r="B203" s="43">
        <v>51.2</v>
      </c>
      <c r="C203" s="3">
        <v>33.24545663961311</v>
      </c>
      <c r="D203" s="3">
        <v>67.586751276892116</v>
      </c>
      <c r="E203" s="3">
        <v>35.465514038589383</v>
      </c>
      <c r="L203" s="5"/>
      <c r="M203" s="5"/>
      <c r="N203" s="5"/>
    </row>
    <row r="204" spans="1:14" ht="15.4" x14ac:dyDescent="0.4">
      <c r="B204" s="43">
        <v>52.095808383233546</v>
      </c>
      <c r="C204" s="3">
        <v>48.18397463423549</v>
      </c>
      <c r="D204" s="3">
        <v>25.208110146963097</v>
      </c>
      <c r="E204" s="3">
        <v>25.931989822159945</v>
      </c>
      <c r="L204" s="5"/>
      <c r="M204" s="5"/>
      <c r="N204" s="5"/>
    </row>
    <row r="205" spans="1:14" ht="15.4" x14ac:dyDescent="0.4">
      <c r="B205" s="43">
        <v>53.5</v>
      </c>
      <c r="C205" s="3">
        <v>57.938606336441204</v>
      </c>
      <c r="D205" s="3">
        <v>28.201996889715701</v>
      </c>
      <c r="E205" s="3">
        <v>2.1864740643466911</v>
      </c>
      <c r="L205" s="5"/>
      <c r="M205" s="5"/>
      <c r="N205" s="5"/>
    </row>
    <row r="206" spans="1:14" ht="15.4" x14ac:dyDescent="0.4">
      <c r="B206" s="43">
        <v>53.5</v>
      </c>
      <c r="C206" s="3">
        <v>65.459867320793535</v>
      </c>
      <c r="D206" s="3">
        <v>12.124660477918093</v>
      </c>
      <c r="E206" s="3">
        <v>28.039830479275047</v>
      </c>
      <c r="L206" s="5"/>
      <c r="M206" s="5"/>
      <c r="N206" s="5"/>
    </row>
    <row r="207" spans="1:14" ht="15.4" x14ac:dyDescent="0.4">
      <c r="B207" s="43">
        <v>55.000000000000007</v>
      </c>
      <c r="C207" s="3">
        <v>57.270427052057848</v>
      </c>
      <c r="D207" s="3">
        <v>34.523121793826711</v>
      </c>
      <c r="E207" s="3">
        <v>14.971412039734014</v>
      </c>
      <c r="L207" s="5"/>
      <c r="M207" s="5"/>
      <c r="N207" s="5"/>
    </row>
    <row r="208" spans="1:14" ht="15.4" x14ac:dyDescent="0.4">
      <c r="B208" s="43">
        <v>55.000000000000007</v>
      </c>
      <c r="C208" s="3">
        <v>61.135913726303137</v>
      </c>
      <c r="D208" s="3">
        <v>30.756361858449715</v>
      </c>
      <c r="E208" s="3">
        <v>17.466257668711656</v>
      </c>
      <c r="L208" s="5"/>
      <c r="M208" s="5"/>
      <c r="N208" s="5"/>
    </row>
    <row r="209" spans="1:14" ht="15.4" x14ac:dyDescent="0.4">
      <c r="B209" s="43">
        <v>55.000000000000007</v>
      </c>
      <c r="C209" s="3">
        <v>62.165343359162193</v>
      </c>
      <c r="D209" s="3">
        <v>4.2238954181115815</v>
      </c>
      <c r="E209" s="3">
        <v>15.582301260309128</v>
      </c>
      <c r="L209" s="5"/>
      <c r="M209" s="5"/>
      <c r="N209" s="5"/>
    </row>
    <row r="210" spans="1:14" ht="15.4" x14ac:dyDescent="0.4">
      <c r="B210" s="43">
        <v>56.000000000000007</v>
      </c>
      <c r="C210" s="3">
        <v>36.731455819575146</v>
      </c>
      <c r="D210" s="3">
        <v>123.14142855127544</v>
      </c>
      <c r="E210" s="3">
        <v>5.692090395480232</v>
      </c>
      <c r="L210" s="5"/>
      <c r="M210" s="5"/>
      <c r="N210" s="5"/>
    </row>
    <row r="211" spans="1:14" ht="15.4" x14ac:dyDescent="0.4">
      <c r="B211" s="43">
        <v>56.799214531173291</v>
      </c>
      <c r="C211" s="3">
        <v>54.594678550960332</v>
      </c>
      <c r="D211" s="3">
        <v>26.195840997537768</v>
      </c>
      <c r="E211" s="3">
        <v>2.8537445586611221</v>
      </c>
      <c r="L211" s="5"/>
      <c r="M211" s="5"/>
      <c r="N211" s="5"/>
    </row>
    <row r="212" spans="1:14" ht="15.4" x14ac:dyDescent="0.4">
      <c r="B212" s="43">
        <v>58.4</v>
      </c>
      <c r="C212" s="3">
        <v>61.022461481318835</v>
      </c>
      <c r="D212" s="3">
        <v>47.354701678165576</v>
      </c>
      <c r="E212" s="3">
        <v>12.755991285403059</v>
      </c>
      <c r="L212" s="5"/>
      <c r="M212" s="5"/>
      <c r="N212" s="5"/>
    </row>
    <row r="213" spans="1:14" ht="15.4" x14ac:dyDescent="0.4">
      <c r="B213" s="43">
        <v>58.4</v>
      </c>
      <c r="C213" s="3">
        <v>69.418666291651633</v>
      </c>
      <c r="D213" s="3">
        <v>24.068252903380721</v>
      </c>
      <c r="E213" s="3">
        <v>40.874071356507393</v>
      </c>
      <c r="L213" s="5"/>
      <c r="M213" s="5"/>
      <c r="N213" s="5"/>
    </row>
    <row r="214" spans="1:14" ht="15.4" x14ac:dyDescent="0.4">
      <c r="B214" s="43">
        <v>59.553349875930515</v>
      </c>
      <c r="C214" s="3">
        <v>84.873472371620224</v>
      </c>
      <c r="D214" s="3">
        <v>53.977078195605024</v>
      </c>
      <c r="E214" s="3">
        <v>16.531505250875146</v>
      </c>
      <c r="L214" s="5"/>
      <c r="M214" s="5"/>
      <c r="N214" s="5"/>
    </row>
    <row r="215" spans="1:14" ht="15.4" x14ac:dyDescent="0.4">
      <c r="B215" s="43">
        <v>60</v>
      </c>
      <c r="C215" s="3">
        <v>60.176291732641786</v>
      </c>
      <c r="D215" s="3">
        <v>52.76140139630435</v>
      </c>
      <c r="E215" s="3">
        <v>26.429442447575944</v>
      </c>
      <c r="L215" s="5"/>
      <c r="M215" s="5"/>
      <c r="N215" s="5"/>
    </row>
    <row r="216" spans="1:14" ht="15.4" x14ac:dyDescent="0.4">
      <c r="B216" s="43">
        <v>60</v>
      </c>
      <c r="C216" s="3">
        <v>43.609266773726723</v>
      </c>
      <c r="D216" s="3">
        <v>140.78205146344104</v>
      </c>
      <c r="E216" s="3">
        <v>8.447949526813888</v>
      </c>
      <c r="L216" s="5"/>
      <c r="M216" s="5"/>
      <c r="N216" s="5"/>
    </row>
    <row r="217" spans="1:14" ht="15.4" x14ac:dyDescent="0.4">
      <c r="B217" s="43">
        <v>60</v>
      </c>
      <c r="C217" s="3">
        <v>59.762428808126913</v>
      </c>
      <c r="D217" s="3">
        <v>157.57403290448471</v>
      </c>
      <c r="E217" s="3">
        <v>54.616925388082116</v>
      </c>
      <c r="L217" s="5"/>
      <c r="M217" s="5"/>
      <c r="N217" s="5"/>
    </row>
    <row r="218" spans="1:14" ht="15.4" x14ac:dyDescent="0.4">
      <c r="B218" s="43">
        <v>60</v>
      </c>
      <c r="C218" s="3">
        <v>57.461365308043902</v>
      </c>
      <c r="D218" s="3">
        <v>60.469862710865428</v>
      </c>
      <c r="E218" s="3">
        <v>0.38500167392031615</v>
      </c>
      <c r="L218" s="5"/>
      <c r="M218" s="5"/>
      <c r="N218" s="5"/>
    </row>
    <row r="219" spans="1:14" ht="15.4" x14ac:dyDescent="0.4">
      <c r="B219" s="43">
        <v>60</v>
      </c>
      <c r="C219" s="3">
        <v>60.654503011106165</v>
      </c>
      <c r="D219" s="3">
        <v>14.710074941841508</v>
      </c>
      <c r="E219" s="3">
        <v>18.583347327959419</v>
      </c>
      <c r="L219" s="5"/>
      <c r="M219" s="5"/>
      <c r="N219" s="5"/>
    </row>
    <row r="220" spans="1:14" ht="15.4" x14ac:dyDescent="0.4">
      <c r="B220" s="43">
        <v>60</v>
      </c>
      <c r="C220" s="3">
        <v>31.377968463763377</v>
      </c>
      <c r="D220" s="3">
        <v>248.6333830104322</v>
      </c>
      <c r="E220" s="3">
        <v>0.85116472706035196</v>
      </c>
      <c r="L220" s="5"/>
      <c r="M220" s="5"/>
      <c r="N220" s="5"/>
    </row>
    <row r="221" spans="1:14" ht="15.4" x14ac:dyDescent="0.4">
      <c r="B221" s="43">
        <v>60</v>
      </c>
      <c r="C221" s="3">
        <v>12.998282434261119</v>
      </c>
      <c r="D221" s="3">
        <v>105.03187575195061</v>
      </c>
      <c r="E221" s="3">
        <v>0.13769589992133816</v>
      </c>
      <c r="L221" s="5"/>
      <c r="M221" s="5"/>
      <c r="N221" s="5"/>
    </row>
    <row r="222" spans="1:14" ht="15.4" x14ac:dyDescent="0.4">
      <c r="A222" s="11" t="s">
        <v>14</v>
      </c>
      <c r="B222" s="43">
        <v>61</v>
      </c>
      <c r="C222" s="3">
        <v>41.803835382916752</v>
      </c>
      <c r="D222" s="3">
        <v>148.25442646330117</v>
      </c>
      <c r="E222" s="3">
        <v>18.078571428571429</v>
      </c>
      <c r="L222" s="5"/>
      <c r="M222" s="5"/>
      <c r="N222" s="5"/>
    </row>
    <row r="223" spans="1:14" ht="15.4" x14ac:dyDescent="0.4">
      <c r="B223" s="43">
        <v>61.878829135466304</v>
      </c>
      <c r="C223" s="3">
        <v>51.84934764644742</v>
      </c>
      <c r="D223" s="3">
        <v>57.100716361931383</v>
      </c>
      <c r="E223" s="3">
        <v>0.4338759990993476</v>
      </c>
      <c r="L223" s="5"/>
      <c r="M223" s="5"/>
      <c r="N223" s="5"/>
    </row>
    <row r="224" spans="1:14" ht="15.4" x14ac:dyDescent="0.4">
      <c r="B224" s="43">
        <v>64.004096262160772</v>
      </c>
      <c r="C224" s="3">
        <v>13.766225201814649</v>
      </c>
      <c r="D224" s="3">
        <v>738.38225499524253</v>
      </c>
      <c r="E224" s="3">
        <v>0.73928003588724511</v>
      </c>
      <c r="L224" s="5"/>
      <c r="M224" s="5"/>
      <c r="N224" s="5"/>
    </row>
    <row r="225" spans="2:14" ht="15.4" x14ac:dyDescent="0.4">
      <c r="B225" s="43">
        <v>64.004096262160772</v>
      </c>
      <c r="C225" s="3">
        <v>30.602321060590903</v>
      </c>
      <c r="D225" s="3">
        <v>241.06435068705241</v>
      </c>
      <c r="E225" s="3">
        <v>21.837470315114192</v>
      </c>
      <c r="L225" s="5"/>
      <c r="M225" s="5"/>
      <c r="N225" s="5"/>
    </row>
    <row r="226" spans="2:14" ht="15.4" x14ac:dyDescent="0.4">
      <c r="B226" s="43">
        <v>64.004096262160772</v>
      </c>
      <c r="C226" s="3">
        <v>29.290345856301414</v>
      </c>
      <c r="D226" s="3">
        <v>171.49584039439222</v>
      </c>
      <c r="E226" s="3">
        <v>0.52311000139038077</v>
      </c>
      <c r="L226" s="5"/>
      <c r="M226" s="5"/>
      <c r="N226" s="5"/>
    </row>
    <row r="227" spans="2:14" ht="15.4" x14ac:dyDescent="0.4">
      <c r="B227" s="43">
        <v>64.004096262160772</v>
      </c>
      <c r="C227" s="3">
        <v>24.17983133014134</v>
      </c>
      <c r="D227" s="3">
        <v>127.02473429951691</v>
      </c>
      <c r="E227" s="3">
        <v>51.041031491513031</v>
      </c>
      <c r="L227" s="5"/>
      <c r="M227" s="5"/>
      <c r="N227" s="5"/>
    </row>
    <row r="228" spans="2:14" ht="15.4" x14ac:dyDescent="0.4">
      <c r="B228" s="43">
        <v>64.004096262160772</v>
      </c>
      <c r="C228" s="3">
        <v>45.222314826588168</v>
      </c>
      <c r="D228" s="3">
        <v>48.152963430012605</v>
      </c>
      <c r="E228" s="3">
        <v>35.391244272852035</v>
      </c>
      <c r="L228" s="5"/>
      <c r="M228" s="5"/>
      <c r="N228" s="5"/>
    </row>
    <row r="229" spans="2:14" ht="15.4" x14ac:dyDescent="0.4">
      <c r="B229" s="43">
        <v>64.600000000000009</v>
      </c>
      <c r="C229" s="3">
        <v>20.558926598532583</v>
      </c>
      <c r="D229" s="3">
        <v>117.33627388068378</v>
      </c>
      <c r="E229" s="3">
        <v>2.7843703846744896</v>
      </c>
      <c r="L229" s="5"/>
      <c r="M229" s="5"/>
      <c r="N229" s="5"/>
    </row>
    <row r="230" spans="2:14" ht="15.4" x14ac:dyDescent="0.4">
      <c r="B230" s="43">
        <v>65</v>
      </c>
      <c r="C230" s="3">
        <v>61.867249517845579</v>
      </c>
      <c r="D230" s="3">
        <v>81.653732229577457</v>
      </c>
      <c r="E230" s="3">
        <v>34.945923116319278</v>
      </c>
      <c r="L230" s="5"/>
      <c r="M230" s="5"/>
      <c r="N230" s="5"/>
    </row>
    <row r="231" spans="2:14" ht="15.4" x14ac:dyDescent="0.4">
      <c r="B231" s="43">
        <v>65</v>
      </c>
      <c r="C231" s="3">
        <v>58.003129933036767</v>
      </c>
      <c r="D231" s="3">
        <v>41.704822803828613</v>
      </c>
      <c r="E231" s="3">
        <v>19.944865898626983</v>
      </c>
      <c r="L231" s="5"/>
      <c r="M231" s="5"/>
      <c r="N231" s="5"/>
    </row>
    <row r="232" spans="2:14" ht="15.4" x14ac:dyDescent="0.4">
      <c r="B232" s="43">
        <v>65</v>
      </c>
      <c r="C232" s="3">
        <v>8.7418079208350168</v>
      </c>
      <c r="D232" s="3">
        <v>102.90052036708271</v>
      </c>
      <c r="E232" s="3">
        <v>4.3545276722381603</v>
      </c>
      <c r="L232" s="5"/>
      <c r="M232" s="5"/>
      <c r="N232" s="5"/>
    </row>
    <row r="233" spans="2:14" ht="15.4" x14ac:dyDescent="0.4">
      <c r="B233" s="43">
        <v>66</v>
      </c>
      <c r="C233" s="3">
        <v>46.574165577466857</v>
      </c>
      <c r="D233" s="3">
        <v>178.756819683586</v>
      </c>
      <c r="E233" s="3">
        <v>29.217000000000006</v>
      </c>
      <c r="L233" s="5"/>
      <c r="M233" s="5"/>
      <c r="N233" s="5"/>
    </row>
    <row r="234" spans="2:14" ht="15.4" x14ac:dyDescent="0.4">
      <c r="B234" s="43">
        <v>66.2</v>
      </c>
      <c r="C234" s="3">
        <v>2.8574172318697824</v>
      </c>
      <c r="D234" s="3">
        <v>45.316937234177352</v>
      </c>
      <c r="E234" s="3">
        <v>12.398988548693209</v>
      </c>
      <c r="L234" s="5"/>
      <c r="M234" s="5"/>
      <c r="N234" s="5"/>
    </row>
    <row r="235" spans="2:14" ht="15.4" x14ac:dyDescent="0.4">
      <c r="B235" s="43">
        <v>66.666666666666657</v>
      </c>
      <c r="C235" s="3">
        <v>27.845431307510811</v>
      </c>
      <c r="D235" s="3">
        <v>433.72948539638384</v>
      </c>
      <c r="E235" s="3">
        <v>4.195360530682203</v>
      </c>
      <c r="L235" s="5"/>
      <c r="M235" s="5"/>
      <c r="N235" s="5"/>
    </row>
    <row r="236" spans="2:14" ht="15.4" x14ac:dyDescent="0.4">
      <c r="B236" s="43">
        <v>68</v>
      </c>
      <c r="C236" s="3">
        <v>1.2282770889204857</v>
      </c>
      <c r="D236" s="3">
        <v>13.679514812890552</v>
      </c>
      <c r="E236" s="3">
        <v>5.9457018748624764</v>
      </c>
      <c r="L236" s="5"/>
      <c r="M236" s="5"/>
      <c r="N236" s="5"/>
    </row>
    <row r="237" spans="2:14" ht="15.4" x14ac:dyDescent="0.4">
      <c r="B237" s="43">
        <v>68.300000000000011</v>
      </c>
      <c r="C237" s="3">
        <v>5.0939873541559164</v>
      </c>
      <c r="D237" s="3">
        <v>19.056348354939896</v>
      </c>
      <c r="E237" s="3">
        <v>3.8618641946996388</v>
      </c>
      <c r="L237" s="5"/>
      <c r="M237" s="5"/>
      <c r="N237" s="5"/>
    </row>
    <row r="238" spans="2:14" ht="15.4" x14ac:dyDescent="0.4">
      <c r="B238" s="43">
        <v>68.7</v>
      </c>
      <c r="C238" s="3">
        <v>0.20512067877143536</v>
      </c>
      <c r="D238" s="3">
        <v>12.631339854951332</v>
      </c>
      <c r="E238" s="3">
        <v>9.137805140955642</v>
      </c>
      <c r="L238" s="5"/>
      <c r="M238" s="5"/>
      <c r="N238" s="5"/>
    </row>
    <row r="239" spans="2:14" ht="15.4" x14ac:dyDescent="0.4">
      <c r="B239" s="43">
        <v>70</v>
      </c>
      <c r="C239" s="3">
        <v>57.971687704067897</v>
      </c>
      <c r="D239" s="3">
        <v>64.131408751721736</v>
      </c>
      <c r="E239" s="3">
        <v>26.732206768806506</v>
      </c>
      <c r="L239" s="5"/>
      <c r="M239" s="5"/>
      <c r="N239" s="5"/>
    </row>
    <row r="240" spans="2:14" ht="15.4" x14ac:dyDescent="0.4">
      <c r="B240" s="43">
        <v>70</v>
      </c>
      <c r="C240" s="3">
        <v>12.810753799311255</v>
      </c>
      <c r="D240" s="3">
        <v>70.337824531062395</v>
      </c>
      <c r="E240" s="3">
        <v>22.967455571740324</v>
      </c>
      <c r="L240" s="5"/>
      <c r="M240" s="5"/>
      <c r="N240" s="5"/>
    </row>
    <row r="241" spans="2:14" ht="15.4" x14ac:dyDescent="0.4">
      <c r="B241" s="43">
        <v>71</v>
      </c>
      <c r="C241" s="3">
        <v>50.84367997915539</v>
      </c>
      <c r="D241" s="3">
        <v>215.2217608679496</v>
      </c>
      <c r="E241" s="3">
        <v>38.91092436974791</v>
      </c>
      <c r="L241" s="5"/>
      <c r="M241" s="5"/>
      <c r="N241" s="5"/>
    </row>
    <row r="242" spans="2:14" ht="15.4" x14ac:dyDescent="0.4">
      <c r="B242" s="43">
        <v>71.428571428571431</v>
      </c>
      <c r="C242" s="3">
        <v>32.566800454117953</v>
      </c>
      <c r="D242" s="3">
        <v>514.12686122692082</v>
      </c>
      <c r="E242" s="3">
        <v>16.006222476928524</v>
      </c>
      <c r="L242" s="5"/>
      <c r="M242" s="5"/>
      <c r="N242" s="5"/>
    </row>
    <row r="243" spans="2:14" ht="15.4" x14ac:dyDescent="0.4">
      <c r="B243" s="43">
        <v>75</v>
      </c>
      <c r="C243" s="3">
        <v>36.155957927406142</v>
      </c>
      <c r="D243" s="3">
        <v>703.64820675105477</v>
      </c>
      <c r="E243" s="3">
        <v>24.376771373060127</v>
      </c>
      <c r="L243" s="5"/>
      <c r="M243" s="5"/>
      <c r="N243" s="5"/>
    </row>
    <row r="244" spans="2:14" ht="15.4" x14ac:dyDescent="0.4">
      <c r="B244" s="43"/>
    </row>
    <row r="245" spans="2:14" ht="15.4" x14ac:dyDescent="0.4">
      <c r="B245" s="43"/>
    </row>
    <row r="255" spans="2:14" ht="15.4" x14ac:dyDescent="0.4">
      <c r="B255" s="7"/>
    </row>
  </sheetData>
  <phoneticPr fontId="2" type="noConversion"/>
  <pageMargins left="0.7" right="0.7" top="0.75" bottom="0.75" header="0.3" footer="0.3"/>
  <ignoredErrors>
    <ignoredError sqref="H2:J8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234C-83B2-44B0-B597-F13AB484E9EA}">
  <dimension ref="A1:T1048576"/>
  <sheetViews>
    <sheetView zoomScaleNormal="100" workbookViewId="0">
      <pane ySplit="1" topLeftCell="A2" activePane="bottomLeft" state="frozen"/>
      <selection activeCell="G1" sqref="G1"/>
      <selection pane="bottomLeft" activeCell="D8" sqref="D8"/>
    </sheetView>
  </sheetViews>
  <sheetFormatPr defaultRowHeight="13.9" x14ac:dyDescent="0.4"/>
  <cols>
    <col min="1" max="1" width="19.46484375" style="17" bestFit="1" customWidth="1"/>
    <col min="2" max="4" width="17.59765625" bestFit="1" customWidth="1"/>
    <col min="7" max="7" width="9.73046875" style="49" bestFit="1" customWidth="1"/>
    <col min="8" max="8" width="11.46484375" style="49" hidden="1" customWidth="1"/>
    <col min="9" max="9" width="12.265625" hidden="1" customWidth="1"/>
    <col min="10" max="12" width="18.59765625" hidden="1" customWidth="1"/>
    <col min="13" max="14" width="12.265625" hidden="1" customWidth="1"/>
    <col min="15" max="15" width="16.86328125" customWidth="1"/>
    <col min="16" max="16" width="17.73046875" customWidth="1"/>
    <col min="17" max="19" width="17.59765625" customWidth="1"/>
    <col min="20" max="20" width="14.46484375" customWidth="1"/>
  </cols>
  <sheetData>
    <row r="1" spans="1:20" ht="45.75" x14ac:dyDescent="0.4">
      <c r="A1" s="61" t="s">
        <v>24</v>
      </c>
      <c r="B1" s="61"/>
      <c r="C1" s="61"/>
      <c r="D1" s="61"/>
      <c r="G1" s="42" t="s">
        <v>69</v>
      </c>
      <c r="H1" s="13" t="s">
        <v>85</v>
      </c>
      <c r="I1" s="13" t="s">
        <v>5</v>
      </c>
      <c r="J1" s="13" t="s">
        <v>6</v>
      </c>
      <c r="K1" s="13" t="s">
        <v>86</v>
      </c>
      <c r="L1" s="13" t="s">
        <v>87</v>
      </c>
      <c r="M1" s="13" t="s">
        <v>7</v>
      </c>
      <c r="N1" s="13"/>
      <c r="O1" s="13" t="s">
        <v>88</v>
      </c>
      <c r="P1" s="13" t="s">
        <v>82</v>
      </c>
      <c r="Q1" s="13" t="s">
        <v>84</v>
      </c>
      <c r="R1" s="13" t="s">
        <v>89</v>
      </c>
      <c r="S1" s="13" t="s">
        <v>90</v>
      </c>
      <c r="T1" s="13" t="s">
        <v>83</v>
      </c>
    </row>
    <row r="2" spans="1:20" ht="15.4" x14ac:dyDescent="0.4">
      <c r="A2" s="18"/>
      <c r="B2" s="18" t="s">
        <v>91</v>
      </c>
      <c r="C2" s="18" t="s">
        <v>17</v>
      </c>
      <c r="D2" s="18" t="s">
        <v>18</v>
      </c>
      <c r="G2" s="43">
        <v>0.89999999999999991</v>
      </c>
      <c r="H2" s="43">
        <v>2.7489748643313145</v>
      </c>
      <c r="I2" s="3">
        <v>3.5881247089843207</v>
      </c>
      <c r="J2" s="3">
        <v>2.7322784810126648</v>
      </c>
      <c r="K2" s="3">
        <v>3.4639709622641934</v>
      </c>
      <c r="L2" s="3">
        <v>3.6382162259297086</v>
      </c>
      <c r="M2" s="3">
        <v>0.66008018247025646</v>
      </c>
      <c r="N2" s="3"/>
      <c r="O2" s="3">
        <f>AVERAGE($H$2:H2)</f>
        <v>2.7489748643313145</v>
      </c>
      <c r="P2" s="3">
        <f>AVERAGE($I$2:I2)</f>
        <v>3.5881247089843207</v>
      </c>
      <c r="Q2" s="3">
        <f>AVERAGE($J$2:J2)</f>
        <v>2.7322784810126648</v>
      </c>
      <c r="R2" s="3">
        <f>AVERAGE($K$2:K2)</f>
        <v>3.4639709622641934</v>
      </c>
      <c r="S2" s="3">
        <f>AVERAGE($L$2:L2)</f>
        <v>3.6382162259297086</v>
      </c>
      <c r="T2" s="3">
        <f>AVERAGE($M$2:M2)</f>
        <v>0.66008018247025646</v>
      </c>
    </row>
    <row r="3" spans="1:20" ht="15.4" x14ac:dyDescent="0.4">
      <c r="A3" s="18" t="s">
        <v>19</v>
      </c>
      <c r="B3" s="8">
        <v>5</v>
      </c>
      <c r="C3" s="8">
        <v>10</v>
      </c>
      <c r="D3" s="8">
        <v>40</v>
      </c>
      <c r="G3" s="43">
        <v>1</v>
      </c>
      <c r="H3" s="43">
        <v>3.5169032850033637</v>
      </c>
      <c r="I3" s="3">
        <v>4.1218776013991807</v>
      </c>
      <c r="J3" s="3">
        <v>3.4995944849959431</v>
      </c>
      <c r="K3" s="3">
        <v>4.2156228691080528</v>
      </c>
      <c r="L3" s="3">
        <v>4.3358739245164521</v>
      </c>
      <c r="M3" s="3">
        <v>0.75880778608962351</v>
      </c>
      <c r="N3" s="3"/>
      <c r="O3" s="3">
        <f>AVERAGE($H$2:H3)</f>
        <v>3.1329390746673393</v>
      </c>
      <c r="P3" s="3">
        <f>AVERAGE($I$2:I3)</f>
        <v>3.8550011551917507</v>
      </c>
      <c r="Q3" s="3">
        <f>AVERAGE($J$2:J3)</f>
        <v>3.1159364830043037</v>
      </c>
      <c r="R3" s="3">
        <f>AVERAGE($K$2:K3)</f>
        <v>3.8397969156861231</v>
      </c>
      <c r="S3" s="3">
        <f>AVERAGE($L$2:L3)</f>
        <v>3.9870450752230804</v>
      </c>
      <c r="T3" s="3">
        <f>AVERAGE($M$2:M3)</f>
        <v>0.70944398427994004</v>
      </c>
    </row>
    <row r="4" spans="1:20" ht="15.4" x14ac:dyDescent="0.4">
      <c r="A4" s="18" t="s">
        <v>2</v>
      </c>
      <c r="B4" s="8">
        <v>5</v>
      </c>
      <c r="C4" s="8">
        <v>10</v>
      </c>
      <c r="D4" s="8">
        <v>20</v>
      </c>
      <c r="G4" s="43">
        <v>1.5817223198594026</v>
      </c>
      <c r="H4" s="43">
        <v>5.2383604387338734</v>
      </c>
      <c r="I4" s="3">
        <v>4.351049821949915</v>
      </c>
      <c r="J4" s="3">
        <v>5.3101102843534385</v>
      </c>
      <c r="K4" s="3">
        <v>3.9218308371087667</v>
      </c>
      <c r="L4" s="3">
        <v>3.7477311293980353</v>
      </c>
      <c r="M4" s="3">
        <v>4.2302101564183525</v>
      </c>
      <c r="N4" s="3"/>
      <c r="O4" s="3">
        <f>AVERAGE($H$2:H4)</f>
        <v>3.8347461960228508</v>
      </c>
      <c r="P4" s="3">
        <f>AVERAGE($I$2:I4)</f>
        <v>4.0203507107778051</v>
      </c>
      <c r="Q4" s="3">
        <f>AVERAGE($J$2:J4)</f>
        <v>3.847327750120682</v>
      </c>
      <c r="R4" s="3">
        <f>AVERAGE($K$2:K4)</f>
        <v>3.8671415561603375</v>
      </c>
      <c r="S4" s="3">
        <f>AVERAGE($L$2:L4)</f>
        <v>3.9072737599480654</v>
      </c>
      <c r="T4" s="3">
        <f>AVERAGE($M$2:M4)</f>
        <v>1.8830327083260776</v>
      </c>
    </row>
    <row r="5" spans="1:20" ht="15.4" x14ac:dyDescent="0.4">
      <c r="A5" s="18" t="s">
        <v>20</v>
      </c>
      <c r="B5" s="8">
        <v>5</v>
      </c>
      <c r="C5" s="8">
        <v>10</v>
      </c>
      <c r="D5" s="8">
        <v>40</v>
      </c>
      <c r="G5" s="43">
        <v>2</v>
      </c>
      <c r="H5" s="43">
        <v>5.265069935728599</v>
      </c>
      <c r="I5" s="3">
        <v>7.0584008270622878</v>
      </c>
      <c r="J5" s="3">
        <v>5.1850299401197599</v>
      </c>
      <c r="K5" s="3">
        <v>6.4509380963018907</v>
      </c>
      <c r="L5" s="3">
        <v>6.8961378513143172</v>
      </c>
      <c r="M5" s="3">
        <v>0.79775198200478548</v>
      </c>
      <c r="N5" s="3"/>
      <c r="O5" s="3">
        <f>AVERAGE($H$2:H5)</f>
        <v>4.1923271309492876</v>
      </c>
      <c r="P5" s="3">
        <f>AVERAGE($I$2:I5)</f>
        <v>4.7798632398489254</v>
      </c>
      <c r="Q5" s="3">
        <f>AVERAGE($J$2:J5)</f>
        <v>4.1817532976204514</v>
      </c>
      <c r="R5" s="3">
        <f>AVERAGE($K$2:K5)</f>
        <v>4.5130906911957256</v>
      </c>
      <c r="S5" s="3">
        <f>AVERAGE($L$2:L5)</f>
        <v>4.6544897827896285</v>
      </c>
      <c r="T5" s="3">
        <f>AVERAGE($M$2:M5)</f>
        <v>1.6117125267457546</v>
      </c>
    </row>
    <row r="6" spans="1:20" ht="15.4" x14ac:dyDescent="0.4">
      <c r="A6" s="18" t="s">
        <v>21</v>
      </c>
      <c r="B6" s="8">
        <v>5</v>
      </c>
      <c r="C6" s="8">
        <v>10</v>
      </c>
      <c r="D6" s="8">
        <v>40</v>
      </c>
      <c r="G6" s="43">
        <v>2</v>
      </c>
      <c r="H6" s="43">
        <v>7.2408907644857097</v>
      </c>
      <c r="I6" s="3">
        <v>8.392473583550947</v>
      </c>
      <c r="J6" s="3">
        <v>7.1752851711026615</v>
      </c>
      <c r="K6" s="3">
        <v>8.2969556207082373</v>
      </c>
      <c r="L6" s="3">
        <v>8.563953527548005</v>
      </c>
      <c r="M6" s="3">
        <v>1.9422350480486652</v>
      </c>
      <c r="N6" s="3"/>
      <c r="O6" s="3">
        <f>AVERAGE($H$2:H6)</f>
        <v>4.8020398576565722</v>
      </c>
      <c r="P6" s="3">
        <f>AVERAGE($I$2:I6)</f>
        <v>5.5023853085893295</v>
      </c>
      <c r="Q6" s="3">
        <f>AVERAGE($J$2:J6)</f>
        <v>4.7804596723168933</v>
      </c>
      <c r="R6" s="3">
        <f>AVERAGE($K$2:K6)</f>
        <v>5.2698636770982272</v>
      </c>
      <c r="S6" s="3">
        <f>AVERAGE($L$2:L6)</f>
        <v>5.4363825317413035</v>
      </c>
      <c r="T6" s="3">
        <f>AVERAGE($M$2:M6)</f>
        <v>1.6778170310063367</v>
      </c>
    </row>
    <row r="7" spans="1:20" ht="15.4" x14ac:dyDescent="0.4">
      <c r="A7" s="18" t="s">
        <v>23</v>
      </c>
      <c r="B7" s="8">
        <v>5</v>
      </c>
      <c r="C7" s="8">
        <v>10</v>
      </c>
      <c r="D7" s="8">
        <v>20</v>
      </c>
      <c r="G7" s="43">
        <v>2.4</v>
      </c>
      <c r="H7" s="43">
        <v>24.129576453697059</v>
      </c>
      <c r="I7" s="3">
        <v>28.037729345213023</v>
      </c>
      <c r="J7" s="3">
        <v>24.053571428571434</v>
      </c>
      <c r="K7" s="3">
        <v>25.077022098231076</v>
      </c>
      <c r="L7" s="3">
        <v>26.714323436926467</v>
      </c>
      <c r="M7" s="3">
        <v>15.391457125133048</v>
      </c>
      <c r="N7" s="3"/>
      <c r="O7" s="3">
        <f>AVERAGE($H$2:H7)</f>
        <v>8.0232959569966535</v>
      </c>
      <c r="P7" s="3">
        <f>AVERAGE($I$2:I7)</f>
        <v>9.2582759813599456</v>
      </c>
      <c r="Q7" s="3">
        <f>AVERAGE($J$2:J7)</f>
        <v>7.9926449650259839</v>
      </c>
      <c r="R7" s="3">
        <f>AVERAGE($K$2:K7)</f>
        <v>8.5710567472870363</v>
      </c>
      <c r="S7" s="3">
        <f>AVERAGE($L$2:L7)</f>
        <v>8.982706015938831</v>
      </c>
      <c r="T7" s="3">
        <f>AVERAGE($M$2:M7)</f>
        <v>3.9634237133607884</v>
      </c>
    </row>
    <row r="8" spans="1:20" ht="15.4" x14ac:dyDescent="0.4">
      <c r="A8" s="18" t="s">
        <v>22</v>
      </c>
      <c r="B8" s="8">
        <v>10</v>
      </c>
      <c r="C8" s="8">
        <v>70</v>
      </c>
      <c r="D8" s="8">
        <v>40</v>
      </c>
      <c r="G8" s="43">
        <v>2.5</v>
      </c>
      <c r="H8" s="43">
        <v>15.072225672670459</v>
      </c>
      <c r="I8" s="3">
        <v>16.234247590808014</v>
      </c>
      <c r="J8" s="3">
        <v>14.922383308645795</v>
      </c>
      <c r="K8" s="3">
        <v>16.461055959422882</v>
      </c>
      <c r="L8" s="3">
        <v>16.719493921569224</v>
      </c>
      <c r="M8" s="3">
        <v>2.3157894736842035</v>
      </c>
      <c r="N8" s="3"/>
      <c r="O8" s="3">
        <f>AVERAGE($H$2:H8)</f>
        <v>9.0302859163786255</v>
      </c>
      <c r="P8" s="3">
        <f>AVERAGE($I$2:I8)</f>
        <v>10.254843354138242</v>
      </c>
      <c r="Q8" s="3">
        <f>AVERAGE($J$2:J8)</f>
        <v>8.9826075855430982</v>
      </c>
      <c r="R8" s="3">
        <f>AVERAGE($K$2:K8)</f>
        <v>9.6981994918778707</v>
      </c>
      <c r="S8" s="3">
        <f>AVERAGE($L$2:L8)</f>
        <v>10.087961431028887</v>
      </c>
      <c r="T8" s="3">
        <f>AVERAGE($M$2:M8)</f>
        <v>3.7280473934069911</v>
      </c>
    </row>
    <row r="9" spans="1:20" ht="15.4" x14ac:dyDescent="0.4">
      <c r="G9" s="43">
        <v>2.5</v>
      </c>
      <c r="H9" s="43">
        <v>1.1371793667714956</v>
      </c>
      <c r="I9" s="3">
        <v>4.7096816405386095</v>
      </c>
      <c r="J9" s="3">
        <v>0.96200210128682218</v>
      </c>
      <c r="K9" s="3">
        <v>2.7577869964429427</v>
      </c>
      <c r="L9" s="3">
        <v>3.7599643382757377</v>
      </c>
      <c r="M9" s="3">
        <v>4.2229729729729772</v>
      </c>
      <c r="N9" s="3"/>
      <c r="O9" s="3">
        <f>AVERAGE($H$2:H9)</f>
        <v>8.0436475976777331</v>
      </c>
      <c r="P9" s="3">
        <f>AVERAGE($I$2:I9)</f>
        <v>9.5616981399382865</v>
      </c>
      <c r="Q9" s="3">
        <f>AVERAGE($J$2:J9)</f>
        <v>7.9800319000110642</v>
      </c>
      <c r="R9" s="3">
        <f>AVERAGE($K$2:K9)</f>
        <v>8.8306479299485048</v>
      </c>
      <c r="S9" s="3">
        <f>AVERAGE($L$2:L9)</f>
        <v>9.2969617944347434</v>
      </c>
      <c r="T9" s="3">
        <f>AVERAGE($M$2:M9)</f>
        <v>3.789913090852739</v>
      </c>
    </row>
    <row r="10" spans="1:20" ht="15.4" x14ac:dyDescent="0.4">
      <c r="G10" s="43">
        <v>2.7027027027027026</v>
      </c>
      <c r="H10" s="43">
        <v>7.4509391514022321</v>
      </c>
      <c r="I10" s="3">
        <v>9.9711854785311012</v>
      </c>
      <c r="J10" s="3">
        <v>3.1491712707182229</v>
      </c>
      <c r="K10" s="3">
        <v>8.9688497294663989</v>
      </c>
      <c r="L10" s="3">
        <v>9.6216183512543374</v>
      </c>
      <c r="M10" s="3">
        <v>3.1215469613259756</v>
      </c>
      <c r="N10" s="3"/>
      <c r="O10" s="3">
        <f>AVERAGE($H$2:H10)</f>
        <v>7.9777911036471227</v>
      </c>
      <c r="P10" s="3">
        <f>AVERAGE($I$2:I10)</f>
        <v>9.6071967331152663</v>
      </c>
      <c r="Q10" s="3">
        <f>AVERAGE($J$2:J10)</f>
        <v>7.443269607867415</v>
      </c>
      <c r="R10" s="3">
        <f>AVERAGE($K$2:K10)</f>
        <v>8.8460036854504924</v>
      </c>
      <c r="S10" s="3">
        <f>AVERAGE($L$2:L10)</f>
        <v>9.3330347451924762</v>
      </c>
      <c r="T10" s="3">
        <f>AVERAGE($M$2:M10)</f>
        <v>3.7156501875719874</v>
      </c>
    </row>
    <row r="11" spans="1:20" ht="15.4" x14ac:dyDescent="0.4">
      <c r="G11" s="43">
        <v>3</v>
      </c>
      <c r="H11" s="43">
        <v>6.4645480242844124</v>
      </c>
      <c r="I11" s="3">
        <v>8.4193851660885599</v>
      </c>
      <c r="J11" s="3">
        <v>6.2189343621508364</v>
      </c>
      <c r="K11" s="3">
        <v>8.1282569196847092</v>
      </c>
      <c r="L11" s="3">
        <v>8.6024885571178675</v>
      </c>
      <c r="M11" s="3">
        <v>7.9391651159714973</v>
      </c>
      <c r="N11" s="3"/>
      <c r="O11" s="3">
        <f>AVERAGE($H$2:H11)</f>
        <v>7.8264667957108518</v>
      </c>
      <c r="P11" s="3">
        <f>AVERAGE($I$2:I11)</f>
        <v>9.4884155764125957</v>
      </c>
      <c r="Q11" s="3">
        <f>AVERAGE($J$2:J11)</f>
        <v>7.3208360832957569</v>
      </c>
      <c r="R11" s="3">
        <f>AVERAGE($K$2:K11)</f>
        <v>8.7742290088739132</v>
      </c>
      <c r="S11" s="3">
        <f>AVERAGE($L$2:L11)</f>
        <v>9.259980126385015</v>
      </c>
      <c r="T11" s="3">
        <f>AVERAGE($M$2:M11)</f>
        <v>4.1380016804119384</v>
      </c>
    </row>
    <row r="12" spans="1:20" ht="15.4" x14ac:dyDescent="0.4">
      <c r="G12" s="43">
        <v>3</v>
      </c>
      <c r="H12" s="43">
        <v>19.869610150903291</v>
      </c>
      <c r="I12" s="3">
        <v>22.119263541051986</v>
      </c>
      <c r="J12" s="3">
        <v>19.718302910705475</v>
      </c>
      <c r="K12" s="3">
        <v>21.057785372411303</v>
      </c>
      <c r="L12" s="3">
        <v>21.685007539939285</v>
      </c>
      <c r="M12" s="3">
        <v>14.304477149727667</v>
      </c>
      <c r="N12" s="3"/>
      <c r="O12" s="3">
        <f>AVERAGE($H$2:H12)</f>
        <v>8.9212980098192549</v>
      </c>
      <c r="P12" s="3">
        <f>AVERAGE($I$2:I12)</f>
        <v>10.636674482288903</v>
      </c>
      <c r="Q12" s="3">
        <f>AVERAGE($J$2:J12)</f>
        <v>8.4478785221511856</v>
      </c>
      <c r="R12" s="3">
        <f>AVERAGE($K$2:K12)</f>
        <v>9.8909159510136764</v>
      </c>
      <c r="S12" s="3">
        <f>AVERAGE($L$2:L12)</f>
        <v>10.389528073071768</v>
      </c>
      <c r="T12" s="3">
        <f>AVERAGE($M$2:M12)</f>
        <v>5.0622267230770044</v>
      </c>
    </row>
    <row r="13" spans="1:20" ht="15.4" x14ac:dyDescent="0.4">
      <c r="G13" s="43">
        <v>3</v>
      </c>
      <c r="H13" s="43">
        <v>12.738985019358315</v>
      </c>
      <c r="I13" s="3">
        <v>14.3481731693431</v>
      </c>
      <c r="J13" s="3">
        <v>12.601186322400556</v>
      </c>
      <c r="K13" s="3">
        <v>13.916863768933075</v>
      </c>
      <c r="L13" s="3">
        <v>14.334411331435406</v>
      </c>
      <c r="M13" s="3">
        <v>5.3276167067383069</v>
      </c>
      <c r="N13" s="3"/>
      <c r="O13" s="3">
        <f>AVERAGE($H$2:H13)</f>
        <v>9.2394385939475097</v>
      </c>
      <c r="P13" s="3">
        <f>AVERAGE($I$2:I13)</f>
        <v>10.945966039543421</v>
      </c>
      <c r="Q13" s="3">
        <f>AVERAGE($J$2:J13)</f>
        <v>8.7939875055052994</v>
      </c>
      <c r="R13" s="3">
        <f>AVERAGE($K$2:K13)</f>
        <v>10.226411602506959</v>
      </c>
      <c r="S13" s="3">
        <f>AVERAGE($L$2:L13)</f>
        <v>10.718268344602071</v>
      </c>
      <c r="T13" s="3">
        <f>AVERAGE($M$2:M13)</f>
        <v>5.0843425550487797</v>
      </c>
    </row>
    <row r="14" spans="1:20" ht="15.4" x14ac:dyDescent="0.4">
      <c r="G14" s="43">
        <v>3.0674846625766872</v>
      </c>
      <c r="H14" s="43">
        <v>4.8136086948283667</v>
      </c>
      <c r="I14" s="3">
        <v>8.6956521739130626</v>
      </c>
      <c r="J14" s="3">
        <v>4.5521084259930493</v>
      </c>
      <c r="K14" s="3">
        <v>6.517711796621767</v>
      </c>
      <c r="L14" s="3">
        <v>7.6342327030957282</v>
      </c>
      <c r="M14" s="3">
        <v>5.2608695652173907</v>
      </c>
      <c r="N14" s="3"/>
      <c r="O14" s="3">
        <f>AVERAGE($H$2:H14)</f>
        <v>8.8989901401691149</v>
      </c>
      <c r="P14" s="3">
        <f>AVERAGE($I$2:I14)</f>
        <v>10.772864972956471</v>
      </c>
      <c r="Q14" s="3">
        <f>AVERAGE($J$2:J14)</f>
        <v>8.467689114773588</v>
      </c>
      <c r="R14" s="3">
        <f>AVERAGE($K$2:K14)</f>
        <v>9.9411270020542517</v>
      </c>
      <c r="S14" s="3">
        <f>AVERAGE($L$2:L14)</f>
        <v>10.481034833716969</v>
      </c>
      <c r="T14" s="3">
        <f>AVERAGE($M$2:M14)</f>
        <v>5.0979215558309798</v>
      </c>
    </row>
    <row r="15" spans="1:20" ht="15.4" x14ac:dyDescent="0.4">
      <c r="G15" s="43">
        <v>3.2211047952193561</v>
      </c>
      <c r="H15" s="43">
        <v>2.1684471935045537</v>
      </c>
      <c r="I15" s="3">
        <v>0.44415742313274298</v>
      </c>
      <c r="J15" s="3">
        <v>2.454435366676484</v>
      </c>
      <c r="K15" s="3">
        <v>0.3990217627987131</v>
      </c>
      <c r="L15" s="3">
        <v>2.0825738203974445E-2</v>
      </c>
      <c r="M15" s="3">
        <v>0.73232722588748789</v>
      </c>
      <c r="N15" s="3"/>
      <c r="O15" s="3">
        <f>AVERAGE($H$2:H15)</f>
        <v>8.418237072550216</v>
      </c>
      <c r="P15" s="3">
        <f>AVERAGE($I$2:I15)</f>
        <v>10.035100147969061</v>
      </c>
      <c r="Q15" s="3">
        <f>AVERAGE($J$2:J15)</f>
        <v>8.0381709899095082</v>
      </c>
      <c r="R15" s="3">
        <f>AVERAGE($K$2:K15)</f>
        <v>9.2595480563931432</v>
      </c>
      <c r="S15" s="3">
        <f>AVERAGE($L$2:L15)</f>
        <v>9.7338770411803246</v>
      </c>
      <c r="T15" s="3">
        <f>AVERAGE($M$2:M15)</f>
        <v>4.786093389406445</v>
      </c>
    </row>
    <row r="16" spans="1:20" ht="15.4" x14ac:dyDescent="0.4">
      <c r="G16" s="43">
        <v>3.5106670267350801</v>
      </c>
      <c r="H16" s="43">
        <v>12.7566232620958</v>
      </c>
      <c r="I16" s="3">
        <v>16.279486056599595</v>
      </c>
      <c r="J16" s="3">
        <v>12.505854800936769</v>
      </c>
      <c r="K16" s="3">
        <v>14.27392754763491</v>
      </c>
      <c r="L16" s="3">
        <v>15.314183294540159</v>
      </c>
      <c r="M16" s="3">
        <v>1.5034428551697934</v>
      </c>
      <c r="N16" s="3"/>
      <c r="O16" s="3">
        <f>AVERAGE($H$2:H16)</f>
        <v>8.7074628185199234</v>
      </c>
      <c r="P16" s="3">
        <f>AVERAGE($I$2:I16)</f>
        <v>10.451392541877764</v>
      </c>
      <c r="Q16" s="3">
        <f>AVERAGE($J$2:J16)</f>
        <v>8.3360165773113266</v>
      </c>
      <c r="R16" s="3">
        <f>AVERAGE($K$2:K16)</f>
        <v>9.593840022475927</v>
      </c>
      <c r="S16" s="3">
        <f>AVERAGE($L$2:L16)</f>
        <v>10.105897458070981</v>
      </c>
      <c r="T16" s="3">
        <f>AVERAGE($M$2:M16)</f>
        <v>4.567250020457335</v>
      </c>
    </row>
    <row r="17" spans="7:20" ht="15.4" x14ac:dyDescent="0.4">
      <c r="G17" s="43">
        <v>3.5106670267350801</v>
      </c>
      <c r="H17" s="43">
        <v>17.399286325753678</v>
      </c>
      <c r="I17" s="3">
        <v>20.060445637946305</v>
      </c>
      <c r="J17" s="3">
        <v>17.161862527716192</v>
      </c>
      <c r="K17" s="3">
        <v>18.835847145986936</v>
      </c>
      <c r="L17" s="3">
        <v>19.574883103865353</v>
      </c>
      <c r="M17" s="3">
        <v>2.2724112611773895</v>
      </c>
      <c r="N17" s="3"/>
      <c r="O17" s="3">
        <f>AVERAGE($H$2:H17)</f>
        <v>9.2507017877220328</v>
      </c>
      <c r="P17" s="3">
        <f>AVERAGE($I$2:I17)</f>
        <v>11.051958360382049</v>
      </c>
      <c r="Q17" s="3">
        <f>AVERAGE($J$2:J17)</f>
        <v>8.8876319492116309</v>
      </c>
      <c r="R17" s="3">
        <f>AVERAGE($K$2:K17)</f>
        <v>10.171465467695366</v>
      </c>
      <c r="S17" s="3">
        <f>AVERAGE($L$2:L17)</f>
        <v>10.697709060933128</v>
      </c>
      <c r="T17" s="3">
        <f>AVERAGE($M$2:M17)</f>
        <v>4.4238225980023387</v>
      </c>
    </row>
    <row r="18" spans="7:20" ht="15.4" x14ac:dyDescent="0.4">
      <c r="G18" s="43">
        <v>3.5106670267350801</v>
      </c>
      <c r="H18" s="43">
        <v>17.945106019636363</v>
      </c>
      <c r="I18" s="3">
        <v>20.508795954335817</v>
      </c>
      <c r="J18" s="3">
        <v>17.709251101321591</v>
      </c>
      <c r="K18" s="3">
        <v>19.372174147224907</v>
      </c>
      <c r="L18" s="3">
        <v>20.079112742823874</v>
      </c>
      <c r="M18" s="3">
        <v>3.8428177028167374</v>
      </c>
      <c r="N18" s="3"/>
      <c r="O18" s="3">
        <f>AVERAGE($H$2:H18)</f>
        <v>9.7621373307758166</v>
      </c>
      <c r="P18" s="3">
        <f>AVERAGE($I$2:I18)</f>
        <v>11.60824292473227</v>
      </c>
      <c r="Q18" s="3">
        <f>AVERAGE($J$2:J18)</f>
        <v>9.406550722865159</v>
      </c>
      <c r="R18" s="3">
        <f>AVERAGE($K$2:K18)</f>
        <v>10.712683625314751</v>
      </c>
      <c r="S18" s="3">
        <f>AVERAGE($L$2:L18)</f>
        <v>11.249556336338467</v>
      </c>
      <c r="T18" s="3">
        <f>AVERAGE($M$2:M18)</f>
        <v>4.389645839462009</v>
      </c>
    </row>
    <row r="19" spans="7:20" ht="15.4" x14ac:dyDescent="0.4">
      <c r="G19" s="43">
        <v>3.6144578313253009</v>
      </c>
      <c r="H19" s="43">
        <v>3.4925779222903532</v>
      </c>
      <c r="I19" s="3">
        <v>8.4687850595571561</v>
      </c>
      <c r="J19" s="3">
        <v>3.1256338330772655</v>
      </c>
      <c r="K19" s="3">
        <v>5.2672851837014658</v>
      </c>
      <c r="L19" s="3">
        <v>6.8297752292619611</v>
      </c>
      <c r="M19" s="3">
        <v>5.4958677685950557</v>
      </c>
      <c r="N19" s="3"/>
      <c r="O19" s="3">
        <f>AVERAGE($H$2:H19)</f>
        <v>9.413828474748847</v>
      </c>
      <c r="P19" s="3">
        <f>AVERAGE($I$2:I19)</f>
        <v>11.433828598889209</v>
      </c>
      <c r="Q19" s="3">
        <f>AVERAGE($J$2:J19)</f>
        <v>9.0576108956547206</v>
      </c>
      <c r="R19" s="3">
        <f>AVERAGE($K$2:K19)</f>
        <v>10.410161489669569</v>
      </c>
      <c r="S19" s="3">
        <f>AVERAGE($L$2:L19)</f>
        <v>11.004012941500882</v>
      </c>
      <c r="T19" s="3">
        <f>AVERAGE($M$2:M19)</f>
        <v>4.4511026133027336</v>
      </c>
    </row>
    <row r="20" spans="7:20" ht="15.4" x14ac:dyDescent="0.4">
      <c r="G20" s="43">
        <v>3.9292730844793713</v>
      </c>
      <c r="H20" s="43">
        <v>47.804423282576515</v>
      </c>
      <c r="I20" s="3">
        <v>48.202759087820105</v>
      </c>
      <c r="J20" s="3">
        <v>47.570768455437204</v>
      </c>
      <c r="K20" s="3">
        <v>48.763097969700368</v>
      </c>
      <c r="L20" s="3">
        <v>48.858740732577949</v>
      </c>
      <c r="M20" s="3">
        <v>19.217758985200842</v>
      </c>
      <c r="N20" s="3"/>
      <c r="O20" s="3">
        <f>AVERAGE($H$2:H20)</f>
        <v>11.434386096213462</v>
      </c>
      <c r="P20" s="3">
        <f>AVERAGE($I$2:I20)</f>
        <v>13.369035466727677</v>
      </c>
      <c r="Q20" s="3">
        <f>AVERAGE($J$2:J20)</f>
        <v>11.08461918827485</v>
      </c>
      <c r="R20" s="3">
        <f>AVERAGE($K$2:K20)</f>
        <v>12.428737093881717</v>
      </c>
      <c r="S20" s="3">
        <f>AVERAGE($L$2:L20)</f>
        <v>12.996367035768097</v>
      </c>
      <c r="T20" s="3">
        <f>AVERAGE($M$2:M20)</f>
        <v>5.2282950539289503</v>
      </c>
    </row>
    <row r="21" spans="7:20" ht="15.4" x14ac:dyDescent="0.4">
      <c r="G21" s="43">
        <v>3.9525691699604737</v>
      </c>
      <c r="H21" s="43">
        <v>1.8926442145725759</v>
      </c>
      <c r="I21" s="3">
        <v>4.7055686402127668</v>
      </c>
      <c r="J21" s="3">
        <v>1.4458968465119111</v>
      </c>
      <c r="K21" s="3">
        <v>3.6993957532198536</v>
      </c>
      <c r="L21" s="3">
        <v>4.4609693081663577</v>
      </c>
      <c r="M21" s="3">
        <v>31.815775542615132</v>
      </c>
      <c r="N21" s="3"/>
      <c r="O21" s="3">
        <f>AVERAGE($H$2:H21)</f>
        <v>10.957299002131418</v>
      </c>
      <c r="P21" s="3">
        <f>AVERAGE($I$2:I21)</f>
        <v>12.935862125401931</v>
      </c>
      <c r="Q21" s="3">
        <f>AVERAGE($J$2:J21)</f>
        <v>10.602683071186704</v>
      </c>
      <c r="R21" s="3">
        <f>AVERAGE($K$2:K21)</f>
        <v>11.992270026848622</v>
      </c>
      <c r="S21" s="3">
        <f>AVERAGE($L$2:L21)</f>
        <v>12.569597149388011</v>
      </c>
      <c r="T21" s="3">
        <f>AVERAGE($M$2:M21)</f>
        <v>6.5576690783632596</v>
      </c>
    </row>
    <row r="22" spans="7:20" ht="15.4" x14ac:dyDescent="0.4">
      <c r="G22" s="43">
        <v>3.9525691699604737</v>
      </c>
      <c r="H22" s="43">
        <v>0.36260940346991311</v>
      </c>
      <c r="I22" s="3">
        <v>2.5842804762435923</v>
      </c>
      <c r="J22" s="3">
        <v>0.81879514944000997</v>
      </c>
      <c r="K22" s="3">
        <v>1.483736075841799</v>
      </c>
      <c r="L22" s="3">
        <v>2.2852648483749127</v>
      </c>
      <c r="M22" s="3">
        <v>33.872340425531917</v>
      </c>
      <c r="N22" s="3"/>
      <c r="O22" s="3">
        <f>AVERAGE($H$2:H22)</f>
        <v>10.452789973623728</v>
      </c>
      <c r="P22" s="3">
        <f>AVERAGE($I$2:I22)</f>
        <v>12.4429296659182</v>
      </c>
      <c r="Q22" s="3">
        <f>AVERAGE($J$2:J22)</f>
        <v>10.136783646341623</v>
      </c>
      <c r="R22" s="3">
        <f>AVERAGE($K$2:K22)</f>
        <v>11.49186364822925</v>
      </c>
      <c r="S22" s="3">
        <f>AVERAGE($L$2:L22)</f>
        <v>12.079867039815959</v>
      </c>
      <c r="T22" s="3">
        <f>AVERAGE($M$2:M22)</f>
        <v>7.8583677139427195</v>
      </c>
    </row>
    <row r="23" spans="7:20" ht="15.4" x14ac:dyDescent="0.4">
      <c r="G23" s="43">
        <v>4</v>
      </c>
      <c r="H23" s="43">
        <v>18.033624740940251</v>
      </c>
      <c r="I23" s="3">
        <v>21.068283552439784</v>
      </c>
      <c r="J23" s="3">
        <v>17.760078662733537</v>
      </c>
      <c r="K23" s="3">
        <v>19.286973524855931</v>
      </c>
      <c r="L23" s="3">
        <v>20.218105723386046</v>
      </c>
      <c r="M23" s="3">
        <v>10.602785810855945</v>
      </c>
      <c r="N23" s="3"/>
      <c r="O23" s="3">
        <f>AVERAGE($H$2:H23)</f>
        <v>10.797373372138114</v>
      </c>
      <c r="P23" s="3">
        <f>AVERAGE($I$2:I23)</f>
        <v>12.834991206214635</v>
      </c>
      <c r="Q23" s="3">
        <f>AVERAGE($J$2:J23)</f>
        <v>10.483297056177619</v>
      </c>
      <c r="R23" s="3">
        <f>AVERAGE($K$2:K23)</f>
        <v>11.846186824439553</v>
      </c>
      <c r="S23" s="3">
        <f>AVERAGE($L$2:L23)</f>
        <v>12.449786979978235</v>
      </c>
      <c r="T23" s="3">
        <f>AVERAGE($M$2:M23)</f>
        <v>7.9831139910751396</v>
      </c>
    </row>
    <row r="24" spans="7:20" ht="15.4" x14ac:dyDescent="0.4">
      <c r="G24" s="43">
        <v>4</v>
      </c>
      <c r="H24" s="43">
        <v>5.9681252687333881</v>
      </c>
      <c r="I24" s="3">
        <v>8.2583991534258647</v>
      </c>
      <c r="J24" s="3">
        <v>5.7068965517241432</v>
      </c>
      <c r="K24" s="3">
        <v>7.2802890029823253</v>
      </c>
      <c r="L24" s="3">
        <v>7.9322214231917263</v>
      </c>
      <c r="M24" s="3">
        <v>4.549547103446435</v>
      </c>
      <c r="N24" s="3"/>
      <c r="O24" s="3">
        <f>AVERAGE($H$2:H24)</f>
        <v>10.587406063294431</v>
      </c>
      <c r="P24" s="3">
        <f>AVERAGE($I$2:I24)</f>
        <v>12.636008943049905</v>
      </c>
      <c r="Q24" s="3">
        <f>AVERAGE($J$2:J24)</f>
        <v>10.275627469027469</v>
      </c>
      <c r="R24" s="3">
        <f>AVERAGE($K$2:K24)</f>
        <v>11.647669527854456</v>
      </c>
      <c r="S24" s="3">
        <f>AVERAGE($L$2:L24)</f>
        <v>12.253371086204909</v>
      </c>
      <c r="T24" s="3">
        <f>AVERAGE($M$2:M24)</f>
        <v>7.8338284742217175</v>
      </c>
    </row>
    <row r="25" spans="7:20" ht="15.4" x14ac:dyDescent="0.4">
      <c r="G25" s="43">
        <v>4.8811013767209008</v>
      </c>
      <c r="H25" s="43">
        <v>1.5772886837961926</v>
      </c>
      <c r="I25" s="3">
        <v>0.97836944101282675</v>
      </c>
      <c r="J25" s="3">
        <v>2.2243736490446491</v>
      </c>
      <c r="K25" s="3">
        <v>9.5017497897518649E-2</v>
      </c>
      <c r="L25" s="3">
        <v>0.82710149496739338</v>
      </c>
      <c r="M25" s="3">
        <v>1.0791114608838874E-2</v>
      </c>
      <c r="N25" s="3"/>
      <c r="O25" s="3">
        <f>AVERAGE($H$2:H25)</f>
        <v>10.211984505815337</v>
      </c>
      <c r="P25" s="3">
        <f>AVERAGE($I$2:I25)</f>
        <v>12.150273963798361</v>
      </c>
      <c r="Q25" s="3">
        <f>AVERAGE($J$2:J25)</f>
        <v>9.9401585598615174</v>
      </c>
      <c r="R25" s="3">
        <f>AVERAGE($K$2:K25)</f>
        <v>11.16630902660625</v>
      </c>
      <c r="S25" s="3">
        <f>AVERAGE($L$2:L25)</f>
        <v>11.777276519903346</v>
      </c>
      <c r="T25" s="3">
        <f>AVERAGE($M$2:M25)</f>
        <v>7.5078685842378476</v>
      </c>
    </row>
    <row r="26" spans="7:20" ht="15.4" x14ac:dyDescent="0.4">
      <c r="G26" s="43">
        <v>5</v>
      </c>
      <c r="H26" s="43">
        <v>1.9733211916691731</v>
      </c>
      <c r="I26" s="3">
        <v>1.3845244124276563</v>
      </c>
      <c r="J26" s="3">
        <v>2.7110340346140931</v>
      </c>
      <c r="K26" s="3">
        <v>0.24319373156733126</v>
      </c>
      <c r="L26" s="3">
        <v>0.74675547025929512</v>
      </c>
      <c r="M26" s="3">
        <v>9.8205742564814097E-2</v>
      </c>
      <c r="N26" s="3"/>
      <c r="O26" s="3">
        <f>AVERAGE($H$2:H26)</f>
        <v>9.8824379732494911</v>
      </c>
      <c r="P26" s="3">
        <f>AVERAGE($I$2:I26)</f>
        <v>11.719643981743532</v>
      </c>
      <c r="Q26" s="3">
        <f>AVERAGE($J$2:J26)</f>
        <v>9.6509935788516206</v>
      </c>
      <c r="R26" s="3">
        <f>AVERAGE($K$2:K26)</f>
        <v>10.729384414804692</v>
      </c>
      <c r="S26" s="3">
        <f>AVERAGE($L$2:L26)</f>
        <v>11.336055677917583</v>
      </c>
      <c r="T26" s="3">
        <f>AVERAGE($M$2:M26)</f>
        <v>7.2114820705709262</v>
      </c>
    </row>
    <row r="27" spans="7:20" ht="15.4" x14ac:dyDescent="0.4">
      <c r="G27" s="43">
        <v>5</v>
      </c>
      <c r="H27" s="43">
        <v>36.976639606163168</v>
      </c>
      <c r="I27" s="3">
        <v>38.658146964856229</v>
      </c>
      <c r="J27" s="3">
        <v>36.537528353068367</v>
      </c>
      <c r="K27" s="3">
        <v>38.022994717003179</v>
      </c>
      <c r="L27" s="3">
        <v>38.508253764347586</v>
      </c>
      <c r="M27" s="3">
        <v>6.6909090909091002</v>
      </c>
      <c r="N27" s="3"/>
      <c r="O27" s="3">
        <f>AVERAGE($H$2:H27)</f>
        <v>10.92452265143848</v>
      </c>
      <c r="P27" s="3">
        <f>AVERAGE($I$2:I27)</f>
        <v>12.75574025032479</v>
      </c>
      <c r="Q27" s="3">
        <f>AVERAGE($J$2:J27)</f>
        <v>10.685091070167649</v>
      </c>
      <c r="R27" s="3">
        <f>AVERAGE($K$2:K27)</f>
        <v>11.779138657196942</v>
      </c>
      <c r="S27" s="3">
        <f>AVERAGE($L$2:L27)</f>
        <v>12.381140219703354</v>
      </c>
      <c r="T27" s="3">
        <f>AVERAGE($M$2:M27)</f>
        <v>7.1914600328916247</v>
      </c>
    </row>
    <row r="28" spans="7:20" ht="15.4" x14ac:dyDescent="0.4">
      <c r="G28" s="43">
        <v>5</v>
      </c>
      <c r="H28" s="43">
        <v>1.0734724028946576</v>
      </c>
      <c r="I28" s="3">
        <v>5.9904193241791495</v>
      </c>
      <c r="J28" s="3">
        <v>1.7807798214774999</v>
      </c>
      <c r="K28" s="3">
        <v>0.60883155858822058</v>
      </c>
      <c r="L28" s="3">
        <v>3.1455386390050166</v>
      </c>
      <c r="M28" s="3">
        <v>11.446945337620585</v>
      </c>
      <c r="N28" s="3"/>
      <c r="O28" s="3">
        <f>AVERAGE($H$2:H28)</f>
        <v>10.559668938529448</v>
      </c>
      <c r="P28" s="3">
        <f>AVERAGE($I$2:I28)</f>
        <v>12.505172808615692</v>
      </c>
      <c r="Q28" s="3">
        <f>AVERAGE($J$2:J28)</f>
        <v>10.355301764660608</v>
      </c>
      <c r="R28" s="3">
        <f>AVERAGE($K$2:K28)</f>
        <v>11.365423579470693</v>
      </c>
      <c r="S28" s="3">
        <f>AVERAGE($L$2:L28)</f>
        <v>12.039080901899711</v>
      </c>
      <c r="T28" s="3">
        <f>AVERAGE($M$2:M28)</f>
        <v>7.3490705997334373</v>
      </c>
    </row>
    <row r="29" spans="7:20" ht="15.4" x14ac:dyDescent="0.4">
      <c r="G29" s="43">
        <v>5</v>
      </c>
      <c r="H29" s="43">
        <v>55.424719960483728</v>
      </c>
      <c r="I29" s="3">
        <v>56.606884798390858</v>
      </c>
      <c r="J29" s="3">
        <v>55.128324162819041</v>
      </c>
      <c r="K29" s="3">
        <v>56.145396369430188</v>
      </c>
      <c r="L29" s="3">
        <v>56.489099923659062</v>
      </c>
      <c r="M29" s="3">
        <v>36.837628865979347</v>
      </c>
      <c r="N29" s="3"/>
      <c r="O29" s="3">
        <f>AVERAGE($H$2:H29)</f>
        <v>12.161992189313532</v>
      </c>
      <c r="P29" s="3">
        <f>AVERAGE($I$2:I29)</f>
        <v>14.080233951107662</v>
      </c>
      <c r="Q29" s="3">
        <f>AVERAGE($J$2:J29)</f>
        <v>11.954338278880552</v>
      </c>
      <c r="R29" s="3">
        <f>AVERAGE($K$2:K29)</f>
        <v>12.964708321969246</v>
      </c>
      <c r="S29" s="3">
        <f>AVERAGE($L$2:L29)</f>
        <v>13.62658158124826</v>
      </c>
      <c r="T29" s="3">
        <f>AVERAGE($M$2:M29)</f>
        <v>8.4022333949565056</v>
      </c>
    </row>
    <row r="30" spans="7:20" ht="15.4" x14ac:dyDescent="0.4">
      <c r="G30" s="43">
        <v>5</v>
      </c>
      <c r="H30" s="43">
        <v>13.061251088585687</v>
      </c>
      <c r="I30" s="3">
        <v>17.041872220786423</v>
      </c>
      <c r="J30" s="3">
        <v>12.611788617886175</v>
      </c>
      <c r="K30" s="3">
        <v>14.290487284918704</v>
      </c>
      <c r="L30" s="3">
        <v>15.618206333958689</v>
      </c>
      <c r="M30" s="3">
        <v>3.4320496865157479</v>
      </c>
      <c r="N30" s="3"/>
      <c r="O30" s="3">
        <f>AVERAGE($H$2:H30)</f>
        <v>12.193001116874639</v>
      </c>
      <c r="P30" s="3">
        <f>AVERAGE($I$2:I30)</f>
        <v>14.182359408682792</v>
      </c>
      <c r="Q30" s="3">
        <f>AVERAGE($J$2:J30)</f>
        <v>11.977008980225573</v>
      </c>
      <c r="R30" s="3">
        <f>AVERAGE($K$2:K30)</f>
        <v>13.010424837933021</v>
      </c>
      <c r="S30" s="3">
        <f>AVERAGE($L$2:L30)</f>
        <v>13.695258296858965</v>
      </c>
      <c r="T30" s="3">
        <f>AVERAGE($M$2:M30)</f>
        <v>8.2308477498378583</v>
      </c>
    </row>
    <row r="31" spans="7:20" ht="15.4" x14ac:dyDescent="0.4">
      <c r="G31" s="43">
        <v>5</v>
      </c>
      <c r="H31" s="43">
        <v>22.260503782596537</v>
      </c>
      <c r="I31" s="3">
        <v>24.605694262722729</v>
      </c>
      <c r="J31" s="3">
        <v>21.926309559041137</v>
      </c>
      <c r="K31" s="3">
        <v>23.268782461992444</v>
      </c>
      <c r="L31" s="3">
        <v>23.992295395855137</v>
      </c>
      <c r="M31" s="3">
        <v>11.546872512396266</v>
      </c>
      <c r="N31" s="3"/>
      <c r="O31" s="3">
        <f>AVERAGE($H$2:H31)</f>
        <v>12.528584539065369</v>
      </c>
      <c r="P31" s="3">
        <f>AVERAGE($I$2:I31)</f>
        <v>14.529803903817458</v>
      </c>
      <c r="Q31" s="3">
        <f>AVERAGE($J$2:J31)</f>
        <v>12.308652332852761</v>
      </c>
      <c r="R31" s="3">
        <f>AVERAGE($K$2:K31)</f>
        <v>13.352370092068334</v>
      </c>
      <c r="S31" s="3">
        <f>AVERAGE($L$2:L31)</f>
        <v>14.038492866825504</v>
      </c>
      <c r="T31" s="3">
        <f>AVERAGE($M$2:M31)</f>
        <v>8.3413819085898062</v>
      </c>
    </row>
    <row r="32" spans="7:20" ht="15.4" x14ac:dyDescent="0.4">
      <c r="G32" s="43">
        <v>5.8139534883720927</v>
      </c>
      <c r="H32" s="43">
        <v>1.5304439291830469</v>
      </c>
      <c r="I32" s="3">
        <v>7.3725044792018855</v>
      </c>
      <c r="J32" s="3">
        <v>2.460722193137872</v>
      </c>
      <c r="K32" s="3">
        <v>0.11103182832144728</v>
      </c>
      <c r="L32" s="3">
        <v>3.45049001889087</v>
      </c>
      <c r="M32" s="3">
        <v>6.3257575757575717</v>
      </c>
      <c r="N32" s="3"/>
      <c r="O32" s="3">
        <f>AVERAGE($H$2:H32)</f>
        <v>12.173805809714326</v>
      </c>
      <c r="P32" s="3">
        <f>AVERAGE($I$2:I32)</f>
        <v>14.298923277216955</v>
      </c>
      <c r="Q32" s="3">
        <f>AVERAGE($J$2:J32)</f>
        <v>11.990977167055506</v>
      </c>
      <c r="R32" s="3">
        <f>AVERAGE($K$2:K32)</f>
        <v>12.9252301480765</v>
      </c>
      <c r="S32" s="3">
        <f>AVERAGE($L$2:L32)</f>
        <v>13.696944387859871</v>
      </c>
      <c r="T32" s="3">
        <f>AVERAGE($M$2:M32)</f>
        <v>8.2763617688210243</v>
      </c>
    </row>
    <row r="33" spans="7:20" ht="15.4" x14ac:dyDescent="0.4">
      <c r="G33" s="43">
        <v>5.8823529411764701</v>
      </c>
      <c r="H33" s="43">
        <v>21.06620113596048</v>
      </c>
      <c r="I33" s="3">
        <v>25.576294356821556</v>
      </c>
      <c r="J33" s="3">
        <v>7.3275862068965454</v>
      </c>
      <c r="K33" s="3">
        <v>22.134157528873789</v>
      </c>
      <c r="L33" s="3">
        <v>23.708642691067524</v>
      </c>
      <c r="M33" s="3">
        <v>0.68965517241380092</v>
      </c>
      <c r="N33" s="3"/>
      <c r="O33" s="3">
        <f>AVERAGE($H$2:H33)</f>
        <v>12.451693163659517</v>
      </c>
      <c r="P33" s="3">
        <f>AVERAGE($I$2:I33)</f>
        <v>14.6513411234546</v>
      </c>
      <c r="Q33" s="3">
        <f>AVERAGE($J$2:J33)</f>
        <v>11.845246199550539</v>
      </c>
      <c r="R33" s="3">
        <f>AVERAGE($K$2:K33)</f>
        <v>13.213009128726416</v>
      </c>
      <c r="S33" s="3">
        <f>AVERAGE($L$2:L33)</f>
        <v>14.00980995983511</v>
      </c>
      <c r="T33" s="3">
        <f>AVERAGE($M$2:M33)</f>
        <v>8.0392771876832985</v>
      </c>
    </row>
    <row r="34" spans="7:20" ht="15.4" x14ac:dyDescent="0.4">
      <c r="G34" s="43">
        <v>5.9438275636838664</v>
      </c>
      <c r="H34" s="43">
        <v>0.90237638237259521</v>
      </c>
      <c r="I34" s="3">
        <v>3.9085505298486987</v>
      </c>
      <c r="J34" s="3">
        <v>2.8963912351975964E-2</v>
      </c>
      <c r="K34" s="3">
        <v>2.2262074083836358</v>
      </c>
      <c r="L34" s="3">
        <v>3.1679276633863953</v>
      </c>
      <c r="M34" s="3">
        <v>2.396348494056856</v>
      </c>
      <c r="N34" s="3"/>
      <c r="O34" s="3">
        <f>AVERAGE($H$2:H34)</f>
        <v>12.101713867256883</v>
      </c>
      <c r="P34" s="3">
        <f>AVERAGE($I$2:I34)</f>
        <v>14.325802014557452</v>
      </c>
      <c r="Q34" s="3">
        <f>AVERAGE($J$2:J34)</f>
        <v>11.487177039332401</v>
      </c>
      <c r="R34" s="3">
        <f>AVERAGE($K$2:K34)</f>
        <v>12.880075743261482</v>
      </c>
      <c r="S34" s="3">
        <f>AVERAGE($L$2:L34)</f>
        <v>13.681268072063938</v>
      </c>
      <c r="T34" s="3">
        <f>AVERAGE($M$2:M34)</f>
        <v>7.8682793484824964</v>
      </c>
    </row>
    <row r="35" spans="7:20" ht="15.4" x14ac:dyDescent="0.4">
      <c r="G35" s="43">
        <v>6</v>
      </c>
      <c r="H35" s="43">
        <v>22.321177487614445</v>
      </c>
      <c r="I35" s="3">
        <v>26.545014170763299</v>
      </c>
      <c r="J35" s="3">
        <v>21.746460176991146</v>
      </c>
      <c r="K35" s="3">
        <v>23.216660074251962</v>
      </c>
      <c r="L35" s="3">
        <v>24.73543376269388</v>
      </c>
      <c r="M35" s="3">
        <v>12.240709637748679</v>
      </c>
      <c r="N35" s="3"/>
      <c r="O35" s="3">
        <f>AVERAGE($H$2:H35)</f>
        <v>12.402286326679164</v>
      </c>
      <c r="P35" s="3">
        <f>AVERAGE($I$2:I35)</f>
        <v>14.685190607387035</v>
      </c>
      <c r="Q35" s="3">
        <f>AVERAGE($J$2:J35)</f>
        <v>11.788920661028246</v>
      </c>
      <c r="R35" s="3">
        <f>AVERAGE($K$2:K35)</f>
        <v>13.184092929467086</v>
      </c>
      <c r="S35" s="3">
        <f>AVERAGE($L$2:L35)</f>
        <v>14.006390592376583</v>
      </c>
      <c r="T35" s="3">
        <f>AVERAGE($M$2:M35)</f>
        <v>7.996880239343267</v>
      </c>
    </row>
    <row r="36" spans="7:20" ht="15.4" x14ac:dyDescent="0.4">
      <c r="G36" s="43">
        <v>6</v>
      </c>
      <c r="H36" s="43">
        <v>24.651285802841652</v>
      </c>
      <c r="I36" s="3">
        <v>27.354817538590314</v>
      </c>
      <c r="J36" s="3">
        <v>24.189249720044792</v>
      </c>
      <c r="K36" s="3">
        <v>25.456843016922768</v>
      </c>
      <c r="L36" s="3">
        <v>26.353393500233263</v>
      </c>
      <c r="M36" s="3">
        <v>12.384308817739919</v>
      </c>
      <c r="N36" s="3"/>
      <c r="O36" s="3">
        <f>AVERAGE($H$2:H36)</f>
        <v>12.752257740283806</v>
      </c>
      <c r="P36" s="3">
        <f>AVERAGE($I$2:I36)</f>
        <v>15.047179948278556</v>
      </c>
      <c r="Q36" s="3">
        <f>AVERAGE($J$2:J36)</f>
        <v>12.143215777000147</v>
      </c>
      <c r="R36" s="3">
        <f>AVERAGE($K$2:K36)</f>
        <v>13.53474293196582</v>
      </c>
      <c r="S36" s="3">
        <f>AVERAGE($L$2:L36)</f>
        <v>14.359162104029631</v>
      </c>
      <c r="T36" s="3">
        <f>AVERAGE($M$2:M36)</f>
        <v>8.1222353415831705</v>
      </c>
    </row>
    <row r="37" spans="7:20" ht="15.4" x14ac:dyDescent="0.4">
      <c r="G37" s="43">
        <v>6.1349693251533743</v>
      </c>
      <c r="H37" s="43">
        <v>11.447916847822935</v>
      </c>
      <c r="I37" s="3">
        <v>18.392969240426872</v>
      </c>
      <c r="J37" s="3">
        <v>10.487661358781116</v>
      </c>
      <c r="K37" s="3">
        <v>12.616587598187436</v>
      </c>
      <c r="L37" s="3">
        <v>15.253638658308088</v>
      </c>
      <c r="M37" s="3">
        <v>6.5555555555555536</v>
      </c>
      <c r="N37" s="3"/>
      <c r="O37" s="3">
        <f>AVERAGE($H$2:H37)</f>
        <v>12.716026048826558</v>
      </c>
      <c r="P37" s="3">
        <f>AVERAGE($I$2:I37)</f>
        <v>15.140118539727119</v>
      </c>
      <c r="Q37" s="3">
        <f>AVERAGE($J$2:J37)</f>
        <v>12.097228154271841</v>
      </c>
      <c r="R37" s="3">
        <f>AVERAGE($K$2:K37)</f>
        <v>13.509238617138642</v>
      </c>
      <c r="S37" s="3">
        <f>AVERAGE($L$2:L37)</f>
        <v>14.384008674981809</v>
      </c>
      <c r="T37" s="3">
        <f>AVERAGE($M$2:M37)</f>
        <v>8.0787164586379596</v>
      </c>
    </row>
    <row r="38" spans="7:20" ht="15.4" x14ac:dyDescent="0.4">
      <c r="G38" s="43">
        <v>6.5250000000000004</v>
      </c>
      <c r="H38" s="43">
        <v>19.43143482018235</v>
      </c>
      <c r="I38" s="3">
        <v>1.7988295449521559E-14</v>
      </c>
      <c r="J38" s="3">
        <v>20.887172188730268</v>
      </c>
      <c r="K38" s="3">
        <v>18.074035443640305</v>
      </c>
      <c r="L38" s="3">
        <v>6.7113037248876353</v>
      </c>
      <c r="M38" s="3">
        <v>11.567212725896121</v>
      </c>
      <c r="N38" s="3"/>
      <c r="O38" s="3">
        <f>AVERAGE($H$2:H38)</f>
        <v>12.897523583187526</v>
      </c>
      <c r="P38" s="3">
        <f>AVERAGE($I$2:I38)</f>
        <v>14.730926146761522</v>
      </c>
      <c r="Q38" s="3">
        <f>AVERAGE($J$2:J38)</f>
        <v>12.334794209257206</v>
      </c>
      <c r="R38" s="3">
        <f>AVERAGE($K$2:K38)</f>
        <v>13.632611504341391</v>
      </c>
      <c r="S38" s="3">
        <f>AVERAGE($L$2:L38)</f>
        <v>14.176638270925212</v>
      </c>
      <c r="T38" s="3">
        <f>AVERAGE($M$2:M38)</f>
        <v>8.1730001415368285</v>
      </c>
    </row>
    <row r="39" spans="7:20" ht="15.4" x14ac:dyDescent="0.4">
      <c r="G39" s="43">
        <v>6.9767441860465116</v>
      </c>
      <c r="H39" s="43">
        <v>0.35256875311101249</v>
      </c>
      <c r="I39" s="3">
        <v>9.8479930061095047</v>
      </c>
      <c r="J39" s="3">
        <v>1.0402511349054195</v>
      </c>
      <c r="K39" s="3">
        <v>1.2496418817948751</v>
      </c>
      <c r="L39" s="3">
        <v>5.1974676181694033</v>
      </c>
      <c r="M39" s="3">
        <v>16.860465116279062</v>
      </c>
      <c r="N39" s="3"/>
      <c r="O39" s="3">
        <f>AVERAGE($H$2:H39)</f>
        <v>12.567393192922355</v>
      </c>
      <c r="P39" s="3">
        <f>AVERAGE($I$2:I39)</f>
        <v>14.602427906218049</v>
      </c>
      <c r="Q39" s="3">
        <f>AVERAGE($J$2:J39)</f>
        <v>12.037569391511106</v>
      </c>
      <c r="R39" s="3">
        <f>AVERAGE($K$2:K39)</f>
        <v>13.306743882695431</v>
      </c>
      <c r="S39" s="3">
        <f>AVERAGE($L$2:L39)</f>
        <v>13.940344306379005</v>
      </c>
      <c r="T39" s="3">
        <f>AVERAGE($M$2:M39)</f>
        <v>8.4016176408721499</v>
      </c>
    </row>
    <row r="40" spans="7:20" ht="15.4" x14ac:dyDescent="0.4">
      <c r="G40" s="43">
        <v>7.0000000000000009</v>
      </c>
      <c r="H40" s="43">
        <v>24.063486451706829</v>
      </c>
      <c r="I40" s="3">
        <v>27.214947953835555</v>
      </c>
      <c r="J40" s="3">
        <v>23.432387771963651</v>
      </c>
      <c r="K40" s="3">
        <v>24.612051487912101</v>
      </c>
      <c r="L40" s="3">
        <v>25.728727316947779</v>
      </c>
      <c r="M40" s="3">
        <v>9.8759071569716426</v>
      </c>
      <c r="N40" s="3"/>
      <c r="O40" s="3">
        <f>AVERAGE($H$2:H40)</f>
        <v>12.862164814942469</v>
      </c>
      <c r="P40" s="3">
        <f>AVERAGE($I$2:I40)</f>
        <v>14.925825856156958</v>
      </c>
      <c r="Q40" s="3">
        <f>AVERAGE($J$2:J40)</f>
        <v>12.329744221779119</v>
      </c>
      <c r="R40" s="3">
        <f>AVERAGE($K$2:K40)</f>
        <v>13.596623564880474</v>
      </c>
      <c r="S40" s="3">
        <f>AVERAGE($L$2:L40)</f>
        <v>14.242610537419232</v>
      </c>
      <c r="T40" s="3">
        <f>AVERAGE($M$2:M40)</f>
        <v>8.439419936156753</v>
      </c>
    </row>
    <row r="41" spans="7:20" ht="15.4" x14ac:dyDescent="0.4">
      <c r="G41" s="43">
        <v>7.5</v>
      </c>
      <c r="H41" s="43">
        <v>50.293749611418683</v>
      </c>
      <c r="I41" s="3">
        <v>52.238050789053581</v>
      </c>
      <c r="J41" s="3">
        <v>49.522204159628608</v>
      </c>
      <c r="K41" s="3">
        <v>50.577073617850019</v>
      </c>
      <c r="L41" s="3">
        <v>51.262346025508222</v>
      </c>
      <c r="M41" s="3">
        <v>9.3582887700534698</v>
      </c>
      <c r="N41" s="3"/>
      <c r="O41" s="3">
        <f>AVERAGE($H$2:H41)</f>
        <v>13.797954434854375</v>
      </c>
      <c r="P41" s="3">
        <f>AVERAGE($I$2:I41)</f>
        <v>15.858631479479374</v>
      </c>
      <c r="Q41" s="3">
        <f>AVERAGE($J$2:J41)</f>
        <v>13.259555720225356</v>
      </c>
      <c r="R41" s="3">
        <f>AVERAGE($K$2:K41)</f>
        <v>14.521134816204713</v>
      </c>
      <c r="S41" s="3">
        <f>AVERAGE($L$2:L41)</f>
        <v>15.168103924621457</v>
      </c>
      <c r="T41" s="3">
        <f>AVERAGE($M$2:M41)</f>
        <v>8.4623916570041722</v>
      </c>
    </row>
    <row r="42" spans="7:20" ht="15.4" x14ac:dyDescent="0.4">
      <c r="G42" s="43">
        <v>7.5669383003492436</v>
      </c>
      <c r="H42" s="43">
        <v>21.354484255824403</v>
      </c>
      <c r="I42" s="3">
        <v>26.582555972744071</v>
      </c>
      <c r="J42" s="3">
        <v>20.094339622641517</v>
      </c>
      <c r="K42" s="3">
        <v>21.756911140266208</v>
      </c>
      <c r="L42" s="3">
        <v>23.787460323312693</v>
      </c>
      <c r="M42" s="3">
        <v>12.278393945434711</v>
      </c>
      <c r="N42" s="3"/>
      <c r="O42" s="3">
        <f>AVERAGE($H$2:H42)</f>
        <v>13.98226004024389</v>
      </c>
      <c r="P42" s="3">
        <f>AVERAGE($I$2:I42)</f>
        <v>16.120190613461439</v>
      </c>
      <c r="Q42" s="3">
        <f>AVERAGE($J$2:J42)</f>
        <v>13.426257766625751</v>
      </c>
      <c r="R42" s="3">
        <f>AVERAGE($K$2:K42)</f>
        <v>14.697617165572066</v>
      </c>
      <c r="S42" s="3">
        <f>AVERAGE($L$2:L42)</f>
        <v>15.378332129467584</v>
      </c>
      <c r="T42" s="3">
        <f>AVERAGE($M$2:M42)</f>
        <v>8.5554648835512577</v>
      </c>
    </row>
    <row r="43" spans="7:20" ht="15.4" x14ac:dyDescent="0.4">
      <c r="G43" s="43">
        <v>7.5669383003492436</v>
      </c>
      <c r="H43" s="43">
        <v>22.234844506692038</v>
      </c>
      <c r="I43" s="3">
        <v>27.250313746804878</v>
      </c>
      <c r="J43" s="3">
        <v>20.988805970149262</v>
      </c>
      <c r="K43" s="3">
        <v>22.632766612576663</v>
      </c>
      <c r="L43" s="3">
        <v>24.568087210195923</v>
      </c>
      <c r="M43" s="3">
        <v>8.528992826204103</v>
      </c>
      <c r="N43" s="3"/>
      <c r="O43" s="3">
        <f>AVERAGE($H$2:H43)</f>
        <v>14.178750146587893</v>
      </c>
      <c r="P43" s="3">
        <f>AVERAGE($I$2:I43)</f>
        <v>16.385193545207713</v>
      </c>
      <c r="Q43" s="3">
        <f>AVERAGE($J$2:J43)</f>
        <v>13.606318438138217</v>
      </c>
      <c r="R43" s="3">
        <f>AVERAGE($K$2:K43)</f>
        <v>14.886549295262652</v>
      </c>
      <c r="S43" s="3">
        <f>AVERAGE($L$2:L43)</f>
        <v>15.597135821865876</v>
      </c>
      <c r="T43" s="3">
        <f>AVERAGE($M$2:M43)</f>
        <v>8.5548345964715633</v>
      </c>
    </row>
    <row r="44" spans="7:20" ht="15.4" x14ac:dyDescent="0.4">
      <c r="G44" s="43">
        <v>7.5669383003492436</v>
      </c>
      <c r="H44" s="43">
        <v>27.635202527060638</v>
      </c>
      <c r="I44" s="3">
        <v>33.643105814812309</v>
      </c>
      <c r="J44" s="3">
        <v>26.475694444444443</v>
      </c>
      <c r="K44" s="3">
        <v>28.005491153369938</v>
      </c>
      <c r="L44" s="3">
        <v>30.473387320765351</v>
      </c>
      <c r="M44" s="3">
        <v>7.356749797815783</v>
      </c>
      <c r="N44" s="3"/>
      <c r="O44" s="3">
        <f>AVERAGE($H$2:H44)</f>
        <v>14.491690899622144</v>
      </c>
      <c r="P44" s="3">
        <f>AVERAGE($I$2:I44)</f>
        <v>16.786540342175261</v>
      </c>
      <c r="Q44" s="3">
        <f>AVERAGE($J$2:J44)</f>
        <v>13.905606252238362</v>
      </c>
      <c r="R44" s="3">
        <f>AVERAGE($K$2:K44)</f>
        <v>15.191640966381426</v>
      </c>
      <c r="S44" s="3">
        <f>AVERAGE($L$2:L44)</f>
        <v>15.943095159049586</v>
      </c>
      <c r="T44" s="3">
        <f>AVERAGE($M$2:M44)</f>
        <v>8.5269721592935213</v>
      </c>
    </row>
    <row r="45" spans="7:20" ht="15.4" x14ac:dyDescent="0.4">
      <c r="G45" s="43">
        <v>7.7</v>
      </c>
      <c r="H45" s="43">
        <v>6.5401978226469524</v>
      </c>
      <c r="I45" s="3">
        <v>11.32018655497162</v>
      </c>
      <c r="J45" s="3">
        <v>4.9534004185237652</v>
      </c>
      <c r="K45" s="3">
        <v>6.9601345026707104</v>
      </c>
      <c r="L45" s="3">
        <v>8.7183307737470805</v>
      </c>
      <c r="M45" s="3">
        <v>8.2315534527335732</v>
      </c>
      <c r="N45" s="3"/>
      <c r="O45" s="3">
        <f>AVERAGE($H$2:H45)</f>
        <v>14.310975147872709</v>
      </c>
      <c r="P45" s="3">
        <f>AVERAGE($I$2:I45)</f>
        <v>16.662305028829724</v>
      </c>
      <c r="Q45" s="3">
        <f>AVERAGE($J$2:J45)</f>
        <v>13.702147028744848</v>
      </c>
      <c r="R45" s="3">
        <f>AVERAGE($K$2:K45)</f>
        <v>15.004561274024365</v>
      </c>
      <c r="S45" s="3">
        <f>AVERAGE($L$2:L45)</f>
        <v>15.778895968474529</v>
      </c>
      <c r="T45" s="3">
        <f>AVERAGE($M$2:M45)</f>
        <v>8.5202580977807951</v>
      </c>
    </row>
    <row r="46" spans="7:20" ht="15.4" x14ac:dyDescent="0.4">
      <c r="G46" s="43">
        <v>8.4269662921348321</v>
      </c>
      <c r="H46" s="43">
        <v>45.432012864096649</v>
      </c>
      <c r="I46" s="3">
        <v>46.293989381524995</v>
      </c>
      <c r="J46" s="3">
        <v>44.32644775718736</v>
      </c>
      <c r="K46" s="3">
        <v>45.385457816106751</v>
      </c>
      <c r="L46" s="3">
        <v>45.686704481172505</v>
      </c>
      <c r="M46" s="3">
        <v>62.665369649805434</v>
      </c>
      <c r="N46" s="3"/>
      <c r="O46" s="3">
        <f>AVERAGE($H$2:H46)</f>
        <v>15.002553763788796</v>
      </c>
      <c r="P46" s="3">
        <f>AVERAGE($I$2:I46)</f>
        <v>17.320786903334064</v>
      </c>
      <c r="Q46" s="3">
        <f>AVERAGE($J$2:J46)</f>
        <v>14.382687044932458</v>
      </c>
      <c r="R46" s="3">
        <f>AVERAGE($K$2:K46)</f>
        <v>15.679692308292861</v>
      </c>
      <c r="S46" s="3">
        <f>AVERAGE($L$2:L46)</f>
        <v>16.443513935423372</v>
      </c>
      <c r="T46" s="3">
        <f>AVERAGE($M$2:M46)</f>
        <v>9.7234827989368977</v>
      </c>
    </row>
    <row r="47" spans="7:20" ht="15.4" x14ac:dyDescent="0.4">
      <c r="G47" s="43">
        <v>8.6</v>
      </c>
      <c r="H47" s="43">
        <v>32.304629168740661</v>
      </c>
      <c r="I47" s="3">
        <v>43.728915553476376</v>
      </c>
      <c r="J47" s="3">
        <v>31.462328767123282</v>
      </c>
      <c r="K47" s="3">
        <v>32.261986039115598</v>
      </c>
      <c r="L47" s="3">
        <v>39.289816362649269</v>
      </c>
      <c r="M47" s="3">
        <v>2.312761756578416</v>
      </c>
      <c r="N47" s="3"/>
      <c r="O47" s="3">
        <f>AVERAGE($H$2:H47)</f>
        <v>15.37868583780949</v>
      </c>
      <c r="P47" s="3">
        <f>AVERAGE($I$2:I47)</f>
        <v>17.894876656598026</v>
      </c>
      <c r="Q47" s="3">
        <f>AVERAGE($J$2:J47)</f>
        <v>14.75398360411052</v>
      </c>
      <c r="R47" s="3">
        <f>AVERAGE($K$2:K47)</f>
        <v>16.040176954615095</v>
      </c>
      <c r="S47" s="3">
        <f>AVERAGE($L$2:L47)</f>
        <v>16.940172683841325</v>
      </c>
      <c r="T47" s="3">
        <f>AVERAGE($M$2:M47)</f>
        <v>9.5623801675812796</v>
      </c>
    </row>
    <row r="48" spans="7:20" ht="15.4" x14ac:dyDescent="0.4">
      <c r="G48" s="43">
        <v>8.75</v>
      </c>
      <c r="H48" s="43">
        <v>25.862332629355727</v>
      </c>
      <c r="I48" s="3">
        <v>0.59772971613164483</v>
      </c>
      <c r="J48" s="3">
        <v>28.603264079028897</v>
      </c>
      <c r="K48" s="3">
        <v>26.300326693367243</v>
      </c>
      <c r="L48" s="3">
        <v>8.7666968404565981</v>
      </c>
      <c r="M48" s="3">
        <v>15.188630303598089</v>
      </c>
      <c r="N48" s="3"/>
      <c r="O48" s="3">
        <f>AVERAGE($H$2:H48)</f>
        <v>15.601742152523238</v>
      </c>
      <c r="P48" s="3">
        <f>AVERAGE($I$2:I48)</f>
        <v>17.52685225360938</v>
      </c>
      <c r="Q48" s="3">
        <f>AVERAGE($J$2:J48)</f>
        <v>15.04864914613006</v>
      </c>
      <c r="R48" s="3">
        <f>AVERAGE($K$2:K48)</f>
        <v>16.258478012886417</v>
      </c>
      <c r="S48" s="3">
        <f>AVERAGE($L$2:L48)</f>
        <v>16.766268942492715</v>
      </c>
      <c r="T48" s="3">
        <f>AVERAGE($M$2:M48)</f>
        <v>9.6820876172837647</v>
      </c>
    </row>
    <row r="49" spans="7:20" ht="15.4" x14ac:dyDescent="0.4">
      <c r="G49" s="43">
        <v>9</v>
      </c>
      <c r="H49" s="43">
        <v>22.311822042852</v>
      </c>
      <c r="I49" s="3">
        <v>12.251826538839941</v>
      </c>
      <c r="J49" s="3">
        <v>24.943975029866657</v>
      </c>
      <c r="K49" s="3">
        <v>22.96887292982025</v>
      </c>
      <c r="L49" s="3">
        <v>18.624521956531936</v>
      </c>
      <c r="M49" s="3">
        <v>18.740750715653299</v>
      </c>
      <c r="N49" s="3"/>
      <c r="O49" s="3">
        <f>AVERAGE($H$2:H49)</f>
        <v>15.741535483571754</v>
      </c>
      <c r="P49" s="3">
        <f>AVERAGE($I$2:I49)</f>
        <v>17.416955884551683</v>
      </c>
      <c r="Q49" s="3">
        <f>AVERAGE($J$2:J49)</f>
        <v>15.254801768707907</v>
      </c>
      <c r="R49" s="3">
        <f>AVERAGE($K$2:K49)</f>
        <v>16.398277906989204</v>
      </c>
      <c r="S49" s="3">
        <f>AVERAGE($L$2:L49)</f>
        <v>16.804982546951866</v>
      </c>
      <c r="T49" s="3">
        <f>AVERAGE($M$2:M49)</f>
        <v>9.870809765166463</v>
      </c>
    </row>
    <row r="50" spans="7:20" ht="15.4" x14ac:dyDescent="0.4">
      <c r="G50" s="43">
        <v>9.0575724239090576</v>
      </c>
      <c r="H50" s="43">
        <v>4.7132869656274163</v>
      </c>
      <c r="I50" s="3">
        <v>1.1861357100696117E-14</v>
      </c>
      <c r="J50" s="3">
        <v>6.9708426223175097</v>
      </c>
      <c r="K50" s="3">
        <v>5.3219094067969817</v>
      </c>
      <c r="L50" s="3">
        <v>3.4696439812570397</v>
      </c>
      <c r="M50" s="3">
        <v>3.6530990656227114</v>
      </c>
      <c r="N50" s="3"/>
      <c r="O50" s="3">
        <f>AVERAGE($H$2:H50)</f>
        <v>15.516469187287175</v>
      </c>
      <c r="P50" s="3">
        <f>AVERAGE($I$2:I50)</f>
        <v>17.061507805275117</v>
      </c>
      <c r="Q50" s="3">
        <f>AVERAGE($J$2:J50)</f>
        <v>15.085741377965245</v>
      </c>
      <c r="R50" s="3">
        <f>AVERAGE($K$2:K50)</f>
        <v>16.17222957025059</v>
      </c>
      <c r="S50" s="3">
        <f>AVERAGE($L$2:L50)</f>
        <v>16.532832780305032</v>
      </c>
      <c r="T50" s="3">
        <f>AVERAGE($M$2:M50)</f>
        <v>9.7439177100737329</v>
      </c>
    </row>
    <row r="51" spans="7:20" ht="15.4" x14ac:dyDescent="0.4">
      <c r="G51" s="43">
        <v>9.2024539877300615</v>
      </c>
      <c r="H51" s="43">
        <v>15.93214500765564</v>
      </c>
      <c r="I51" s="3">
        <v>25.472747497219146</v>
      </c>
      <c r="J51" s="3">
        <v>13.898730608409346</v>
      </c>
      <c r="K51" s="3">
        <v>15.306039623887221</v>
      </c>
      <c r="L51" s="3">
        <v>19.80249182190947</v>
      </c>
      <c r="M51" s="3">
        <v>9.3548387096774288</v>
      </c>
      <c r="N51" s="3"/>
      <c r="O51" s="3">
        <f>AVERAGE($H$2:H51)</f>
        <v>15.524782703694546</v>
      </c>
      <c r="P51" s="3">
        <f>AVERAGE($I$2:I51)</f>
        <v>17.229732599114001</v>
      </c>
      <c r="Q51" s="3">
        <f>AVERAGE($J$2:J51)</f>
        <v>15.062001162574127</v>
      </c>
      <c r="R51" s="3">
        <f>AVERAGE($K$2:K51)</f>
        <v>16.154905771323321</v>
      </c>
      <c r="S51" s="3">
        <f>AVERAGE($L$2:L51)</f>
        <v>16.598225961137121</v>
      </c>
      <c r="T51" s="3">
        <f>AVERAGE($M$2:M51)</f>
        <v>9.7361361300658071</v>
      </c>
    </row>
    <row r="52" spans="7:20" ht="15.4" x14ac:dyDescent="0.4">
      <c r="G52" s="43">
        <v>9.67741935483871</v>
      </c>
      <c r="H52" s="43">
        <v>28.215002354959445</v>
      </c>
      <c r="I52" s="3">
        <v>34.703714461011096</v>
      </c>
      <c r="J52" s="3">
        <v>30.795053003533575</v>
      </c>
      <c r="K52" s="3">
        <v>27.408245868996552</v>
      </c>
      <c r="L52" s="3">
        <v>30.359771607235942</v>
      </c>
      <c r="M52" s="3">
        <v>2.4734982332155502</v>
      </c>
      <c r="N52" s="3"/>
      <c r="O52" s="3">
        <f>AVERAGE($H$2:H52)</f>
        <v>15.773610539993857</v>
      </c>
      <c r="P52" s="3">
        <f>AVERAGE($I$2:I52)</f>
        <v>17.572359694445318</v>
      </c>
      <c r="Q52" s="3">
        <f>AVERAGE($J$2:J52)</f>
        <v>15.370492375141959</v>
      </c>
      <c r="R52" s="3">
        <f>AVERAGE($K$2:K52)</f>
        <v>16.375559498728681</v>
      </c>
      <c r="S52" s="3">
        <f>AVERAGE($L$2:L52)</f>
        <v>16.868060189491999</v>
      </c>
      <c r="T52" s="3">
        <f>AVERAGE($M$2:M52)</f>
        <v>9.5937314654216852</v>
      </c>
    </row>
    <row r="53" spans="7:20" ht="15.4" x14ac:dyDescent="0.4">
      <c r="G53" s="43">
        <v>9.7000000000000011</v>
      </c>
      <c r="H53" s="43">
        <v>14.486020170278158</v>
      </c>
      <c r="I53" s="3">
        <v>19.715251495290893</v>
      </c>
      <c r="J53" s="3">
        <v>12.190191772863109</v>
      </c>
      <c r="K53" s="3">
        <v>13.446934510287189</v>
      </c>
      <c r="L53" s="3">
        <v>15.646529326203002</v>
      </c>
      <c r="M53" s="3">
        <v>15.678750447734826</v>
      </c>
      <c r="N53" s="3"/>
      <c r="O53" s="3">
        <f>AVERAGE($H$2:H53)</f>
        <v>15.748849186730094</v>
      </c>
      <c r="P53" s="3">
        <f>AVERAGE($I$2:I53)</f>
        <v>17.613569152153886</v>
      </c>
      <c r="Q53" s="3">
        <f>AVERAGE($J$2:J53)</f>
        <v>15.309332748175059</v>
      </c>
      <c r="R53" s="3">
        <f>AVERAGE($K$2:K53)</f>
        <v>16.319239787412496</v>
      </c>
      <c r="S53" s="3">
        <f>AVERAGE($L$2:L53)</f>
        <v>16.844569211351828</v>
      </c>
      <c r="T53" s="3">
        <f>AVERAGE($M$2:M53)</f>
        <v>9.7107510612353991</v>
      </c>
    </row>
    <row r="54" spans="7:20" ht="15.4" x14ac:dyDescent="0.4">
      <c r="G54" s="43">
        <v>10</v>
      </c>
      <c r="H54" s="43">
        <v>9.381505954767059</v>
      </c>
      <c r="I54" s="3">
        <v>6.4066205594833185</v>
      </c>
      <c r="J54" s="3">
        <v>12.388465754922935</v>
      </c>
      <c r="K54" s="3">
        <v>11.00295899568202</v>
      </c>
      <c r="L54" s="3">
        <v>2.6550624769389675</v>
      </c>
      <c r="M54" s="3">
        <v>18.352941176470576</v>
      </c>
      <c r="N54" s="3"/>
      <c r="O54" s="3">
        <f>AVERAGE($H$2:H54)</f>
        <v>15.628710635183621</v>
      </c>
      <c r="P54" s="3">
        <f>AVERAGE($I$2:I54)</f>
        <v>17.40211729191482</v>
      </c>
      <c r="Q54" s="3">
        <f>AVERAGE($J$2:J54)</f>
        <v>15.254222050189169</v>
      </c>
      <c r="R54" s="3">
        <f>AVERAGE($K$2:K54)</f>
        <v>16.218932602662864</v>
      </c>
      <c r="S54" s="3">
        <f>AVERAGE($L$2:L54)</f>
        <v>16.576842669193095</v>
      </c>
      <c r="T54" s="3">
        <f>AVERAGE($M$2:M54)</f>
        <v>9.8738112520888919</v>
      </c>
    </row>
    <row r="55" spans="7:20" ht="15.4" x14ac:dyDescent="0.4">
      <c r="G55" s="43">
        <v>10</v>
      </c>
      <c r="H55" s="43">
        <v>38.184219023600328</v>
      </c>
      <c r="I55" s="3">
        <v>24.331206297196822</v>
      </c>
      <c r="J55" s="3">
        <v>41.83153580672991</v>
      </c>
      <c r="K55" s="3">
        <v>40.182494541648083</v>
      </c>
      <c r="L55" s="3">
        <v>33.644522209336216</v>
      </c>
      <c r="M55" s="3">
        <v>38.773943054357169</v>
      </c>
      <c r="N55" s="3"/>
      <c r="O55" s="3">
        <f>AVERAGE($H$2:H55)</f>
        <v>16.046405234969114</v>
      </c>
      <c r="P55" s="3">
        <f>AVERAGE($I$2:I55)</f>
        <v>17.530433754975597</v>
      </c>
      <c r="Q55" s="3">
        <f>AVERAGE($J$2:J55)</f>
        <v>15.746394527162145</v>
      </c>
      <c r="R55" s="3">
        <f>AVERAGE($K$2:K55)</f>
        <v>16.662702268199627</v>
      </c>
      <c r="S55" s="3">
        <f>AVERAGE($L$2:L55)</f>
        <v>16.892910808825373</v>
      </c>
      <c r="T55" s="3">
        <f>AVERAGE($M$2:M55)</f>
        <v>10.408998878056822</v>
      </c>
    </row>
    <row r="56" spans="7:20" ht="15.4" x14ac:dyDescent="0.4">
      <c r="G56" s="43">
        <v>10</v>
      </c>
      <c r="H56" s="43">
        <v>31.69222868136195</v>
      </c>
      <c r="I56" s="3">
        <v>10.043362031848545</v>
      </c>
      <c r="J56" s="3">
        <v>35.17608715123523</v>
      </c>
      <c r="K56" s="3">
        <v>33.596623831188481</v>
      </c>
      <c r="L56" s="3">
        <v>21.410028204543153</v>
      </c>
      <c r="M56" s="3">
        <v>21.686340134798368</v>
      </c>
      <c r="N56" s="3"/>
      <c r="O56" s="3">
        <f>AVERAGE($H$2:H56)</f>
        <v>16.330874752176257</v>
      </c>
      <c r="P56" s="3">
        <f>AVERAGE($I$2:I56)</f>
        <v>17.39430517819147</v>
      </c>
      <c r="Q56" s="3">
        <f>AVERAGE($J$2:J56)</f>
        <v>16.099661665781657</v>
      </c>
      <c r="R56" s="3">
        <f>AVERAGE($K$2:K56)</f>
        <v>16.970591751163063</v>
      </c>
      <c r="S56" s="3">
        <f>AVERAGE($L$2:L56)</f>
        <v>16.97504021602024</v>
      </c>
      <c r="T56" s="3">
        <f>AVERAGE($M$2:M56)</f>
        <v>10.614041446361213</v>
      </c>
    </row>
    <row r="57" spans="7:20" ht="15.4" x14ac:dyDescent="0.4">
      <c r="G57" s="43">
        <v>10</v>
      </c>
      <c r="H57" s="43">
        <v>23.407465345111504</v>
      </c>
      <c r="I57" s="3">
        <v>6.6648876333011211</v>
      </c>
      <c r="J57" s="3">
        <v>26.8565614320623</v>
      </c>
      <c r="K57" s="3">
        <v>25.255858917223179</v>
      </c>
      <c r="L57" s="3">
        <v>16.628906032175873</v>
      </c>
      <c r="M57" s="3">
        <v>44.037087767358379</v>
      </c>
      <c r="N57" s="3"/>
      <c r="O57" s="3">
        <f>AVERAGE($H$2:H57)</f>
        <v>16.457242441335815</v>
      </c>
      <c r="P57" s="3">
        <f>AVERAGE($I$2:I57)</f>
        <v>17.202708436318424</v>
      </c>
      <c r="Q57" s="3">
        <f>AVERAGE($J$2:J57)</f>
        <v>16.291749161608099</v>
      </c>
      <c r="R57" s="3">
        <f>AVERAGE($K$2:K57)</f>
        <v>17.118542950556993</v>
      </c>
      <c r="S57" s="3">
        <f>AVERAGE($L$2:L57)</f>
        <v>16.96885924845159</v>
      </c>
      <c r="T57" s="3">
        <f>AVERAGE($M$2:M57)</f>
        <v>11.210881559236162</v>
      </c>
    </row>
    <row r="58" spans="7:20" ht="15.4" x14ac:dyDescent="0.4">
      <c r="G58" s="43">
        <v>10</v>
      </c>
      <c r="H58" s="43">
        <v>3.1337980591123409</v>
      </c>
      <c r="I58" s="3">
        <v>15.875975740004348</v>
      </c>
      <c r="J58" s="3">
        <v>0.46734833797077424</v>
      </c>
      <c r="K58" s="3">
        <v>1.6966642375121368</v>
      </c>
      <c r="L58" s="3">
        <v>8.1993555432480498</v>
      </c>
      <c r="M58" s="3">
        <v>14.26273458445041</v>
      </c>
      <c r="N58" s="3"/>
      <c r="O58" s="3">
        <f>AVERAGE($H$2:H58)</f>
        <v>16.223497803051192</v>
      </c>
      <c r="P58" s="3">
        <f>AVERAGE($I$2:I58)</f>
        <v>17.179432424102391</v>
      </c>
      <c r="Q58" s="3">
        <f>AVERAGE($J$2:J58)</f>
        <v>16.01412809452674</v>
      </c>
      <c r="R58" s="3">
        <f>AVERAGE($K$2:K58)</f>
        <v>16.847983674889541</v>
      </c>
      <c r="S58" s="3">
        <f>AVERAGE($L$2:L58)</f>
        <v>16.815008306255038</v>
      </c>
      <c r="T58" s="3">
        <f>AVERAGE($M$2:M58)</f>
        <v>11.264422840380272</v>
      </c>
    </row>
    <row r="59" spans="7:20" ht="15.4" x14ac:dyDescent="0.4">
      <c r="G59" s="43">
        <v>10</v>
      </c>
      <c r="H59" s="43">
        <v>40.790008498688252</v>
      </c>
      <c r="I59" s="3">
        <v>44.765079097386135</v>
      </c>
      <c r="J59" s="3">
        <v>39.101438968772442</v>
      </c>
      <c r="K59" s="3">
        <v>39.892126473399124</v>
      </c>
      <c r="L59" s="3">
        <v>41.614557294064149</v>
      </c>
      <c r="M59" s="3">
        <v>27.311111111111103</v>
      </c>
      <c r="N59" s="3"/>
      <c r="O59" s="3">
        <f>AVERAGE($H$2:H59)</f>
        <v>16.647058332286317</v>
      </c>
      <c r="P59" s="3">
        <f>AVERAGE($I$2:I59)</f>
        <v>17.655047021917625</v>
      </c>
      <c r="Q59" s="3">
        <f>AVERAGE($J$2:J59)</f>
        <v>16.412185178565458</v>
      </c>
      <c r="R59" s="3">
        <f>AVERAGE($K$2:K59)</f>
        <v>17.245296481760395</v>
      </c>
      <c r="S59" s="3">
        <f>AVERAGE($L$2:L59)</f>
        <v>17.242586737079336</v>
      </c>
      <c r="T59" s="3">
        <f>AVERAGE($M$2:M59)</f>
        <v>11.541089879530805</v>
      </c>
    </row>
    <row r="60" spans="7:20" ht="15.4" x14ac:dyDescent="0.4">
      <c r="G60" s="43">
        <v>10</v>
      </c>
      <c r="H60" s="43">
        <v>4.4432751169906481</v>
      </c>
      <c r="I60" s="3">
        <v>9.3992955274612893</v>
      </c>
      <c r="J60" s="3">
        <v>7.3925379902424133</v>
      </c>
      <c r="K60" s="3">
        <v>6.0175899253067291</v>
      </c>
      <c r="L60" s="3">
        <v>1.0468601707480285</v>
      </c>
      <c r="M60" s="3">
        <v>26.285714285714278</v>
      </c>
      <c r="N60" s="3"/>
      <c r="O60" s="3">
        <f>AVERAGE($H$2:H60)</f>
        <v>16.440214548976218</v>
      </c>
      <c r="P60" s="3">
        <f>AVERAGE($I$2:I60)</f>
        <v>17.515119030486165</v>
      </c>
      <c r="Q60" s="3">
        <f>AVERAGE($J$2:J60)</f>
        <v>16.259309802492186</v>
      </c>
      <c r="R60" s="3">
        <f>AVERAGE($K$2:K60)</f>
        <v>17.054996370634061</v>
      </c>
      <c r="S60" s="3">
        <f>AVERAGE($L$2:L60)</f>
        <v>16.968082896972025</v>
      </c>
      <c r="T60" s="3">
        <f>AVERAGE($M$2:M60)</f>
        <v>11.790998767771201</v>
      </c>
    </row>
    <row r="61" spans="7:20" ht="15.4" x14ac:dyDescent="0.4">
      <c r="G61" s="43">
        <v>10</v>
      </c>
      <c r="H61" s="43">
        <v>55.321771282683343</v>
      </c>
      <c r="I61" s="3">
        <v>57.591577847387086</v>
      </c>
      <c r="J61" s="3">
        <v>54.156940203023154</v>
      </c>
      <c r="K61" s="3">
        <v>54.681874128397055</v>
      </c>
      <c r="L61" s="3">
        <v>55.634341837404477</v>
      </c>
      <c r="M61" s="3">
        <v>9.7753378378378439</v>
      </c>
      <c r="N61" s="3"/>
      <c r="O61" s="3">
        <f>AVERAGE($H$2:H61)</f>
        <v>17.088240494538006</v>
      </c>
      <c r="P61" s="3">
        <f>AVERAGE($I$2:I61)</f>
        <v>18.183060010767846</v>
      </c>
      <c r="Q61" s="3">
        <f>AVERAGE($J$2:J61)</f>
        <v>16.890936975834371</v>
      </c>
      <c r="R61" s="3">
        <f>AVERAGE($K$2:K61)</f>
        <v>17.68211099993011</v>
      </c>
      <c r="S61" s="3">
        <f>AVERAGE($L$2:L61)</f>
        <v>17.612520545979233</v>
      </c>
      <c r="T61" s="3">
        <f>AVERAGE($M$2:M61)</f>
        <v>11.757404418938979</v>
      </c>
    </row>
    <row r="62" spans="7:20" ht="15.4" x14ac:dyDescent="0.4">
      <c r="G62" s="43">
        <v>10</v>
      </c>
      <c r="H62" s="43">
        <v>4.9884191476226095E-2</v>
      </c>
      <c r="I62" s="3">
        <v>6.4435378102597305</v>
      </c>
      <c r="J62" s="3">
        <v>0.70502901353965797</v>
      </c>
      <c r="K62" s="3">
        <v>2.2666365797527312E-2</v>
      </c>
      <c r="L62" s="3">
        <v>2.5133266159854748</v>
      </c>
      <c r="M62" s="3">
        <v>3.1811230458894277</v>
      </c>
      <c r="N62" s="3"/>
      <c r="O62" s="3">
        <f>AVERAGE($H$2:H62)</f>
        <v>16.808923178094368</v>
      </c>
      <c r="P62" s="3">
        <f>AVERAGE($I$2:I62)</f>
        <v>17.990608827152961</v>
      </c>
      <c r="Q62" s="3">
        <f>AVERAGE($J$2:J62)</f>
        <v>16.625594222354128</v>
      </c>
      <c r="R62" s="3">
        <f>AVERAGE($K$2:K62)</f>
        <v>17.392611907567279</v>
      </c>
      <c r="S62" s="3">
        <f>AVERAGE($L$2:L62)</f>
        <v>17.364992776635074</v>
      </c>
      <c r="T62" s="3">
        <f>AVERAGE($M$2:M62)</f>
        <v>11.616809642331608</v>
      </c>
    </row>
    <row r="63" spans="7:20" ht="15.4" x14ac:dyDescent="0.4">
      <c r="G63" s="43">
        <v>10</v>
      </c>
      <c r="H63" s="43">
        <v>9.9704598726306415</v>
      </c>
      <c r="I63" s="3">
        <v>8.5383274997090481</v>
      </c>
      <c r="J63" s="3">
        <v>12.713669064748197</v>
      </c>
      <c r="K63" s="3">
        <v>11.498385861483403</v>
      </c>
      <c r="L63" s="3">
        <v>0.87979936333756337</v>
      </c>
      <c r="M63" s="3">
        <v>2.1603516628702129</v>
      </c>
      <c r="N63" s="3"/>
      <c r="O63" s="3">
        <f>AVERAGE($H$2:H63)</f>
        <v>16.698625382844956</v>
      </c>
      <c r="P63" s="3">
        <f>AVERAGE($I$2:I63)</f>
        <v>17.838152676710319</v>
      </c>
      <c r="Q63" s="3">
        <f>AVERAGE($J$2:J63)</f>
        <v>16.562498655295968</v>
      </c>
      <c r="R63" s="3">
        <f>AVERAGE($K$2:K63)</f>
        <v>17.29754374553367</v>
      </c>
      <c r="S63" s="3">
        <f>AVERAGE($L$2:L63)</f>
        <v>17.099102560291566</v>
      </c>
      <c r="T63" s="3">
        <f>AVERAGE($M$2:M63)</f>
        <v>11.464286126533844</v>
      </c>
    </row>
    <row r="64" spans="7:20" ht="15.4" x14ac:dyDescent="0.4">
      <c r="G64" s="43">
        <v>10.112359550561797</v>
      </c>
      <c r="H64" s="43">
        <v>4.5485593439459207</v>
      </c>
      <c r="I64" s="3">
        <v>17.250890408920824</v>
      </c>
      <c r="J64" s="3">
        <v>1.7668633431863816</v>
      </c>
      <c r="K64" s="3">
        <v>2.9905846847349755</v>
      </c>
      <c r="L64" s="3">
        <v>9.4986547013570171</v>
      </c>
      <c r="M64" s="3">
        <v>17.755102040816336</v>
      </c>
      <c r="N64" s="3"/>
      <c r="O64" s="3">
        <f>AVERAGE($H$2:H64)</f>
        <v>16.505767191751321</v>
      </c>
      <c r="P64" s="3">
        <f>AVERAGE($I$2:I64)</f>
        <v>17.828831053412074</v>
      </c>
      <c r="Q64" s="3">
        <f>AVERAGE($J$2:J64)</f>
        <v>16.327647301135499</v>
      </c>
      <c r="R64" s="3">
        <f>AVERAGE($K$2:K64)</f>
        <v>17.070449157267024</v>
      </c>
      <c r="S64" s="3">
        <f>AVERAGE($L$2:L64)</f>
        <v>16.978460530784666</v>
      </c>
      <c r="T64" s="3">
        <f>AVERAGE($M$2:M64)</f>
        <v>11.564140347395471</v>
      </c>
    </row>
    <row r="65" spans="7:20" ht="15.4" x14ac:dyDescent="0.4">
      <c r="G65" s="43">
        <v>10.911</v>
      </c>
      <c r="H65" s="43">
        <v>32.93715445457984</v>
      </c>
      <c r="I65" s="3">
        <v>0.72455806265414535</v>
      </c>
      <c r="J65" s="3">
        <v>37.420287547288943</v>
      </c>
      <c r="K65" s="3">
        <v>36.266760460701008</v>
      </c>
      <c r="L65" s="3">
        <v>11.391940130482169</v>
      </c>
      <c r="M65" s="3">
        <v>17.730360178238648</v>
      </c>
      <c r="N65" s="3"/>
      <c r="O65" s="3">
        <f>AVERAGE($H$2:H65)</f>
        <v>16.762507617733014</v>
      </c>
      <c r="P65" s="3">
        <f>AVERAGE($I$2:I65)</f>
        <v>17.561576787931479</v>
      </c>
      <c r="Q65" s="3">
        <f>AVERAGE($J$2:J65)</f>
        <v>16.657219804981647</v>
      </c>
      <c r="R65" s="3">
        <f>AVERAGE($K$2:K65)</f>
        <v>17.370391521383183</v>
      </c>
      <c r="S65" s="3">
        <f>AVERAGE($L$2:L65)</f>
        <v>16.891171149529942</v>
      </c>
      <c r="T65" s="3">
        <f>AVERAGE($M$2:M65)</f>
        <v>11.660487532252397</v>
      </c>
    </row>
    <row r="66" spans="7:20" ht="15.4" x14ac:dyDescent="0.4">
      <c r="G66" s="43">
        <v>11.322248614410135</v>
      </c>
      <c r="H66" s="43">
        <v>7.9542037292345285</v>
      </c>
      <c r="I66" s="3">
        <v>13.044583037043747</v>
      </c>
      <c r="J66" s="3">
        <v>4.8731297525013995</v>
      </c>
      <c r="K66" s="3">
        <v>5.3360981764197959</v>
      </c>
      <c r="L66" s="3">
        <v>7.6505367635096482</v>
      </c>
      <c r="M66" s="3">
        <v>8.3106603800632435</v>
      </c>
      <c r="N66" s="3"/>
      <c r="O66" s="3">
        <f>AVERAGE($H$2:H66)</f>
        <v>16.62699525021765</v>
      </c>
      <c r="P66" s="3">
        <f>AVERAGE($I$2:I66)</f>
        <v>17.492084576379362</v>
      </c>
      <c r="Q66" s="3">
        <f>AVERAGE($J$2:J66)</f>
        <v>16.475926111866567</v>
      </c>
      <c r="R66" s="3">
        <f>AVERAGE($K$2:K66)</f>
        <v>17.185248546845287</v>
      </c>
      <c r="S66" s="3">
        <f>AVERAGE($L$2:L66)</f>
        <v>16.749007543591166</v>
      </c>
      <c r="T66" s="3">
        <f>AVERAGE($M$2:M66)</f>
        <v>11.608951729911025</v>
      </c>
    </row>
    <row r="67" spans="7:20" ht="15.4" x14ac:dyDescent="0.4">
      <c r="G67" s="43">
        <v>12</v>
      </c>
      <c r="H67" s="43">
        <v>7.9883945342850069</v>
      </c>
      <c r="I67" s="3">
        <v>23.685370874359119</v>
      </c>
      <c r="J67" s="3">
        <v>4.6019417475728153</v>
      </c>
      <c r="K67" s="3">
        <v>4.6623379928291531</v>
      </c>
      <c r="L67" s="3">
        <v>14.059578841280148</v>
      </c>
      <c r="M67" s="3">
        <v>6.7704729887262216</v>
      </c>
      <c r="N67" s="3"/>
      <c r="O67" s="3">
        <f>AVERAGE($H$2:H67)</f>
        <v>16.496107360582307</v>
      </c>
      <c r="P67" s="3">
        <f>AVERAGE($I$2:I67)</f>
        <v>17.58592224756087</v>
      </c>
      <c r="Q67" s="3">
        <f>AVERAGE($J$2:J67)</f>
        <v>16.296017257862115</v>
      </c>
      <c r="R67" s="3">
        <f>AVERAGE($K$2:K67)</f>
        <v>16.995507477845042</v>
      </c>
      <c r="S67" s="3">
        <f>AVERAGE($L$2:L67)</f>
        <v>16.708258623859184</v>
      </c>
      <c r="T67" s="3">
        <f>AVERAGE($M$2:M67)</f>
        <v>11.535641445953679</v>
      </c>
    </row>
    <row r="68" spans="7:20" ht="15.4" x14ac:dyDescent="0.4">
      <c r="G68" s="43">
        <v>12.195121951219512</v>
      </c>
      <c r="H68" s="43">
        <v>1.1820425886259198</v>
      </c>
      <c r="I68" s="3">
        <v>18.001873110213161</v>
      </c>
      <c r="J68" s="3">
        <v>2.7243074941151648</v>
      </c>
      <c r="K68" s="3">
        <v>2.7252949856119248</v>
      </c>
      <c r="L68" s="3">
        <v>7.3699060470178228</v>
      </c>
      <c r="M68" s="3">
        <v>5.6965944272445732</v>
      </c>
      <c r="N68" s="3"/>
      <c r="O68" s="3">
        <f>AVERAGE($H$2:H68)</f>
        <v>16.267539229657586</v>
      </c>
      <c r="P68" s="3">
        <f>AVERAGE($I$2:I68)</f>
        <v>17.592130469391503</v>
      </c>
      <c r="Q68" s="3">
        <f>AVERAGE($J$2:J68)</f>
        <v>16.093454425567383</v>
      </c>
      <c r="R68" s="3">
        <f>AVERAGE($K$2:K68)</f>
        <v>16.782519231692312</v>
      </c>
      <c r="S68" s="3">
        <f>AVERAGE($L$2:L68)</f>
        <v>16.568880227189908</v>
      </c>
      <c r="T68" s="3">
        <f>AVERAGE($M$2:M68)</f>
        <v>11.448491490450559</v>
      </c>
    </row>
    <row r="69" spans="7:20" ht="15.4" x14ac:dyDescent="0.4">
      <c r="G69" s="43">
        <v>12.269938650306749</v>
      </c>
      <c r="H69" s="43">
        <v>16.579465070528656</v>
      </c>
      <c r="I69" s="3">
        <v>28.792569659442751</v>
      </c>
      <c r="J69" s="3">
        <v>13.007679199623237</v>
      </c>
      <c r="K69" s="3">
        <v>13.054533974515492</v>
      </c>
      <c r="L69" s="3">
        <v>20.011894679243198</v>
      </c>
      <c r="M69" s="3">
        <v>16.735294117647044</v>
      </c>
      <c r="N69" s="3"/>
      <c r="O69" s="3">
        <f>AVERAGE($H$2:H69)</f>
        <v>16.272126374376278</v>
      </c>
      <c r="P69" s="3">
        <f>AVERAGE($I$2:I69)</f>
        <v>17.756842810421666</v>
      </c>
      <c r="Q69" s="3">
        <f>AVERAGE($J$2:J69)</f>
        <v>16.048075378127031</v>
      </c>
      <c r="R69" s="3">
        <f>AVERAGE($K$2:K69)</f>
        <v>16.727695919086766</v>
      </c>
      <c r="S69" s="3">
        <f>AVERAGE($L$2:L69)</f>
        <v>16.619512792661279</v>
      </c>
      <c r="T69" s="3">
        <f>AVERAGE($M$2:M69)</f>
        <v>11.526238587909331</v>
      </c>
    </row>
    <row r="70" spans="7:20" ht="15.4" x14ac:dyDescent="0.4">
      <c r="G70" s="43">
        <v>12.306721363206059</v>
      </c>
      <c r="H70" s="43">
        <v>34.769436376554744</v>
      </c>
      <c r="I70" s="3">
        <v>43.160134106025993</v>
      </c>
      <c r="J70" s="3">
        <v>32.258953168044073</v>
      </c>
      <c r="K70" s="3">
        <v>32.159048225316909</v>
      </c>
      <c r="L70" s="3">
        <v>36.788282351570537</v>
      </c>
      <c r="M70" s="3">
        <v>5.6052131619144605</v>
      </c>
      <c r="N70" s="3"/>
      <c r="O70" s="3">
        <f>AVERAGE($H$2:H70)</f>
        <v>16.540203330929589</v>
      </c>
      <c r="P70" s="3">
        <f>AVERAGE($I$2:I70)</f>
        <v>18.125006452386948</v>
      </c>
      <c r="Q70" s="3">
        <f>AVERAGE($J$2:J70)</f>
        <v>16.283015635951916</v>
      </c>
      <c r="R70" s="3">
        <f>AVERAGE($K$2:K70)</f>
        <v>16.95133870613358</v>
      </c>
      <c r="S70" s="3">
        <f>AVERAGE($L$2:L70)</f>
        <v>16.911813800761415</v>
      </c>
      <c r="T70" s="3">
        <f>AVERAGE($M$2:M70)</f>
        <v>11.440426625213751</v>
      </c>
    </row>
    <row r="71" spans="7:20" ht="15.4" x14ac:dyDescent="0.4">
      <c r="G71" s="43">
        <v>12.306721363206059</v>
      </c>
      <c r="H71" s="43">
        <v>41.678092129776786</v>
      </c>
      <c r="I71" s="3">
        <v>47.711519429471309</v>
      </c>
      <c r="J71" s="3">
        <v>39.433497536945815</v>
      </c>
      <c r="K71" s="3">
        <v>39.344173659581379</v>
      </c>
      <c r="L71" s="3">
        <v>42.508837295125502</v>
      </c>
      <c r="M71" s="3">
        <v>1.0234263919039375</v>
      </c>
      <c r="N71" s="3"/>
      <c r="O71" s="3">
        <f>AVERAGE($H$2:H71)</f>
        <v>16.899316028055978</v>
      </c>
      <c r="P71" s="3">
        <f>AVERAGE($I$2:I71)</f>
        <v>18.547670923488152</v>
      </c>
      <c r="Q71" s="3">
        <f>AVERAGE($J$2:J71)</f>
        <v>16.613736805966116</v>
      </c>
      <c r="R71" s="3">
        <f>AVERAGE($K$2:K71)</f>
        <v>17.271236348325694</v>
      </c>
      <c r="S71" s="3">
        <f>AVERAGE($L$2:L71)</f>
        <v>17.277485564966614</v>
      </c>
      <c r="T71" s="3">
        <f>AVERAGE($M$2:M71)</f>
        <v>11.29161233616647</v>
      </c>
    </row>
    <row r="72" spans="7:20" ht="15.4" x14ac:dyDescent="0.4">
      <c r="G72" s="43">
        <v>12.306721363206059</v>
      </c>
      <c r="H72" s="43">
        <v>41.963983835022972</v>
      </c>
      <c r="I72" s="3">
        <v>47.791971218329167</v>
      </c>
      <c r="J72" s="3">
        <v>39.730392156862735</v>
      </c>
      <c r="K72" s="3">
        <v>39.641506141642246</v>
      </c>
      <c r="L72" s="3">
        <v>42.680347765549357</v>
      </c>
      <c r="M72" s="3">
        <v>3.2364434704435037</v>
      </c>
      <c r="N72" s="3"/>
      <c r="O72" s="3">
        <f>AVERAGE($H$2:H72)</f>
        <v>17.252339518294949</v>
      </c>
      <c r="P72" s="3">
        <f>AVERAGE($I$2:I72)</f>
        <v>18.959562476936615</v>
      </c>
      <c r="Q72" s="3">
        <f>AVERAGE($J$2:J72)</f>
        <v>16.939323501049167</v>
      </c>
      <c r="R72" s="3">
        <f>AVERAGE($K$2:K72)</f>
        <v>17.58631057076677</v>
      </c>
      <c r="S72" s="3">
        <f>AVERAGE($L$2:L72)</f>
        <v>17.635272356524119</v>
      </c>
      <c r="T72" s="3">
        <f>AVERAGE($M$2:M72)</f>
        <v>11.178159253550653</v>
      </c>
    </row>
    <row r="73" spans="7:20" ht="15.4" x14ac:dyDescent="0.4">
      <c r="G73" s="43">
        <v>12.5</v>
      </c>
      <c r="H73" s="43">
        <v>16.010020393823218</v>
      </c>
      <c r="I73" s="3">
        <v>3.6940656594536589</v>
      </c>
      <c r="J73" s="3">
        <v>17.558260410039249</v>
      </c>
      <c r="K73" s="3">
        <v>17.647483038854897</v>
      </c>
      <c r="L73" s="3">
        <v>11.51564559285324</v>
      </c>
      <c r="M73" s="3">
        <v>1.9820533948009775</v>
      </c>
      <c r="N73" s="3"/>
      <c r="O73" s="3">
        <f>AVERAGE($H$2:H73)</f>
        <v>17.235085086010617</v>
      </c>
      <c r="P73" s="3">
        <f>AVERAGE($I$2:I73)</f>
        <v>18.747541687804908</v>
      </c>
      <c r="Q73" s="3">
        <f>AVERAGE($J$2:J73)</f>
        <v>16.947919847007363</v>
      </c>
      <c r="R73" s="3">
        <f>AVERAGE($K$2:K73)</f>
        <v>17.587160188379105</v>
      </c>
      <c r="S73" s="3">
        <f>AVERAGE($L$2:L73)</f>
        <v>17.550277540362021</v>
      </c>
      <c r="T73" s="3">
        <f>AVERAGE($M$2:M73)</f>
        <v>11.050435561068021</v>
      </c>
    </row>
    <row r="74" spans="7:20" ht="15.4" x14ac:dyDescent="0.4">
      <c r="G74" s="43">
        <v>14.285714285714288</v>
      </c>
      <c r="H74" s="43">
        <v>34.163991816004405</v>
      </c>
      <c r="I74" s="3">
        <v>42.591083727465382</v>
      </c>
      <c r="J74" s="3">
        <v>67.234957020057323</v>
      </c>
      <c r="K74" s="3">
        <v>29.666686567969318</v>
      </c>
      <c r="L74" s="3">
        <v>34.70344888565571</v>
      </c>
      <c r="M74" s="3">
        <v>6.8481375358166288</v>
      </c>
      <c r="N74" s="3"/>
      <c r="O74" s="3">
        <f>AVERAGE($H$2:H74)</f>
        <v>17.466987917928343</v>
      </c>
      <c r="P74" s="3">
        <f>AVERAGE($I$2:I74)</f>
        <v>19.074165551361897</v>
      </c>
      <c r="Q74" s="3">
        <f>AVERAGE($J$2:J74)</f>
        <v>17.636783369925855</v>
      </c>
      <c r="R74" s="3">
        <f>AVERAGE($K$2:K74)</f>
        <v>17.752633152483078</v>
      </c>
      <c r="S74" s="3">
        <f>AVERAGE($L$2:L74)</f>
        <v>17.785252490297552</v>
      </c>
      <c r="T74" s="3">
        <f>AVERAGE($M$2:M74)</f>
        <v>10.992869834694712</v>
      </c>
    </row>
    <row r="75" spans="7:20" ht="15.4" x14ac:dyDescent="0.4">
      <c r="G75" s="43">
        <v>15</v>
      </c>
      <c r="H75" s="43">
        <v>12.711544748157991</v>
      </c>
      <c r="I75" s="3">
        <v>20.641503339973486</v>
      </c>
      <c r="J75" s="3">
        <v>7.127009345937986</v>
      </c>
      <c r="K75" s="3">
        <v>5.2940747522802125</v>
      </c>
      <c r="L75" s="3">
        <v>9.9431750345120946</v>
      </c>
      <c r="M75" s="3">
        <v>0.57208408050974624</v>
      </c>
      <c r="N75" s="3"/>
      <c r="O75" s="3">
        <f>AVERAGE($H$2:H75)</f>
        <v>17.402725172390905</v>
      </c>
      <c r="P75" s="3">
        <f>AVERAGE($I$2:I75)</f>
        <v>19.095345791748542</v>
      </c>
      <c r="Q75" s="3">
        <f>AVERAGE($J$2:J75)</f>
        <v>17.494759396628719</v>
      </c>
      <c r="R75" s="3">
        <f>AVERAGE($K$2:K75)</f>
        <v>17.58427425518304</v>
      </c>
      <c r="S75" s="3">
        <f>AVERAGE($L$2:L75)</f>
        <v>17.679278470624773</v>
      </c>
      <c r="T75" s="3">
        <f>AVERAGE($M$2:M75)</f>
        <v>10.852048405584105</v>
      </c>
    </row>
    <row r="76" spans="7:20" ht="15.4" x14ac:dyDescent="0.4">
      <c r="G76" s="43">
        <v>15</v>
      </c>
      <c r="H76" s="43">
        <v>16.226877722050542</v>
      </c>
      <c r="I76" s="3">
        <v>1.70108537214931</v>
      </c>
      <c r="J76" s="3">
        <v>18.397081377515459</v>
      </c>
      <c r="K76" s="3">
        <v>19.619844376325844</v>
      </c>
      <c r="L76" s="3">
        <v>11.74408006989951</v>
      </c>
      <c r="M76" s="3">
        <v>4.1495428863554035E-2</v>
      </c>
      <c r="N76" s="3"/>
      <c r="O76" s="3">
        <f>AVERAGE($H$2:H76)</f>
        <v>17.38704720638637</v>
      </c>
      <c r="P76" s="3">
        <f>AVERAGE($I$2:I76)</f>
        <v>18.863422319487217</v>
      </c>
      <c r="Q76" s="3">
        <f>AVERAGE($J$2:J76)</f>
        <v>17.506790356373877</v>
      </c>
      <c r="R76" s="3">
        <f>AVERAGE($K$2:K76)</f>
        <v>17.611415190131609</v>
      </c>
      <c r="S76" s="3">
        <f>AVERAGE($L$2:L76)</f>
        <v>17.600142491948439</v>
      </c>
      <c r="T76" s="3">
        <f>AVERAGE($M$2:M76)</f>
        <v>10.70790769922783</v>
      </c>
    </row>
    <row r="77" spans="7:20" ht="15.4" x14ac:dyDescent="0.4">
      <c r="G77" s="43">
        <v>15</v>
      </c>
      <c r="H77" s="43">
        <v>0.1544464178495277</v>
      </c>
      <c r="I77" s="3">
        <v>9.1348170673575773</v>
      </c>
      <c r="J77" s="3">
        <v>1.7567010309278219</v>
      </c>
      <c r="K77" s="3">
        <v>2.5044598764896393</v>
      </c>
      <c r="L77" s="3">
        <v>1.7966523629030402</v>
      </c>
      <c r="M77" s="3">
        <v>6.4363847139593586</v>
      </c>
      <c r="N77" s="3"/>
      <c r="O77" s="3">
        <f>AVERAGE($H$2:H77)</f>
        <v>17.160302459168779</v>
      </c>
      <c r="P77" s="3">
        <f>AVERAGE($I$2:I77)</f>
        <v>18.735414355643407</v>
      </c>
      <c r="Q77" s="3">
        <f>AVERAGE($J$2:J77)</f>
        <v>17.299552338933797</v>
      </c>
      <c r="R77" s="3">
        <f>AVERAGE($K$2:K77)</f>
        <v>17.412639462320531</v>
      </c>
      <c r="S77" s="3">
        <f>AVERAGE($L$2:L77)</f>
        <v>17.392201832355735</v>
      </c>
      <c r="T77" s="3">
        <f>AVERAGE($M$2:M77)</f>
        <v>10.651703449421666</v>
      </c>
    </row>
    <row r="78" spans="7:20" ht="15.4" x14ac:dyDescent="0.4">
      <c r="G78" s="43">
        <v>15.337423312883436</v>
      </c>
      <c r="H78" s="43">
        <v>11.911008955482774</v>
      </c>
      <c r="I78" s="3">
        <v>27.551020408163279</v>
      </c>
      <c r="J78" s="3">
        <v>6.0176221479799938</v>
      </c>
      <c r="K78" s="3">
        <v>3.8905319723674392</v>
      </c>
      <c r="L78" s="3">
        <v>14.520106847053135</v>
      </c>
      <c r="M78" s="3">
        <v>21.771428571428586</v>
      </c>
      <c r="N78" s="3"/>
      <c r="O78" s="3">
        <f>AVERAGE($H$2:H78)</f>
        <v>17.092129816263768</v>
      </c>
      <c r="P78" s="3">
        <f>AVERAGE($I$2:I78)</f>
        <v>18.849902745935871</v>
      </c>
      <c r="Q78" s="3">
        <f>AVERAGE($J$2:J78)</f>
        <v>17.153033765025306</v>
      </c>
      <c r="R78" s="3">
        <f>AVERAGE($K$2:K78)</f>
        <v>17.237027676736723</v>
      </c>
      <c r="S78" s="3">
        <f>AVERAGE($L$2:L78)</f>
        <v>17.354901897481675</v>
      </c>
      <c r="T78" s="3">
        <f>AVERAGE($M$2:M78)</f>
        <v>10.796115463993186</v>
      </c>
    </row>
    <row r="79" spans="7:20" ht="15.4" x14ac:dyDescent="0.4">
      <c r="G79" s="43">
        <v>15.789473684210526</v>
      </c>
      <c r="H79" s="43">
        <v>30.868285998996605</v>
      </c>
      <c r="I79" s="3">
        <v>44.39755136117364</v>
      </c>
      <c r="J79" s="3">
        <v>25.967477807432704</v>
      </c>
      <c r="K79" s="3">
        <v>23.994191223797117</v>
      </c>
      <c r="L79" s="3">
        <v>33.629468653992944</v>
      </c>
      <c r="M79" s="3">
        <v>14.113924050632903</v>
      </c>
      <c r="N79" s="3"/>
      <c r="O79" s="3">
        <f>AVERAGE($H$2:H79)</f>
        <v>17.268747203221881</v>
      </c>
      <c r="P79" s="3">
        <f>AVERAGE($I$2:I79)</f>
        <v>19.177436702541485</v>
      </c>
      <c r="Q79" s="3">
        <f>AVERAGE($J$2:J79)</f>
        <v>17.266039457876683</v>
      </c>
      <c r="R79" s="3">
        <f>AVERAGE($K$2:K79)</f>
        <v>17.323657978622116</v>
      </c>
      <c r="S79" s="3">
        <f>AVERAGE($L$2:L79)</f>
        <v>17.563550189231819</v>
      </c>
      <c r="T79" s="3">
        <f>AVERAGE($M$2:M79)</f>
        <v>10.838651471514208</v>
      </c>
    </row>
    <row r="80" spans="7:20" ht="15.4" x14ac:dyDescent="0.4">
      <c r="G80" s="43">
        <v>16</v>
      </c>
      <c r="H80" s="43">
        <v>10.669869795468726</v>
      </c>
      <c r="I80" s="3">
        <v>4.5490974933819563</v>
      </c>
      <c r="J80" s="3">
        <v>18.10367503928051</v>
      </c>
      <c r="K80" s="3">
        <v>21.553512535942382</v>
      </c>
      <c r="L80" s="3">
        <v>11.58571138363526</v>
      </c>
      <c r="M80" s="3">
        <v>13.586641707772804</v>
      </c>
      <c r="N80" s="3"/>
      <c r="O80" s="3">
        <f>AVERAGE($H$2:H80)</f>
        <v>17.185217109452854</v>
      </c>
      <c r="P80" s="3">
        <f>AVERAGE($I$2:I80)</f>
        <v>18.992267851792629</v>
      </c>
      <c r="Q80" s="3">
        <f>AVERAGE($J$2:J80)</f>
        <v>17.276642439919769</v>
      </c>
      <c r="R80" s="3">
        <f>AVERAGE($K$2:K80)</f>
        <v>17.377200441373006</v>
      </c>
      <c r="S80" s="3">
        <f>AVERAGE($L$2:L80)</f>
        <v>17.487881343591358</v>
      </c>
      <c r="T80" s="3">
        <f>AVERAGE($M$2:M80)</f>
        <v>10.873436158049127</v>
      </c>
    </row>
    <row r="81" spans="7:20" ht="15.4" x14ac:dyDescent="0.4">
      <c r="G81" s="43">
        <v>16.404</v>
      </c>
      <c r="H81" s="43">
        <v>51.111049088142792</v>
      </c>
      <c r="I81" s="3">
        <v>1.8492070360037531</v>
      </c>
      <c r="J81" s="3">
        <v>62.620138684860649</v>
      </c>
      <c r="K81" s="3">
        <v>67.890339726776588</v>
      </c>
      <c r="L81" s="3">
        <v>17.677025858303537</v>
      </c>
      <c r="M81" s="3">
        <v>24.580976781815441</v>
      </c>
      <c r="N81" s="3"/>
      <c r="O81" s="3">
        <f>AVERAGE($H$2:H81)</f>
        <v>17.609290009186477</v>
      </c>
      <c r="P81" s="3">
        <f>AVERAGE($I$2:I81)</f>
        <v>18.777979591595265</v>
      </c>
      <c r="Q81" s="3">
        <f>AVERAGE($J$2:J81)</f>
        <v>17.843436142981531</v>
      </c>
      <c r="R81" s="3">
        <f>AVERAGE($K$2:K81)</f>
        <v>18.008614682440548</v>
      </c>
      <c r="S81" s="3">
        <f>AVERAGE($L$2:L81)</f>
        <v>17.490245650025258</v>
      </c>
      <c r="T81" s="3">
        <f>AVERAGE($M$2:M81)</f>
        <v>11.044780415846207</v>
      </c>
    </row>
    <row r="82" spans="7:20" ht="15.4" x14ac:dyDescent="0.4">
      <c r="G82" s="43">
        <v>17.7</v>
      </c>
      <c r="H82" s="43">
        <v>22.854066198394257</v>
      </c>
      <c r="I82" s="3">
        <v>46.700644311998538</v>
      </c>
      <c r="J82" s="3">
        <v>19.041009463722403</v>
      </c>
      <c r="K82" s="3">
        <v>15.783724062784069</v>
      </c>
      <c r="L82" s="3">
        <v>36.714408741849006</v>
      </c>
      <c r="M82" s="3">
        <v>25.031656274988006</v>
      </c>
      <c r="N82" s="3"/>
      <c r="O82" s="3">
        <f>AVERAGE($H$2:H82)</f>
        <v>17.674040332510032</v>
      </c>
      <c r="P82" s="3">
        <f>AVERAGE($I$2:I82)</f>
        <v>19.122703847402715</v>
      </c>
      <c r="Q82" s="3">
        <f>AVERAGE($J$2:J82)</f>
        <v>17.858220998793147</v>
      </c>
      <c r="R82" s="3">
        <f>AVERAGE($K$2:K82)</f>
        <v>17.981146897012692</v>
      </c>
      <c r="S82" s="3">
        <f>AVERAGE($L$2:L82)</f>
        <v>17.727580996837897</v>
      </c>
      <c r="T82" s="3">
        <f>AVERAGE($M$2:M82)</f>
        <v>11.217457895588698</v>
      </c>
    </row>
    <row r="83" spans="7:20" ht="15.4" x14ac:dyDescent="0.4">
      <c r="G83" s="43">
        <v>17.723032767280557</v>
      </c>
      <c r="H83" s="43">
        <v>25.630550403117159</v>
      </c>
      <c r="I83" s="3">
        <v>31.816763012942857</v>
      </c>
      <c r="J83" s="3">
        <v>19.576773403734933</v>
      </c>
      <c r="K83" s="3">
        <v>15.887205871340457</v>
      </c>
      <c r="L83" s="3">
        <v>19.986445450392882</v>
      </c>
      <c r="M83" s="3">
        <v>9.101963199206466</v>
      </c>
      <c r="N83" s="3"/>
      <c r="O83" s="3">
        <f>AVERAGE($H$2:H83)</f>
        <v>17.771070943127192</v>
      </c>
      <c r="P83" s="3">
        <f>AVERAGE($I$2:I83)</f>
        <v>19.277509446982471</v>
      </c>
      <c r="Q83" s="3">
        <f>AVERAGE($J$2:J83)</f>
        <v>17.879178954950973</v>
      </c>
      <c r="R83" s="3">
        <f>AVERAGE($K$2:K83)</f>
        <v>17.955611030845958</v>
      </c>
      <c r="S83" s="3">
        <f>AVERAGE($L$2:L83)</f>
        <v>17.755128124320276</v>
      </c>
      <c r="T83" s="3">
        <f>AVERAGE($M$2:M83)</f>
        <v>11.191659179779158</v>
      </c>
    </row>
    <row r="84" spans="7:20" ht="15.4" x14ac:dyDescent="0.4">
      <c r="G84" s="43">
        <v>17.918676774638183</v>
      </c>
      <c r="H84" s="43">
        <v>40.07573737742603</v>
      </c>
      <c r="I84" s="3">
        <v>50.758765091586397</v>
      </c>
      <c r="J84" s="3">
        <v>35.229257641921393</v>
      </c>
      <c r="K84" s="3">
        <v>32.081185296574638</v>
      </c>
      <c r="L84" s="3">
        <v>40.102077738730685</v>
      </c>
      <c r="M84" s="3">
        <v>11.501809869250767</v>
      </c>
      <c r="N84" s="3"/>
      <c r="O84" s="3">
        <f>AVERAGE($H$2:H84)</f>
        <v>18.039801864022358</v>
      </c>
      <c r="P84" s="3">
        <f>AVERAGE($I$2:I84)</f>
        <v>19.656801683664447</v>
      </c>
      <c r="Q84" s="3">
        <f>AVERAGE($J$2:J84)</f>
        <v>18.088216047565076</v>
      </c>
      <c r="R84" s="3">
        <f>AVERAGE($K$2:K84)</f>
        <v>18.125798672601725</v>
      </c>
      <c r="S84" s="3">
        <f>AVERAGE($L$2:L84)</f>
        <v>18.024368481120401</v>
      </c>
      <c r="T84" s="3">
        <f>AVERAGE($M$2:M84)</f>
        <v>11.195395935073996</v>
      </c>
    </row>
    <row r="85" spans="7:20" ht="15.4" x14ac:dyDescent="0.4">
      <c r="G85" s="43">
        <v>17.918676774638183</v>
      </c>
      <c r="H85" s="43">
        <v>47.772954745691948</v>
      </c>
      <c r="I85" s="3">
        <v>55.30300327632898</v>
      </c>
      <c r="J85" s="3">
        <v>43.549000951474774</v>
      </c>
      <c r="K85" s="3">
        <v>40.805295653341922</v>
      </c>
      <c r="L85" s="3">
        <v>46.217938777736997</v>
      </c>
      <c r="M85" s="3">
        <v>2.7713656973520346</v>
      </c>
      <c r="N85" s="3"/>
      <c r="O85" s="3">
        <f>AVERAGE($H$2:H85)</f>
        <v>18.393767969756521</v>
      </c>
      <c r="P85" s="3">
        <f>AVERAGE($I$2:I85)</f>
        <v>20.081161226434261</v>
      </c>
      <c r="Q85" s="3">
        <f>AVERAGE($J$2:J85)</f>
        <v>18.391320629754475</v>
      </c>
      <c r="R85" s="3">
        <f>AVERAGE($K$2:K85)</f>
        <v>18.395792684277204</v>
      </c>
      <c r="S85" s="3">
        <f>AVERAGE($L$2:L85)</f>
        <v>18.360006222746787</v>
      </c>
      <c r="T85" s="3">
        <f>AVERAGE($M$2:M85)</f>
        <v>11.095109860815402</v>
      </c>
    </row>
    <row r="86" spans="7:20" ht="15.4" x14ac:dyDescent="0.4">
      <c r="G86" s="43">
        <v>17.918676774638183</v>
      </c>
      <c r="H86" s="43">
        <v>49.128244149881596</v>
      </c>
      <c r="I86" s="3">
        <v>56.25284376166956</v>
      </c>
      <c r="J86" s="3">
        <v>45.013901760889709</v>
      </c>
      <c r="K86" s="3">
        <v>42.341395488102279</v>
      </c>
      <c r="L86" s="3">
        <v>47.436234424561071</v>
      </c>
      <c r="M86" s="3">
        <v>9.8811751617586641</v>
      </c>
      <c r="N86" s="3"/>
      <c r="O86" s="3">
        <f>AVERAGE($H$2:H86)</f>
        <v>18.755350042463874</v>
      </c>
      <c r="P86" s="3">
        <f>AVERAGE($I$2:I86)</f>
        <v>20.506710432731147</v>
      </c>
      <c r="Q86" s="3">
        <f>AVERAGE($J$2:J86)</f>
        <v>18.704527466591362</v>
      </c>
      <c r="R86" s="3">
        <f>AVERAGE($K$2:K86)</f>
        <v>18.677505658439852</v>
      </c>
      <c r="S86" s="3">
        <f>AVERAGE($L$2:L86)</f>
        <v>18.702079495709306</v>
      </c>
      <c r="T86" s="3">
        <f>AVERAGE($M$2:M86)</f>
        <v>11.080828276120616</v>
      </c>
    </row>
    <row r="87" spans="7:20" ht="15.4" x14ac:dyDescent="0.4">
      <c r="G87" s="43">
        <v>18.404907975460123</v>
      </c>
      <c r="H87" s="43">
        <v>6.9883119869622004</v>
      </c>
      <c r="I87" s="3">
        <v>26.262626262626291</v>
      </c>
      <c r="J87" s="3">
        <v>2.0103757632791708</v>
      </c>
      <c r="K87" s="3">
        <v>7.4129052154154706</v>
      </c>
      <c r="L87" s="3">
        <v>8.1269819898654703</v>
      </c>
      <c r="M87" s="3">
        <v>21.833333333333336</v>
      </c>
      <c r="N87" s="3"/>
      <c r="O87" s="3">
        <f>AVERAGE($H$2:H87)</f>
        <v>18.618524018562692</v>
      </c>
      <c r="P87" s="3">
        <f>AVERAGE($I$2:I87)</f>
        <v>20.573639686567137</v>
      </c>
      <c r="Q87" s="3">
        <f>AVERAGE($J$2:J87)</f>
        <v>18.510409423529591</v>
      </c>
      <c r="R87" s="3">
        <f>AVERAGE($K$2:K87)</f>
        <v>18.546521932358175</v>
      </c>
      <c r="S87" s="3">
        <f>AVERAGE($L$2:L87)</f>
        <v>18.579113245641356</v>
      </c>
      <c r="T87" s="3">
        <f>AVERAGE($M$2:M87)</f>
        <v>11.205857404692859</v>
      </c>
    </row>
    <row r="88" spans="7:20" ht="15.4" x14ac:dyDescent="0.4">
      <c r="G88" s="43">
        <v>19.230769230769234</v>
      </c>
      <c r="H88" s="43">
        <v>4.0704291633581811</v>
      </c>
      <c r="I88" s="3">
        <v>28.012353727388462</v>
      </c>
      <c r="J88" s="3">
        <v>5.3330573793117155</v>
      </c>
      <c r="K88" s="3">
        <v>11.898927184629269</v>
      </c>
      <c r="L88" s="3">
        <v>8.9625389411471694</v>
      </c>
      <c r="M88" s="3">
        <v>6.5336658354114716</v>
      </c>
      <c r="N88" s="3"/>
      <c r="O88" s="3">
        <f>AVERAGE($H$2:H88)</f>
        <v>18.451304537468385</v>
      </c>
      <c r="P88" s="3">
        <f>AVERAGE($I$2:I88)</f>
        <v>20.659142146806463</v>
      </c>
      <c r="Q88" s="3">
        <f>AVERAGE($J$2:J88)</f>
        <v>18.358945606929385</v>
      </c>
      <c r="R88" s="3">
        <f>AVERAGE($K$2:K88)</f>
        <v>18.470112797326806</v>
      </c>
      <c r="S88" s="3">
        <f>AVERAGE($L$2:L88)</f>
        <v>18.46857790880809</v>
      </c>
      <c r="T88" s="3">
        <f>AVERAGE($M$2:M88)</f>
        <v>11.152154053321809</v>
      </c>
    </row>
    <row r="89" spans="7:20" ht="15.4" x14ac:dyDescent="0.4">
      <c r="G89" s="43">
        <v>19.5</v>
      </c>
      <c r="H89" s="43">
        <v>34.516870552228511</v>
      </c>
      <c r="I89" s="3">
        <v>1.3216940769347102E-14</v>
      </c>
      <c r="J89" s="3">
        <v>48.407806527514282</v>
      </c>
      <c r="K89" s="3">
        <v>58.13577190748164</v>
      </c>
      <c r="L89" s="3">
        <v>27.386283424356151</v>
      </c>
      <c r="M89" s="3">
        <v>29.619047619047624</v>
      </c>
      <c r="N89" s="3"/>
      <c r="O89" s="3">
        <f>AVERAGE($H$2:H89)</f>
        <v>18.633867787636117</v>
      </c>
      <c r="P89" s="3">
        <f>AVERAGE($I$2:I89)</f>
        <v>20.424379167865482</v>
      </c>
      <c r="Q89" s="3">
        <f>AVERAGE($J$2:J89)</f>
        <v>18.700409935572395</v>
      </c>
      <c r="R89" s="3">
        <f>AVERAGE($K$2:K89)</f>
        <v>18.920858923578567</v>
      </c>
      <c r="S89" s="3">
        <f>AVERAGE($L$2:L89)</f>
        <v>18.569915471484773</v>
      </c>
      <c r="T89" s="3">
        <f>AVERAGE($M$2:M89)</f>
        <v>11.362005116568692</v>
      </c>
    </row>
    <row r="90" spans="7:20" ht="15.4" x14ac:dyDescent="0.4">
      <c r="G90" s="43">
        <v>19.704433497536947</v>
      </c>
      <c r="H90" s="43">
        <v>80.331122355487466</v>
      </c>
      <c r="I90" s="3">
        <v>81.018522672189093</v>
      </c>
      <c r="J90" s="3">
        <v>78.150996596499695</v>
      </c>
      <c r="K90" s="3">
        <v>76.663817315743145</v>
      </c>
      <c r="L90" s="3">
        <v>77.15578705928003</v>
      </c>
      <c r="M90" s="3">
        <v>42.404340208597908</v>
      </c>
      <c r="N90" s="3"/>
      <c r="O90" s="3">
        <f>AVERAGE($H$2:H90)</f>
        <v>19.327095367050173</v>
      </c>
      <c r="P90" s="3">
        <f>AVERAGE($I$2:I90)</f>
        <v>21.105212240947772</v>
      </c>
      <c r="Q90" s="3">
        <f>AVERAGE($J$2:J90)</f>
        <v>19.368394055358095</v>
      </c>
      <c r="R90" s="3">
        <f>AVERAGE($K$2:K90)</f>
        <v>19.569656208883789</v>
      </c>
      <c r="S90" s="3">
        <f>AVERAGE($L$2:L90)</f>
        <v>19.228183691572362</v>
      </c>
      <c r="T90" s="3">
        <f>AVERAGE($M$2:M90)</f>
        <v>11.710795398501606</v>
      </c>
    </row>
    <row r="91" spans="7:20" ht="15.4" x14ac:dyDescent="0.4">
      <c r="G91" s="43">
        <v>20</v>
      </c>
      <c r="H91" s="43">
        <v>10.538992026568152</v>
      </c>
      <c r="I91" s="3">
        <v>18.164021876462051</v>
      </c>
      <c r="J91" s="3">
        <v>22.674913217001354</v>
      </c>
      <c r="K91" s="3">
        <v>31.458961921662933</v>
      </c>
      <c r="L91" s="3">
        <v>5.2494528197810011</v>
      </c>
      <c r="M91" s="3">
        <v>7.8181818181818148</v>
      </c>
      <c r="N91" s="3"/>
      <c r="O91" s="3">
        <f>AVERAGE($H$2:H91)</f>
        <v>19.229449774378153</v>
      </c>
      <c r="P91" s="3">
        <f>AVERAGE($I$2:I91)</f>
        <v>21.072532348009041</v>
      </c>
      <c r="Q91" s="3">
        <f>AVERAGE($J$2:J91)</f>
        <v>19.405133157154133</v>
      </c>
      <c r="R91" s="3">
        <f>AVERAGE($K$2:K91)</f>
        <v>19.701759605692445</v>
      </c>
      <c r="S91" s="3">
        <f>AVERAGE($L$2:L91)</f>
        <v>19.072864459663567</v>
      </c>
      <c r="T91" s="3">
        <f>AVERAGE($M$2:M91)</f>
        <v>11.667544136498051</v>
      </c>
    </row>
    <row r="92" spans="7:20" ht="15.4" x14ac:dyDescent="0.4">
      <c r="G92" s="43">
        <v>20</v>
      </c>
      <c r="H92" s="43">
        <v>32.45765805511855</v>
      </c>
      <c r="I92" s="3">
        <v>1.649184241554465E-14</v>
      </c>
      <c r="J92" s="3">
        <v>47.288026623506845</v>
      </c>
      <c r="K92" s="3">
        <v>57.843245959565913</v>
      </c>
      <c r="L92" s="3">
        <v>28.61876095158355</v>
      </c>
      <c r="M92" s="3">
        <v>42.930297969587791</v>
      </c>
      <c r="N92" s="3"/>
      <c r="O92" s="3">
        <f>AVERAGE($H$2:H92)</f>
        <v>19.374814700540135</v>
      </c>
      <c r="P92" s="3">
        <f>AVERAGE($I$2:I92)</f>
        <v>20.840966058470482</v>
      </c>
      <c r="Q92" s="3">
        <f>AVERAGE($J$2:J92)</f>
        <v>19.711538579861305</v>
      </c>
      <c r="R92" s="3">
        <f>AVERAGE($K$2:K92)</f>
        <v>20.120896818372373</v>
      </c>
      <c r="S92" s="3">
        <f>AVERAGE($L$2:L92)</f>
        <v>19.177764421113238</v>
      </c>
      <c r="T92" s="3">
        <f>AVERAGE($M$2:M92)</f>
        <v>12.011090881916621</v>
      </c>
    </row>
    <row r="93" spans="7:20" ht="15.4" x14ac:dyDescent="0.4">
      <c r="G93" s="43">
        <v>20</v>
      </c>
      <c r="H93" s="43">
        <v>30.547599729992967</v>
      </c>
      <c r="I93" s="3">
        <v>7.7098032124954665</v>
      </c>
      <c r="J93" s="3">
        <v>44.245048759834674</v>
      </c>
      <c r="K93" s="3">
        <v>54.538653647760938</v>
      </c>
      <c r="L93" s="3">
        <v>18.403157061945347</v>
      </c>
      <c r="M93" s="3">
        <v>2.1054852320675104</v>
      </c>
      <c r="N93" s="3"/>
      <c r="O93" s="3">
        <f>AVERAGE($H$2:H93)</f>
        <v>19.496258016077665</v>
      </c>
      <c r="P93" s="3">
        <f>AVERAGE($I$2:I93)</f>
        <v>20.69823602753597</v>
      </c>
      <c r="Q93" s="3">
        <f>AVERAGE($J$2:J93)</f>
        <v>19.978207168774055</v>
      </c>
      <c r="R93" s="3">
        <f>AVERAGE($K$2:K93)</f>
        <v>20.495002870865726</v>
      </c>
      <c r="S93" s="3">
        <f>AVERAGE($L$2:L93)</f>
        <v>19.169344775904893</v>
      </c>
      <c r="T93" s="3">
        <f>AVERAGE($M$2:M93)</f>
        <v>11.903421255287828</v>
      </c>
    </row>
    <row r="94" spans="7:20" ht="15.4" x14ac:dyDescent="0.4">
      <c r="G94" s="43">
        <v>20</v>
      </c>
      <c r="H94" s="43">
        <v>27.126424470245187</v>
      </c>
      <c r="I94" s="3">
        <v>3.7202837492697221</v>
      </c>
      <c r="J94" s="3">
        <v>40.472816555594513</v>
      </c>
      <c r="K94" s="3">
        <v>50.488760584786583</v>
      </c>
      <c r="L94" s="3">
        <v>31.004419331720108</v>
      </c>
      <c r="M94" s="3">
        <v>38.251309416933417</v>
      </c>
      <c r="N94" s="3"/>
      <c r="O94" s="3">
        <f>AVERAGE($H$2:H94)</f>
        <v>19.578302816660113</v>
      </c>
      <c r="P94" s="3">
        <f>AVERAGE($I$2:I94)</f>
        <v>20.515677400887945</v>
      </c>
      <c r="Q94" s="3">
        <f>AVERAGE($J$2:J94)</f>
        <v>20.198579312718365</v>
      </c>
      <c r="R94" s="3">
        <f>AVERAGE($K$2:K94)</f>
        <v>20.817516394671326</v>
      </c>
      <c r="S94" s="3">
        <f>AVERAGE($L$2:L94)</f>
        <v>19.296603642096454</v>
      </c>
      <c r="T94" s="3">
        <f>AVERAGE($M$2:M94)</f>
        <v>12.186731880681867</v>
      </c>
    </row>
    <row r="95" spans="7:20" ht="15.4" x14ac:dyDescent="0.4">
      <c r="G95" s="43">
        <v>20</v>
      </c>
      <c r="H95" s="43">
        <v>2.1441894606906171</v>
      </c>
      <c r="I95" s="3">
        <v>14.039721327106855</v>
      </c>
      <c r="J95" s="3">
        <v>9.0632198772662971</v>
      </c>
      <c r="K95" s="3">
        <v>16.882717838157539</v>
      </c>
      <c r="L95" s="3">
        <v>7.46153966592657</v>
      </c>
      <c r="M95" s="3">
        <v>44.504234573568397</v>
      </c>
      <c r="N95" s="3"/>
      <c r="O95" s="3">
        <f>AVERAGE($H$2:H95)</f>
        <v>19.392833525639158</v>
      </c>
      <c r="P95" s="3">
        <f>AVERAGE($I$2:I95)</f>
        <v>20.446784251166871</v>
      </c>
      <c r="Q95" s="3">
        <f>AVERAGE($J$2:J95)</f>
        <v>20.080118042128447</v>
      </c>
      <c r="R95" s="3">
        <f>AVERAGE($K$2:K95)</f>
        <v>20.775656835559477</v>
      </c>
      <c r="S95" s="3">
        <f>AVERAGE($L$2:L95)</f>
        <v>19.170698706179749</v>
      </c>
      <c r="T95" s="3">
        <f>AVERAGE($M$2:M95)</f>
        <v>12.530535100818957</v>
      </c>
    </row>
    <row r="96" spans="7:20" ht="15.4" x14ac:dyDescent="0.4">
      <c r="G96" s="43">
        <v>20</v>
      </c>
      <c r="H96" s="43">
        <v>5.2956508922236374</v>
      </c>
      <c r="I96" s="3">
        <v>27.840675218253192</v>
      </c>
      <c r="J96" s="3">
        <v>5.1181993156162422</v>
      </c>
      <c r="K96" s="3">
        <v>12.645723704607747</v>
      </c>
      <c r="L96" s="3">
        <v>7.4372299526762564</v>
      </c>
      <c r="M96" s="3">
        <v>4.9899799599198467</v>
      </c>
      <c r="N96" s="3"/>
      <c r="O96" s="3">
        <f>AVERAGE($H$2:H96)</f>
        <v>19.244442129497944</v>
      </c>
      <c r="P96" s="3">
        <f>AVERAGE($I$2:I96)</f>
        <v>20.52461468239936</v>
      </c>
      <c r="Q96" s="3">
        <f>AVERAGE($J$2:J96)</f>
        <v>19.92262416079674</v>
      </c>
      <c r="R96" s="3">
        <f>AVERAGE($K$2:K96)</f>
        <v>20.690078592075775</v>
      </c>
      <c r="S96" s="3">
        <f>AVERAGE($L$2:L96)</f>
        <v>19.04718850877445</v>
      </c>
      <c r="T96" s="3">
        <f>AVERAGE($M$2:M96)</f>
        <v>12.451160836177912</v>
      </c>
    </row>
    <row r="97" spans="7:20" ht="15.4" x14ac:dyDescent="0.4">
      <c r="G97" s="43">
        <v>20</v>
      </c>
      <c r="H97" s="43">
        <v>27.545466484427816</v>
      </c>
      <c r="I97" s="3">
        <v>41.283479006255789</v>
      </c>
      <c r="J97" s="3">
        <v>19.602409638554214</v>
      </c>
      <c r="K97" s="3">
        <v>14.543719246244191</v>
      </c>
      <c r="L97" s="3">
        <v>25.978525436435145</v>
      </c>
      <c r="M97" s="3">
        <v>3.9633556502178438E-2</v>
      </c>
      <c r="N97" s="3"/>
      <c r="O97" s="3">
        <f>AVERAGE($H$2:H97)</f>
        <v>19.33091113319513</v>
      </c>
      <c r="P97" s="3">
        <f>AVERAGE($I$2:I97)</f>
        <v>20.740852852439531</v>
      </c>
      <c r="Q97" s="3">
        <f>AVERAGE($J$2:J97)</f>
        <v>19.919288592856713</v>
      </c>
      <c r="R97" s="3">
        <f>AVERAGE($K$2:K97)</f>
        <v>20.626054015556694</v>
      </c>
      <c r="S97" s="3">
        <f>AVERAGE($L$2:L97)</f>
        <v>19.119389935104248</v>
      </c>
      <c r="T97" s="3">
        <f>AVERAGE($M$2:M97)</f>
        <v>12.32187409368129</v>
      </c>
    </row>
    <row r="98" spans="7:20" ht="15.4" x14ac:dyDescent="0.4">
      <c r="G98" s="43">
        <v>20</v>
      </c>
      <c r="H98" s="43">
        <v>13.56542617046818</v>
      </c>
      <c r="I98" s="3">
        <v>32.021060658668084</v>
      </c>
      <c r="J98" s="3">
        <v>4.2247191011235916</v>
      </c>
      <c r="K98" s="3">
        <v>1.556786530469666</v>
      </c>
      <c r="L98" s="3">
        <v>14.126541476130511</v>
      </c>
      <c r="M98" s="3">
        <v>7.9101422735610841E-2</v>
      </c>
      <c r="N98" s="3"/>
      <c r="O98" s="3">
        <f>AVERAGE($H$2:H98)</f>
        <v>19.271473143888667</v>
      </c>
      <c r="P98" s="3">
        <f>AVERAGE($I$2:I98)</f>
        <v>20.857143654565601</v>
      </c>
      <c r="Q98" s="3">
        <f>AVERAGE($J$2:J98)</f>
        <v>19.757488907374928</v>
      </c>
      <c r="R98" s="3">
        <f>AVERAGE($K$2:K98)</f>
        <v>20.429463629112497</v>
      </c>
      <c r="S98" s="3">
        <f>AVERAGE($L$2:L98)</f>
        <v>19.067917270578747</v>
      </c>
      <c r="T98" s="3">
        <f>AVERAGE($M$2:M98)</f>
        <v>12.195659942434428</v>
      </c>
    </row>
    <row r="99" spans="7:20" ht="15.4" x14ac:dyDescent="0.4">
      <c r="G99" s="43">
        <v>20</v>
      </c>
      <c r="H99" s="43">
        <v>12.839325018341896</v>
      </c>
      <c r="I99" s="3">
        <v>31.435427794785131</v>
      </c>
      <c r="J99" s="3">
        <v>3.4680851063829747</v>
      </c>
      <c r="K99" s="3">
        <v>2.29435889798645</v>
      </c>
      <c r="L99" s="3">
        <v>13.476273580098278</v>
      </c>
      <c r="M99" s="3">
        <v>0.17186335821999055</v>
      </c>
      <c r="N99" s="3"/>
      <c r="O99" s="3">
        <f>AVERAGE($H$2:H99)</f>
        <v>19.205838979342271</v>
      </c>
      <c r="P99" s="3">
        <f>AVERAGE($I$2:I99)</f>
        <v>20.965085329465801</v>
      </c>
      <c r="Q99" s="3">
        <f>AVERAGE($J$2:J99)</f>
        <v>19.591270501242356</v>
      </c>
      <c r="R99" s="3">
        <f>AVERAGE($K$2:K99)</f>
        <v>20.244411540019378</v>
      </c>
      <c r="S99" s="3">
        <f>AVERAGE($L$2:L99)</f>
        <v>19.010859681900374</v>
      </c>
      <c r="T99" s="3">
        <f>AVERAGE($M$2:M99)</f>
        <v>12.072968140554689</v>
      </c>
    </row>
    <row r="100" spans="7:20" ht="15.4" x14ac:dyDescent="0.4">
      <c r="G100" s="43">
        <v>20</v>
      </c>
      <c r="H100" s="43">
        <v>63.216942880762097</v>
      </c>
      <c r="I100" s="3">
        <v>67.824667454488832</v>
      </c>
      <c r="J100" s="3">
        <v>58.998473136431251</v>
      </c>
      <c r="K100" s="3">
        <v>56.058758894493231</v>
      </c>
      <c r="L100" s="3">
        <v>59.722501239778545</v>
      </c>
      <c r="M100" s="3">
        <v>1.91578947368421</v>
      </c>
      <c r="N100" s="3"/>
      <c r="O100" s="3">
        <f>AVERAGE($H$2:H100)</f>
        <v>19.650395584407118</v>
      </c>
      <c r="P100" s="3">
        <f>AVERAGE($I$2:I100)</f>
        <v>21.438414441839772</v>
      </c>
      <c r="Q100" s="3">
        <f>AVERAGE($J$2:J100)</f>
        <v>19.989323053112955</v>
      </c>
      <c r="R100" s="3">
        <f>AVERAGE($K$2:K100)</f>
        <v>20.606172624408</v>
      </c>
      <c r="S100" s="3">
        <f>AVERAGE($L$2:L100)</f>
        <v>19.422088384505205</v>
      </c>
      <c r="T100" s="3">
        <f>AVERAGE($M$2:M100)</f>
        <v>11.970370376242867</v>
      </c>
    </row>
    <row r="101" spans="7:20" ht="15.4" x14ac:dyDescent="0.4">
      <c r="G101" s="43">
        <v>20</v>
      </c>
      <c r="H101" s="43">
        <v>53.526230110801876</v>
      </c>
      <c r="I101" s="3">
        <v>57.965785852836724</v>
      </c>
      <c r="J101" s="3">
        <v>48.732320379796718</v>
      </c>
      <c r="K101" s="3">
        <v>45.080317927785721</v>
      </c>
      <c r="L101" s="3">
        <v>48.436696377070341</v>
      </c>
      <c r="M101" s="3">
        <v>31.209532374100728</v>
      </c>
      <c r="N101" s="3"/>
      <c r="O101" s="3">
        <f>AVERAGE($H$2:H101)</f>
        <v>19.989153929671065</v>
      </c>
      <c r="P101" s="3">
        <f>AVERAGE($I$2:I101)</f>
        <v>21.80368815594974</v>
      </c>
      <c r="Q101" s="3">
        <f>AVERAGE($J$2:J101)</f>
        <v>20.27675302637979</v>
      </c>
      <c r="R101" s="3">
        <f>AVERAGE($K$2:K101)</f>
        <v>20.850914077441779</v>
      </c>
      <c r="S101" s="3">
        <f>AVERAGE($L$2:L101)</f>
        <v>19.712234464430857</v>
      </c>
      <c r="T101" s="3">
        <f>AVERAGE($M$2:M101)</f>
        <v>12.162761996221445</v>
      </c>
    </row>
    <row r="102" spans="7:20" ht="15.4" x14ac:dyDescent="0.4">
      <c r="G102" s="43">
        <v>20</v>
      </c>
      <c r="H102" s="43">
        <v>23.080486247760511</v>
      </c>
      <c r="I102" s="3">
        <v>3.2882251353578709</v>
      </c>
      <c r="J102" s="3">
        <v>26.936738484754517</v>
      </c>
      <c r="K102" s="3">
        <v>31.391247803251645</v>
      </c>
      <c r="L102" s="3">
        <v>18.893118130640065</v>
      </c>
      <c r="M102" s="3">
        <v>1.7638539425348738</v>
      </c>
      <c r="N102" s="3"/>
      <c r="O102" s="3">
        <f>AVERAGE($H$2:H102)</f>
        <v>20.019761180345217</v>
      </c>
      <c r="P102" s="3">
        <f>AVERAGE($I$2:I102)</f>
        <v>21.620366739904277</v>
      </c>
      <c r="Q102" s="3">
        <f>AVERAGE($J$2:J102)</f>
        <v>20.342693476462706</v>
      </c>
      <c r="R102" s="3">
        <f>AVERAGE($K$2:K102)</f>
        <v>20.955273817301283</v>
      </c>
      <c r="S102" s="3">
        <f>AVERAGE($L$2:L102)</f>
        <v>19.704124401720055</v>
      </c>
      <c r="T102" s="3">
        <f>AVERAGE($M$2:M102)</f>
        <v>12.059802510541381</v>
      </c>
    </row>
    <row r="103" spans="7:20" ht="15.4" x14ac:dyDescent="0.4">
      <c r="G103" s="43">
        <v>20</v>
      </c>
      <c r="H103" s="43">
        <v>7.0672424423533071</v>
      </c>
      <c r="I103" s="3">
        <v>5.7766731298301126</v>
      </c>
      <c r="J103" s="3">
        <v>9.9309749784296688</v>
      </c>
      <c r="K103" s="3">
        <v>13.089049907894076</v>
      </c>
      <c r="L103" s="3">
        <v>6.2127067661598074</v>
      </c>
      <c r="M103" s="3">
        <v>1.8517346915315025</v>
      </c>
      <c r="N103" s="3"/>
      <c r="O103" s="3">
        <f>AVERAGE($H$2:H103)</f>
        <v>19.892775702521767</v>
      </c>
      <c r="P103" s="3">
        <f>AVERAGE($I$2:I103)</f>
        <v>21.465036410393747</v>
      </c>
      <c r="Q103" s="3">
        <f>AVERAGE($J$2:J103)</f>
        <v>20.240617804913363</v>
      </c>
      <c r="R103" s="3">
        <f>AVERAGE($K$2:K103)</f>
        <v>20.878153975052193</v>
      </c>
      <c r="S103" s="3">
        <f>AVERAGE($L$2:L103)</f>
        <v>19.571855601371425</v>
      </c>
      <c r="T103" s="3">
        <f>AVERAGE($M$2:M103)</f>
        <v>11.959723414276578</v>
      </c>
    </row>
    <row r="104" spans="7:20" ht="15.4" x14ac:dyDescent="0.4">
      <c r="G104" s="43">
        <v>20</v>
      </c>
      <c r="H104" s="43">
        <v>6.2910528789293405</v>
      </c>
      <c r="I104" s="3">
        <v>7.1887543056288168</v>
      </c>
      <c r="J104" s="3">
        <v>9.621272988815182</v>
      </c>
      <c r="K104" s="3">
        <v>13.468141813894071</v>
      </c>
      <c r="L104" s="3">
        <v>5.6980961522977953</v>
      </c>
      <c r="M104" s="3">
        <v>0.33132056092570261</v>
      </c>
      <c r="N104" s="3"/>
      <c r="O104" s="3">
        <f>AVERAGE($H$2:H104)</f>
        <v>19.760720141127667</v>
      </c>
      <c r="P104" s="3">
        <f>AVERAGE($I$2:I104)</f>
        <v>21.326431729764959</v>
      </c>
      <c r="Q104" s="3">
        <f>AVERAGE($J$2:J104)</f>
        <v>20.137517369805614</v>
      </c>
      <c r="R104" s="3">
        <f>AVERAGE($K$2:K104)</f>
        <v>20.806212109409881</v>
      </c>
      <c r="S104" s="3">
        <f>AVERAGE($L$2:L104)</f>
        <v>19.437158907691096</v>
      </c>
      <c r="T104" s="3">
        <f>AVERAGE($M$2:M104)</f>
        <v>11.8468262991955</v>
      </c>
    </row>
    <row r="105" spans="7:20" ht="15.4" x14ac:dyDescent="0.4">
      <c r="G105" s="43">
        <v>21</v>
      </c>
      <c r="H105" s="43">
        <v>32.666099748552938</v>
      </c>
      <c r="I105" s="3">
        <v>40.93660957946382</v>
      </c>
      <c r="J105" s="3">
        <v>24.126882918689688</v>
      </c>
      <c r="K105" s="3">
        <v>17.710906391975531</v>
      </c>
      <c r="L105" s="3">
        <v>24.639172501650229</v>
      </c>
      <c r="M105" s="3">
        <v>4.9909331216568509</v>
      </c>
      <c r="N105" s="3"/>
      <c r="O105" s="3">
        <f>AVERAGE($H$2:H105)</f>
        <v>19.884810329660603</v>
      </c>
      <c r="P105" s="3">
        <f>AVERAGE($I$2:I105)</f>
        <v>21.51499113216591</v>
      </c>
      <c r="Q105" s="3">
        <f>AVERAGE($J$2:J105)</f>
        <v>20.1758766539295</v>
      </c>
      <c r="R105" s="3">
        <f>AVERAGE($K$2:K105)</f>
        <v>20.776449554434553</v>
      </c>
      <c r="S105" s="3">
        <f>AVERAGE($L$2:L105)</f>
        <v>19.487178269171473</v>
      </c>
      <c r="T105" s="3">
        <f>AVERAGE($M$2:M105)</f>
        <v>11.780904249411474</v>
      </c>
    </row>
    <row r="106" spans="7:20" ht="15.4" x14ac:dyDescent="0.4">
      <c r="G106" s="43">
        <v>21.837999999999997</v>
      </c>
      <c r="H106" s="43">
        <v>72.32781292584437</v>
      </c>
      <c r="I106" s="3">
        <v>2.2581825271146312</v>
      </c>
      <c r="J106" s="3">
        <v>95.875196747234995</v>
      </c>
      <c r="K106" s="3">
        <v>114.67988367402879</v>
      </c>
      <c r="L106" s="3">
        <v>25.402332847004971</v>
      </c>
      <c r="M106" s="3">
        <v>29.31642495513896</v>
      </c>
      <c r="N106" s="3"/>
      <c r="O106" s="3">
        <f>AVERAGE($H$2:H106)</f>
        <v>20.384267497243304</v>
      </c>
      <c r="P106" s="3">
        <f>AVERAGE($I$2:I106)</f>
        <v>21.331592954974948</v>
      </c>
      <c r="Q106" s="3">
        <f>AVERAGE($J$2:J106)</f>
        <v>20.896822559580031</v>
      </c>
      <c r="R106" s="3">
        <f>AVERAGE($K$2:K106)</f>
        <v>21.67076797462116</v>
      </c>
      <c r="S106" s="3">
        <f>AVERAGE($L$2:L106)</f>
        <v>19.543513074674649</v>
      </c>
      <c r="T106" s="3">
        <f>AVERAGE($M$2:M106)</f>
        <v>11.947909208513641</v>
      </c>
    </row>
    <row r="107" spans="7:20" ht="15.4" x14ac:dyDescent="0.4">
      <c r="G107" s="43">
        <v>23</v>
      </c>
      <c r="H107" s="43">
        <v>25.688274890813222</v>
      </c>
      <c r="I107" s="3">
        <v>47.446260001266239</v>
      </c>
      <c r="J107" s="3">
        <v>15.682352941176466</v>
      </c>
      <c r="K107" s="3">
        <v>6.3297581585418978</v>
      </c>
      <c r="L107" s="3">
        <v>29.219034921886156</v>
      </c>
      <c r="M107" s="3">
        <v>36.084430239936466</v>
      </c>
      <c r="N107" s="3"/>
      <c r="O107" s="3">
        <f>AVERAGE($H$2:H107)</f>
        <v>20.434305302843022</v>
      </c>
      <c r="P107" s="3">
        <f>AVERAGE($I$2:I107)</f>
        <v>21.577957738430523</v>
      </c>
      <c r="Q107" s="3">
        <f>AVERAGE($J$2:J107)</f>
        <v>20.847629449972448</v>
      </c>
      <c r="R107" s="3">
        <f>AVERAGE($K$2:K107)</f>
        <v>21.526041466922301</v>
      </c>
      <c r="S107" s="3">
        <f>AVERAGE($L$2:L107)</f>
        <v>19.634791582667212</v>
      </c>
      <c r="T107" s="3">
        <f>AVERAGE($M$2:M107)</f>
        <v>12.175612237111968</v>
      </c>
    </row>
    <row r="108" spans="7:20" ht="15.4" x14ac:dyDescent="0.4">
      <c r="G108" s="43">
        <v>24.667931688804558</v>
      </c>
      <c r="H108" s="43">
        <v>50.810530542960628</v>
      </c>
      <c r="I108" s="3">
        <v>60.174272232532225</v>
      </c>
      <c r="J108" s="3">
        <v>43.092550790067719</v>
      </c>
      <c r="K108" s="3">
        <v>35.387968459139458</v>
      </c>
      <c r="L108" s="3">
        <v>45.155260024609149</v>
      </c>
      <c r="M108" s="3">
        <v>13.838551568524448</v>
      </c>
      <c r="N108" s="3"/>
      <c r="O108" s="3">
        <f>AVERAGE($H$2:H108)</f>
        <v>20.71819525835814</v>
      </c>
      <c r="P108" s="3">
        <f>AVERAGE($I$2:I108)</f>
        <v>21.938670958001566</v>
      </c>
      <c r="Q108" s="3">
        <f>AVERAGE($J$2:J108)</f>
        <v>21.055525911094833</v>
      </c>
      <c r="R108" s="3">
        <f>AVERAGE($K$2:K108)</f>
        <v>21.655592186475733</v>
      </c>
      <c r="S108" s="3">
        <f>AVERAGE($L$2:L108)</f>
        <v>19.873300633526483</v>
      </c>
      <c r="T108" s="3">
        <f>AVERAGE($M$2:M108)</f>
        <v>12.19115372619059</v>
      </c>
    </row>
    <row r="109" spans="7:20" ht="15.4" x14ac:dyDescent="0.4">
      <c r="G109" s="43">
        <v>24.667931688804558</v>
      </c>
      <c r="H109" s="43">
        <v>50.810530542960628</v>
      </c>
      <c r="I109" s="3">
        <v>62.304355352132703</v>
      </c>
      <c r="J109" s="3">
        <v>43.092550790067719</v>
      </c>
      <c r="K109" s="3">
        <v>35.387968459139458</v>
      </c>
      <c r="L109" s="3">
        <v>47.780213042068162</v>
      </c>
      <c r="M109" s="3">
        <v>33.080053061729565</v>
      </c>
      <c r="N109" s="3"/>
      <c r="O109" s="3">
        <f>AVERAGE($H$2:H109)</f>
        <v>20.996827992474831</v>
      </c>
      <c r="P109" s="3">
        <f>AVERAGE($I$2:I109)</f>
        <v>22.312427294984264</v>
      </c>
      <c r="Q109" s="3">
        <f>AVERAGE($J$2:J109)</f>
        <v>21.259572437751991</v>
      </c>
      <c r="R109" s="3">
        <f>AVERAGE($K$2:K109)</f>
        <v>21.782743818630024</v>
      </c>
      <c r="S109" s="3">
        <f>AVERAGE($L$2:L109)</f>
        <v>20.131697970642609</v>
      </c>
      <c r="T109" s="3">
        <f>AVERAGE($M$2:M109)</f>
        <v>12.384569460778915</v>
      </c>
    </row>
    <row r="110" spans="7:20" ht="15.4" x14ac:dyDescent="0.4">
      <c r="G110" s="43">
        <v>24.667931688804558</v>
      </c>
      <c r="H110" s="43">
        <v>59.893984718769744</v>
      </c>
      <c r="I110" s="3">
        <v>67.316552555510683</v>
      </c>
      <c r="J110" s="3">
        <v>53.601226993865026</v>
      </c>
      <c r="K110" s="3">
        <v>47.319392688464006</v>
      </c>
      <c r="L110" s="3">
        <v>55.031129132613643</v>
      </c>
      <c r="M110" s="3">
        <v>33.455890220138031</v>
      </c>
      <c r="N110" s="3"/>
      <c r="O110" s="3">
        <f>AVERAGE($H$2:H110)</f>
        <v>21.353682641339923</v>
      </c>
      <c r="P110" s="3">
        <f>AVERAGE($I$2:I110)</f>
        <v>22.725309178108358</v>
      </c>
      <c r="Q110" s="3">
        <f>AVERAGE($J$2:J110)</f>
        <v>21.556284864872296</v>
      </c>
      <c r="R110" s="3">
        <f>AVERAGE($K$2:K110)</f>
        <v>22.017025000922082</v>
      </c>
      <c r="S110" s="3">
        <f>AVERAGE($L$2:L110)</f>
        <v>20.45187623818363</v>
      </c>
      <c r="T110" s="3">
        <f>AVERAGE($M$2:M110)</f>
        <v>12.577884330130832</v>
      </c>
    </row>
    <row r="111" spans="7:20" ht="15.4" x14ac:dyDescent="0.4">
      <c r="G111" s="43">
        <v>24.807747080603818</v>
      </c>
      <c r="H111" s="43">
        <v>32.522583386870409</v>
      </c>
      <c r="I111" s="3">
        <v>40.146229843398096</v>
      </c>
      <c r="J111" s="3">
        <v>21.668633579563277</v>
      </c>
      <c r="K111" s="3">
        <v>10.722938381844934</v>
      </c>
      <c r="L111" s="3">
        <v>18.349473016398797</v>
      </c>
      <c r="M111" s="3">
        <v>9.222732940966246</v>
      </c>
      <c r="N111" s="3"/>
      <c r="O111" s="3">
        <f>AVERAGE($H$2:H111)</f>
        <v>21.455218102662929</v>
      </c>
      <c r="P111" s="3">
        <f>AVERAGE($I$2:I111)</f>
        <v>22.883681184156448</v>
      </c>
      <c r="Q111" s="3">
        <f>AVERAGE($J$2:J111)</f>
        <v>21.557306216824035</v>
      </c>
      <c r="R111" s="3">
        <f>AVERAGE($K$2:K111)</f>
        <v>21.914351486203199</v>
      </c>
      <c r="S111" s="3">
        <f>AVERAGE($L$2:L111)</f>
        <v>20.432763481621951</v>
      </c>
      <c r="T111" s="3">
        <f>AVERAGE($M$2:M111)</f>
        <v>12.5473829538657</v>
      </c>
    </row>
    <row r="112" spans="7:20" ht="15.4" x14ac:dyDescent="0.4">
      <c r="G112" s="43">
        <v>25</v>
      </c>
      <c r="H112" s="43">
        <v>27.601961100555172</v>
      </c>
      <c r="I112" s="3">
        <v>2.7672886640736869</v>
      </c>
      <c r="J112" s="3">
        <v>33.487477776335602</v>
      </c>
      <c r="K112" s="3">
        <v>42.370448018469695</v>
      </c>
      <c r="L112" s="3">
        <v>24.381106843311596</v>
      </c>
      <c r="M112" s="3">
        <v>1.6170074043665494</v>
      </c>
      <c r="N112" s="3"/>
      <c r="O112" s="3">
        <f>AVERAGE($H$2:H112)</f>
        <v>21.510594165707001</v>
      </c>
      <c r="P112" s="3">
        <f>AVERAGE($I$2:I112)</f>
        <v>22.702452422714256</v>
      </c>
      <c r="Q112" s="3">
        <f>AVERAGE($J$2:J112)</f>
        <v>21.664785239882697</v>
      </c>
      <c r="R112" s="3">
        <f>AVERAGE($K$2:K112)</f>
        <v>22.098640644151544</v>
      </c>
      <c r="S112" s="3">
        <f>AVERAGE($L$2:L112)</f>
        <v>20.468334142538072</v>
      </c>
      <c r="T112" s="3">
        <f>AVERAGE($M$2:M112)</f>
        <v>12.448911102068411</v>
      </c>
    </row>
    <row r="113" spans="7:20" ht="15.4" x14ac:dyDescent="0.4">
      <c r="G113" s="43">
        <v>25</v>
      </c>
      <c r="H113" s="43">
        <v>7.5451642687994491</v>
      </c>
      <c r="I113" s="3">
        <v>8.1493283422768688</v>
      </c>
      <c r="J113" s="3">
        <v>11.763540290620874</v>
      </c>
      <c r="K113" s="3">
        <v>17.989625330155675</v>
      </c>
      <c r="L113" s="3">
        <v>8.4247907301686151</v>
      </c>
      <c r="M113" s="3">
        <v>3.3306333313730465</v>
      </c>
      <c r="N113" s="3"/>
      <c r="O113" s="3">
        <f>AVERAGE($H$2:H113)</f>
        <v>21.385902827341756</v>
      </c>
      <c r="P113" s="3">
        <f>AVERAGE($I$2:I113)</f>
        <v>22.57251381485321</v>
      </c>
      <c r="Q113" s="3">
        <f>AVERAGE($J$2:J113)</f>
        <v>21.57638126712143</v>
      </c>
      <c r="R113" s="3">
        <f>AVERAGE($K$2:K113)</f>
        <v>22.06195300741944</v>
      </c>
      <c r="S113" s="3">
        <f>AVERAGE($L$2:L113)</f>
        <v>20.36080250492763</v>
      </c>
      <c r="T113" s="3">
        <f>AVERAGE($M$2:M113)</f>
        <v>12.367497907687204</v>
      </c>
    </row>
    <row r="114" spans="7:20" ht="15.4" x14ac:dyDescent="0.4">
      <c r="G114" s="43">
        <v>25</v>
      </c>
      <c r="H114" s="43">
        <v>8.740977677250136</v>
      </c>
      <c r="I114" s="3">
        <v>8.0214896603466634</v>
      </c>
      <c r="J114" s="3">
        <v>13.756549788683289</v>
      </c>
      <c r="K114" s="3">
        <v>21.32651862361665</v>
      </c>
      <c r="L114" s="3">
        <v>10.195053033687069</v>
      </c>
      <c r="M114" s="3">
        <v>0.10417926035297871</v>
      </c>
      <c r="N114" s="3"/>
      <c r="O114" s="3">
        <f>AVERAGE($H$2:H114)</f>
        <v>21.274000834863067</v>
      </c>
      <c r="P114" s="3">
        <f>AVERAGE($I$2:I114)</f>
        <v>22.44374368959209</v>
      </c>
      <c r="Q114" s="3">
        <f>AVERAGE($J$2:J114)</f>
        <v>21.507179218639678</v>
      </c>
      <c r="R114" s="3">
        <f>AVERAGE($K$2:K114)</f>
        <v>22.055444738536231</v>
      </c>
      <c r="S114" s="3">
        <f>AVERAGE($L$2:L114)</f>
        <v>20.270840120226389</v>
      </c>
      <c r="T114" s="3">
        <f>AVERAGE($M$2:M114)</f>
        <v>12.258972963905485</v>
      </c>
    </row>
    <row r="115" spans="7:20" ht="15.4" x14ac:dyDescent="0.4">
      <c r="G115" s="43">
        <v>25.8</v>
      </c>
      <c r="H115" s="43">
        <v>41.179969609898279</v>
      </c>
      <c r="I115" s="3">
        <v>0.44494912655968699</v>
      </c>
      <c r="J115" s="3">
        <v>54.011511216056654</v>
      </c>
      <c r="K115" s="3">
        <v>72.23818992090213</v>
      </c>
      <c r="L115" s="3">
        <v>31.839597900552612</v>
      </c>
      <c r="M115" s="3">
        <v>5.2500948033650123E-2</v>
      </c>
      <c r="N115" s="3"/>
      <c r="O115" s="3">
        <f>AVERAGE($H$2:H115)</f>
        <v>21.448614596047587</v>
      </c>
      <c r="P115" s="3">
        <f>AVERAGE($I$2:I115)</f>
        <v>22.250771807460225</v>
      </c>
      <c r="Q115" s="3">
        <f>AVERAGE($J$2:J115)</f>
        <v>21.792304937915265</v>
      </c>
      <c r="R115" s="3">
        <f>AVERAGE($K$2:K115)</f>
        <v>22.495644257679789</v>
      </c>
      <c r="S115" s="3">
        <f>AVERAGE($L$2:L115)</f>
        <v>20.37232045163276</v>
      </c>
      <c r="T115" s="3">
        <f>AVERAGE($M$2:M115)</f>
        <v>12.151898647976784</v>
      </c>
    </row>
    <row r="116" spans="7:20" ht="15.4" x14ac:dyDescent="0.4">
      <c r="G116" s="43">
        <v>26</v>
      </c>
      <c r="H116" s="43">
        <v>10.489115725459268</v>
      </c>
      <c r="I116" s="3">
        <v>12.649088642744866</v>
      </c>
      <c r="J116" s="3">
        <v>30.356156188579824</v>
      </c>
      <c r="K116" s="3">
        <v>51.344568927379086</v>
      </c>
      <c r="L116" s="3">
        <v>24.794471955057844</v>
      </c>
      <c r="M116" s="3">
        <v>34.605234825041819</v>
      </c>
      <c r="N116" s="3"/>
      <c r="O116" s="3">
        <f>AVERAGE($H$2:H116)</f>
        <v>21.353314605868558</v>
      </c>
      <c r="P116" s="3">
        <f>AVERAGE($I$2:I116)</f>
        <v>22.167278910375746</v>
      </c>
      <c r="Q116" s="3">
        <f>AVERAGE($J$2:J116)</f>
        <v>21.866773209660174</v>
      </c>
      <c r="R116" s="3">
        <f>AVERAGE($K$2:K116)</f>
        <v>22.746504472198914</v>
      </c>
      <c r="S116" s="3">
        <f>AVERAGE($L$2:L116)</f>
        <v>20.410773942966891</v>
      </c>
      <c r="T116" s="3">
        <f>AVERAGE($M$2:M116)</f>
        <v>12.347145049516481</v>
      </c>
    </row>
    <row r="117" spans="7:20" ht="15.4" x14ac:dyDescent="0.4">
      <c r="G117" s="43">
        <v>26.905829596412556</v>
      </c>
      <c r="H117" s="43">
        <v>86.737731634482003</v>
      </c>
      <c r="I117" s="3">
        <v>87.36267954696099</v>
      </c>
      <c r="J117" s="3">
        <v>83.913598085118522</v>
      </c>
      <c r="K117" s="3">
        <v>80.988473876509246</v>
      </c>
      <c r="L117" s="3">
        <v>81.702735429850875</v>
      </c>
      <c r="M117" s="3">
        <v>22.071243895432346</v>
      </c>
      <c r="N117" s="3"/>
      <c r="O117" s="3">
        <f>AVERAGE($H$2:H117)</f>
        <v>21.916973373356605</v>
      </c>
      <c r="P117" s="3">
        <f>AVERAGE($I$2:I117)</f>
        <v>22.729308226208374</v>
      </c>
      <c r="Q117" s="3">
        <f>AVERAGE($J$2:J117)</f>
        <v>22.401659631000332</v>
      </c>
      <c r="R117" s="3">
        <f>AVERAGE($K$2:K117)</f>
        <v>23.248590415339518</v>
      </c>
      <c r="S117" s="3">
        <f>AVERAGE($L$2:L117)</f>
        <v>20.939152921302096</v>
      </c>
      <c r="T117" s="3">
        <f>AVERAGE($M$2:M117)</f>
        <v>12.430973487843342</v>
      </c>
    </row>
    <row r="118" spans="7:20" ht="15.4" x14ac:dyDescent="0.4">
      <c r="G118" s="43">
        <v>27.027027027027025</v>
      </c>
      <c r="H118" s="43">
        <v>0.33121169949461143</v>
      </c>
      <c r="I118" s="3">
        <v>32.558455358688192</v>
      </c>
      <c r="J118" s="3">
        <v>20.112198105675105</v>
      </c>
      <c r="K118" s="3">
        <v>41.844352145394154</v>
      </c>
      <c r="L118" s="3">
        <v>1.2718877515945939</v>
      </c>
      <c r="M118" s="3">
        <v>15.723404255319142</v>
      </c>
      <c r="N118" s="3"/>
      <c r="O118" s="3">
        <f>AVERAGE($H$2:H118)</f>
        <v>21.732479683836416</v>
      </c>
      <c r="P118" s="3">
        <f>AVERAGE($I$2:I118)</f>
        <v>22.813318030759483</v>
      </c>
      <c r="Q118" s="3">
        <f>AVERAGE($J$2:J118)</f>
        <v>22.382091583775328</v>
      </c>
      <c r="R118" s="3">
        <f>AVERAGE($K$2:K118)</f>
        <v>23.407528549784431</v>
      </c>
      <c r="S118" s="3">
        <f>AVERAGE($L$2:L118)</f>
        <v>20.771056637800321</v>
      </c>
      <c r="T118" s="3">
        <f>AVERAGE($M$2:M118)</f>
        <v>12.459113921753392</v>
      </c>
    </row>
    <row r="119" spans="7:20" ht="15.4" x14ac:dyDescent="0.4">
      <c r="G119" s="43">
        <v>27.027027027027028</v>
      </c>
      <c r="H119" s="43">
        <v>38.114975632805496</v>
      </c>
      <c r="I119" s="3">
        <v>48.447543417435753</v>
      </c>
      <c r="J119" s="3">
        <v>24.699724873413885</v>
      </c>
      <c r="K119" s="3">
        <v>10.801186745649808</v>
      </c>
      <c r="L119" s="3">
        <v>23.537085907511692</v>
      </c>
      <c r="M119" s="3">
        <v>46.316725978647675</v>
      </c>
      <c r="N119" s="3"/>
      <c r="O119" s="3">
        <f>AVERAGE($H$2:H119)</f>
        <v>21.871314395268357</v>
      </c>
      <c r="P119" s="3">
        <f>AVERAGE($I$2:I119)</f>
        <v>23.030557228951654</v>
      </c>
      <c r="Q119" s="3">
        <f>AVERAGE($J$2:J119)</f>
        <v>22.401732543857008</v>
      </c>
      <c r="R119" s="3">
        <f>AVERAGE($K$2:K119)</f>
        <v>23.300695144664644</v>
      </c>
      <c r="S119" s="3">
        <f>AVERAGE($L$2:L119)</f>
        <v>20.794497563814822</v>
      </c>
      <c r="T119" s="3">
        <f>AVERAGE($M$2:M119)</f>
        <v>12.746042837489783</v>
      </c>
    </row>
    <row r="120" spans="7:20" ht="15.4" x14ac:dyDescent="0.4">
      <c r="G120" s="43">
        <v>27.027027027027028</v>
      </c>
      <c r="H120" s="43">
        <v>57.659333130686804</v>
      </c>
      <c r="I120" s="3">
        <v>64.885632371404881</v>
      </c>
      <c r="J120" s="3">
        <v>48.506168922760004</v>
      </c>
      <c r="K120" s="3">
        <v>39.006444451686797</v>
      </c>
      <c r="L120" s="3">
        <v>47.922464898630082</v>
      </c>
      <c r="M120" s="3">
        <v>3.0813397129186613</v>
      </c>
      <c r="N120" s="3"/>
      <c r="O120" s="3">
        <f>AVERAGE($H$2:H120)</f>
        <v>22.172054048507167</v>
      </c>
      <c r="P120" s="3">
        <f>AVERAGE($I$2:I120)</f>
        <v>23.382280549476473</v>
      </c>
      <c r="Q120" s="3">
        <f>AVERAGE($J$2:J120)</f>
        <v>22.621097555444429</v>
      </c>
      <c r="R120" s="3">
        <f>AVERAGE($K$2:K120)</f>
        <v>23.432676231278279</v>
      </c>
      <c r="S120" s="3">
        <f>AVERAGE($L$2:L120)</f>
        <v>21.022463675872093</v>
      </c>
      <c r="T120" s="3">
        <f>AVERAGE($M$2:M120)</f>
        <v>12.664826844846328</v>
      </c>
    </row>
    <row r="121" spans="7:20" ht="15.4" x14ac:dyDescent="0.4">
      <c r="G121" s="43">
        <v>27.284000000000002</v>
      </c>
      <c r="H121" s="43">
        <v>93.837809650393567</v>
      </c>
      <c r="I121" s="3">
        <v>3.9393615670101787</v>
      </c>
      <c r="J121" s="3">
        <v>136.23899572941804</v>
      </c>
      <c r="K121" s="3">
        <v>181.00587163239322</v>
      </c>
      <c r="L121" s="3">
        <v>32.064820160688271</v>
      </c>
      <c r="M121" s="3">
        <v>33.045135438111892</v>
      </c>
      <c r="N121" s="3"/>
      <c r="O121" s="3">
        <f>AVERAGE($H$2:H121)</f>
        <v>22.769268678522888</v>
      </c>
      <c r="P121" s="3">
        <f>AVERAGE($I$2:I121)</f>
        <v>23.220256224622585</v>
      </c>
      <c r="Q121" s="3">
        <f>AVERAGE($J$2:J121)</f>
        <v>23.567913373560877</v>
      </c>
      <c r="R121" s="3">
        <f>AVERAGE($K$2:K121)</f>
        <v>24.745786192954238</v>
      </c>
      <c r="S121" s="3">
        <f>AVERAGE($L$2:L121)</f>
        <v>21.114483313245561</v>
      </c>
      <c r="T121" s="3">
        <f>AVERAGE($M$2:M121)</f>
        <v>12.834662749790207</v>
      </c>
    </row>
    <row r="122" spans="7:20" ht="15.4" x14ac:dyDescent="0.4">
      <c r="G122" s="43">
        <v>28.999999999999996</v>
      </c>
      <c r="H122" s="43">
        <v>30.401529333773613</v>
      </c>
      <c r="I122" s="3">
        <v>41.847998523675145</v>
      </c>
      <c r="J122" s="3">
        <v>12.881190798808301</v>
      </c>
      <c r="K122" s="3">
        <v>6.9924376533579693</v>
      </c>
      <c r="L122" s="3">
        <v>9.0046857106127121</v>
      </c>
      <c r="M122" s="3">
        <v>23.074520170354866</v>
      </c>
      <c r="N122" s="3"/>
      <c r="O122" s="3">
        <f>AVERAGE($H$2:H122)</f>
        <v>22.8323452128638</v>
      </c>
      <c r="P122" s="3">
        <f>AVERAGE($I$2:I122)</f>
        <v>23.374204508085828</v>
      </c>
      <c r="Q122" s="3">
        <f>AVERAGE($J$2:J122)</f>
        <v>23.479593352281931</v>
      </c>
      <c r="R122" s="3">
        <f>AVERAGE($K$2:K122)</f>
        <v>24.599064304197245</v>
      </c>
      <c r="S122" s="3">
        <f>AVERAGE($L$2:L122)</f>
        <v>21.014402341322974</v>
      </c>
      <c r="T122" s="3">
        <f>AVERAGE($M$2:M122)</f>
        <v>12.919289670621319</v>
      </c>
    </row>
    <row r="123" spans="7:20" ht="15.4" x14ac:dyDescent="0.4">
      <c r="G123" s="43">
        <v>30</v>
      </c>
      <c r="H123" s="43">
        <v>5.4847887940468283</v>
      </c>
      <c r="I123" s="3">
        <v>32.311749807718421</v>
      </c>
      <c r="J123" s="3">
        <v>32.562347922342347</v>
      </c>
      <c r="K123" s="3">
        <v>65.658144534992687</v>
      </c>
      <c r="L123" s="3">
        <v>6.0269407346164225</v>
      </c>
      <c r="M123" s="3">
        <v>15.533333333333326</v>
      </c>
      <c r="N123" s="3"/>
      <c r="O123" s="3">
        <f>AVERAGE($H$2:H123)</f>
        <v>22.690152127463662</v>
      </c>
      <c r="P123" s="3">
        <f>AVERAGE($I$2:I123)</f>
        <v>23.447463076115604</v>
      </c>
      <c r="Q123" s="3">
        <f>AVERAGE($J$2:J123)</f>
        <v>23.554042160233244</v>
      </c>
      <c r="R123" s="3">
        <f>AVERAGE($K$2:K123)</f>
        <v>24.935614142154584</v>
      </c>
      <c r="S123" s="3">
        <f>AVERAGE($L$2:L123)</f>
        <v>20.891554295366362</v>
      </c>
      <c r="T123" s="3">
        <f>AVERAGE($M$2:M123)</f>
        <v>12.940716258020599</v>
      </c>
    </row>
    <row r="124" spans="7:20" ht="15.4" x14ac:dyDescent="0.4">
      <c r="G124" s="43">
        <v>30</v>
      </c>
      <c r="H124" s="43">
        <v>21.953161620651642</v>
      </c>
      <c r="I124" s="3">
        <v>26.854735054851002</v>
      </c>
      <c r="J124" s="3">
        <v>51.531752233305724</v>
      </c>
      <c r="K124" s="3">
        <v>88.763026500708975</v>
      </c>
      <c r="L124" s="3">
        <v>12.077363618326016</v>
      </c>
      <c r="M124" s="3">
        <v>22.821444395214886</v>
      </c>
      <c r="N124" s="3"/>
      <c r="O124" s="3">
        <f>AVERAGE($H$2:H124)</f>
        <v>22.684160334725352</v>
      </c>
      <c r="P124" s="3">
        <f>AVERAGE($I$2:I124)</f>
        <v>23.475164474316706</v>
      </c>
      <c r="Q124" s="3">
        <f>AVERAGE($J$2:J124)</f>
        <v>23.7815032177379</v>
      </c>
      <c r="R124" s="3">
        <f>AVERAGE($K$2:K124)</f>
        <v>25.454536193850149</v>
      </c>
      <c r="S124" s="3">
        <f>AVERAGE($L$2:L124)</f>
        <v>20.819894208561159</v>
      </c>
      <c r="T124" s="3">
        <f>AVERAGE($M$2:M124)</f>
        <v>13.02104738108722</v>
      </c>
    </row>
    <row r="125" spans="7:20" ht="15.4" x14ac:dyDescent="0.4">
      <c r="G125" s="43">
        <v>30</v>
      </c>
      <c r="H125" s="43">
        <v>6.9054794758690541</v>
      </c>
      <c r="I125" s="3">
        <v>31.101123685622547</v>
      </c>
      <c r="J125" s="3">
        <v>15.671296296296292</v>
      </c>
      <c r="K125" s="3">
        <v>44.09469349740526</v>
      </c>
      <c r="L125" s="3">
        <v>8.3538533413898755</v>
      </c>
      <c r="M125" s="3">
        <v>18.674691358024678</v>
      </c>
      <c r="N125" s="3"/>
      <c r="O125" s="3">
        <f>AVERAGE($H$2:H125)</f>
        <v>22.556912908444254</v>
      </c>
      <c r="P125" s="3">
        <f>AVERAGE($I$2:I125)</f>
        <v>23.536664145375624</v>
      </c>
      <c r="Q125" s="3">
        <f>AVERAGE($J$2:J125)</f>
        <v>23.716098323210144</v>
      </c>
      <c r="R125" s="3">
        <f>AVERAGE($K$2:K125)</f>
        <v>25.604860043072367</v>
      </c>
      <c r="S125" s="3">
        <f>AVERAGE($L$2:L125)</f>
        <v>20.71936162092268</v>
      </c>
      <c r="T125" s="3">
        <f>AVERAGE($M$2:M125)</f>
        <v>13.066641284127037</v>
      </c>
    </row>
    <row r="126" spans="7:20" ht="15.4" x14ac:dyDescent="0.4">
      <c r="G126" s="43">
        <v>30</v>
      </c>
      <c r="H126" s="43">
        <v>9.6887582491981128</v>
      </c>
      <c r="I126" s="3">
        <v>39.552266837532741</v>
      </c>
      <c r="J126" s="3">
        <v>13.53986929084331</v>
      </c>
      <c r="K126" s="3">
        <v>41.901346840999437</v>
      </c>
      <c r="L126" s="3">
        <v>4.7089069958623897</v>
      </c>
      <c r="M126" s="3">
        <v>16.886930983847297</v>
      </c>
      <c r="N126" s="3"/>
      <c r="O126" s="3">
        <f>AVERAGE($H$2:H126)</f>
        <v>22.453967671170286</v>
      </c>
      <c r="P126" s="3">
        <f>AVERAGE($I$2:I126)</f>
        <v>23.66478896691288</v>
      </c>
      <c r="Q126" s="3">
        <f>AVERAGE($J$2:J126)</f>
        <v>23.634688490951209</v>
      </c>
      <c r="R126" s="3">
        <f>AVERAGE($K$2:K126)</f>
        <v>25.735231937455783</v>
      </c>
      <c r="S126" s="3">
        <f>AVERAGE($L$2:L126)</f>
        <v>20.591277983922197</v>
      </c>
      <c r="T126" s="3">
        <f>AVERAGE($M$2:M126)</f>
        <v>13.097203601724798</v>
      </c>
    </row>
    <row r="127" spans="7:20" ht="15.4" x14ac:dyDescent="0.4">
      <c r="G127" s="43">
        <v>30</v>
      </c>
      <c r="H127" s="43">
        <v>21.35060573571818</v>
      </c>
      <c r="I127" s="3">
        <v>35.13046034556038</v>
      </c>
      <c r="J127" s="3">
        <v>4.949705322870912E-2</v>
      </c>
      <c r="K127" s="3">
        <v>25.237995114392177</v>
      </c>
      <c r="L127" s="3">
        <v>4.5403777075356162</v>
      </c>
      <c r="M127" s="3">
        <v>35.657191255547147</v>
      </c>
      <c r="N127" s="3"/>
      <c r="O127" s="3">
        <f>AVERAGE($H$2:H127)</f>
        <v>22.445210830412726</v>
      </c>
      <c r="P127" s="3">
        <f>AVERAGE($I$2:I127)</f>
        <v>23.755786358806912</v>
      </c>
      <c r="Q127" s="3">
        <f>AVERAGE($J$2:J127)</f>
        <v>23.447504431921665</v>
      </c>
      <c r="R127" s="3">
        <f>AVERAGE($K$2:K127)</f>
        <v>25.731285613463214</v>
      </c>
      <c r="S127" s="3">
        <f>AVERAGE($L$2:L127)</f>
        <v>20.463889886490559</v>
      </c>
      <c r="T127" s="3">
        <f>AVERAGE($M$2:M127)</f>
        <v>13.276251122786881</v>
      </c>
    </row>
    <row r="128" spans="7:20" ht="15.4" x14ac:dyDescent="0.4">
      <c r="G128" s="43">
        <v>30</v>
      </c>
      <c r="H128" s="43">
        <v>8.4277383395110927</v>
      </c>
      <c r="I128" s="3">
        <v>27.669433550901836</v>
      </c>
      <c r="J128" s="3">
        <v>37.406756876538061</v>
      </c>
      <c r="K128" s="3">
        <v>72.062559384954909</v>
      </c>
      <c r="L128" s="3">
        <v>14.761631631799659</v>
      </c>
      <c r="M128" s="3">
        <v>0.72096128170893992</v>
      </c>
      <c r="N128" s="3"/>
      <c r="O128" s="3">
        <f>AVERAGE($H$2:H128)</f>
        <v>22.334837031271771</v>
      </c>
      <c r="P128" s="3">
        <f>AVERAGE($I$2:I128)</f>
        <v>23.786602478429707</v>
      </c>
      <c r="Q128" s="3">
        <f>AVERAGE($J$2:J128)</f>
        <v>23.557419805501322</v>
      </c>
      <c r="R128" s="3">
        <f>AVERAGE($K$2:K128)</f>
        <v>26.096098792766302</v>
      </c>
      <c r="S128" s="3">
        <f>AVERAGE($L$2:L128)</f>
        <v>20.41899021519378</v>
      </c>
      <c r="T128" s="3">
        <f>AVERAGE($M$2:M128)</f>
        <v>13.177390572857133</v>
      </c>
    </row>
    <row r="129" spans="7:20" ht="15.4" x14ac:dyDescent="0.4">
      <c r="G129" s="43">
        <v>30</v>
      </c>
      <c r="H129" s="43">
        <v>39.194076605439278</v>
      </c>
      <c r="I129" s="3">
        <v>49.600862542038278</v>
      </c>
      <c r="J129" s="3">
        <v>22.697109774845462</v>
      </c>
      <c r="K129" s="3">
        <v>3.1316758401341773</v>
      </c>
      <c r="L129" s="3">
        <v>18.752004134585754</v>
      </c>
      <c r="M129" s="3">
        <v>48.413333333333327</v>
      </c>
      <c r="N129" s="3"/>
      <c r="O129" s="3">
        <f>AVERAGE($H$2:H129)</f>
        <v>22.466549840444955</v>
      </c>
      <c r="P129" s="3">
        <f>AVERAGE($I$2:I129)</f>
        <v>23.988276385176647</v>
      </c>
      <c r="Q129" s="3">
        <f>AVERAGE($J$2:J129)</f>
        <v>23.550698633386823</v>
      </c>
      <c r="R129" s="3">
        <f>AVERAGE($K$2:K129)</f>
        <v>25.916689238448861</v>
      </c>
      <c r="S129" s="3">
        <f>AVERAGE($L$2:L129)</f>
        <v>20.405966886439028</v>
      </c>
      <c r="T129" s="3">
        <f>AVERAGE($M$2:M129)</f>
        <v>13.452671375673354</v>
      </c>
    </row>
    <row r="130" spans="7:20" ht="15.4" x14ac:dyDescent="0.4">
      <c r="G130" s="43">
        <v>30</v>
      </c>
      <c r="H130" s="43">
        <v>44.404952992432939</v>
      </c>
      <c r="I130" s="3">
        <v>59.254422502513158</v>
      </c>
      <c r="J130" s="3">
        <v>30.492857142857137</v>
      </c>
      <c r="K130" s="3">
        <v>14.918477037881232</v>
      </c>
      <c r="L130" s="3">
        <v>36.493500725445472</v>
      </c>
      <c r="M130" s="3">
        <v>33.532591202533425</v>
      </c>
      <c r="N130" s="3"/>
      <c r="O130" s="3">
        <f>AVERAGE($H$2:H130)</f>
        <v>22.63661498115804</v>
      </c>
      <c r="P130" s="3">
        <f>AVERAGE($I$2:I130)</f>
        <v>24.26165736283042</v>
      </c>
      <c r="Q130" s="3">
        <f>AVERAGE($J$2:J130)</f>
        <v>23.604513815630778</v>
      </c>
      <c r="R130" s="3">
        <f>AVERAGE($K$2:K130)</f>
        <v>25.83143177952973</v>
      </c>
      <c r="S130" s="3">
        <f>AVERAGE($L$2:L130)</f>
        <v>20.530676451082488</v>
      </c>
      <c r="T130" s="3">
        <f>AVERAGE($M$2:M130)</f>
        <v>13.608329668904828</v>
      </c>
    </row>
    <row r="131" spans="7:20" ht="15.4" x14ac:dyDescent="0.4">
      <c r="G131" s="43">
        <v>30</v>
      </c>
      <c r="H131" s="43">
        <v>31.508650031689388</v>
      </c>
      <c r="I131" s="3">
        <v>51.953012210291135</v>
      </c>
      <c r="J131" s="3">
        <v>14.80689655172413</v>
      </c>
      <c r="K131" s="3">
        <v>3.6008000056788232</v>
      </c>
      <c r="L131" s="3">
        <v>25.936703015196738</v>
      </c>
      <c r="M131" s="3">
        <v>31.900208728261443</v>
      </c>
      <c r="N131" s="3"/>
      <c r="O131" s="3">
        <f>AVERAGE($H$2:H131)</f>
        <v>22.704861404623664</v>
      </c>
      <c r="P131" s="3">
        <f>AVERAGE($I$2:I131)</f>
        <v>24.47466778473396</v>
      </c>
      <c r="Q131" s="3">
        <f>AVERAGE($J$2:J131)</f>
        <v>23.53683983667765</v>
      </c>
      <c r="R131" s="3">
        <f>AVERAGE($K$2:K131)</f>
        <v>25.660426919730877</v>
      </c>
      <c r="S131" s="3">
        <f>AVERAGE($L$2:L131)</f>
        <v>20.572261270806443</v>
      </c>
      <c r="T131" s="3">
        <f>AVERAGE($M$2:M131)</f>
        <v>13.74903643089988</v>
      </c>
    </row>
    <row r="132" spans="7:20" ht="15.4" x14ac:dyDescent="0.4">
      <c r="G132" s="43">
        <v>30</v>
      </c>
      <c r="H132" s="43">
        <v>30.919077728811406</v>
      </c>
      <c r="I132" s="3">
        <v>51.522259059680295</v>
      </c>
      <c r="J132" s="3">
        <v>14.196078431372552</v>
      </c>
      <c r="K132" s="3">
        <v>4.1349070101293073</v>
      </c>
      <c r="L132" s="3">
        <v>25.456010326703034</v>
      </c>
      <c r="M132" s="3">
        <v>31.959612072884962</v>
      </c>
      <c r="N132" s="3"/>
      <c r="O132" s="3">
        <f>AVERAGE($H$2:H132)</f>
        <v>22.767565346029677</v>
      </c>
      <c r="P132" s="3">
        <f>AVERAGE($I$2:I132)</f>
        <v>24.681137947138133</v>
      </c>
      <c r="Q132" s="3">
        <f>AVERAGE($J$2:J132)</f>
        <v>23.465536314499747</v>
      </c>
      <c r="R132" s="3">
        <f>AVERAGE($K$2:K132)</f>
        <v>25.496109973856058</v>
      </c>
      <c r="S132" s="3">
        <f>AVERAGE($L$2:L132)</f>
        <v>20.609541797950691</v>
      </c>
      <c r="T132" s="3">
        <f>AVERAGE($M$2:M132)</f>
        <v>13.888048458701292</v>
      </c>
    </row>
    <row r="133" spans="7:20" ht="15.4" x14ac:dyDescent="0.4">
      <c r="G133" s="43">
        <v>30</v>
      </c>
      <c r="H133" s="43">
        <v>72.192413081755774</v>
      </c>
      <c r="I133" s="3">
        <v>77.207156707605805</v>
      </c>
      <c r="J133" s="3">
        <v>64.648068494593957</v>
      </c>
      <c r="K133" s="3">
        <v>55.700461512256481</v>
      </c>
      <c r="L133" s="3">
        <v>63.253368423921415</v>
      </c>
      <c r="M133" s="3">
        <v>36.329268292682919</v>
      </c>
      <c r="N133" s="3"/>
      <c r="O133" s="3">
        <f>AVERAGE($H$2:H133)</f>
        <v>23.141996010694267</v>
      </c>
      <c r="P133" s="3">
        <f>AVERAGE($I$2:I133)</f>
        <v>25.07906233168713</v>
      </c>
      <c r="Q133" s="3">
        <f>AVERAGE($J$2:J133)</f>
        <v>23.777525194651979</v>
      </c>
      <c r="R133" s="3">
        <f>AVERAGE($K$2:K133)</f>
        <v>25.724930818843937</v>
      </c>
      <c r="S133" s="3">
        <f>AVERAGE($L$2:L133)</f>
        <v>20.932601090571683</v>
      </c>
      <c r="T133" s="3">
        <f>AVERAGE($M$2:M133)</f>
        <v>14.058057699867819</v>
      </c>
    </row>
    <row r="134" spans="7:20" ht="15.4" x14ac:dyDescent="0.4">
      <c r="G134" s="43">
        <v>30</v>
      </c>
      <c r="H134" s="43">
        <v>44.92520200917231</v>
      </c>
      <c r="I134" s="3">
        <v>52.558876916203268</v>
      </c>
      <c r="J134" s="3">
        <v>31.84632021746518</v>
      </c>
      <c r="K134" s="3">
        <v>15.208537277037271</v>
      </c>
      <c r="L134" s="3">
        <v>25.812447838029879</v>
      </c>
      <c r="M134" s="3">
        <v>42.971217105263136</v>
      </c>
      <c r="N134" s="3"/>
      <c r="O134" s="3">
        <f>AVERAGE($H$2:H134)</f>
        <v>23.305779514442222</v>
      </c>
      <c r="P134" s="3">
        <f>AVERAGE($I$2:I134)</f>
        <v>25.285677478939132</v>
      </c>
      <c r="Q134" s="3">
        <f>AVERAGE($J$2:J134)</f>
        <v>23.838192826402455</v>
      </c>
      <c r="R134" s="3">
        <f>AVERAGE($K$2:K134)</f>
        <v>25.645860190710053</v>
      </c>
      <c r="S134" s="3">
        <f>AVERAGE($L$2:L134)</f>
        <v>20.969291667620244</v>
      </c>
      <c r="T134" s="3">
        <f>AVERAGE($M$2:M134)</f>
        <v>14.275449875848235</v>
      </c>
    </row>
    <row r="135" spans="7:20" ht="15.4" x14ac:dyDescent="0.4">
      <c r="G135" s="43">
        <v>30</v>
      </c>
      <c r="H135" s="43">
        <v>62.83111504887534</v>
      </c>
      <c r="I135" s="3">
        <v>3.6355346246469309</v>
      </c>
      <c r="J135" s="3">
        <v>99.112325285895807</v>
      </c>
      <c r="K135" s="3">
        <v>146.72598222788099</v>
      </c>
      <c r="L135" s="3">
        <v>45.226392440070242</v>
      </c>
      <c r="M135" s="3">
        <v>4.3198496713997514</v>
      </c>
      <c r="N135" s="3"/>
      <c r="O135" s="3">
        <f>AVERAGE($H$2:H135)</f>
        <v>23.600744704997691</v>
      </c>
      <c r="P135" s="3">
        <f>AVERAGE($I$2:I135)</f>
        <v>25.124109248683219</v>
      </c>
      <c r="Q135" s="3">
        <f>AVERAGE($J$2:J135)</f>
        <v>24.39994008356285</v>
      </c>
      <c r="R135" s="3">
        <f>AVERAGE($K$2:K135)</f>
        <v>26.549443190987446</v>
      </c>
      <c r="S135" s="3">
        <f>AVERAGE($L$2:L135)</f>
        <v>21.150314807713155</v>
      </c>
      <c r="T135" s="3">
        <f>AVERAGE($M$2:M135)</f>
        <v>14.20115435193444</v>
      </c>
    </row>
    <row r="136" spans="7:20" ht="15.4" x14ac:dyDescent="0.4">
      <c r="G136" s="43">
        <v>30</v>
      </c>
      <c r="H136" s="43">
        <v>9.3919978733583385</v>
      </c>
      <c r="I136" s="3">
        <v>10.349350123415979</v>
      </c>
      <c r="J136" s="3">
        <v>16.218791645536772</v>
      </c>
      <c r="K136" s="3">
        <v>28.361607593515981</v>
      </c>
      <c r="L136" s="3">
        <v>13.389866719250726</v>
      </c>
      <c r="M136" s="3">
        <v>1.9169035179790941</v>
      </c>
      <c r="N136" s="3"/>
      <c r="O136" s="3">
        <f>AVERAGE($H$2:H136)</f>
        <v>23.49549472846703</v>
      </c>
      <c r="P136" s="3">
        <f>AVERAGE($I$2:I136)</f>
        <v>25.014666588496056</v>
      </c>
      <c r="Q136" s="3">
        <f>AVERAGE($J$2:J136)</f>
        <v>24.339338984021918</v>
      </c>
      <c r="R136" s="3">
        <f>AVERAGE($K$2:K136)</f>
        <v>26.562866631006177</v>
      </c>
      <c r="S136" s="3">
        <f>AVERAGE($L$2:L136)</f>
        <v>21.092830007057877</v>
      </c>
      <c r="T136" s="3">
        <f>AVERAGE($M$2:M136)</f>
        <v>14.110159901312548</v>
      </c>
    </row>
    <row r="137" spans="7:20" ht="15.4" x14ac:dyDescent="0.4">
      <c r="G137" s="43">
        <v>30</v>
      </c>
      <c r="H137" s="43">
        <v>2.1108991699422215</v>
      </c>
      <c r="I137" s="3">
        <v>15.344401898263246</v>
      </c>
      <c r="J137" s="3">
        <v>7.5044776119402998</v>
      </c>
      <c r="K137" s="3">
        <v>16.955383366385469</v>
      </c>
      <c r="L137" s="3">
        <v>4.9607954913645145</v>
      </c>
      <c r="M137" s="3">
        <v>10.197034133151314</v>
      </c>
      <c r="N137" s="3"/>
      <c r="O137" s="3">
        <f>AVERAGE($H$2:H137)</f>
        <v>23.33825505524258</v>
      </c>
      <c r="P137" s="3">
        <f>AVERAGE($I$2:I137)</f>
        <v>24.943561701067871</v>
      </c>
      <c r="Q137" s="3">
        <f>AVERAGE($J$2:J137)</f>
        <v>24.215553238638964</v>
      </c>
      <c r="R137" s="3">
        <f>AVERAGE($K$2:K137)</f>
        <v>26.492223371707496</v>
      </c>
      <c r="S137" s="3">
        <f>AVERAGE($L$2:L137)</f>
        <v>20.97421210620719</v>
      </c>
      <c r="T137" s="3">
        <f>AVERAGE($M$2:M137)</f>
        <v>14.081386917723128</v>
      </c>
    </row>
    <row r="138" spans="7:20" ht="15.4" x14ac:dyDescent="0.4">
      <c r="G138" s="43">
        <v>32.5</v>
      </c>
      <c r="H138" s="43">
        <v>39.776590577950451</v>
      </c>
      <c r="I138" s="3">
        <v>68.888932954988789</v>
      </c>
      <c r="J138" s="3">
        <v>30.656690140845072</v>
      </c>
      <c r="K138" s="3">
        <v>14.785086185730719</v>
      </c>
      <c r="L138" s="3">
        <v>56.392637961518545</v>
      </c>
      <c r="M138" s="3">
        <v>1.7122205364337518E-3</v>
      </c>
      <c r="N138" s="3"/>
      <c r="O138" s="3">
        <f>AVERAGE($H$2:H138)</f>
        <v>23.458242905773297</v>
      </c>
      <c r="P138" s="3">
        <f>AVERAGE($I$2:I138)</f>
        <v>25.264330834308172</v>
      </c>
      <c r="Q138" s="3">
        <f>AVERAGE($J$2:J138)</f>
        <v>24.262568836465285</v>
      </c>
      <c r="R138" s="3">
        <f>AVERAGE($K$2:K138)</f>
        <v>26.406769815605475</v>
      </c>
      <c r="S138" s="3">
        <f>AVERAGE($L$2:L138)</f>
        <v>21.232740762085374</v>
      </c>
      <c r="T138" s="3">
        <f>AVERAGE($M$2:M138)</f>
        <v>13.978615569568483</v>
      </c>
    </row>
    <row r="139" spans="7:20" ht="15.4" x14ac:dyDescent="0.4">
      <c r="G139" s="43">
        <v>33.333333333333329</v>
      </c>
      <c r="H139" s="43">
        <v>17.880077750166084</v>
      </c>
      <c r="I139" s="3">
        <v>40.08471037220874</v>
      </c>
      <c r="J139" s="3">
        <v>10.075257731958779</v>
      </c>
      <c r="K139" s="3">
        <v>49.026561158155964</v>
      </c>
      <c r="L139" s="3">
        <v>5.7199673372932667</v>
      </c>
      <c r="M139" s="3">
        <v>14.937182755817529</v>
      </c>
      <c r="N139" s="3"/>
      <c r="O139" s="3">
        <f>AVERAGE($H$2:H139)</f>
        <v>23.417821419138463</v>
      </c>
      <c r="P139" s="3">
        <f>AVERAGE($I$2:I139)</f>
        <v>25.371724888930636</v>
      </c>
      <c r="Q139" s="3">
        <f>AVERAGE($J$2:J139)</f>
        <v>24.159762234258714</v>
      </c>
      <c r="R139" s="3">
        <f>AVERAGE($K$2:K139)</f>
        <v>26.570681347073229</v>
      </c>
      <c r="S139" s="3">
        <f>AVERAGE($L$2:L139)</f>
        <v>21.120329360456449</v>
      </c>
      <c r="T139" s="3">
        <f>AVERAGE($M$2:M139)</f>
        <v>13.985561708599272</v>
      </c>
    </row>
    <row r="140" spans="7:20" ht="15.4" x14ac:dyDescent="0.4">
      <c r="G140" s="43">
        <v>35</v>
      </c>
      <c r="H140" s="43">
        <v>37.905813049524248</v>
      </c>
      <c r="I140" s="3">
        <v>50.183288222866715</v>
      </c>
      <c r="J140" s="3">
        <v>13.980176164131548</v>
      </c>
      <c r="K140" s="3">
        <v>22.123859410228636</v>
      </c>
      <c r="L140" s="3">
        <v>5.192950414708509</v>
      </c>
      <c r="M140" s="3">
        <v>38.785714285714285</v>
      </c>
      <c r="N140" s="3"/>
      <c r="O140" s="3">
        <f>AVERAGE($H$2:H140)</f>
        <v>23.522051574752748</v>
      </c>
      <c r="P140" s="3">
        <f>AVERAGE($I$2:I140)</f>
        <v>25.550225344570467</v>
      </c>
      <c r="Q140" s="3">
        <f>AVERAGE($J$2:J140)</f>
        <v>24.086527802099528</v>
      </c>
      <c r="R140" s="3">
        <f>AVERAGE($K$2:K140)</f>
        <v>26.538689822347731</v>
      </c>
      <c r="S140" s="3">
        <f>AVERAGE($L$2:L140)</f>
        <v>21.005743900415094</v>
      </c>
      <c r="T140" s="3">
        <f>AVERAGE($M$2:M140)</f>
        <v>14.163980072463408</v>
      </c>
    </row>
    <row r="141" spans="7:20" ht="15.4" x14ac:dyDescent="0.4">
      <c r="G141" s="43">
        <v>35</v>
      </c>
      <c r="H141" s="43">
        <v>25.736064330600033</v>
      </c>
      <c r="I141" s="3">
        <v>3.8838083397655107E-14</v>
      </c>
      <c r="J141" s="3">
        <v>49.458048647171346</v>
      </c>
      <c r="K141" s="3">
        <v>93.622844356082808</v>
      </c>
      <c r="L141" s="3">
        <v>57.394351845759864</v>
      </c>
      <c r="M141" s="3">
        <v>58.544189039050011</v>
      </c>
      <c r="N141" s="3"/>
      <c r="O141" s="3">
        <f>AVERAGE($H$2:H141)</f>
        <v>23.53786595158023</v>
      </c>
      <c r="P141" s="3">
        <f>AVERAGE($I$2:I141)</f>
        <v>25.367723734966393</v>
      </c>
      <c r="Q141" s="3">
        <f>AVERAGE($J$2:J141)</f>
        <v>24.267752950992897</v>
      </c>
      <c r="R141" s="3">
        <f>AVERAGE($K$2:K141)</f>
        <v>27.017862354731552</v>
      </c>
      <c r="S141" s="3">
        <f>AVERAGE($L$2:L141)</f>
        <v>21.265662528596128</v>
      </c>
      <c r="T141" s="3">
        <f>AVERAGE($M$2:M141)</f>
        <v>14.480981565081883</v>
      </c>
    </row>
    <row r="142" spans="7:20" ht="15.4" x14ac:dyDescent="0.4">
      <c r="G142" s="43">
        <v>35</v>
      </c>
      <c r="H142" s="43">
        <v>10.01467274343219</v>
      </c>
      <c r="I142" s="3">
        <v>12.651405396818513</v>
      </c>
      <c r="J142" s="3">
        <v>18.749621438274964</v>
      </c>
      <c r="K142" s="3">
        <v>36.508915173160425</v>
      </c>
      <c r="L142" s="3">
        <v>16.967992324204687</v>
      </c>
      <c r="M142" s="3">
        <v>4.1185352473414145</v>
      </c>
      <c r="N142" s="3"/>
      <c r="O142" s="3">
        <f>AVERAGE($H$2:H142)</f>
        <v>23.441956779891235</v>
      </c>
      <c r="P142" s="3">
        <f>AVERAGE($I$2:I142)</f>
        <v>25.27753708008591</v>
      </c>
      <c r="Q142" s="3">
        <f>AVERAGE($J$2:J142)</f>
        <v>24.228617266505537</v>
      </c>
      <c r="R142" s="3">
        <f>AVERAGE($K$2:K142)</f>
        <v>27.085174786067927</v>
      </c>
      <c r="S142" s="3">
        <f>AVERAGE($L$2:L142)</f>
        <v>21.23518259806853</v>
      </c>
      <c r="T142" s="3">
        <f>AVERAGE($M$2:M142)</f>
        <v>14.407489038005711</v>
      </c>
    </row>
    <row r="143" spans="7:20" ht="15.4" x14ac:dyDescent="0.4">
      <c r="G143" s="43">
        <v>35</v>
      </c>
      <c r="H143" s="43">
        <v>0.75560863781011645</v>
      </c>
      <c r="I143" s="3">
        <v>18.914875492540645</v>
      </c>
      <c r="J143" s="3">
        <v>7.5111018883585929</v>
      </c>
      <c r="K143" s="3">
        <v>20.992414371347156</v>
      </c>
      <c r="L143" s="3">
        <v>5.8400124116580159</v>
      </c>
      <c r="M143" s="3">
        <v>13.573034960163302</v>
      </c>
      <c r="N143" s="3"/>
      <c r="O143" s="3">
        <f>AVERAGE($H$2:H143)</f>
        <v>23.282193764806156</v>
      </c>
      <c r="P143" s="3">
        <f>AVERAGE($I$2:I143)</f>
        <v>25.232729604117281</v>
      </c>
      <c r="Q143" s="3">
        <f>AVERAGE($J$2:J143)</f>
        <v>24.110888284969292</v>
      </c>
      <c r="R143" s="3">
        <f>AVERAGE($K$2:K143)</f>
        <v>27.042268022583976</v>
      </c>
      <c r="S143" s="3">
        <f>AVERAGE($L$2:L143)</f>
        <v>21.126765906614935</v>
      </c>
      <c r="T143" s="3">
        <f>AVERAGE($M$2:M143)</f>
        <v>14.401612600837806</v>
      </c>
    </row>
    <row r="144" spans="7:20" ht="15.4" x14ac:dyDescent="0.4">
      <c r="G144" s="43">
        <v>35.573122529644266</v>
      </c>
      <c r="H144" s="43">
        <v>86.57215064215616</v>
      </c>
      <c r="I144" s="3">
        <v>87.414613584913681</v>
      </c>
      <c r="J144" s="3">
        <v>81.225633319821981</v>
      </c>
      <c r="K144" s="3">
        <v>72.886296319928093</v>
      </c>
      <c r="L144" s="3">
        <v>74.845524553695171</v>
      </c>
      <c r="M144" s="3">
        <v>9.0336715867158492</v>
      </c>
      <c r="N144" s="3"/>
      <c r="O144" s="3">
        <f>AVERAGE($H$2:H144)</f>
        <v>23.724780875836572</v>
      </c>
      <c r="P144" s="3">
        <f>AVERAGE($I$2:I144)</f>
        <v>25.667567953633338</v>
      </c>
      <c r="Q144" s="3">
        <f>AVERAGE($J$2:J144)</f>
        <v>24.510292096401827</v>
      </c>
      <c r="R144" s="3">
        <f>AVERAGE($K$2:K144)</f>
        <v>27.362855633054913</v>
      </c>
      <c r="S144" s="3">
        <f>AVERAGE($L$2:L144)</f>
        <v>21.502421561489623</v>
      </c>
      <c r="T144" s="3">
        <f>AVERAGE($M$2:M144)</f>
        <v>14.364074551788002</v>
      </c>
    </row>
    <row r="145" spans="7:20" ht="15.4" x14ac:dyDescent="0.4">
      <c r="G145" s="43">
        <v>35.714285714285722</v>
      </c>
      <c r="H145" s="43">
        <v>4.6160055641444178</v>
      </c>
      <c r="I145" s="3">
        <v>43.451034599585356</v>
      </c>
      <c r="J145" s="3">
        <v>29.724526592183743</v>
      </c>
      <c r="K145" s="3">
        <v>85.795514845106183</v>
      </c>
      <c r="L145" s="3">
        <v>0.31073187866495661</v>
      </c>
      <c r="M145" s="3">
        <v>32.351046698872786</v>
      </c>
      <c r="N145" s="3"/>
      <c r="O145" s="3">
        <f>AVERAGE($H$2:H145)</f>
        <v>23.592081047283155</v>
      </c>
      <c r="P145" s="3">
        <f>AVERAGE($I$2:I145)</f>
        <v>25.791064249785784</v>
      </c>
      <c r="Q145" s="3">
        <f>AVERAGE($J$2:J145)</f>
        <v>24.546502058178092</v>
      </c>
      <c r="R145" s="3">
        <f>AVERAGE($K$2:K145)</f>
        <v>27.768637988694156</v>
      </c>
      <c r="S145" s="3">
        <f>AVERAGE($L$2:L145)</f>
        <v>21.355257049803342</v>
      </c>
      <c r="T145" s="3">
        <f>AVERAGE($M$2:M145)</f>
        <v>14.488984080587203</v>
      </c>
    </row>
    <row r="146" spans="7:20" ht="15.4" x14ac:dyDescent="0.4">
      <c r="G146" s="43">
        <v>36</v>
      </c>
      <c r="H146" s="43">
        <v>3.0218383411436798</v>
      </c>
      <c r="I146" s="3">
        <v>43.333333333333343</v>
      </c>
      <c r="J146" s="3">
        <v>33.813315872919993</v>
      </c>
      <c r="K146" s="3">
        <v>94.171502824293157</v>
      </c>
      <c r="L146" s="3">
        <v>1.0228206008338685</v>
      </c>
      <c r="M146" s="3">
        <v>32.644444444444446</v>
      </c>
      <c r="N146" s="3"/>
      <c r="O146" s="3">
        <f>AVERAGE($H$2:H146)</f>
        <v>23.450217304482194</v>
      </c>
      <c r="P146" s="3">
        <f>AVERAGE($I$2:I146)</f>
        <v>25.912045415879216</v>
      </c>
      <c r="Q146" s="3">
        <f>AVERAGE($J$2:J146)</f>
        <v>24.610411118969417</v>
      </c>
      <c r="R146" s="3">
        <f>AVERAGE($K$2:K146)</f>
        <v>28.226588780663807</v>
      </c>
      <c r="S146" s="3">
        <f>AVERAGE($L$2:L146)</f>
        <v>21.215033350155274</v>
      </c>
      <c r="T146" s="3">
        <f>AVERAGE($M$2:M146)</f>
        <v>14.614194152062081</v>
      </c>
    </row>
    <row r="147" spans="7:20" ht="15.4" x14ac:dyDescent="0.4">
      <c r="G147" s="43">
        <v>36</v>
      </c>
      <c r="H147" s="43">
        <v>7.4811139585485602</v>
      </c>
      <c r="I147" s="3">
        <v>22.396976453850652</v>
      </c>
      <c r="J147" s="3">
        <v>46.317474039551712</v>
      </c>
      <c r="K147" s="3">
        <v>110.9824492366487</v>
      </c>
      <c r="L147" s="3">
        <v>44.446808185754293</v>
      </c>
      <c r="M147" s="3">
        <v>40.463414634146361</v>
      </c>
      <c r="N147" s="3"/>
      <c r="O147" s="3">
        <f>AVERAGE($H$2:H147)</f>
        <v>23.340839884304568</v>
      </c>
      <c r="P147" s="3">
        <f>AVERAGE($I$2:I147)</f>
        <v>25.8879696010708</v>
      </c>
      <c r="Q147" s="3">
        <f>AVERAGE($J$2:J147)</f>
        <v>24.759089632124088</v>
      </c>
      <c r="R147" s="3">
        <f>AVERAGE($K$2:K147)</f>
        <v>28.7934097426911</v>
      </c>
      <c r="S147" s="3">
        <f>AVERAGE($L$2:L147)</f>
        <v>21.374155095604582</v>
      </c>
      <c r="T147" s="3">
        <f>AVERAGE($M$2:M147)</f>
        <v>14.791243607418822</v>
      </c>
    </row>
    <row r="148" spans="7:20" ht="15.4" x14ac:dyDescent="0.4">
      <c r="G148" s="43">
        <v>36.84210526315789</v>
      </c>
      <c r="H148" s="43">
        <v>43.481502136261788</v>
      </c>
      <c r="I148" s="3">
        <v>59.908547499194306</v>
      </c>
      <c r="J148" s="3">
        <v>65.960355434039641</v>
      </c>
      <c r="K148" s="3">
        <v>13.899234311904344</v>
      </c>
      <c r="L148" s="3">
        <v>24.309901407126542</v>
      </c>
      <c r="M148" s="3">
        <v>30.881749829118249</v>
      </c>
      <c r="N148" s="3"/>
      <c r="O148" s="3">
        <f>AVERAGE($H$2:H148)</f>
        <v>23.477851192141014</v>
      </c>
      <c r="P148" s="3">
        <f>AVERAGE($I$2:I148)</f>
        <v>26.119402103779127</v>
      </c>
      <c r="Q148" s="3">
        <f>AVERAGE($J$2:J148)</f>
        <v>25.03937035186501</v>
      </c>
      <c r="R148" s="3">
        <f>AVERAGE($K$2:K148)</f>
        <v>28.692088821393231</v>
      </c>
      <c r="S148" s="3">
        <f>AVERAGE($L$2:L148)</f>
        <v>21.394126158948271</v>
      </c>
      <c r="T148" s="3">
        <f>AVERAGE($M$2:M148)</f>
        <v>14.900702833416778</v>
      </c>
    </row>
    <row r="149" spans="7:20" ht="15.4" x14ac:dyDescent="0.4">
      <c r="G149" s="43">
        <v>37.5</v>
      </c>
      <c r="H149" s="43">
        <v>6.7815239208838296</v>
      </c>
      <c r="I149" s="3">
        <v>20.6966326478037</v>
      </c>
      <c r="J149" s="3">
        <v>1.4357459069338367</v>
      </c>
      <c r="K149" s="3">
        <v>19.176356015453681</v>
      </c>
      <c r="L149" s="3">
        <v>8.2189842196488136</v>
      </c>
      <c r="M149" s="3">
        <v>0.89344636783592557</v>
      </c>
      <c r="N149" s="3"/>
      <c r="O149" s="3">
        <f>AVERAGE($H$2:H149)</f>
        <v>23.365038170037923</v>
      </c>
      <c r="P149" s="3">
        <f>AVERAGE($I$2:I149)</f>
        <v>26.082761769617129</v>
      </c>
      <c r="Q149" s="3">
        <f>AVERAGE($J$2:J149)</f>
        <v>24.879886402912771</v>
      </c>
      <c r="R149" s="3">
        <f>AVERAGE($K$2:K149)</f>
        <v>28.627793329461213</v>
      </c>
      <c r="S149" s="3">
        <f>AVERAGE($L$2:L149)</f>
        <v>21.30510492962868</v>
      </c>
      <c r="T149" s="3">
        <f>AVERAGE($M$2:M149)</f>
        <v>14.806059208649341</v>
      </c>
    </row>
    <row r="150" spans="7:20" ht="15.4" x14ac:dyDescent="0.4">
      <c r="G150" s="43">
        <v>37.938677502770595</v>
      </c>
      <c r="H150" s="43">
        <v>36.911062848900123</v>
      </c>
      <c r="I150" s="3">
        <v>47.590666306976239</v>
      </c>
      <c r="J150" s="3">
        <v>11.767271470141008</v>
      </c>
      <c r="K150" s="3">
        <v>35.086284849864221</v>
      </c>
      <c r="L150" s="3">
        <v>7.4442792108970215</v>
      </c>
      <c r="M150" s="3">
        <v>16.914438598147417</v>
      </c>
      <c r="N150" s="3"/>
      <c r="O150" s="3">
        <f>AVERAGE($H$2:H150)</f>
        <v>23.455951087345724</v>
      </c>
      <c r="P150" s="3">
        <f>AVERAGE($I$2:I150)</f>
        <v>26.227110122216853</v>
      </c>
      <c r="Q150" s="3">
        <f>AVERAGE($J$2:J150)</f>
        <v>24.79188227584719</v>
      </c>
      <c r="R150" s="3">
        <f>AVERAGE($K$2:K150)</f>
        <v>28.67113891013506</v>
      </c>
      <c r="S150" s="3">
        <f>AVERAGE($L$2:L150)</f>
        <v>21.21207925366404</v>
      </c>
      <c r="T150" s="3">
        <f>AVERAGE($M$2:M150)</f>
        <v>14.820209405894296</v>
      </c>
    </row>
    <row r="151" spans="7:20" ht="15.4" x14ac:dyDescent="0.4">
      <c r="G151" s="43">
        <v>38</v>
      </c>
      <c r="H151" s="43">
        <v>45.051520049718313</v>
      </c>
      <c r="I151" s="3">
        <v>56.715933526047401</v>
      </c>
      <c r="J151" s="3">
        <v>19.296073850347966</v>
      </c>
      <c r="K151" s="3">
        <v>27.037323477273144</v>
      </c>
      <c r="L151" s="3">
        <v>7.3770782134579731</v>
      </c>
      <c r="M151" s="3">
        <v>17.557615578447567</v>
      </c>
      <c r="N151" s="3"/>
      <c r="O151" s="3">
        <f>AVERAGE($H$2:H151)</f>
        <v>23.599921547094876</v>
      </c>
      <c r="P151" s="3">
        <f>AVERAGE($I$2:I151)</f>
        <v>26.430368944909059</v>
      </c>
      <c r="Q151" s="3">
        <f>AVERAGE($J$2:J151)</f>
        <v>24.75524355301053</v>
      </c>
      <c r="R151" s="3">
        <f>AVERAGE($K$2:K151)</f>
        <v>28.660246807249315</v>
      </c>
      <c r="S151" s="3">
        <f>AVERAGE($L$2:L151)</f>
        <v>21.119845913395999</v>
      </c>
      <c r="T151" s="3">
        <f>AVERAGE($M$2:M151)</f>
        <v>14.838458780377984</v>
      </c>
    </row>
    <row r="152" spans="7:20" ht="15.4" x14ac:dyDescent="0.4">
      <c r="G152" s="43">
        <v>40</v>
      </c>
      <c r="H152" s="43">
        <v>10.725629605052005</v>
      </c>
      <c r="I152" s="3">
        <v>43.975770331605574</v>
      </c>
      <c r="J152" s="3">
        <v>61.362525006949923</v>
      </c>
      <c r="K152" s="3">
        <v>168.41035427823562</v>
      </c>
      <c r="L152" s="3">
        <v>4.6318840269886348</v>
      </c>
      <c r="M152" s="3">
        <v>43.130629370629364</v>
      </c>
      <c r="N152" s="3"/>
      <c r="O152" s="3">
        <f>AVERAGE($H$2:H152)</f>
        <v>23.514661335558166</v>
      </c>
      <c r="P152" s="3">
        <f>AVERAGE($I$2:I152)</f>
        <v>26.546563656079233</v>
      </c>
      <c r="Q152" s="3">
        <f>AVERAGE($J$2:J152)</f>
        <v>24.997675880520063</v>
      </c>
      <c r="R152" s="3">
        <f>AVERAGE($K$2:K152)</f>
        <v>29.585744207719422</v>
      </c>
      <c r="S152" s="3">
        <f>AVERAGE($L$2:L152)</f>
        <v>21.010654112823765</v>
      </c>
      <c r="T152" s="3">
        <f>AVERAGE($M$2:M152)</f>
        <v>15.025824148525343</v>
      </c>
    </row>
    <row r="153" spans="7:20" ht="15.4" x14ac:dyDescent="0.4">
      <c r="G153" s="43">
        <v>40</v>
      </c>
      <c r="H153" s="43">
        <v>5.0765377529541533</v>
      </c>
      <c r="I153" s="3">
        <v>45.559339632476672</v>
      </c>
      <c r="J153" s="3">
        <v>43.330714982348603</v>
      </c>
      <c r="K153" s="3">
        <v>144.11251397254745</v>
      </c>
      <c r="L153" s="3">
        <v>10.068246550226137</v>
      </c>
      <c r="M153" s="3">
        <v>31.015294117647063</v>
      </c>
      <c r="N153" s="3"/>
      <c r="O153" s="3">
        <f>AVERAGE($H$2:H153)</f>
        <v>23.393357890935771</v>
      </c>
      <c r="P153" s="3">
        <f>AVERAGE($I$2:I153)</f>
        <v>26.671647708555533</v>
      </c>
      <c r="Q153" s="3">
        <f>AVERAGE($J$2:J153)</f>
        <v>25.118287979874196</v>
      </c>
      <c r="R153" s="3">
        <f>AVERAGE($K$2:K153)</f>
        <v>30.339209798277501</v>
      </c>
      <c r="S153" s="3">
        <f>AVERAGE($L$2:L153)</f>
        <v>20.93866458938562</v>
      </c>
      <c r="T153" s="3">
        <f>AVERAGE($M$2:M153)</f>
        <v>15.131018029901144</v>
      </c>
    </row>
    <row r="154" spans="7:20" ht="15.4" x14ac:dyDescent="0.4">
      <c r="G154" s="43">
        <v>40</v>
      </c>
      <c r="H154" s="43">
        <v>14.420491662368926</v>
      </c>
      <c r="I154" s="3">
        <v>42.910847858146518</v>
      </c>
      <c r="J154" s="3">
        <v>24.712499999999991</v>
      </c>
      <c r="K154" s="3">
        <v>107.45356096681633</v>
      </c>
      <c r="L154" s="3">
        <v>18.941330928426652</v>
      </c>
      <c r="M154" s="3">
        <v>8.6656250000000039</v>
      </c>
      <c r="N154" s="3"/>
      <c r="O154" s="3">
        <f>AVERAGE($H$2:H154)</f>
        <v>23.334711706435336</v>
      </c>
      <c r="P154" s="3">
        <f>AVERAGE($I$2:I154)</f>
        <v>26.777786271624755</v>
      </c>
      <c r="Q154" s="3">
        <f>AVERAGE($J$2:J154)</f>
        <v>25.115635770855413</v>
      </c>
      <c r="R154" s="3">
        <f>AVERAGE($K$2:K154)</f>
        <v>30.843225165392134</v>
      </c>
      <c r="S154" s="3">
        <f>AVERAGE($L$2:L154)</f>
        <v>20.925610121013342</v>
      </c>
      <c r="T154" s="3">
        <f>AVERAGE($M$2:M154)</f>
        <v>15.088760559117476</v>
      </c>
    </row>
    <row r="155" spans="7:20" ht="15.4" x14ac:dyDescent="0.4">
      <c r="G155" s="43">
        <v>40</v>
      </c>
      <c r="H155" s="43">
        <v>27.541359995131025</v>
      </c>
      <c r="I155" s="3">
        <v>44.222418536847179</v>
      </c>
      <c r="J155" s="3">
        <v>10.897687075073865</v>
      </c>
      <c r="K155" s="3">
        <v>90.445689121131849</v>
      </c>
      <c r="L155" s="3">
        <v>29.582744084418582</v>
      </c>
      <c r="M155" s="3">
        <v>42.821969696969688</v>
      </c>
      <c r="N155" s="3"/>
      <c r="O155" s="3">
        <f>AVERAGE($H$2:H155)</f>
        <v>23.362027604413882</v>
      </c>
      <c r="P155" s="3">
        <f>AVERAGE($I$2:I155)</f>
        <v>26.891063104515808</v>
      </c>
      <c r="Q155" s="3">
        <f>AVERAGE($J$2:J155)</f>
        <v>25.023311428675012</v>
      </c>
      <c r="R155" s="3">
        <f>AVERAGE($K$2:K155)</f>
        <v>31.23025415211772</v>
      </c>
      <c r="S155" s="3">
        <f>AVERAGE($L$2:L155)</f>
        <v>20.981825276619869</v>
      </c>
      <c r="T155" s="3">
        <f>AVERAGE($M$2:M155)</f>
        <v>15.268846332739892</v>
      </c>
    </row>
    <row r="156" spans="7:20" ht="15.4" x14ac:dyDescent="0.4">
      <c r="G156" s="43">
        <v>40</v>
      </c>
      <c r="H156" s="43">
        <v>45.136883658028431</v>
      </c>
      <c r="I156" s="3">
        <v>57.489181410478338</v>
      </c>
      <c r="J156" s="3">
        <v>15.962930459599731</v>
      </c>
      <c r="K156" s="3">
        <v>44.389657454268203</v>
      </c>
      <c r="L156" s="3">
        <v>0.85912157892562846</v>
      </c>
      <c r="M156" s="3">
        <v>11.458715596330276</v>
      </c>
      <c r="N156" s="3"/>
      <c r="O156" s="3">
        <f>AVERAGE($H$2:H156)</f>
        <v>23.502510546695266</v>
      </c>
      <c r="P156" s="3">
        <f>AVERAGE($I$2:I156)</f>
        <v>27.088470319392986</v>
      </c>
      <c r="Q156" s="3">
        <f>AVERAGE($J$2:J156)</f>
        <v>24.964857357906784</v>
      </c>
      <c r="R156" s="3">
        <f>AVERAGE($K$2:K156)</f>
        <v>31.315153528260623</v>
      </c>
      <c r="S156" s="3">
        <f>AVERAGE($L$2:L156)</f>
        <v>20.852001381796036</v>
      </c>
      <c r="T156" s="3">
        <f>AVERAGE($M$2:M156)</f>
        <v>15.244264844117897</v>
      </c>
    </row>
    <row r="157" spans="7:20" ht="15.4" x14ac:dyDescent="0.4">
      <c r="G157" s="43">
        <v>40</v>
      </c>
      <c r="H157" s="43">
        <v>76.731207465856414</v>
      </c>
      <c r="I157" s="3">
        <v>82.237194093766263</v>
      </c>
      <c r="J157" s="3">
        <v>64.357818755238796</v>
      </c>
      <c r="K157" s="3">
        <v>38.760806760641103</v>
      </c>
      <c r="L157" s="3">
        <v>58.849808928559874</v>
      </c>
      <c r="M157" s="3">
        <v>55.696498054474709</v>
      </c>
      <c r="N157" s="3"/>
      <c r="O157" s="3">
        <f>AVERAGE($H$2:H157)</f>
        <v>23.843720142330913</v>
      </c>
      <c r="P157" s="3">
        <f>AVERAGE($I$2:I157)</f>
        <v>27.441987779485125</v>
      </c>
      <c r="Q157" s="3">
        <f>AVERAGE($J$2:J157)</f>
        <v>25.217376341223016</v>
      </c>
      <c r="R157" s="3">
        <f>AVERAGE($K$2:K157)</f>
        <v>31.362882074622032</v>
      </c>
      <c r="S157" s="3">
        <f>AVERAGE($L$2:L157)</f>
        <v>21.09557707119837</v>
      </c>
      <c r="T157" s="3">
        <f>AVERAGE($M$2:M157)</f>
        <v>15.503574031363774</v>
      </c>
    </row>
    <row r="158" spans="7:20" ht="15.4" x14ac:dyDescent="0.4">
      <c r="G158" s="43">
        <v>40</v>
      </c>
      <c r="H158" s="43">
        <v>55.002383979656713</v>
      </c>
      <c r="I158" s="3">
        <v>63.255993073882081</v>
      </c>
      <c r="J158" s="3">
        <v>34.985243511083965</v>
      </c>
      <c r="K158" s="3">
        <v>7.4848358824368608</v>
      </c>
      <c r="L158" s="3">
        <v>18.384847848023682</v>
      </c>
      <c r="M158" s="3">
        <v>1.0245351239669445</v>
      </c>
      <c r="N158" s="3"/>
      <c r="O158" s="3">
        <f>AVERAGE($H$2:H158)</f>
        <v>24.042182969320251</v>
      </c>
      <c r="P158" s="3">
        <f>AVERAGE($I$2:I158)</f>
        <v>27.670102462888924</v>
      </c>
      <c r="Q158" s="3">
        <f>AVERAGE($J$2:J158)</f>
        <v>25.279592055680727</v>
      </c>
      <c r="R158" s="3">
        <f>AVERAGE($K$2:K158)</f>
        <v>31.21079260842977</v>
      </c>
      <c r="S158" s="3">
        <f>AVERAGE($L$2:L158)</f>
        <v>21.078311279967956</v>
      </c>
      <c r="T158" s="3">
        <f>AVERAGE($M$2:M158)</f>
        <v>15.411350853609655</v>
      </c>
    </row>
    <row r="159" spans="7:20" ht="15.4" x14ac:dyDescent="0.4">
      <c r="G159" s="43">
        <v>40</v>
      </c>
      <c r="H159" s="43">
        <v>21.523610825280219</v>
      </c>
      <c r="I159" s="3">
        <v>6.5607361946669451</v>
      </c>
      <c r="J159" s="3">
        <v>50.593698565718313</v>
      </c>
      <c r="K159" s="3">
        <v>116.27771190228617</v>
      </c>
      <c r="L159" s="3">
        <v>64.821392871804633</v>
      </c>
      <c r="M159" s="3">
        <v>45.314162312310366</v>
      </c>
      <c r="N159" s="3"/>
      <c r="O159" s="3">
        <f>AVERAGE($H$2:H159)</f>
        <v>24.026242639294679</v>
      </c>
      <c r="P159" s="3">
        <f>AVERAGE($I$2:I159)</f>
        <v>27.536498878912834</v>
      </c>
      <c r="Q159" s="3">
        <f>AVERAGE($J$2:J159)</f>
        <v>25.439807919668304</v>
      </c>
      <c r="R159" s="3">
        <f>AVERAGE($K$2:K159)</f>
        <v>31.749190831808605</v>
      </c>
      <c r="S159" s="3">
        <f>AVERAGE($L$2:L159)</f>
        <v>21.355166226751734</v>
      </c>
      <c r="T159" s="3">
        <f>AVERAGE($M$2:M159)</f>
        <v>15.600609153981177</v>
      </c>
    </row>
    <row r="160" spans="7:20" ht="15.4" x14ac:dyDescent="0.4">
      <c r="G160" s="43">
        <v>40</v>
      </c>
      <c r="H160" s="43">
        <v>6.8318850492222376</v>
      </c>
      <c r="I160" s="3">
        <v>27.235309970431043</v>
      </c>
      <c r="J160" s="3">
        <v>0.73369660748813614</v>
      </c>
      <c r="K160" s="3">
        <v>17.74781249679743</v>
      </c>
      <c r="L160" s="3">
        <v>0.18489156661628625</v>
      </c>
      <c r="M160" s="3">
        <v>22.337768948453338</v>
      </c>
      <c r="N160" s="3"/>
      <c r="O160" s="3">
        <f>AVERAGE($H$2:H160)</f>
        <v>23.918102025520639</v>
      </c>
      <c r="P160" s="3">
        <f>AVERAGE($I$2:I160)</f>
        <v>27.53460460904817</v>
      </c>
      <c r="Q160" s="3">
        <f>AVERAGE($J$2:J160)</f>
        <v>25.28442357179296</v>
      </c>
      <c r="R160" s="3">
        <f>AVERAGE($K$2:K160)</f>
        <v>31.661131848569539</v>
      </c>
      <c r="S160" s="3">
        <f>AVERAGE($L$2:L160)</f>
        <v>21.222019845241448</v>
      </c>
      <c r="T160" s="3">
        <f>AVERAGE($M$2:M160)</f>
        <v>15.642981228160245</v>
      </c>
    </row>
    <row r="161" spans="7:20" ht="15.4" x14ac:dyDescent="0.4">
      <c r="G161" s="43">
        <v>40</v>
      </c>
      <c r="H161" s="43">
        <v>7.8734986184502782</v>
      </c>
      <c r="I161" s="3">
        <v>22.456793285707249</v>
      </c>
      <c r="J161" s="3">
        <v>1.0370252887463629</v>
      </c>
      <c r="K161" s="3">
        <v>21.511241741169798</v>
      </c>
      <c r="L161" s="3">
        <v>9.2413532415951405</v>
      </c>
      <c r="M161" s="3">
        <v>3.1897159869087357</v>
      </c>
      <c r="N161" s="3"/>
      <c r="O161" s="3">
        <f>AVERAGE($H$2:H161)</f>
        <v>23.81782325422645</v>
      </c>
      <c r="P161" s="3">
        <f>AVERAGE($I$2:I161)</f>
        <v>27.502868288277291</v>
      </c>
      <c r="Q161" s="3">
        <f>AVERAGE($J$2:J161)</f>
        <v>25.132877332523918</v>
      </c>
      <c r="R161" s="3">
        <f>AVERAGE($K$2:K161)</f>
        <v>31.597695035398296</v>
      </c>
      <c r="S161" s="3">
        <f>AVERAGE($L$2:L161)</f>
        <v>21.147140678968661</v>
      </c>
      <c r="T161" s="3">
        <f>AVERAGE($M$2:M161)</f>
        <v>15.565148320402423</v>
      </c>
    </row>
    <row r="162" spans="7:20" ht="15.4" x14ac:dyDescent="0.4">
      <c r="G162" s="43">
        <v>40</v>
      </c>
      <c r="H162" s="43">
        <v>1.1766023016954417</v>
      </c>
      <c r="I162" s="3">
        <v>33.915996754350033</v>
      </c>
      <c r="J162" s="3">
        <v>42.618206190592247</v>
      </c>
      <c r="K162" s="3">
        <v>131.53291280226048</v>
      </c>
      <c r="L162" s="3">
        <v>32.19321480449004</v>
      </c>
      <c r="M162" s="3">
        <v>16.403682418718258</v>
      </c>
      <c r="N162" s="3"/>
      <c r="O162" s="3">
        <f>AVERAGE($H$2:H162)</f>
        <v>23.677194552657934</v>
      </c>
      <c r="P162" s="3">
        <f>AVERAGE($I$2:I162)</f>
        <v>27.542701384339853</v>
      </c>
      <c r="Q162" s="3">
        <f>AVERAGE($J$2:J162)</f>
        <v>25.241481859592668</v>
      </c>
      <c r="R162" s="3">
        <f>AVERAGE($K$2:K162)</f>
        <v>32.218410673701783</v>
      </c>
      <c r="S162" s="3">
        <f>AVERAGE($L$2:L162)</f>
        <v>21.2157498350278</v>
      </c>
      <c r="T162" s="3">
        <f>AVERAGE($M$2:M162)</f>
        <v>15.570356606727366</v>
      </c>
    </row>
    <row r="163" spans="7:20" ht="15.4" x14ac:dyDescent="0.4">
      <c r="G163" s="43">
        <v>41.099999999999994</v>
      </c>
      <c r="H163" s="43">
        <v>62.745374904643782</v>
      </c>
      <c r="I163" s="3">
        <v>1.8982025217176508</v>
      </c>
      <c r="J163" s="3">
        <v>95.879155544770683</v>
      </c>
      <c r="K163" s="3">
        <v>175.13348979418103</v>
      </c>
      <c r="L163" s="3">
        <v>62.012474921682696</v>
      </c>
      <c r="M163" s="3">
        <v>7.5489332931334377E-2</v>
      </c>
      <c r="N163" s="3"/>
      <c r="O163" s="3">
        <f>AVERAGE($H$2:H163)</f>
        <v>23.918356159768958</v>
      </c>
      <c r="P163" s="3">
        <f>AVERAGE($I$2:I163)</f>
        <v>27.384402008644653</v>
      </c>
      <c r="Q163" s="3">
        <f>AVERAGE($J$2:J163)</f>
        <v>25.677516882340683</v>
      </c>
      <c r="R163" s="3">
        <f>AVERAGE($K$2:K163)</f>
        <v>33.100602520124497</v>
      </c>
      <c r="S163" s="3">
        <f>AVERAGE($L$2:L163)</f>
        <v>21.467581471365175</v>
      </c>
      <c r="T163" s="3">
        <f>AVERAGE($M$2:M163)</f>
        <v>15.474709277876773</v>
      </c>
    </row>
    <row r="164" spans="7:20" ht="15.4" x14ac:dyDescent="0.4">
      <c r="G164" s="43">
        <v>41.099999999999994</v>
      </c>
      <c r="H164" s="43">
        <v>58.965084138904267</v>
      </c>
      <c r="I164" s="3">
        <v>6.8675081940810108</v>
      </c>
      <c r="J164" s="3">
        <v>91.329224934818683</v>
      </c>
      <c r="K164" s="3">
        <v>168.74261944579766</v>
      </c>
      <c r="L164" s="3">
        <v>52.986378466100028</v>
      </c>
      <c r="M164" s="3">
        <v>8.367548617004017</v>
      </c>
      <c r="N164" s="3"/>
      <c r="O164" s="3">
        <f>AVERAGE($H$2:H164)</f>
        <v>24.133366760867951</v>
      </c>
      <c r="P164" s="3">
        <f>AVERAGE($I$2:I164)</f>
        <v>27.258531494444878</v>
      </c>
      <c r="Q164" s="3">
        <f>AVERAGE($J$2:J164)</f>
        <v>26.080288097386561</v>
      </c>
      <c r="R164" s="3">
        <f>AVERAGE($K$2:K164)</f>
        <v>33.932762133165433</v>
      </c>
      <c r="S164" s="3">
        <f>AVERAGE($L$2:L164)</f>
        <v>21.66094832409361</v>
      </c>
      <c r="T164" s="3">
        <f>AVERAGE($M$2:M164)</f>
        <v>15.431107065233382</v>
      </c>
    </row>
    <row r="165" spans="7:20" ht="15.4" x14ac:dyDescent="0.4">
      <c r="G165" s="43">
        <v>42</v>
      </c>
      <c r="H165" s="43">
        <v>9.815880602372852</v>
      </c>
      <c r="I165" s="3">
        <v>24.743810662446599</v>
      </c>
      <c r="J165" s="3">
        <v>0.48443888167564791</v>
      </c>
      <c r="K165" s="3">
        <v>22.071546607073174</v>
      </c>
      <c r="L165" s="3">
        <v>8.8240674093471529</v>
      </c>
      <c r="M165" s="3">
        <v>6.2166539114387094</v>
      </c>
      <c r="N165" s="3"/>
      <c r="O165" s="3">
        <f>AVERAGE($H$2:H165)</f>
        <v>24.046065015999076</v>
      </c>
      <c r="P165" s="3">
        <f>AVERAGE($I$2:I165)</f>
        <v>27.243197830835133</v>
      </c>
      <c r="Q165" s="3">
        <f>AVERAGE($J$2:J165)</f>
        <v>25.924215846071249</v>
      </c>
      <c r="R165" s="3">
        <f>AVERAGE($K$2:K165)</f>
        <v>33.86043764825024</v>
      </c>
      <c r="S165" s="3">
        <f>AVERAGE($L$2:L165)</f>
        <v>21.582674659979304</v>
      </c>
      <c r="T165" s="3">
        <f>AVERAGE($M$2:M165)</f>
        <v>15.374921375271221</v>
      </c>
    </row>
    <row r="166" spans="7:20" ht="15.4" x14ac:dyDescent="0.4">
      <c r="G166" s="43">
        <v>42.199999999999996</v>
      </c>
      <c r="H166" s="43">
        <v>17.448586619150625</v>
      </c>
      <c r="I166" s="3">
        <v>35.036349985022483</v>
      </c>
      <c r="J166" s="3">
        <v>33.166352726879374</v>
      </c>
      <c r="K166" s="3">
        <v>159.06271615838702</v>
      </c>
      <c r="L166" s="3">
        <v>72.258343591904435</v>
      </c>
      <c r="M166" s="3">
        <v>56.528459642872775</v>
      </c>
      <c r="N166" s="3"/>
      <c r="O166" s="3">
        <f>AVERAGE($H$2:H166)</f>
        <v>24.00608029844242</v>
      </c>
      <c r="P166" s="3">
        <f>AVERAGE($I$2:I166)</f>
        <v>27.290429056012027</v>
      </c>
      <c r="Q166" s="3">
        <f>AVERAGE($J$2:J166)</f>
        <v>25.96810758474281</v>
      </c>
      <c r="R166" s="3">
        <f>AVERAGE($K$2:K166)</f>
        <v>34.619239336190461</v>
      </c>
      <c r="S166" s="3">
        <f>AVERAGE($L$2:L166)</f>
        <v>21.889799926233394</v>
      </c>
      <c r="T166" s="3">
        <f>AVERAGE($M$2:M166)</f>
        <v>15.62433675871123</v>
      </c>
    </row>
    <row r="167" spans="7:20" ht="15.4" x14ac:dyDescent="0.4">
      <c r="G167" s="43">
        <v>42.199999999999996</v>
      </c>
      <c r="H167" s="43">
        <v>39.82382221784011</v>
      </c>
      <c r="I167" s="3">
        <v>54.857449974332127</v>
      </c>
      <c r="J167" s="3">
        <v>2.9278629146584936</v>
      </c>
      <c r="K167" s="3">
        <v>88.844786852466157</v>
      </c>
      <c r="L167" s="3">
        <v>16.243524096834605</v>
      </c>
      <c r="M167" s="3">
        <v>9.9009152106497389</v>
      </c>
      <c r="N167" s="3"/>
      <c r="O167" s="3">
        <f>AVERAGE($H$2:H167)</f>
        <v>24.101367900366505</v>
      </c>
      <c r="P167" s="3">
        <f>AVERAGE($I$2:I167)</f>
        <v>27.45649544708624</v>
      </c>
      <c r="Q167" s="3">
        <f>AVERAGE($J$2:J167)</f>
        <v>25.829310930103748</v>
      </c>
      <c r="R167" s="3">
        <f>AVERAGE($K$2:K167)</f>
        <v>34.945899260987304</v>
      </c>
      <c r="S167" s="3">
        <f>AVERAGE($L$2:L167)</f>
        <v>21.855786216417741</v>
      </c>
      <c r="T167" s="3">
        <f>AVERAGE($M$2:M167)</f>
        <v>15.589858315650618</v>
      </c>
    </row>
    <row r="168" spans="7:20" ht="15.4" x14ac:dyDescent="0.4">
      <c r="G168" s="43">
        <v>42.5</v>
      </c>
      <c r="H168" s="43">
        <v>12.026592418274911</v>
      </c>
      <c r="I168" s="3">
        <v>24.218060243068379</v>
      </c>
      <c r="J168" s="3">
        <v>2.7773802296204608</v>
      </c>
      <c r="K168" s="3">
        <v>19.869435679234542</v>
      </c>
      <c r="L168" s="3">
        <v>9.9286636564055328</v>
      </c>
      <c r="M168" s="3">
        <v>0.78804925044177987</v>
      </c>
      <c r="N168" s="3"/>
      <c r="O168" s="3">
        <f>AVERAGE($H$2:H168)</f>
        <v>24.02906385556356</v>
      </c>
      <c r="P168" s="3">
        <f>AVERAGE($I$2:I168)</f>
        <v>27.43710361951727</v>
      </c>
      <c r="Q168" s="3">
        <f>AVERAGE($J$2:J168)</f>
        <v>25.691275416927201</v>
      </c>
      <c r="R168" s="3">
        <f>AVERAGE($K$2:K168)</f>
        <v>34.855621035946868</v>
      </c>
      <c r="S168" s="3">
        <f>AVERAGE($L$2:L168)</f>
        <v>21.784366320848807</v>
      </c>
      <c r="T168" s="3">
        <f>AVERAGE($M$2:M168)</f>
        <v>15.501224728433799</v>
      </c>
    </row>
    <row r="169" spans="7:20" ht="15.4" x14ac:dyDescent="0.4">
      <c r="G169" s="43">
        <v>43</v>
      </c>
      <c r="H169" s="43">
        <v>25.476177268525891</v>
      </c>
      <c r="I169" s="3">
        <v>60.876970127218158</v>
      </c>
      <c r="J169" s="3">
        <v>12.587412587412599</v>
      </c>
      <c r="K169" s="3">
        <v>113.49783003061324</v>
      </c>
      <c r="L169" s="3">
        <v>19.85006801299</v>
      </c>
      <c r="M169" s="3">
        <v>56.551874091060071</v>
      </c>
      <c r="N169" s="3"/>
      <c r="O169" s="3">
        <f>AVERAGE($H$2:H169)</f>
        <v>24.037677625878814</v>
      </c>
      <c r="P169" s="3">
        <f>AVERAGE($I$2:I169)</f>
        <v>27.636150443967875</v>
      </c>
      <c r="Q169" s="3">
        <f>AVERAGE($J$2:J169)</f>
        <v>25.613276233418187</v>
      </c>
      <c r="R169" s="3">
        <f>AVERAGE($K$2:K169)</f>
        <v>35.323729422819881</v>
      </c>
      <c r="S169" s="3">
        <f>AVERAGE($L$2:L169)</f>
        <v>21.772852640444885</v>
      </c>
      <c r="T169" s="3">
        <f>AVERAGE($M$2:M169)</f>
        <v>15.745573831782766</v>
      </c>
    </row>
    <row r="170" spans="7:20" ht="15.4" x14ac:dyDescent="0.4">
      <c r="G170" s="43">
        <v>44.239442394423946</v>
      </c>
      <c r="H170" s="43">
        <v>33.897940087392286</v>
      </c>
      <c r="I170" s="3">
        <v>47.021492864780093</v>
      </c>
      <c r="J170" s="3">
        <v>3.5475950291661089</v>
      </c>
      <c r="K170" s="3">
        <v>114.83086847036415</v>
      </c>
      <c r="L170" s="3">
        <v>45.750831361998657</v>
      </c>
      <c r="M170" s="3">
        <v>42.975297912794261</v>
      </c>
      <c r="N170" s="3"/>
      <c r="O170" s="3">
        <f>AVERAGE($H$2:H170)</f>
        <v>24.096022374171792</v>
      </c>
      <c r="P170" s="3">
        <f>AVERAGE($I$2:I170)</f>
        <v>27.75085661213836</v>
      </c>
      <c r="Q170" s="3">
        <f>AVERAGE($J$2:J170)</f>
        <v>25.482710072446277</v>
      </c>
      <c r="R170" s="3">
        <f>AVERAGE($K$2:K170)</f>
        <v>35.794185866888192</v>
      </c>
      <c r="S170" s="3">
        <f>AVERAGE($L$2:L170)</f>
        <v>21.914734171341653</v>
      </c>
      <c r="T170" s="3">
        <f>AVERAGE($M$2:M170)</f>
        <v>15.906696459481058</v>
      </c>
    </row>
    <row r="171" spans="7:20" ht="15.4" x14ac:dyDescent="0.4">
      <c r="G171" s="43">
        <v>45</v>
      </c>
      <c r="H171" s="43">
        <v>40.434197161780702</v>
      </c>
      <c r="I171" s="3">
        <v>55.952003838313011</v>
      </c>
      <c r="J171" s="3">
        <v>1.2126024991046118</v>
      </c>
      <c r="K171" s="3">
        <v>128.05469973504066</v>
      </c>
      <c r="L171" s="3">
        <v>26.534183966089831</v>
      </c>
      <c r="M171" s="3">
        <v>0.21935310005292344</v>
      </c>
      <c r="N171" s="3"/>
      <c r="O171" s="3">
        <f>AVERAGE($H$2:H171)</f>
        <v>24.192129284687137</v>
      </c>
      <c r="P171" s="3">
        <f>AVERAGE($I$2:I171)</f>
        <v>27.916745713468803</v>
      </c>
      <c r="Q171" s="3">
        <f>AVERAGE($J$2:J171)</f>
        <v>25.339944733779564</v>
      </c>
      <c r="R171" s="3">
        <f>AVERAGE($K$2:K171)</f>
        <v>36.33689477199497</v>
      </c>
      <c r="S171" s="3">
        <f>AVERAGE($L$2:L171)</f>
        <v>21.94190740542841</v>
      </c>
      <c r="T171" s="3">
        <f>AVERAGE($M$2:M171)</f>
        <v>15.814417969131481</v>
      </c>
    </row>
    <row r="172" spans="7:20" ht="15.4" x14ac:dyDescent="0.4">
      <c r="G172" s="43">
        <v>45</v>
      </c>
      <c r="H172" s="43">
        <v>40.668682764238277</v>
      </c>
      <c r="I172" s="3">
        <v>55.733658841852559</v>
      </c>
      <c r="J172" s="3">
        <v>2.1053978836948275</v>
      </c>
      <c r="K172" s="3">
        <v>146.59913707741848</v>
      </c>
      <c r="L172" s="3">
        <v>34.016962984133905</v>
      </c>
      <c r="M172" s="3">
        <v>8.6896551724137936</v>
      </c>
      <c r="N172" s="3"/>
      <c r="O172" s="3">
        <f>AVERAGE($H$2:H172)</f>
        <v>24.28848339860264</v>
      </c>
      <c r="P172" s="3">
        <f>AVERAGE($I$2:I172)</f>
        <v>28.079417720067539</v>
      </c>
      <c r="Q172" s="3">
        <f>AVERAGE($J$2:J172)</f>
        <v>25.20407019079661</v>
      </c>
      <c r="R172" s="3">
        <f>AVERAGE($K$2:K172)</f>
        <v>36.981703206529609</v>
      </c>
      <c r="S172" s="3">
        <f>AVERAGE($L$2:L172)</f>
        <v>22.012521765537798</v>
      </c>
      <c r="T172" s="3">
        <f>AVERAGE($M$2:M172)</f>
        <v>15.772752689618514</v>
      </c>
    </row>
    <row r="173" spans="7:20" ht="15.4" x14ac:dyDescent="0.4">
      <c r="G173" s="43">
        <v>45</v>
      </c>
      <c r="H173" s="43">
        <v>57.352392202704536</v>
      </c>
      <c r="I173" s="3">
        <v>66.034267369286425</v>
      </c>
      <c r="J173" s="3">
        <v>33.687122230825047</v>
      </c>
      <c r="K173" s="3">
        <v>41.127581727880305</v>
      </c>
      <c r="L173" s="3">
        <v>5.7370730914414505</v>
      </c>
      <c r="M173" s="3">
        <v>13.58764237631066</v>
      </c>
      <c r="N173" s="3"/>
      <c r="O173" s="3">
        <f>AVERAGE($H$2:H173)</f>
        <v>24.480715426533465</v>
      </c>
      <c r="P173" s="3">
        <f>AVERAGE($I$2:I173)</f>
        <v>28.300085450586256</v>
      </c>
      <c r="Q173" s="3">
        <f>AVERAGE($J$2:J173)</f>
        <v>25.253390260796778</v>
      </c>
      <c r="R173" s="3">
        <f>AVERAGE($K$2:K173)</f>
        <v>37.00580715142118</v>
      </c>
      <c r="S173" s="3">
        <f>AVERAGE($L$2:L173)</f>
        <v>21.917897063944213</v>
      </c>
      <c r="T173" s="3">
        <f>AVERAGE($M$2:M173)</f>
        <v>15.760048559889979</v>
      </c>
    </row>
    <row r="174" spans="7:20" ht="15.4" x14ac:dyDescent="0.4">
      <c r="G174" s="43">
        <v>45</v>
      </c>
      <c r="H174" s="43">
        <v>8.5749598842947812</v>
      </c>
      <c r="I174" s="3">
        <v>19.433247861636733</v>
      </c>
      <c r="J174" s="3">
        <v>40.33582228859435</v>
      </c>
      <c r="K174" s="3">
        <v>131.03416610260496</v>
      </c>
      <c r="L174" s="3">
        <v>61.522443516578221</v>
      </c>
      <c r="M174" s="3">
        <v>22.078246773257789</v>
      </c>
      <c r="N174" s="3"/>
      <c r="O174" s="3">
        <f>AVERAGE($H$2:H174)</f>
        <v>24.388774643052315</v>
      </c>
      <c r="P174" s="3">
        <f>AVERAGE($I$2:I174)</f>
        <v>28.248832054118342</v>
      </c>
      <c r="Q174" s="3">
        <f>AVERAGE($J$2:J174)</f>
        <v>25.340571948818731</v>
      </c>
      <c r="R174" s="3">
        <f>AVERAGE($K$2:K174)</f>
        <v>37.549323677150568</v>
      </c>
      <c r="S174" s="3">
        <f>AVERAGE($L$2:L174)</f>
        <v>22.146825078121289</v>
      </c>
      <c r="T174" s="3">
        <f>AVERAGE($M$2:M174)</f>
        <v>15.796569936845863</v>
      </c>
    </row>
    <row r="175" spans="7:20" ht="15.4" x14ac:dyDescent="0.4">
      <c r="G175" s="43">
        <v>45</v>
      </c>
      <c r="H175" s="43">
        <v>10.345200069691336</v>
      </c>
      <c r="I175" s="3">
        <v>26.162008199054398</v>
      </c>
      <c r="J175" s="3">
        <v>0.18895333922621713</v>
      </c>
      <c r="K175" s="3">
        <v>26.375867338226179</v>
      </c>
      <c r="L175" s="3">
        <v>11.157187641452943</v>
      </c>
      <c r="M175" s="3">
        <v>8.3853358136207667</v>
      </c>
      <c r="N175" s="3"/>
      <c r="O175" s="3">
        <f>AVERAGE($H$2:H175)</f>
        <v>24.308064444354841</v>
      </c>
      <c r="P175" s="3">
        <f>AVERAGE($I$2:I175)</f>
        <v>28.236838813571996</v>
      </c>
      <c r="Q175" s="3">
        <f>AVERAGE($J$2:J175)</f>
        <v>25.196022416579691</v>
      </c>
      <c r="R175" s="3">
        <f>AVERAGE($K$2:K175)</f>
        <v>37.485108410834911</v>
      </c>
      <c r="S175" s="3">
        <f>AVERAGE($L$2:L175)</f>
        <v>22.083666242278365</v>
      </c>
      <c r="T175" s="3">
        <f>AVERAGE($M$2:M175)</f>
        <v>15.753976637287098</v>
      </c>
    </row>
    <row r="176" spans="7:20" ht="15.4" x14ac:dyDescent="0.4">
      <c r="G176" s="43">
        <v>45</v>
      </c>
      <c r="H176" s="43">
        <v>12.598466113446449</v>
      </c>
      <c r="I176" s="3">
        <v>25.384445678157146</v>
      </c>
      <c r="J176" s="3">
        <v>2.6974731553119269</v>
      </c>
      <c r="K176" s="3">
        <v>23.199702193195709</v>
      </c>
      <c r="L176" s="3">
        <v>12.032859488665032</v>
      </c>
      <c r="M176" s="3">
        <v>2.6994738241069296</v>
      </c>
      <c r="N176" s="3"/>
      <c r="O176" s="3">
        <f>AVERAGE($H$2:H176)</f>
        <v>24.241152453892507</v>
      </c>
      <c r="P176" s="3">
        <f>AVERAGE($I$2:I176)</f>
        <v>28.220539424226768</v>
      </c>
      <c r="Q176" s="3">
        <f>AVERAGE($J$2:J176)</f>
        <v>25.067459277943875</v>
      </c>
      <c r="R176" s="3">
        <f>AVERAGE($K$2:K176)</f>
        <v>37.403477518162688</v>
      </c>
      <c r="S176" s="3">
        <f>AVERAGE($L$2:L176)</f>
        <v>22.026233060829149</v>
      </c>
      <c r="T176" s="3">
        <f>AVERAGE($M$2:M176)</f>
        <v>15.67937947835464</v>
      </c>
    </row>
    <row r="177" spans="7:20" ht="15.4" x14ac:dyDescent="0.4">
      <c r="G177" s="43">
        <v>46</v>
      </c>
      <c r="H177" s="43">
        <v>12.677624601005661</v>
      </c>
      <c r="I177" s="3">
        <v>26.471351935568254</v>
      </c>
      <c r="J177" s="3">
        <v>84.440729747678191</v>
      </c>
      <c r="K177" s="3">
        <v>343.52825034234775</v>
      </c>
      <c r="L177" s="3">
        <v>95.663083683047688</v>
      </c>
      <c r="M177" s="3">
        <v>21.654970760233919</v>
      </c>
      <c r="N177" s="3"/>
      <c r="O177" s="3">
        <f>AVERAGE($H$2:H177)</f>
        <v>24.175450591092012</v>
      </c>
      <c r="P177" s="3">
        <f>AVERAGE($I$2:I177)</f>
        <v>28.210600858950297</v>
      </c>
      <c r="Q177" s="3">
        <f>AVERAGE($J$2:J177)</f>
        <v>25.404807405612818</v>
      </c>
      <c r="R177" s="3">
        <f>AVERAGE($K$2:K177)</f>
        <v>39.142822818300097</v>
      </c>
      <c r="S177" s="3">
        <f>AVERAGE($L$2:L177)</f>
        <v>22.444624257546298</v>
      </c>
      <c r="T177" s="3">
        <f>AVERAGE($M$2:M177)</f>
        <v>15.713331701547135</v>
      </c>
    </row>
    <row r="178" spans="7:20" ht="15.4" x14ac:dyDescent="0.4">
      <c r="G178" s="43">
        <v>46.204620462046208</v>
      </c>
      <c r="H178" s="43">
        <v>85.805907399581514</v>
      </c>
      <c r="I178" s="3">
        <v>87.013064716225244</v>
      </c>
      <c r="J178" s="3">
        <v>74.899832791782231</v>
      </c>
      <c r="K178" s="3">
        <v>31.376366350203931</v>
      </c>
      <c r="L178" s="3">
        <v>45.52270435730243</v>
      </c>
      <c r="M178" s="3">
        <v>5.5358114233907507</v>
      </c>
      <c r="N178" s="3"/>
      <c r="O178" s="3">
        <f>AVERAGE($H$2:H178)</f>
        <v>24.523645262326419</v>
      </c>
      <c r="P178" s="3">
        <f>AVERAGE($I$2:I178)</f>
        <v>28.542818168878405</v>
      </c>
      <c r="Q178" s="3">
        <f>AVERAGE($J$2:J178)</f>
        <v>25.684440317399091</v>
      </c>
      <c r="R178" s="3">
        <f>AVERAGE($K$2:K178)</f>
        <v>39.098944533169615</v>
      </c>
      <c r="S178" s="3">
        <f>AVERAGE($L$2:L178)</f>
        <v>22.575008890878252</v>
      </c>
      <c r="T178" s="3">
        <f>AVERAGE($M$2:M178)</f>
        <v>15.655831586981282</v>
      </c>
    </row>
    <row r="179" spans="7:20" ht="15.4" x14ac:dyDescent="0.4">
      <c r="G179" s="43">
        <v>46.357615894039732</v>
      </c>
      <c r="H179" s="43">
        <v>46.364143711895437</v>
      </c>
      <c r="I179" s="3">
        <v>61.346505373811567</v>
      </c>
      <c r="J179" s="3">
        <v>4.1264171686905788</v>
      </c>
      <c r="K179" s="3">
        <v>169.84689942199191</v>
      </c>
      <c r="L179" s="3">
        <v>24.995876898989223</v>
      </c>
      <c r="M179" s="3">
        <v>12.313974591651546</v>
      </c>
      <c r="N179" s="3"/>
      <c r="O179" s="3">
        <f>AVERAGE($H$2:H179)</f>
        <v>24.646344691818381</v>
      </c>
      <c r="P179" s="3">
        <f>AVERAGE($I$2:I179)</f>
        <v>28.727108546434209</v>
      </c>
      <c r="Q179" s="3">
        <f>AVERAGE($J$2:J179)</f>
        <v>25.563327827799604</v>
      </c>
      <c r="R179" s="3">
        <f>AVERAGE($K$2:K179)</f>
        <v>39.833483605578728</v>
      </c>
      <c r="S179" s="3">
        <f>AVERAGE($L$2:L179)</f>
        <v>22.588609272946293</v>
      </c>
      <c r="T179" s="3">
        <f>AVERAGE($M$2:M179)</f>
        <v>15.637057109479429</v>
      </c>
    </row>
    <row r="180" spans="7:20" ht="15.4" x14ac:dyDescent="0.4">
      <c r="G180" s="43">
        <v>46.357615894039732</v>
      </c>
      <c r="H180" s="43">
        <v>58.879870490105269</v>
      </c>
      <c r="I180" s="3">
        <v>70.592911996350523</v>
      </c>
      <c r="J180" s="3">
        <v>26.668076838345183</v>
      </c>
      <c r="K180" s="3">
        <v>105.64357417834609</v>
      </c>
      <c r="L180" s="3">
        <v>5.883910795924395</v>
      </c>
      <c r="M180" s="3">
        <v>34.879649890590819</v>
      </c>
      <c r="N180" s="3"/>
      <c r="O180" s="3">
        <f>AVERAGE($H$2:H180)</f>
        <v>24.837593439294846</v>
      </c>
      <c r="P180" s="3">
        <f>AVERAGE($I$2:I180)</f>
        <v>28.960995716545472</v>
      </c>
      <c r="Q180" s="3">
        <f>AVERAGE($J$2:J180)</f>
        <v>25.56949960998142</v>
      </c>
      <c r="R180" s="3">
        <f>AVERAGE($K$2:K180)</f>
        <v>40.201137742856758</v>
      </c>
      <c r="S180" s="3">
        <f>AVERAGE($L$2:L180)</f>
        <v>22.495286935085833</v>
      </c>
      <c r="T180" s="3">
        <f>AVERAGE($M$2:M180)</f>
        <v>15.744557627809661</v>
      </c>
    </row>
    <row r="181" spans="7:20" ht="15.4" x14ac:dyDescent="0.4">
      <c r="G181" s="43">
        <v>47.5</v>
      </c>
      <c r="H181" s="43">
        <v>13.758073375294583</v>
      </c>
      <c r="I181" s="3">
        <v>27.045767884380073</v>
      </c>
      <c r="J181" s="3">
        <v>3.3191138799185311</v>
      </c>
      <c r="K181" s="3">
        <v>25.947718363259913</v>
      </c>
      <c r="L181" s="3">
        <v>13.501921411829793</v>
      </c>
      <c r="M181" s="3">
        <v>5.375034157648817</v>
      </c>
      <c r="N181" s="3"/>
      <c r="O181" s="3">
        <f>AVERAGE($H$2:H181)</f>
        <v>24.776040550050404</v>
      </c>
      <c r="P181" s="3">
        <f>AVERAGE($I$2:I181)</f>
        <v>28.950355561922333</v>
      </c>
      <c r="Q181" s="3">
        <f>AVERAGE($J$2:J181)</f>
        <v>25.445886355925516</v>
      </c>
      <c r="R181" s="3">
        <f>AVERAGE($K$2:K181)</f>
        <v>40.121952079636777</v>
      </c>
      <c r="S181" s="3">
        <f>AVERAGE($L$2:L181)</f>
        <v>22.445323793289965</v>
      </c>
      <c r="T181" s="3">
        <f>AVERAGE($M$2:M181)</f>
        <v>15.686949164086544</v>
      </c>
    </row>
    <row r="182" spans="7:20" ht="15.4" x14ac:dyDescent="0.4">
      <c r="G182" s="43">
        <v>48</v>
      </c>
      <c r="H182" s="43">
        <v>305.61668607542521</v>
      </c>
      <c r="I182" s="3">
        <v>10.187330888377385</v>
      </c>
      <c r="J182" s="3">
        <v>614.33276883996609</v>
      </c>
      <c r="K182" s="3">
        <v>2166.3467373672015</v>
      </c>
      <c r="L182" s="3">
        <v>85.838713704430774</v>
      </c>
      <c r="M182" s="3">
        <v>30.497496631736322</v>
      </c>
      <c r="N182" s="3"/>
      <c r="O182" s="3">
        <f>AVERAGE($H$2:H182)</f>
        <v>26.32764632643369</v>
      </c>
      <c r="P182" s="3">
        <f>AVERAGE($I$2:I182)</f>
        <v>28.846692442178995</v>
      </c>
      <c r="Q182" s="3">
        <f>AVERAGE($J$2:J182)</f>
        <v>28.699405043682646</v>
      </c>
      <c r="R182" s="3">
        <f>AVERAGE($K$2:K182)</f>
        <v>51.869050340894034</v>
      </c>
      <c r="S182" s="3">
        <f>AVERAGE($L$2:L182)</f>
        <v>22.795563516555937</v>
      </c>
      <c r="T182" s="3">
        <f>AVERAGE($M$2:M182)</f>
        <v>15.768775393189582</v>
      </c>
    </row>
    <row r="183" spans="7:20" ht="15.4" x14ac:dyDescent="0.4">
      <c r="G183" s="43">
        <v>48</v>
      </c>
      <c r="H183" s="43">
        <v>52.509807785761609</v>
      </c>
      <c r="I183" s="3">
        <v>49.486335260431083</v>
      </c>
      <c r="J183" s="3">
        <v>168.58548233046801</v>
      </c>
      <c r="K183" s="3">
        <v>752.13482866305799</v>
      </c>
      <c r="L183" s="3">
        <v>3.5567909178256127</v>
      </c>
      <c r="M183" s="3">
        <v>61.453686570983443</v>
      </c>
      <c r="N183" s="3"/>
      <c r="O183" s="3">
        <f>AVERAGE($H$2:H183)</f>
        <v>26.47150435643</v>
      </c>
      <c r="P183" s="3">
        <f>AVERAGE($I$2:I183)</f>
        <v>28.960097073048509</v>
      </c>
      <c r="Q183" s="3">
        <f>AVERAGE($J$2:J183)</f>
        <v>29.468009863939706</v>
      </c>
      <c r="R183" s="3">
        <f>AVERAGE($K$2:K183)</f>
        <v>55.716664507499338</v>
      </c>
      <c r="S183" s="3">
        <f>AVERAGE($L$2:L183)</f>
        <v>22.689855974804672</v>
      </c>
      <c r="T183" s="3">
        <f>AVERAGE($M$2:M183)</f>
        <v>16.019791388671965</v>
      </c>
    </row>
    <row r="184" spans="7:20" ht="15.4" x14ac:dyDescent="0.4">
      <c r="G184" s="43">
        <v>48</v>
      </c>
      <c r="H184" s="43">
        <v>46.180441335086101</v>
      </c>
      <c r="I184" s="3">
        <v>21.892915915024357</v>
      </c>
      <c r="J184" s="3">
        <v>157.43881599023496</v>
      </c>
      <c r="K184" s="3">
        <v>716.7700631158574</v>
      </c>
      <c r="L184" s="3">
        <v>103.53830597233664</v>
      </c>
      <c r="M184" s="3">
        <v>0.94028589163504139</v>
      </c>
      <c r="N184" s="3"/>
      <c r="O184" s="3">
        <f>AVERAGE($H$2:H184)</f>
        <v>26.579203465602987</v>
      </c>
      <c r="P184" s="3">
        <f>AVERAGE($I$2:I184)</f>
        <v>28.921478596775156</v>
      </c>
      <c r="Q184" s="3">
        <f>AVERAGE($J$2:J184)</f>
        <v>30.167303886487765</v>
      </c>
      <c r="R184" s="3">
        <f>AVERAGE($K$2:K184)</f>
        <v>59.32897816109692</v>
      </c>
      <c r="S184" s="3">
        <f>AVERAGE($L$2:L184)</f>
        <v>23.131650783534351</v>
      </c>
      <c r="T184" s="3">
        <f>AVERAGE($M$2:M184)</f>
        <v>15.93738971928925</v>
      </c>
    </row>
    <row r="185" spans="7:20" ht="15.4" x14ac:dyDescent="0.4">
      <c r="G185" s="43">
        <v>48</v>
      </c>
      <c r="H185" s="43">
        <v>21.675391390602154</v>
      </c>
      <c r="I185" s="3">
        <v>50.066403948632697</v>
      </c>
      <c r="J185" s="3">
        <v>37.937704381948997</v>
      </c>
      <c r="K185" s="3">
        <v>337.6317032097229</v>
      </c>
      <c r="L185" s="3">
        <v>50.372856185746194</v>
      </c>
      <c r="M185" s="3">
        <v>16.784169488597438</v>
      </c>
      <c r="N185" s="3"/>
      <c r="O185" s="3">
        <f>AVERAGE($H$2:H185)</f>
        <v>26.552552313021462</v>
      </c>
      <c r="P185" s="3">
        <f>AVERAGE($I$2:I185)</f>
        <v>29.036396669339599</v>
      </c>
      <c r="Q185" s="3">
        <f>AVERAGE($J$2:J185)</f>
        <v>30.209534323963098</v>
      </c>
      <c r="R185" s="3">
        <f>AVERAGE($K$2:K185)</f>
        <v>60.841492971143801</v>
      </c>
      <c r="S185" s="3">
        <f>AVERAGE($L$2:L185)</f>
        <v>23.279700812894198</v>
      </c>
      <c r="T185" s="3">
        <f>AVERAGE($M$2:M185)</f>
        <v>15.941991783252881</v>
      </c>
    </row>
    <row r="186" spans="7:20" ht="15.4" x14ac:dyDescent="0.4">
      <c r="G186" s="43">
        <v>48</v>
      </c>
      <c r="H186" s="43">
        <v>35.002265094290749</v>
      </c>
      <c r="I186" s="3">
        <v>50.532089008841787</v>
      </c>
      <c r="J186" s="3">
        <v>14.467706919945728</v>
      </c>
      <c r="K186" s="3">
        <v>263.16899549941184</v>
      </c>
      <c r="L186" s="3">
        <v>78.877539674518928</v>
      </c>
      <c r="M186" s="3">
        <v>24.330503262454677</v>
      </c>
      <c r="N186" s="3"/>
      <c r="O186" s="3">
        <f>AVERAGE($H$2:H186)</f>
        <v>26.598226436163458</v>
      </c>
      <c r="P186" s="3">
        <f>AVERAGE($I$2:I186)</f>
        <v>29.152589600904474</v>
      </c>
      <c r="Q186" s="3">
        <f>AVERAGE($J$2:J186)</f>
        <v>30.124443365022465</v>
      </c>
      <c r="R186" s="3">
        <f>AVERAGE($K$2:K186)</f>
        <v>61.935155146972278</v>
      </c>
      <c r="S186" s="3">
        <f>AVERAGE($L$2:L186)</f>
        <v>23.580229671605682</v>
      </c>
      <c r="T186" s="3">
        <f>AVERAGE($M$2:M186)</f>
        <v>15.987335088545864</v>
      </c>
    </row>
    <row r="187" spans="7:20" ht="15.4" x14ac:dyDescent="0.4">
      <c r="G187" s="43">
        <v>49</v>
      </c>
      <c r="H187" s="43">
        <v>54.118928165523151</v>
      </c>
      <c r="I187" s="3">
        <v>66.786984839477583</v>
      </c>
      <c r="J187" s="3">
        <v>12.228804019713948</v>
      </c>
      <c r="K187" s="3">
        <v>285.22665327461101</v>
      </c>
      <c r="L187" s="3">
        <v>33.520257272938956</v>
      </c>
      <c r="M187" s="3">
        <v>22.117575505820771</v>
      </c>
      <c r="N187" s="3"/>
      <c r="O187" s="3">
        <f>AVERAGE($H$2:H187)</f>
        <v>26.746187198149265</v>
      </c>
      <c r="P187" s="3">
        <f>AVERAGE($I$2:I187)</f>
        <v>29.35492505917637</v>
      </c>
      <c r="Q187" s="3">
        <f>AVERAGE($J$2:J187)</f>
        <v>30.028230250262741</v>
      </c>
      <c r="R187" s="3">
        <f>AVERAGE($K$2:K187)</f>
        <v>63.135647072389688</v>
      </c>
      <c r="S187" s="3">
        <f>AVERAGE($L$2:L187)</f>
        <v>23.633670680214998</v>
      </c>
      <c r="T187" s="3">
        <f>AVERAGE($M$2:M187)</f>
        <v>16.02029337035917</v>
      </c>
    </row>
    <row r="188" spans="7:20" ht="15.4" x14ac:dyDescent="0.4">
      <c r="G188" s="43">
        <v>49.243098842386459</v>
      </c>
      <c r="H188" s="43">
        <v>35.507182174389506</v>
      </c>
      <c r="I188" s="3">
        <v>53.860996379973628</v>
      </c>
      <c r="J188" s="3">
        <v>17.344248304386515</v>
      </c>
      <c r="K188" s="3">
        <v>364.56705239276943</v>
      </c>
      <c r="L188" s="3">
        <v>72.793194055283351</v>
      </c>
      <c r="M188" s="3">
        <v>9.2085663730791467E-2</v>
      </c>
      <c r="N188" s="3"/>
      <c r="O188" s="3">
        <f>AVERAGE($H$2:H188)</f>
        <v>26.793037438663916</v>
      </c>
      <c r="P188" s="3">
        <f>AVERAGE($I$2:I188)</f>
        <v>29.485973568913256</v>
      </c>
      <c r="Q188" s="3">
        <f>AVERAGE($J$2:J188)</f>
        <v>29.960401469803507</v>
      </c>
      <c r="R188" s="3">
        <f>AVERAGE($K$2:K188)</f>
        <v>64.74757972116177</v>
      </c>
      <c r="S188" s="3">
        <f>AVERAGE($L$2:L188)</f>
        <v>23.896555831953332</v>
      </c>
      <c r="T188" s="3">
        <f>AVERAGE($M$2:M188)</f>
        <v>15.935115789040301</v>
      </c>
    </row>
    <row r="189" spans="7:20" ht="15.4" x14ac:dyDescent="0.4">
      <c r="G189" s="43">
        <v>49.243098842386459</v>
      </c>
      <c r="H189" s="43">
        <v>72.136598123886728</v>
      </c>
      <c r="I189" s="3">
        <v>76.006285175538153</v>
      </c>
      <c r="J189" s="3">
        <v>49.302727674318447</v>
      </c>
      <c r="K189" s="3">
        <v>100.71100807260429</v>
      </c>
      <c r="L189" s="3">
        <v>20.133396644334635</v>
      </c>
      <c r="M189" s="3">
        <v>9.4006373538803208E-3</v>
      </c>
      <c r="N189" s="3"/>
      <c r="O189" s="3">
        <f>AVERAGE($H$2:H189)</f>
        <v>27.034226591244892</v>
      </c>
      <c r="P189" s="3">
        <f>AVERAGE($I$2:I189)</f>
        <v>29.733422034905942</v>
      </c>
      <c r="Q189" s="3">
        <f>AVERAGE($J$2:J189)</f>
        <v>30.063286183657311</v>
      </c>
      <c r="R189" s="3">
        <f>AVERAGE($K$2:K189)</f>
        <v>64.93887455281839</v>
      </c>
      <c r="S189" s="3">
        <f>AVERAGE($L$2:L189)</f>
        <v>23.876539027763872</v>
      </c>
      <c r="T189" s="3">
        <f>AVERAGE($M$2:M189)</f>
        <v>15.850404538233459</v>
      </c>
    </row>
    <row r="190" spans="7:20" ht="15.4" x14ac:dyDescent="0.4">
      <c r="G190" s="43">
        <v>49.243098842386459</v>
      </c>
      <c r="H190" s="43">
        <v>88.107685374466755</v>
      </c>
      <c r="I190" s="3">
        <v>22.745497466327581</v>
      </c>
      <c r="J190" s="3">
        <v>95.7561314260481</v>
      </c>
      <c r="K190" s="3">
        <v>108.03954231106168</v>
      </c>
      <c r="L190" s="3">
        <v>61.163556411835188</v>
      </c>
      <c r="M190" s="3">
        <v>0.14273000138481437</v>
      </c>
      <c r="N190" s="3"/>
      <c r="O190" s="3">
        <f>AVERAGE($H$2:H190)</f>
        <v>27.357366584806915</v>
      </c>
      <c r="P190" s="3">
        <f>AVERAGE($I$2:I190)</f>
        <v>29.69644888904045</v>
      </c>
      <c r="Q190" s="3">
        <f>AVERAGE($J$2:J190)</f>
        <v>30.410867375415993</v>
      </c>
      <c r="R190" s="3">
        <f>AVERAGE($K$2:K190)</f>
        <v>65.166920413973116</v>
      </c>
      <c r="S190" s="3">
        <f>AVERAGE($L$2:L190)</f>
        <v>24.073824834028798</v>
      </c>
      <c r="T190" s="3">
        <f>AVERAGE($M$2:M190)</f>
        <v>15.767295149149604</v>
      </c>
    </row>
    <row r="191" spans="7:20" ht="15.4" x14ac:dyDescent="0.4">
      <c r="G191" s="43">
        <v>50</v>
      </c>
      <c r="H191" s="43">
        <v>14.319683794466401</v>
      </c>
      <c r="I191" s="3">
        <v>51.935946859989315</v>
      </c>
      <c r="J191" s="3">
        <v>103.2891599104361</v>
      </c>
      <c r="K191" s="3">
        <v>718.25537130860732</v>
      </c>
      <c r="L191" s="3">
        <v>11.817709921273938</v>
      </c>
      <c r="M191" s="3">
        <v>52.975681818181819</v>
      </c>
      <c r="N191" s="3"/>
      <c r="O191" s="3">
        <f>AVERAGE($H$2:H191)</f>
        <v>27.288747201699856</v>
      </c>
      <c r="P191" s="3">
        <f>AVERAGE($I$2:I191)</f>
        <v>29.813498878361234</v>
      </c>
      <c r="Q191" s="3">
        <f>AVERAGE($J$2:J191)</f>
        <v>30.794437336126627</v>
      </c>
      <c r="R191" s="3">
        <f>AVERAGE($K$2:K191)</f>
        <v>68.604228050260659</v>
      </c>
      <c r="S191" s="3">
        <f>AVERAGE($L$2:L191)</f>
        <v>24.009318966066928</v>
      </c>
      <c r="T191" s="3">
        <f>AVERAGE($M$2:M191)</f>
        <v>15.96312876319714</v>
      </c>
    </row>
    <row r="192" spans="7:20" ht="15.4" x14ac:dyDescent="0.4">
      <c r="G192" s="43">
        <v>50</v>
      </c>
      <c r="H192" s="43">
        <v>39.411182273811484</v>
      </c>
      <c r="I192" s="3">
        <v>57.065416510971978</v>
      </c>
      <c r="J192" s="3">
        <v>13.054064198749366</v>
      </c>
      <c r="K192" s="3">
        <v>435.47209505219155</v>
      </c>
      <c r="L192" s="3">
        <v>70.648599484264679</v>
      </c>
      <c r="M192" s="3">
        <v>8.4166946501475817</v>
      </c>
      <c r="N192" s="3"/>
      <c r="O192" s="3">
        <f>AVERAGE($H$2:H192)</f>
        <v>27.352215448150702</v>
      </c>
      <c r="P192" s="3">
        <f>AVERAGE($I$2:I192)</f>
        <v>29.956179075390608</v>
      </c>
      <c r="Q192" s="3">
        <f>AVERAGE($J$2:J192)</f>
        <v>30.701555801375957</v>
      </c>
      <c r="R192" s="3">
        <f>AVERAGE($K$2:K192)</f>
        <v>70.525002223045647</v>
      </c>
      <c r="S192" s="3">
        <f>AVERAGE($L$2:L192)</f>
        <v>24.253503680821893</v>
      </c>
      <c r="T192" s="3">
        <f>AVERAGE($M$2:M192)</f>
        <v>15.923618636950808</v>
      </c>
    </row>
    <row r="193" spans="7:20" ht="15.4" x14ac:dyDescent="0.4">
      <c r="G193" s="43">
        <v>50</v>
      </c>
      <c r="H193" s="43">
        <v>6.183858533677733</v>
      </c>
      <c r="I193" s="3">
        <v>54.022841624065123</v>
      </c>
      <c r="J193" s="3">
        <v>79.116554965263504</v>
      </c>
      <c r="K193" s="3">
        <v>824.51699822817227</v>
      </c>
      <c r="L193" s="3">
        <v>25.709026532028577</v>
      </c>
      <c r="M193" s="3">
        <v>45.455714285714279</v>
      </c>
      <c r="N193" s="3"/>
      <c r="O193" s="3">
        <f>AVERAGE($H$2:H193)</f>
        <v>27.241963589221157</v>
      </c>
      <c r="P193" s="3">
        <f>AVERAGE($I$2:I193)</f>
        <v>30.081526276164954</v>
      </c>
      <c r="Q193" s="3">
        <f>AVERAGE($J$2:J193)</f>
        <v>30.953717255354537</v>
      </c>
      <c r="R193" s="3">
        <f>AVERAGE($K$2:K193)</f>
        <v>74.452043868905676</v>
      </c>
      <c r="S193" s="3">
        <f>AVERAGE($L$2:L193)</f>
        <v>24.261084529005259</v>
      </c>
      <c r="T193" s="3">
        <f>AVERAGE($M$2:M193)</f>
        <v>16.077431635121453</v>
      </c>
    </row>
    <row r="194" spans="7:20" ht="15.4" x14ac:dyDescent="0.4">
      <c r="G194" s="43">
        <v>50</v>
      </c>
      <c r="H194" s="43">
        <v>10.894028750330712</v>
      </c>
      <c r="I194" s="3">
        <v>47.174464876925441</v>
      </c>
      <c r="J194" s="3">
        <v>58.455793103448286</v>
      </c>
      <c r="K194" s="3">
        <v>537.78552538509973</v>
      </c>
      <c r="L194" s="3">
        <v>60.990995480212604</v>
      </c>
      <c r="M194" s="3">
        <v>22.592551724137927</v>
      </c>
      <c r="N194" s="3"/>
      <c r="O194" s="3">
        <f>AVERAGE($H$2:H194)</f>
        <v>27.157259263631055</v>
      </c>
      <c r="P194" s="3">
        <f>AVERAGE($I$2:I194)</f>
        <v>30.17009072487356</v>
      </c>
      <c r="Q194" s="3">
        <f>AVERAGE($J$2:J194)</f>
        <v>31.096215057676268</v>
      </c>
      <c r="R194" s="3">
        <f>AVERAGE($K$2:K194)</f>
        <v>76.852735482979227</v>
      </c>
      <c r="S194" s="3">
        <f>AVERAGE($L$2:L194)</f>
        <v>24.451394948441568</v>
      </c>
      <c r="T194" s="3">
        <f>AVERAGE($M$2:M194)</f>
        <v>16.111188734028275</v>
      </c>
    </row>
    <row r="195" spans="7:20" ht="15.4" x14ac:dyDescent="0.4">
      <c r="G195" s="43">
        <v>50</v>
      </c>
      <c r="H195" s="43">
        <v>42.288557213930325</v>
      </c>
      <c r="I195" s="3">
        <v>58.710917317969404</v>
      </c>
      <c r="J195" s="3">
        <v>13.577339045290582</v>
      </c>
      <c r="K195" s="3">
        <v>563.14197668541806</v>
      </c>
      <c r="L195" s="3">
        <v>79.994351211430583</v>
      </c>
      <c r="M195" s="3">
        <v>5.4927536231883973</v>
      </c>
      <c r="N195" s="3"/>
      <c r="O195" s="3">
        <f>AVERAGE($H$2:H195)</f>
        <v>27.235255644818164</v>
      </c>
      <c r="P195" s="3">
        <f>AVERAGE($I$2:I195)</f>
        <v>30.31720838772457</v>
      </c>
      <c r="Q195" s="3">
        <f>AVERAGE($J$2:J195)</f>
        <v>31.005911573076343</v>
      </c>
      <c r="R195" s="3">
        <f>AVERAGE($K$2:K195)</f>
        <v>79.359381056187672</v>
      </c>
      <c r="S195" s="3">
        <f>AVERAGE($L$2:L195)</f>
        <v>24.737698846704397</v>
      </c>
      <c r="T195" s="3">
        <f>AVERAGE($M$2:M195)</f>
        <v>16.056454532426006</v>
      </c>
    </row>
    <row r="196" spans="7:20" ht="15.4" x14ac:dyDescent="0.4">
      <c r="G196" s="43">
        <v>50</v>
      </c>
      <c r="H196" s="43">
        <v>30.260131338234668</v>
      </c>
      <c r="I196" s="3">
        <v>50.521955996862388</v>
      </c>
      <c r="J196" s="3">
        <v>36.992917256527704</v>
      </c>
      <c r="K196" s="3">
        <v>693.88092183046876</v>
      </c>
      <c r="L196" s="3">
        <v>112.23728753190456</v>
      </c>
      <c r="M196" s="3">
        <v>10.821355236139624</v>
      </c>
      <c r="N196" s="3"/>
      <c r="O196" s="3">
        <f>AVERAGE($H$2:H196)</f>
        <v>27.250767827861324</v>
      </c>
      <c r="P196" s="3">
        <f>AVERAGE($I$2:I196)</f>
        <v>30.420822478027844</v>
      </c>
      <c r="Q196" s="3">
        <f>AVERAGE($J$2:J196)</f>
        <v>31.036614166324814</v>
      </c>
      <c r="R196" s="3">
        <f>AVERAGE($K$2:K196)</f>
        <v>82.510773572978849</v>
      </c>
      <c r="S196" s="3">
        <f>AVERAGE($L$2:L196)</f>
        <v>25.186414686115675</v>
      </c>
      <c r="T196" s="3">
        <f>AVERAGE($M$2:M196)</f>
        <v>16.029607869368128</v>
      </c>
    </row>
    <row r="197" spans="7:20" ht="15.4" x14ac:dyDescent="0.4">
      <c r="G197" s="43">
        <v>50</v>
      </c>
      <c r="H197" s="43">
        <v>52.083645926288611</v>
      </c>
      <c r="I197" s="3">
        <v>63.165062753601894</v>
      </c>
      <c r="J197" s="3">
        <v>6.8213959703845601</v>
      </c>
      <c r="K197" s="3">
        <v>417.33579197674305</v>
      </c>
      <c r="L197" s="3">
        <v>78.810990717055219</v>
      </c>
      <c r="M197" s="3">
        <v>3.0918404683497913</v>
      </c>
      <c r="N197" s="3"/>
      <c r="O197" s="3">
        <f>AVERAGE($H$2:H197)</f>
        <v>27.377466185506361</v>
      </c>
      <c r="P197" s="3">
        <f>AVERAGE($I$2:I197)</f>
        <v>30.587884928413423</v>
      </c>
      <c r="Q197" s="3">
        <f>AVERAGE($J$2:J197)</f>
        <v>30.913067134712872</v>
      </c>
      <c r="R197" s="3">
        <f>AVERAGE($K$2:K197)</f>
        <v>84.219064483202132</v>
      </c>
      <c r="S197" s="3">
        <f>AVERAGE($L$2:L197)</f>
        <v>25.460009461783738</v>
      </c>
      <c r="T197" s="3">
        <f>AVERAGE($M$2:M197)</f>
        <v>15.963598852015993</v>
      </c>
    </row>
    <row r="198" spans="7:20" ht="15.4" x14ac:dyDescent="0.4">
      <c r="G198" s="43">
        <v>50</v>
      </c>
      <c r="H198" s="43">
        <v>53.489438921091889</v>
      </c>
      <c r="I198" s="3">
        <v>64.134724140292448</v>
      </c>
      <c r="J198" s="3">
        <v>20.618617666274037</v>
      </c>
      <c r="K198" s="3">
        <v>182.08636985214216</v>
      </c>
      <c r="L198" s="3">
        <v>37.741307268036941</v>
      </c>
      <c r="M198" s="3">
        <v>14.269399806215805</v>
      </c>
      <c r="N198" s="3"/>
      <c r="O198" s="3">
        <f>AVERAGE($H$2:H198)</f>
        <v>27.510014270458573</v>
      </c>
      <c r="P198" s="3">
        <f>AVERAGE($I$2:I198)</f>
        <v>30.758173452331594</v>
      </c>
      <c r="Q198" s="3">
        <f>AVERAGE($J$2:J198)</f>
        <v>30.860811046040595</v>
      </c>
      <c r="R198" s="3">
        <f>AVERAGE($K$2:K198)</f>
        <v>84.715852835328732</v>
      </c>
      <c r="S198" s="3">
        <f>AVERAGE($L$2:L198)</f>
        <v>25.522351075013447</v>
      </c>
      <c r="T198" s="3">
        <f>AVERAGE($M$2:M198)</f>
        <v>15.954998856859646</v>
      </c>
    </row>
    <row r="199" spans="7:20" ht="15.4" x14ac:dyDescent="0.4">
      <c r="G199" s="43">
        <v>50</v>
      </c>
      <c r="H199" s="43">
        <v>5.6406602541265762</v>
      </c>
      <c r="I199" s="3">
        <v>35.706525051421991</v>
      </c>
      <c r="J199" s="3">
        <v>105.67664172901081</v>
      </c>
      <c r="K199" s="3">
        <v>1056.2306979424957</v>
      </c>
      <c r="L199" s="3">
        <v>121.60890270735905</v>
      </c>
      <c r="M199" s="3">
        <v>4.3660866871022508</v>
      </c>
      <c r="N199" s="3"/>
      <c r="O199" s="3">
        <f>AVERAGE($H$2:H199)</f>
        <v>27.399562987547803</v>
      </c>
      <c r="P199" s="3">
        <f>AVERAGE($I$2:I199)</f>
        <v>30.783165127074476</v>
      </c>
      <c r="Q199" s="3">
        <f>AVERAGE($J$2:J199)</f>
        <v>31.238668776762665</v>
      </c>
      <c r="R199" s="3">
        <f>AVERAGE($K$2:K199)</f>
        <v>89.622493467183105</v>
      </c>
      <c r="S199" s="3">
        <f>AVERAGE($L$2:L199)</f>
        <v>26.007636689318225</v>
      </c>
      <c r="T199" s="3">
        <f>AVERAGE($M$2:M199)</f>
        <v>15.896468997416427</v>
      </c>
    </row>
    <row r="200" spans="7:20" ht="15.4" x14ac:dyDescent="0.4">
      <c r="G200" s="43">
        <v>50</v>
      </c>
      <c r="H200" s="43">
        <v>0.75798803119603619</v>
      </c>
      <c r="I200" s="3">
        <v>29.10027250849765</v>
      </c>
      <c r="J200" s="3">
        <v>33.437320429457131</v>
      </c>
      <c r="K200" s="3">
        <v>166.23162113762376</v>
      </c>
      <c r="L200" s="3">
        <v>64.508282408149654</v>
      </c>
      <c r="M200" s="3">
        <v>4.0764175575179191</v>
      </c>
      <c r="N200" s="3"/>
      <c r="O200" s="3">
        <f>AVERAGE($H$2:H200)</f>
        <v>27.26568572646061</v>
      </c>
      <c r="P200" s="3">
        <f>AVERAGE($I$2:I200)</f>
        <v>30.774708380247457</v>
      </c>
      <c r="Q200" s="3">
        <f>AVERAGE($J$2:J200)</f>
        <v>31.249717277529975</v>
      </c>
      <c r="R200" s="3">
        <f>AVERAGE($K$2:K200)</f>
        <v>90.007463957989344</v>
      </c>
      <c r="S200" s="3">
        <f>AVERAGE($L$2:L200)</f>
        <v>26.201107270819893</v>
      </c>
      <c r="T200" s="3">
        <f>AVERAGE($M$2:M200)</f>
        <v>15.837071753999851</v>
      </c>
    </row>
    <row r="201" spans="7:20" ht="15.4" x14ac:dyDescent="0.4">
      <c r="G201" s="43">
        <v>50</v>
      </c>
      <c r="H201" s="43">
        <v>14.447008356478836</v>
      </c>
      <c r="I201" s="3">
        <v>28.302564421622673</v>
      </c>
      <c r="J201" s="3">
        <v>3.4640619503764887</v>
      </c>
      <c r="K201" s="3">
        <v>29.654819046357026</v>
      </c>
      <c r="L201" s="3">
        <v>15.714265005776085</v>
      </c>
      <c r="M201" s="3">
        <v>7.6273087373889288</v>
      </c>
      <c r="N201" s="3"/>
      <c r="O201" s="3">
        <f>AVERAGE($H$2:H201)</f>
        <v>27.201592339610702</v>
      </c>
      <c r="P201" s="3">
        <f>AVERAGE($I$2:I201)</f>
        <v>30.762347660454328</v>
      </c>
      <c r="Q201" s="3">
        <f>AVERAGE($J$2:J201)</f>
        <v>31.110789000894204</v>
      </c>
      <c r="R201" s="3">
        <f>AVERAGE($K$2:K201)</f>
        <v>89.705700733431186</v>
      </c>
      <c r="S201" s="3">
        <f>AVERAGE($L$2:L201)</f>
        <v>26.148673059494673</v>
      </c>
      <c r="T201" s="3">
        <f>AVERAGE($M$2:M201)</f>
        <v>15.796022938916797</v>
      </c>
    </row>
    <row r="202" spans="7:20" ht="15.4" x14ac:dyDescent="0.4">
      <c r="G202" s="43">
        <v>50</v>
      </c>
      <c r="H202" s="43">
        <v>25.192665298388121</v>
      </c>
      <c r="I202" s="3">
        <v>27.602201922221774</v>
      </c>
      <c r="J202" s="3">
        <v>108.6098598023443</v>
      </c>
      <c r="K202" s="3">
        <v>600.04253666355578</v>
      </c>
      <c r="L202" s="3">
        <v>101.81815679377641</v>
      </c>
      <c r="M202" s="3">
        <v>18.849128804224318</v>
      </c>
      <c r="N202" s="3"/>
      <c r="O202" s="3">
        <f>AVERAGE($H$2:H202)</f>
        <v>27.191597677714075</v>
      </c>
      <c r="P202" s="3">
        <f>AVERAGE($I$2:I202)</f>
        <v>30.746625542353669</v>
      </c>
      <c r="Q202" s="3">
        <f>AVERAGE($J$2:J202)</f>
        <v>31.496356517319331</v>
      </c>
      <c r="R202" s="3">
        <f>AVERAGE($K$2:K202)</f>
        <v>92.244689966914393</v>
      </c>
      <c r="S202" s="3">
        <f>AVERAGE($L$2:L202)</f>
        <v>26.525138152700052</v>
      </c>
      <c r="T202" s="3">
        <f>AVERAGE($M$2:M202)</f>
        <v>15.811212520336236</v>
      </c>
    </row>
    <row r="203" spans="7:20" ht="15.4" x14ac:dyDescent="0.4">
      <c r="G203" s="43">
        <v>50.000000000000014</v>
      </c>
      <c r="H203" s="43">
        <v>36.349476816333322</v>
      </c>
      <c r="I203" s="3">
        <v>60.800588614761949</v>
      </c>
      <c r="J203" s="3">
        <v>60.241675617615478</v>
      </c>
      <c r="K203" s="3">
        <v>319.45431599471578</v>
      </c>
      <c r="L203" s="3">
        <v>21.095541059870744</v>
      </c>
      <c r="M203" s="3">
        <v>39.806659505907625</v>
      </c>
      <c r="N203" s="3"/>
      <c r="O203" s="3">
        <f>AVERAGE($H$2:H203)</f>
        <v>27.236933713053773</v>
      </c>
      <c r="P203" s="3">
        <f>AVERAGE($I$2:I203)</f>
        <v>30.895407537761631</v>
      </c>
      <c r="Q203" s="3">
        <f>AVERAGE($J$2:J203)</f>
        <v>31.638660077221786</v>
      </c>
      <c r="R203" s="3">
        <f>AVERAGE($K$2:K203)</f>
        <v>93.369490095764903</v>
      </c>
      <c r="S203" s="3">
        <f>AVERAGE($L$2:L203)</f>
        <v>26.498258959171196</v>
      </c>
      <c r="T203" s="3">
        <f>AVERAGE($M$2:M203)</f>
        <v>15.930001861848966</v>
      </c>
    </row>
    <row r="204" spans="7:20" ht="15.4" x14ac:dyDescent="0.4">
      <c r="G204" s="43">
        <v>51</v>
      </c>
      <c r="H204" s="43">
        <v>0.40759102811285575</v>
      </c>
      <c r="I204" s="3">
        <v>38.117405365684313</v>
      </c>
      <c r="J204" s="3">
        <v>82.792902519224398</v>
      </c>
      <c r="K204" s="3">
        <v>825.80116920642456</v>
      </c>
      <c r="L204" s="3">
        <v>109.31119352695215</v>
      </c>
      <c r="M204" s="3">
        <v>2.6521084337349388</v>
      </c>
      <c r="N204" s="3"/>
      <c r="O204" s="3">
        <f>AVERAGE($H$2:H204)</f>
        <v>27.104769463374261</v>
      </c>
      <c r="P204" s="3">
        <f>AVERAGE($I$2:I204)</f>
        <v>30.930983881741547</v>
      </c>
      <c r="Q204" s="3">
        <f>AVERAGE($J$2:J204)</f>
        <v>31.890651419300617</v>
      </c>
      <c r="R204" s="3">
        <f>AVERAGE($K$2:K204)</f>
        <v>96.977527923896233</v>
      </c>
      <c r="S204" s="3">
        <f>AVERAGE($L$2:L204)</f>
        <v>26.906204449652879</v>
      </c>
      <c r="T204" s="3">
        <f>AVERAGE($M$2:M204)</f>
        <v>15.864593519838552</v>
      </c>
    </row>
    <row r="205" spans="7:20" ht="15.4" x14ac:dyDescent="0.4">
      <c r="G205" s="43">
        <v>51.2</v>
      </c>
      <c r="H205" s="43">
        <v>64.99163762196946</v>
      </c>
      <c r="I205" s="3">
        <v>12.651201404817705</v>
      </c>
      <c r="J205" s="3">
        <v>111.72819710598357</v>
      </c>
      <c r="K205" s="3">
        <v>290.44371539949367</v>
      </c>
      <c r="L205" s="3">
        <v>70.64322287877178</v>
      </c>
      <c r="M205" s="3">
        <v>12.894867575891272</v>
      </c>
      <c r="N205" s="3"/>
      <c r="O205" s="3">
        <f>AVERAGE($H$2:H205)</f>
        <v>27.290489405328163</v>
      </c>
      <c r="P205" s="3">
        <f>AVERAGE($I$2:I205)</f>
        <v>30.84137710489388</v>
      </c>
      <c r="Q205" s="3">
        <f>AVERAGE($J$2:J205)</f>
        <v>32.282011937372594</v>
      </c>
      <c r="R205" s="3">
        <f>AVERAGE($K$2:K205)</f>
        <v>97.925891587992311</v>
      </c>
      <c r="S205" s="3">
        <f>AVERAGE($L$2:L205)</f>
        <v>27.120601598815224</v>
      </c>
      <c r="T205" s="3">
        <f>AVERAGE($M$2:M205)</f>
        <v>15.850036039721163</v>
      </c>
    </row>
    <row r="206" spans="7:20" ht="15.4" x14ac:dyDescent="0.4">
      <c r="G206" s="43">
        <v>51.2</v>
      </c>
      <c r="H206" s="43">
        <v>30.593907258745055</v>
      </c>
      <c r="I206" s="3">
        <v>33.24545663961311</v>
      </c>
      <c r="J206" s="3">
        <v>67.586751276892116</v>
      </c>
      <c r="K206" s="3">
        <v>209.04336179430595</v>
      </c>
      <c r="L206" s="3">
        <v>28.866433721721034</v>
      </c>
      <c r="M206" s="3">
        <v>35.465514038589383</v>
      </c>
      <c r="N206" s="3"/>
      <c r="O206" s="3">
        <f>AVERAGE($H$2:H206)</f>
        <v>27.306603638759466</v>
      </c>
      <c r="P206" s="3">
        <f>AVERAGE($I$2:I206)</f>
        <v>30.85310432213641</v>
      </c>
      <c r="Q206" s="3">
        <f>AVERAGE($J$2:J206)</f>
        <v>32.454230178053173</v>
      </c>
      <c r="R206" s="3">
        <f>AVERAGE($K$2:K206)</f>
        <v>98.46792802802311</v>
      </c>
      <c r="S206" s="3">
        <f>AVERAGE($L$2:L206)</f>
        <v>27.129117853073303</v>
      </c>
      <c r="T206" s="3">
        <f>AVERAGE($M$2:M206)</f>
        <v>15.945721298252227</v>
      </c>
    </row>
    <row r="207" spans="7:20" ht="15.4" x14ac:dyDescent="0.4">
      <c r="G207" s="43">
        <v>52.095808383233546</v>
      </c>
      <c r="H207" s="43">
        <v>31.919839132861167</v>
      </c>
      <c r="I207" s="3">
        <v>48.18397463423549</v>
      </c>
      <c r="J207" s="3">
        <v>25.208110146963097</v>
      </c>
      <c r="K207" s="3">
        <v>725.0530081255572</v>
      </c>
      <c r="L207" s="3">
        <v>157.55993269242964</v>
      </c>
      <c r="M207" s="3">
        <v>25.931989822159945</v>
      </c>
      <c r="N207" s="3"/>
      <c r="O207" s="3">
        <f>AVERAGE($H$2:H207)</f>
        <v>27.328997985818209</v>
      </c>
      <c r="P207" s="3">
        <f>AVERAGE($I$2:I207)</f>
        <v>30.937234760544658</v>
      </c>
      <c r="Q207" s="3">
        <f>AVERAGE($J$2:J207)</f>
        <v>32.419054838096429</v>
      </c>
      <c r="R207" s="3">
        <f>AVERAGE($K$2:K207)</f>
        <v>101.50960317412763</v>
      </c>
      <c r="S207" s="3">
        <f>AVERAGE($L$2:L207)</f>
        <v>27.762277148409982</v>
      </c>
      <c r="T207" s="3">
        <f>AVERAGE($M$2:M207)</f>
        <v>15.994198329921682</v>
      </c>
    </row>
    <row r="208" spans="7:20" ht="15.4" x14ac:dyDescent="0.4">
      <c r="G208" s="43">
        <v>53.5</v>
      </c>
      <c r="H208" s="43">
        <v>41.745955840501544</v>
      </c>
      <c r="I208" s="3">
        <v>57.938606336441204</v>
      </c>
      <c r="J208" s="3">
        <v>28.201996889715701</v>
      </c>
      <c r="K208" s="3">
        <v>1799.7483762770923</v>
      </c>
      <c r="L208" s="3">
        <v>208.86934707940679</v>
      </c>
      <c r="M208" s="3">
        <v>2.1864740643466911</v>
      </c>
      <c r="N208" s="3"/>
      <c r="O208" s="3">
        <f>AVERAGE($H$2:H208)</f>
        <v>27.398645125212816</v>
      </c>
      <c r="P208" s="3">
        <f>AVERAGE($I$2:I208)</f>
        <v>31.067676169123867</v>
      </c>
      <c r="Q208" s="3">
        <f>AVERAGE($J$2:J208)</f>
        <v>32.398682577476229</v>
      </c>
      <c r="R208" s="3">
        <f>AVERAGE($K$2:K208)</f>
        <v>109.71365521810331</v>
      </c>
      <c r="S208" s="3">
        <f>AVERAGE($L$2:L208)</f>
        <v>28.637190529719149</v>
      </c>
      <c r="T208" s="3">
        <f>AVERAGE($M$2:M208)</f>
        <v>15.927494347962384</v>
      </c>
    </row>
    <row r="209" spans="7:20" ht="15.4" x14ac:dyDescent="0.4">
      <c r="G209" s="43">
        <v>53.5</v>
      </c>
      <c r="H209" s="43">
        <v>49.051379219402925</v>
      </c>
      <c r="I209" s="3">
        <v>65.459867320793535</v>
      </c>
      <c r="J209" s="3">
        <v>12.124660477918093</v>
      </c>
      <c r="K209" s="3">
        <v>1586.5892436286229</v>
      </c>
      <c r="L209" s="3">
        <v>110.18531237701532</v>
      </c>
      <c r="M209" s="3">
        <v>28.039830479275047</v>
      </c>
      <c r="N209" s="3"/>
      <c r="O209" s="3">
        <f>AVERAGE($H$2:H209)</f>
        <v>27.502744808357964</v>
      </c>
      <c r="P209" s="3">
        <f>AVERAGE($I$2:I209)</f>
        <v>31.233023241968436</v>
      </c>
      <c r="Q209" s="3">
        <f>AVERAGE($J$2:J209)</f>
        <v>32.301211317382197</v>
      </c>
      <c r="R209" s="3">
        <f>AVERAGE($K$2:K209)</f>
        <v>116.81401862392312</v>
      </c>
      <c r="S209" s="3">
        <f>AVERAGE($L$2:L209)</f>
        <v>29.029248807831149</v>
      </c>
      <c r="T209" s="3">
        <f>AVERAGE($M$2:M209)</f>
        <v>15.985726733209079</v>
      </c>
    </row>
    <row r="210" spans="7:20" ht="15.4" x14ac:dyDescent="0.4">
      <c r="G210" s="43">
        <v>55.000000000000007</v>
      </c>
      <c r="H210" s="43">
        <v>36.736983757165738</v>
      </c>
      <c r="I210" s="3">
        <v>57.270427052057848</v>
      </c>
      <c r="J210" s="3">
        <v>34.523121793826711</v>
      </c>
      <c r="K210" s="3">
        <v>1294.212070785813</v>
      </c>
      <c r="L210" s="3">
        <v>180.62252534803417</v>
      </c>
      <c r="M210" s="3">
        <v>14.971412039734014</v>
      </c>
      <c r="N210" s="3"/>
      <c r="O210" s="3">
        <f>AVERAGE($H$2:H210)</f>
        <v>27.546927769835513</v>
      </c>
      <c r="P210" s="3">
        <f>AVERAGE($I$2:I210)</f>
        <v>31.357604121442549</v>
      </c>
      <c r="Q210" s="3">
        <f>AVERAGE($J$2:J210)</f>
        <v>32.311842467987198</v>
      </c>
      <c r="R210" s="3">
        <f>AVERAGE($K$2:K210)</f>
        <v>122.44750212709006</v>
      </c>
      <c r="S210" s="3">
        <f>AVERAGE($L$2:L210)</f>
        <v>29.754575489841688</v>
      </c>
      <c r="T210" s="3">
        <f>AVERAGE($M$2:M210)</f>
        <v>15.980873552857524</v>
      </c>
    </row>
    <row r="211" spans="7:20" ht="15.4" x14ac:dyDescent="0.4">
      <c r="G211" s="43">
        <v>55.000000000000007</v>
      </c>
      <c r="H211" s="43">
        <v>43.038528095393971</v>
      </c>
      <c r="I211" s="3">
        <v>61.135913726303137</v>
      </c>
      <c r="J211" s="3">
        <v>30.756361858449715</v>
      </c>
      <c r="K211" s="3">
        <v>761.20945826350078</v>
      </c>
      <c r="L211" s="3">
        <v>210.97320146009494</v>
      </c>
      <c r="M211" s="3">
        <v>17.466257668711656</v>
      </c>
      <c r="N211" s="3"/>
      <c r="O211" s="3">
        <f>AVERAGE($H$2:H211)</f>
        <v>27.620697295195317</v>
      </c>
      <c r="P211" s="3">
        <f>AVERAGE($I$2:I211)</f>
        <v>31.499405595751412</v>
      </c>
      <c r="Q211" s="3">
        <f>AVERAGE($J$2:J211)</f>
        <v>32.304435417465598</v>
      </c>
      <c r="R211" s="3">
        <f>AVERAGE($K$2:K211)</f>
        <v>125.48922572773962</v>
      </c>
      <c r="S211" s="3">
        <f>AVERAGE($L$2:L211)</f>
        <v>30.617521327795277</v>
      </c>
      <c r="T211" s="3">
        <f>AVERAGE($M$2:M211)</f>
        <v>15.987946810552065</v>
      </c>
    </row>
    <row r="212" spans="7:20" ht="15.4" x14ac:dyDescent="0.4">
      <c r="G212" s="43">
        <v>55.000000000000007</v>
      </c>
      <c r="H212" s="43">
        <v>49.117763386182311</v>
      </c>
      <c r="I212" s="3">
        <v>62.165343359162193</v>
      </c>
      <c r="J212" s="3">
        <v>4.2238954181115815</v>
      </c>
      <c r="K212" s="3">
        <v>4045.1683314897145</v>
      </c>
      <c r="L212" s="3">
        <v>142.012458408604</v>
      </c>
      <c r="M212" s="3">
        <v>15.582301260309128</v>
      </c>
      <c r="N212" s="3"/>
      <c r="O212" s="3">
        <f>AVERAGE($H$2:H212)</f>
        <v>27.722579125010419</v>
      </c>
      <c r="P212" s="3">
        <f>AVERAGE($I$2:I212)</f>
        <v>31.644741793682265</v>
      </c>
      <c r="Q212" s="3">
        <f>AVERAGE($J$2:J212)</f>
        <v>32.171352289506572</v>
      </c>
      <c r="R212" s="3">
        <f>AVERAGE($K$2:K212)</f>
        <v>144.0659039540997</v>
      </c>
      <c r="S212" s="3">
        <f>AVERAGE($L$2:L212)</f>
        <v>31.145459418225652</v>
      </c>
      <c r="T212" s="3">
        <f>AVERAGE($M$2:M212)</f>
        <v>15.986024319792621</v>
      </c>
    </row>
    <row r="213" spans="7:20" ht="15.4" x14ac:dyDescent="0.4">
      <c r="G213" s="43">
        <v>56.000000000000007</v>
      </c>
      <c r="H213" s="43">
        <v>9.3825581914635983</v>
      </c>
      <c r="I213" s="3">
        <v>36.731455819575146</v>
      </c>
      <c r="J213" s="3">
        <v>123.14142855127544</v>
      </c>
      <c r="K213" s="3">
        <v>2090.4881975495841</v>
      </c>
      <c r="L213" s="3">
        <v>193.82400530742714</v>
      </c>
      <c r="M213" s="3">
        <v>5.692090395480232</v>
      </c>
      <c r="N213" s="3"/>
      <c r="O213" s="3">
        <f>AVERAGE($H$2:H213)</f>
        <v>27.636069592305009</v>
      </c>
      <c r="P213" s="3">
        <f>AVERAGE($I$2:I213)</f>
        <v>31.668735727766666</v>
      </c>
      <c r="Q213" s="3">
        <f>AVERAGE($J$2:J213)</f>
        <v>32.600456422816798</v>
      </c>
      <c r="R213" s="3">
        <f>AVERAGE($K$2:K213)</f>
        <v>153.24714118804064</v>
      </c>
      <c r="S213" s="3">
        <f>AVERAGE($L$2:L213)</f>
        <v>31.912811049778487</v>
      </c>
      <c r="T213" s="3">
        <f>AVERAGE($M$2:M213)</f>
        <v>15.937468027696807</v>
      </c>
    </row>
    <row r="214" spans="7:20" ht="15.4" x14ac:dyDescent="0.4">
      <c r="G214" s="43">
        <v>56.799214531173291</v>
      </c>
      <c r="H214" s="43">
        <v>38.141156315513591</v>
      </c>
      <c r="I214" s="3">
        <v>54.594678550960332</v>
      </c>
      <c r="J214" s="3">
        <v>26.195840997537768</v>
      </c>
      <c r="K214" s="3">
        <v>946.94863073436227</v>
      </c>
      <c r="L214" s="3">
        <v>362.17459356953077</v>
      </c>
      <c r="M214" s="3">
        <v>2.8537445586611221</v>
      </c>
      <c r="N214" s="3"/>
      <c r="O214" s="3">
        <f>AVERAGE($H$2:H214)</f>
        <v>27.685389248282515</v>
      </c>
      <c r="P214" s="3">
        <f>AVERAGE($I$2:I214)</f>
        <v>31.776369262147856</v>
      </c>
      <c r="Q214" s="3">
        <f>AVERAGE($J$2:J214)</f>
        <v>32.570387805796713</v>
      </c>
      <c r="R214" s="3">
        <f>AVERAGE($K$2:K214)</f>
        <v>156.97343926102809</v>
      </c>
      <c r="S214" s="3">
        <f>AVERAGE($L$2:L214)</f>
        <v>33.463335850340705</v>
      </c>
      <c r="T214" s="3">
        <f>AVERAGE($M$2:M214)</f>
        <v>15.876042095917297</v>
      </c>
    </row>
    <row r="215" spans="7:20" ht="15.4" x14ac:dyDescent="0.4">
      <c r="G215" s="43">
        <v>58.4</v>
      </c>
      <c r="H215" s="43">
        <v>43.460593579824582</v>
      </c>
      <c r="I215" s="3">
        <v>61.022461481318835</v>
      </c>
      <c r="J215" s="3">
        <v>47.354701678165576</v>
      </c>
      <c r="K215" s="3">
        <v>354.11458597979765</v>
      </c>
      <c r="L215" s="3">
        <v>1562.2708026491271</v>
      </c>
      <c r="M215" s="3">
        <v>12.755991285403059</v>
      </c>
      <c r="N215" s="3"/>
      <c r="O215" s="3">
        <f>AVERAGE($H$2:H215)</f>
        <v>27.759105156373831</v>
      </c>
      <c r="P215" s="3">
        <f>AVERAGE($I$2:I215)</f>
        <v>31.913033244480431</v>
      </c>
      <c r="Q215" s="3">
        <f>AVERAGE($J$2:J215)</f>
        <v>32.639473384639558</v>
      </c>
      <c r="R215" s="3">
        <f>AVERAGE($K$2:K215)</f>
        <v>157.89465957279805</v>
      </c>
      <c r="S215" s="3">
        <f>AVERAGE($L$2:L215)</f>
        <v>40.607295975568675</v>
      </c>
      <c r="T215" s="3">
        <f>AVERAGE($M$2:M215)</f>
        <v>15.861462419232652</v>
      </c>
    </row>
    <row r="216" spans="7:20" ht="15.4" x14ac:dyDescent="0.4">
      <c r="G216" s="43">
        <v>58.4</v>
      </c>
      <c r="H216" s="43">
        <v>52.395510324019966</v>
      </c>
      <c r="I216" s="3">
        <v>69.418666291651633</v>
      </c>
      <c r="J216" s="3">
        <v>24.068252903380721</v>
      </c>
      <c r="K216" s="3">
        <v>313.95688336187681</v>
      </c>
      <c r="L216" s="3">
        <v>395.23395321723223</v>
      </c>
      <c r="M216" s="3">
        <v>40.874071356507393</v>
      </c>
      <c r="N216" s="3"/>
      <c r="O216" s="3">
        <f>AVERAGE($H$2:H216)</f>
        <v>27.873693087386137</v>
      </c>
      <c r="P216" s="3">
        <f>AVERAGE($I$2:I216)</f>
        <v>32.087478049350992</v>
      </c>
      <c r="Q216" s="3">
        <f>AVERAGE($J$2:J216)</f>
        <v>32.599607242866263</v>
      </c>
      <c r="R216" s="3">
        <f>AVERAGE($K$2:K216)</f>
        <v>158.62053038111935</v>
      </c>
      <c r="S216" s="3">
        <f>AVERAGE($L$2:L216)</f>
        <v>42.256722288320596</v>
      </c>
      <c r="T216" s="3">
        <f>AVERAGE($M$2:M216)</f>
        <v>15.977800135219976</v>
      </c>
    </row>
    <row r="217" spans="7:20" ht="15.4" x14ac:dyDescent="0.4">
      <c r="G217" s="43">
        <v>59.553349875930515</v>
      </c>
      <c r="H217" s="43">
        <v>82.751923140528007</v>
      </c>
      <c r="I217" s="3">
        <v>84.873472371620224</v>
      </c>
      <c r="J217" s="3">
        <v>53.977078195605024</v>
      </c>
      <c r="K217" s="3">
        <v>165.20414685347066</v>
      </c>
      <c r="L217" s="3">
        <v>192.61360818700791</v>
      </c>
      <c r="M217" s="3">
        <v>16.531505250875146</v>
      </c>
      <c r="N217" s="3"/>
      <c r="O217" s="3">
        <f>AVERAGE($H$2:H217)</f>
        <v>28.127758967261794</v>
      </c>
      <c r="P217" s="3">
        <f>AVERAGE($I$2:I217)</f>
        <v>32.331857652694836</v>
      </c>
      <c r="Q217" s="3">
        <f>AVERAGE($J$2:J217)</f>
        <v>32.698577015795607</v>
      </c>
      <c r="R217" s="3">
        <f>AVERAGE($K$2:K217)</f>
        <v>158.65101008700987</v>
      </c>
      <c r="S217" s="3">
        <f>AVERAGE($L$2:L217)</f>
        <v>42.952818982296002</v>
      </c>
      <c r="T217" s="3">
        <f>AVERAGE($M$2:M217)</f>
        <v>15.98036358482949</v>
      </c>
    </row>
    <row r="218" spans="7:20" ht="15.4" x14ac:dyDescent="0.4">
      <c r="G218" s="43">
        <v>60</v>
      </c>
      <c r="H218" s="43">
        <v>37.698125000290929</v>
      </c>
      <c r="I218" s="3">
        <v>60.176291732641786</v>
      </c>
      <c r="J218" s="3">
        <v>52.76140139630435</v>
      </c>
      <c r="K218" s="3">
        <v>354.50920332843947</v>
      </c>
      <c r="L218" s="3">
        <v>715.99857676816509</v>
      </c>
      <c r="M218" s="3">
        <v>26.429442447575944</v>
      </c>
      <c r="N218" s="3"/>
      <c r="O218" s="3">
        <f>AVERAGE($H$2:H218)</f>
        <v>28.171862036538425</v>
      </c>
      <c r="P218" s="3">
        <f>AVERAGE($I$2:I218)</f>
        <v>32.460173017118549</v>
      </c>
      <c r="Q218" s="3">
        <f>AVERAGE($J$2:J218)</f>
        <v>32.791032427687355</v>
      </c>
      <c r="R218" s="3">
        <f>AVERAGE($K$2:K218)</f>
        <v>159.55358240609479</v>
      </c>
      <c r="S218" s="3">
        <f>AVERAGE($L$2:L218)</f>
        <v>46.054412336147934</v>
      </c>
      <c r="T218" s="3">
        <f>AVERAGE($M$2:M218)</f>
        <v>16.028516021985006</v>
      </c>
    </row>
    <row r="219" spans="7:20" ht="15.4" x14ac:dyDescent="0.4">
      <c r="G219" s="43">
        <v>60</v>
      </c>
      <c r="H219" s="43">
        <v>11.769565974261004</v>
      </c>
      <c r="I219" s="3">
        <v>43.609266773726723</v>
      </c>
      <c r="J219" s="3">
        <v>140.78205146344104</v>
      </c>
      <c r="K219" s="3">
        <v>408.49748479412006</v>
      </c>
      <c r="L219" s="3">
        <v>2427.0976073858656</v>
      </c>
      <c r="M219" s="3">
        <v>8.447949526813888</v>
      </c>
      <c r="N219" s="3"/>
      <c r="O219" s="3">
        <f>AVERAGE($H$2:H219)</f>
        <v>28.096622146344494</v>
      </c>
      <c r="P219" s="3">
        <f>AVERAGE($I$2:I219)</f>
        <v>32.511315649029598</v>
      </c>
      <c r="Q219" s="3">
        <f>AVERAGE($J$2:J219)</f>
        <v>33.286404074640352</v>
      </c>
      <c r="R219" s="3">
        <f>AVERAGE($K$2:K219)</f>
        <v>160.69552691246187</v>
      </c>
      <c r="S219" s="3">
        <f>AVERAGE($L$2:L219)</f>
        <v>56.976628827201679</v>
      </c>
      <c r="T219" s="3">
        <f>AVERAGE($M$2:M219)</f>
        <v>15.993742781181467</v>
      </c>
    </row>
    <row r="220" spans="7:20" ht="15.4" x14ac:dyDescent="0.4">
      <c r="G220" s="43">
        <v>60</v>
      </c>
      <c r="H220" s="43">
        <v>2.8589153897942898</v>
      </c>
      <c r="I220" s="3">
        <v>59.762428808126913</v>
      </c>
      <c r="J220" s="3">
        <v>157.57403290448471</v>
      </c>
      <c r="K220" s="3">
        <v>452.29587796632762</v>
      </c>
      <c r="L220" s="3">
        <v>72.909816232678153</v>
      </c>
      <c r="M220" s="3">
        <v>54.616925388082116</v>
      </c>
      <c r="N220" s="3"/>
      <c r="O220" s="3">
        <f>AVERAGE($H$2:H220)</f>
        <v>27.981381476223262</v>
      </c>
      <c r="P220" s="3">
        <f>AVERAGE($I$2:I220)</f>
        <v>32.635749955692141</v>
      </c>
      <c r="Q220" s="3">
        <f>AVERAGE($J$2:J220)</f>
        <v>33.853927493954714</v>
      </c>
      <c r="R220" s="3">
        <f>AVERAGE($K$2:K220)</f>
        <v>162.02703536476261</v>
      </c>
      <c r="S220" s="3">
        <f>AVERAGE($L$2:L220)</f>
        <v>57.049383107591979</v>
      </c>
      <c r="T220" s="3">
        <f>AVERAGE($M$2:M220)</f>
        <v>16.170104345596538</v>
      </c>
    </row>
    <row r="221" spans="7:20" ht="15.4" x14ac:dyDescent="0.4">
      <c r="G221" s="43">
        <v>60</v>
      </c>
      <c r="H221" s="43">
        <v>39.890686316940503</v>
      </c>
      <c r="I221" s="3">
        <v>57.461365308043902</v>
      </c>
      <c r="J221" s="3">
        <v>60.469862710865428</v>
      </c>
      <c r="K221" s="3">
        <v>316.07034528474111</v>
      </c>
      <c r="L221" s="3">
        <v>1434.5168341658457</v>
      </c>
      <c r="M221" s="3">
        <v>0.38500167392031615</v>
      </c>
      <c r="N221" s="3"/>
      <c r="O221" s="3">
        <f>AVERAGE($H$2:H221)</f>
        <v>28.035514680044702</v>
      </c>
      <c r="P221" s="3">
        <f>AVERAGE($I$2:I221)</f>
        <v>32.748593661839202</v>
      </c>
      <c r="Q221" s="3">
        <f>AVERAGE($J$2:J221)</f>
        <v>33.97490901766794</v>
      </c>
      <c r="R221" s="3">
        <f>AVERAGE($K$2:K221)</f>
        <v>162.72723222803526</v>
      </c>
      <c r="S221" s="3">
        <f>AVERAGE($L$2:L221)</f>
        <v>63.310598794220411</v>
      </c>
      <c r="T221" s="3">
        <f>AVERAGE($M$2:M221)</f>
        <v>16.098353878907101</v>
      </c>
    </row>
    <row r="222" spans="7:20" ht="15.4" x14ac:dyDescent="0.4">
      <c r="G222" s="43">
        <v>60</v>
      </c>
      <c r="H222" s="43">
        <v>44.825666705338868</v>
      </c>
      <c r="I222" s="3">
        <v>60.654503011106165</v>
      </c>
      <c r="J222" s="3">
        <v>14.710074941841508</v>
      </c>
      <c r="K222" s="3">
        <v>440.99187122138818</v>
      </c>
      <c r="L222" s="3">
        <v>745.28230149868784</v>
      </c>
      <c r="M222" s="3">
        <v>18.583347327959419</v>
      </c>
      <c r="N222" s="3"/>
      <c r="O222" s="3">
        <f>AVERAGE($H$2:H222)</f>
        <v>28.111488218620696</v>
      </c>
      <c r="P222" s="3">
        <f>AVERAGE($I$2:I222)</f>
        <v>32.874864744867558</v>
      </c>
      <c r="Q222" s="3">
        <f>AVERAGE($J$2:J222)</f>
        <v>33.887737822754701</v>
      </c>
      <c r="R222" s="3">
        <f>AVERAGE($K$2:K222)</f>
        <v>163.98634824157986</v>
      </c>
      <c r="S222" s="3">
        <f>AVERAGE($L$2:L222)</f>
        <v>66.396443602837905</v>
      </c>
      <c r="T222" s="3">
        <f>AVERAGE($M$2:M222)</f>
        <v>16.109598193156206</v>
      </c>
    </row>
    <row r="223" spans="7:20" ht="15.4" x14ac:dyDescent="0.4">
      <c r="G223" s="43">
        <v>60</v>
      </c>
      <c r="H223" s="43">
        <v>29.87316410080318</v>
      </c>
      <c r="I223" s="3">
        <v>31.377968463763377</v>
      </c>
      <c r="J223" s="3">
        <v>248.6333830104322</v>
      </c>
      <c r="K223" s="3">
        <v>563.42907618983986</v>
      </c>
      <c r="L223" s="3">
        <v>452.41545213274009</v>
      </c>
      <c r="M223" s="3">
        <v>0.85116472706035196</v>
      </c>
      <c r="N223" s="3"/>
      <c r="O223" s="3">
        <f>AVERAGE($H$2:H223)</f>
        <v>28.119423695567466</v>
      </c>
      <c r="P223" s="3">
        <f>AVERAGE($I$2:I223)</f>
        <v>32.868121968826543</v>
      </c>
      <c r="Q223" s="3">
        <f>AVERAGE($J$2:J223)</f>
        <v>34.855060548825321</v>
      </c>
      <c r="R223" s="3">
        <f>AVERAGE($K$2:K223)</f>
        <v>165.78563980891434</v>
      </c>
      <c r="S223" s="3">
        <f>AVERAGE($L$2:L223)</f>
        <v>68.135267965585214</v>
      </c>
      <c r="T223" s="3">
        <f>AVERAGE($M$2:M223)</f>
        <v>16.040866510876494</v>
      </c>
    </row>
    <row r="224" spans="7:20" ht="15.4" x14ac:dyDescent="0.4">
      <c r="G224" s="43">
        <v>60</v>
      </c>
      <c r="H224" s="43">
        <v>91.039978519697712</v>
      </c>
      <c r="I224" s="3">
        <v>12.998282434261119</v>
      </c>
      <c r="J224" s="3">
        <v>105.03187575195061</v>
      </c>
      <c r="K224" s="3">
        <v>149.48614288707208</v>
      </c>
      <c r="L224" s="3">
        <v>70.655261229446751</v>
      </c>
      <c r="M224" s="3">
        <v>0.13769589992133816</v>
      </c>
      <c r="N224" s="3"/>
      <c r="O224" s="3">
        <f>AVERAGE($H$2:H224)</f>
        <v>28.401578649935765</v>
      </c>
      <c r="P224" s="3">
        <f>AVERAGE($I$2:I224)</f>
        <v>32.779019549389034</v>
      </c>
      <c r="Q224" s="3">
        <f>AVERAGE($J$2:J224)</f>
        <v>35.169754787404358</v>
      </c>
      <c r="R224" s="3">
        <f>AVERAGE($K$2:K224)</f>
        <v>165.71254789446664</v>
      </c>
      <c r="S224" s="3">
        <f>AVERAGE($L$2:L224)</f>
        <v>68.146568383808813</v>
      </c>
      <c r="T224" s="3">
        <f>AVERAGE($M$2:M224)</f>
        <v>15.969551844459655</v>
      </c>
    </row>
    <row r="225" spans="7:20" ht="15.4" x14ac:dyDescent="0.4">
      <c r="G225" s="43">
        <v>61</v>
      </c>
      <c r="H225" s="43">
        <v>8.104990240918168</v>
      </c>
      <c r="I225" s="3">
        <v>41.803835382916752</v>
      </c>
      <c r="J225" s="3">
        <v>148.25442646330117</v>
      </c>
      <c r="K225" s="3">
        <v>543.66034724854694</v>
      </c>
      <c r="L225" s="3">
        <v>333.80088256051567</v>
      </c>
      <c r="M225" s="3">
        <v>18.078571428571429</v>
      </c>
      <c r="N225" s="3"/>
      <c r="O225" s="3">
        <f>AVERAGE($H$2:H225)</f>
        <v>28.310968880252652</v>
      </c>
      <c r="P225" s="3">
        <f>AVERAGE($I$2:I225)</f>
        <v>32.819308905788709</v>
      </c>
      <c r="Q225" s="3">
        <f>AVERAGE($J$2:J225)</f>
        <v>35.674597071671755</v>
      </c>
      <c r="R225" s="3">
        <f>AVERAGE($K$2:K225)</f>
        <v>167.39981485586875</v>
      </c>
      <c r="S225" s="3">
        <f>AVERAGE($L$2:L225)</f>
        <v>69.332525143526254</v>
      </c>
      <c r="T225" s="3">
        <f>AVERAGE($M$2:M225)</f>
        <v>15.978967110460156</v>
      </c>
    </row>
    <row r="226" spans="7:20" ht="15.4" x14ac:dyDescent="0.4">
      <c r="G226" s="43">
        <v>61.878829135466304</v>
      </c>
      <c r="H226" s="43">
        <v>31.353071441504959</v>
      </c>
      <c r="I226" s="3">
        <v>51.84934764644742</v>
      </c>
      <c r="J226" s="3">
        <v>57.100716361931383</v>
      </c>
      <c r="K226" s="3">
        <v>356.87596790385675</v>
      </c>
      <c r="L226" s="3">
        <v>2501.2282096716253</v>
      </c>
      <c r="M226" s="3">
        <v>0.4338759990993476</v>
      </c>
      <c r="N226" s="3"/>
      <c r="O226" s="3">
        <f>AVERAGE($H$2:H226)</f>
        <v>28.324489336080436</v>
      </c>
      <c r="P226" s="3">
        <f>AVERAGE($I$2:I226)</f>
        <v>32.903886855747196</v>
      </c>
      <c r="Q226" s="3">
        <f>AVERAGE($J$2:J226)</f>
        <v>35.769824268517354</v>
      </c>
      <c r="R226" s="3">
        <f>AVERAGE($K$2:K226)</f>
        <v>168.24193109163758</v>
      </c>
      <c r="S226" s="3">
        <f>AVERAGE($L$2:L226)</f>
        <v>80.140950408095591</v>
      </c>
      <c r="T226" s="3">
        <f>AVERAGE($M$2:M226)</f>
        <v>15.909877816631884</v>
      </c>
    </row>
    <row r="227" spans="7:20" ht="15.4" x14ac:dyDescent="0.4">
      <c r="G227" s="43">
        <v>64.004096262160772</v>
      </c>
      <c r="H227" s="43">
        <v>296.7574052424456</v>
      </c>
      <c r="I227" s="3">
        <v>13.766225201814649</v>
      </c>
      <c r="J227" s="3">
        <v>738.38225499524253</v>
      </c>
      <c r="K227" s="3">
        <v>1440.312871981441</v>
      </c>
      <c r="L227" s="3">
        <v>225.98401109352108</v>
      </c>
      <c r="M227" s="3">
        <v>0.73928003588724511</v>
      </c>
      <c r="N227" s="3"/>
      <c r="O227" s="3">
        <f>AVERAGE($H$2:H227)</f>
        <v>29.512245601152848</v>
      </c>
      <c r="P227" s="3">
        <f>AVERAGE($I$2:I227)</f>
        <v>32.819206936924481</v>
      </c>
      <c r="Q227" s="3">
        <f>AVERAGE($J$2:J227)</f>
        <v>38.878728829255074</v>
      </c>
      <c r="R227" s="3">
        <f>AVERAGE($K$2:K227)</f>
        <v>173.87056357345088</v>
      </c>
      <c r="S227" s="3">
        <f>AVERAGE($L$2:L227)</f>
        <v>80.786273685464735</v>
      </c>
      <c r="T227" s="3">
        <f>AVERAGE($M$2:M227)</f>
        <v>15.842751277779032</v>
      </c>
    </row>
    <row r="228" spans="7:20" ht="15.4" x14ac:dyDescent="0.4">
      <c r="G228" s="43">
        <v>64.004096262160772</v>
      </c>
      <c r="H228" s="43">
        <v>61.405857522667041</v>
      </c>
      <c r="I228" s="3">
        <v>30.602321060590903</v>
      </c>
      <c r="J228" s="3">
        <v>241.06435068705241</v>
      </c>
      <c r="K228" s="3">
        <v>645.25598159570143</v>
      </c>
      <c r="L228" s="3">
        <v>243.22593570467248</v>
      </c>
      <c r="M228" s="3">
        <v>21.837470315114192</v>
      </c>
      <c r="N228" s="3"/>
      <c r="O228" s="3">
        <f>AVERAGE($H$2:H228)</f>
        <v>29.652746094199166</v>
      </c>
      <c r="P228" s="3">
        <f>AVERAGE($I$2:I228)</f>
        <v>32.809440919848122</v>
      </c>
      <c r="Q228" s="3">
        <f>AVERAGE($J$2:J228)</f>
        <v>39.769414388100003</v>
      </c>
      <c r="R228" s="3">
        <f>AVERAGE($K$2:K228)</f>
        <v>175.94715131804227</v>
      </c>
      <c r="S228" s="3">
        <f>AVERAGE($L$2:L228)</f>
        <v>81.501866910218951</v>
      </c>
      <c r="T228" s="3">
        <f>AVERAGE($M$2:M228)</f>
        <v>15.869159731687997</v>
      </c>
    </row>
    <row r="229" spans="7:20" ht="15.4" x14ac:dyDescent="0.4">
      <c r="G229" s="43">
        <v>64.004096262160772</v>
      </c>
      <c r="H229" s="43">
        <v>28.483140628504188</v>
      </c>
      <c r="I229" s="3">
        <v>29.290345856301414</v>
      </c>
      <c r="J229" s="3">
        <v>171.49584039439222</v>
      </c>
      <c r="K229" s="3">
        <v>534.0375376529023</v>
      </c>
      <c r="L229" s="3">
        <v>674.81163348317</v>
      </c>
      <c r="M229" s="3">
        <v>0.52311000139038077</v>
      </c>
      <c r="N229" s="3"/>
      <c r="O229" s="3">
        <f>AVERAGE($H$2:H229)</f>
        <v>29.647616245665414</v>
      </c>
      <c r="P229" s="3">
        <f>AVERAGE($I$2:I229)</f>
        <v>32.79400629237643</v>
      </c>
      <c r="Q229" s="3">
        <f>AVERAGE($J$2:J229)</f>
        <v>40.34716187058374</v>
      </c>
      <c r="R229" s="3">
        <f>AVERAGE($K$2:K229)</f>
        <v>177.51772318793203</v>
      </c>
      <c r="S229" s="3">
        <f>AVERAGE($L$2:L229)</f>
        <v>84.104102728521354</v>
      </c>
      <c r="T229" s="3">
        <f>AVERAGE($M$2:M229)</f>
        <v>15.801852496028797</v>
      </c>
    </row>
    <row r="230" spans="7:20" ht="15.4" x14ac:dyDescent="0.4">
      <c r="G230" s="43">
        <v>64.004096262160772</v>
      </c>
      <c r="H230" s="43">
        <v>7.437560814121821</v>
      </c>
      <c r="I230" s="3">
        <v>24.17983133014134</v>
      </c>
      <c r="J230" s="3">
        <v>127.02473429951691</v>
      </c>
      <c r="K230" s="3">
        <v>462.94204919871032</v>
      </c>
      <c r="L230" s="3">
        <v>1760.8419198676127</v>
      </c>
      <c r="M230" s="3">
        <v>51.041031491513031</v>
      </c>
      <c r="N230" s="3"/>
      <c r="O230" s="3">
        <f>AVERAGE($H$2:H230)</f>
        <v>29.550629104042955</v>
      </c>
      <c r="P230" s="3">
        <f>AVERAGE($I$2:I230)</f>
        <v>32.756389807825187</v>
      </c>
      <c r="Q230" s="3">
        <f>AVERAGE($J$2:J230)</f>
        <v>40.725666553679517</v>
      </c>
      <c r="R230" s="3">
        <f>AVERAGE($K$2:K230)</f>
        <v>178.76411762466032</v>
      </c>
      <c r="S230" s="3">
        <f>AVERAGE($L$2:L230)</f>
        <v>91.426101930002105</v>
      </c>
      <c r="T230" s="3">
        <f>AVERAGE($M$2:M230)</f>
        <v>15.955735373738335</v>
      </c>
    </row>
    <row r="231" spans="7:20" ht="15.4" x14ac:dyDescent="0.4">
      <c r="G231" s="43">
        <v>64.004096262160772</v>
      </c>
      <c r="H231" s="43">
        <v>29.887846505286202</v>
      </c>
      <c r="I231" s="3">
        <v>45.222314826588168</v>
      </c>
      <c r="J231" s="3">
        <v>48.152963430012605</v>
      </c>
      <c r="K231" s="3">
        <v>336.85058065615709</v>
      </c>
      <c r="L231" s="3">
        <v>593.9301337526839</v>
      </c>
      <c r="M231" s="3">
        <v>35.391244272852035</v>
      </c>
      <c r="N231" s="3"/>
      <c r="O231" s="3">
        <f>AVERAGE($H$2:H231)</f>
        <v>29.552095266657055</v>
      </c>
      <c r="P231" s="3">
        <f>AVERAGE($I$2:I231)</f>
        <v>32.810589481819804</v>
      </c>
      <c r="Q231" s="3">
        <f>AVERAGE($J$2:J231)</f>
        <v>40.757959148794015</v>
      </c>
      <c r="R231" s="3">
        <f>AVERAGE($K$2:K231)</f>
        <v>179.45145007262337</v>
      </c>
      <c r="S231" s="3">
        <f>AVERAGE($L$2:L231)</f>
        <v>93.610902068361597</v>
      </c>
      <c r="T231" s="3">
        <f>AVERAGE($M$2:M231)</f>
        <v>16.040237586343178</v>
      </c>
    </row>
    <row r="232" spans="7:20" ht="15.4" x14ac:dyDescent="0.4">
      <c r="G232" s="43">
        <v>64.600000000000009</v>
      </c>
      <c r="H232" s="43">
        <v>110.18018210822437</v>
      </c>
      <c r="I232" s="3">
        <v>20.558926598532583</v>
      </c>
      <c r="J232" s="3">
        <v>117.33627388068378</v>
      </c>
      <c r="K232" s="3">
        <v>134.1564829887723</v>
      </c>
      <c r="L232" s="3">
        <v>68.281488560134648</v>
      </c>
      <c r="M232" s="3">
        <v>2.7843703846744896</v>
      </c>
      <c r="N232" s="3"/>
      <c r="O232" s="3">
        <f>AVERAGE($H$2:H232)</f>
        <v>29.901134603633537</v>
      </c>
      <c r="P232" s="3">
        <f>AVERAGE($I$2:I232)</f>
        <v>32.757551980160557</v>
      </c>
      <c r="Q232" s="3">
        <f>AVERAGE($J$2:J232)</f>
        <v>41.089467004776225</v>
      </c>
      <c r="R232" s="3">
        <f>AVERAGE($K$2:K232)</f>
        <v>179.25536796403526</v>
      </c>
      <c r="S232" s="3">
        <f>AVERAGE($L$2:L232)</f>
        <v>93.501250927633336</v>
      </c>
      <c r="T232" s="3">
        <f>AVERAGE($M$2:M232)</f>
        <v>15.982852879842445</v>
      </c>
    </row>
    <row r="233" spans="7:20" ht="15.4" x14ac:dyDescent="0.4">
      <c r="G233" s="43">
        <v>65</v>
      </c>
      <c r="H233" s="43">
        <v>36.350377488411894</v>
      </c>
      <c r="I233" s="3">
        <v>61.867249517845579</v>
      </c>
      <c r="J233" s="3">
        <v>81.653732229577457</v>
      </c>
      <c r="K233" s="3">
        <v>234.21496848564169</v>
      </c>
      <c r="L233" s="3">
        <v>729.83909369228752</v>
      </c>
      <c r="M233" s="3">
        <v>34.945923116319278</v>
      </c>
      <c r="N233" s="3"/>
      <c r="O233" s="3">
        <f>AVERAGE($H$2:H233)</f>
        <v>29.928933064343788</v>
      </c>
      <c r="P233" s="3">
        <f>AVERAGE($I$2:I233)</f>
        <v>32.883024814374714</v>
      </c>
      <c r="Q233" s="3">
        <f>AVERAGE($J$2:J233)</f>
        <v>41.264312975572778</v>
      </c>
      <c r="R233" s="3">
        <f>AVERAGE($K$2:K233)</f>
        <v>179.49226279386977</v>
      </c>
      <c r="S233" s="3">
        <f>AVERAGE($L$2:L233)</f>
        <v>96.244086456791322</v>
      </c>
      <c r="T233" s="3">
        <f>AVERAGE($M$2:M233)</f>
        <v>16.064590251551397</v>
      </c>
    </row>
    <row r="234" spans="7:20" ht="15.4" x14ac:dyDescent="0.4">
      <c r="G234" s="43">
        <v>65</v>
      </c>
      <c r="H234" s="43">
        <v>38.138717390478547</v>
      </c>
      <c r="I234" s="3">
        <v>58.003129933036767</v>
      </c>
      <c r="J234" s="3">
        <v>41.704822803828613</v>
      </c>
      <c r="K234" s="3">
        <v>268.61476939021145</v>
      </c>
      <c r="L234" s="3">
        <v>689.7990419804338</v>
      </c>
      <c r="M234" s="3">
        <v>19.944865898626983</v>
      </c>
      <c r="N234" s="3"/>
      <c r="O234" s="3">
        <f>AVERAGE($H$2:H234)</f>
        <v>29.964168190207026</v>
      </c>
      <c r="P234" s="3">
        <f>AVERAGE($I$2:I234)</f>
        <v>32.990836424326055</v>
      </c>
      <c r="Q234" s="3">
        <f>AVERAGE($J$2:J234)</f>
        <v>41.26620357569405</v>
      </c>
      <c r="R234" s="3">
        <f>AVERAGE($K$2:K234)</f>
        <v>179.87476282218023</v>
      </c>
      <c r="S234" s="3">
        <f>AVERAGE($L$2:L234)</f>
        <v>98.791532617837007</v>
      </c>
      <c r="T234" s="3">
        <f>AVERAGE($M$2:M234)</f>
        <v>16.081243795101077</v>
      </c>
    </row>
    <row r="235" spans="7:20" ht="15.4" x14ac:dyDescent="0.4">
      <c r="G235" s="43">
        <v>65</v>
      </c>
      <c r="H235" s="43">
        <v>92.215367041508628</v>
      </c>
      <c r="I235" s="3">
        <v>8.7418079208350168</v>
      </c>
      <c r="J235" s="3">
        <v>102.90052036708271</v>
      </c>
      <c r="K235" s="3">
        <v>159.87992765982858</v>
      </c>
      <c r="L235" s="3">
        <v>70.420488365079919</v>
      </c>
      <c r="M235" s="3">
        <v>4.3545276722381603</v>
      </c>
      <c r="N235" s="3"/>
      <c r="O235" s="3">
        <f>AVERAGE($H$2:H235)</f>
        <v>30.230198954528827</v>
      </c>
      <c r="P235" s="3">
        <f>AVERAGE($I$2:I235)</f>
        <v>32.887208097388054</v>
      </c>
      <c r="Q235" s="3">
        <f>AVERAGE($J$2:J235)</f>
        <v>41.529598091896567</v>
      </c>
      <c r="R235" s="3">
        <f>AVERAGE($K$2:K235)</f>
        <v>179.78931480866592</v>
      </c>
      <c r="S235" s="3">
        <f>AVERAGE($L$2:L235)</f>
        <v>98.670288838979062</v>
      </c>
      <c r="T235" s="3">
        <f>AVERAGE($M$2:M235)</f>
        <v>16.031129623635849</v>
      </c>
    </row>
    <row r="236" spans="7:20" ht="15.4" x14ac:dyDescent="0.4">
      <c r="G236" s="43">
        <v>66</v>
      </c>
      <c r="H236" s="43">
        <v>7.8311262225950706</v>
      </c>
      <c r="I236" s="3">
        <v>46.574165577466857</v>
      </c>
      <c r="J236" s="3">
        <v>178.756819683586</v>
      </c>
      <c r="K236" s="3">
        <v>329.72269981401894</v>
      </c>
      <c r="L236" s="3">
        <v>941.80189868544949</v>
      </c>
      <c r="M236" s="3">
        <v>29.217000000000006</v>
      </c>
      <c r="N236" s="3"/>
      <c r="O236" s="3">
        <f>AVERAGE($H$2:H236)</f>
        <v>30.134883751414218</v>
      </c>
      <c r="P236" s="3">
        <f>AVERAGE($I$2:I236)</f>
        <v>32.94545046964371</v>
      </c>
      <c r="Q236" s="3">
        <f>AVERAGE($J$2:J236)</f>
        <v>42.113543715690987</v>
      </c>
      <c r="R236" s="3">
        <f>AVERAGE($K$2:K236)</f>
        <v>180.42732921294402</v>
      </c>
      <c r="S236" s="3">
        <f>AVERAGE($L$2:L236)</f>
        <v>102.25808292343213</v>
      </c>
      <c r="T236" s="3">
        <f>AVERAGE($M$2:M236)</f>
        <v>16.087239710343784</v>
      </c>
    </row>
    <row r="237" spans="7:20" ht="15.4" x14ac:dyDescent="0.4">
      <c r="G237" s="43">
        <v>66.2</v>
      </c>
      <c r="H237" s="43">
        <v>41.290891877470685</v>
      </c>
      <c r="I237" s="3">
        <v>2.8574172318697824</v>
      </c>
      <c r="J237" s="3">
        <v>45.316937234177352</v>
      </c>
      <c r="K237" s="3">
        <v>57.998609551584259</v>
      </c>
      <c r="L237" s="3">
        <v>34.945417529318533</v>
      </c>
      <c r="M237" s="3">
        <v>12.398988548693209</v>
      </c>
      <c r="N237" s="3"/>
      <c r="O237" s="3">
        <f>AVERAGE($H$2:H237)</f>
        <v>30.182154972287339</v>
      </c>
      <c r="P237" s="3">
        <f>AVERAGE($I$2:I237)</f>
        <v>32.817958803381956</v>
      </c>
      <c r="Q237" s="3">
        <f>AVERAGE($J$2:J237)</f>
        <v>42.127117417040509</v>
      </c>
      <c r="R237" s="3">
        <f>AVERAGE($K$2:K237)</f>
        <v>179.90856345166708</v>
      </c>
      <c r="S237" s="3">
        <f>AVERAGE($L$2:L237)</f>
        <v>101.97285976498249</v>
      </c>
      <c r="T237" s="3">
        <f>AVERAGE($M$2:M237)</f>
        <v>16.071611527455431</v>
      </c>
    </row>
    <row r="238" spans="7:20" ht="15.4" x14ac:dyDescent="0.4">
      <c r="G238" s="43">
        <v>66.666666666666657</v>
      </c>
      <c r="H238" s="43">
        <v>53.873534200343997</v>
      </c>
      <c r="I238" s="3">
        <v>27.845431307510811</v>
      </c>
      <c r="J238" s="3">
        <v>433.72948539638384</v>
      </c>
      <c r="K238" s="3">
        <v>350.97120617774419</v>
      </c>
      <c r="L238" s="3">
        <v>6883.6876337066342</v>
      </c>
      <c r="M238" s="3">
        <v>4.195360530682203</v>
      </c>
      <c r="N238" s="3"/>
      <c r="O238" s="3">
        <f>AVERAGE($H$2:H238)</f>
        <v>30.282118597722175</v>
      </c>
      <c r="P238" s="3">
        <f>AVERAGE($I$2:I238)</f>
        <v>32.796977674707392</v>
      </c>
      <c r="Q238" s="3">
        <f>AVERAGE($J$2:J238)</f>
        <v>43.779448083620011</v>
      </c>
      <c r="R238" s="3">
        <f>AVERAGE($K$2:K238)</f>
        <v>180.63034675430876</v>
      </c>
      <c r="S238" s="3">
        <f>AVERAGE($L$2:L238)</f>
        <v>130.58769003477849</v>
      </c>
      <c r="T238" s="3">
        <f>AVERAGE($M$2:M238)</f>
        <v>16.021500763755967</v>
      </c>
    </row>
    <row r="239" spans="7:20" ht="15.4" x14ac:dyDescent="0.4">
      <c r="G239" s="43">
        <v>68</v>
      </c>
      <c r="H239" s="43">
        <v>9.3827145295776653</v>
      </c>
      <c r="I239" s="3">
        <v>1.2282770889204857</v>
      </c>
      <c r="J239" s="3">
        <v>13.679514812890552</v>
      </c>
      <c r="K239" s="3">
        <v>22.823933956844488</v>
      </c>
      <c r="L239" s="3">
        <v>32.848618949218562</v>
      </c>
      <c r="M239" s="3">
        <v>5.9457018748624764</v>
      </c>
      <c r="N239" s="3"/>
      <c r="O239" s="3">
        <f>AVERAGE($H$2:H239)</f>
        <v>30.194305975587113</v>
      </c>
      <c r="P239" s="3">
        <f>AVERAGE($I$2:I239)</f>
        <v>32.664336075607451</v>
      </c>
      <c r="Q239" s="3">
        <f>AVERAGE($J$2:J239)</f>
        <v>43.652977775759808</v>
      </c>
      <c r="R239" s="3">
        <f>AVERAGE($K$2:K239)</f>
        <v>179.96729459969757</v>
      </c>
      <c r="S239" s="3">
        <f>AVERAGE($L$2:L239)</f>
        <v>130.17702166887278</v>
      </c>
      <c r="T239" s="3">
        <f>AVERAGE($M$2:M239)</f>
        <v>15.979165474306836</v>
      </c>
    </row>
    <row r="240" spans="7:20" ht="15.4" x14ac:dyDescent="0.4">
      <c r="G240" s="43">
        <v>68.300000000000011</v>
      </c>
      <c r="H240" s="43">
        <v>14.579768430303819</v>
      </c>
      <c r="I240" s="3">
        <v>5.0939873541559164</v>
      </c>
      <c r="J240" s="3">
        <v>19.056348354939896</v>
      </c>
      <c r="K240" s="3">
        <v>28.747250635019867</v>
      </c>
      <c r="L240" s="3">
        <v>29.837353531071187</v>
      </c>
      <c r="M240" s="3">
        <v>3.8618641946996388</v>
      </c>
      <c r="N240" s="3"/>
      <c r="O240" s="3">
        <f>AVERAGE($H$2:H240)</f>
        <v>30.128973182510613</v>
      </c>
      <c r="P240" s="3">
        <f>AVERAGE($I$2:I240)</f>
        <v>32.548978967986315</v>
      </c>
      <c r="Q240" s="3">
        <f>AVERAGE($J$2:J240)</f>
        <v>43.550063008308676</v>
      </c>
      <c r="R240" s="3">
        <f>AVERAGE($K$2:K240)</f>
        <v>179.33457475047297</v>
      </c>
      <c r="S240" s="3">
        <f>AVERAGE($L$2:L240)</f>
        <v>129.75719042143427</v>
      </c>
      <c r="T240" s="3">
        <f>AVERAGE($M$2:M240)</f>
        <v>15.928465468952831</v>
      </c>
    </row>
    <row r="241" spans="7:20" ht="15.4" x14ac:dyDescent="0.4">
      <c r="G241" s="43">
        <v>68.7</v>
      </c>
      <c r="H241" s="43">
        <v>8.4297427688185707</v>
      </c>
      <c r="I241" s="3">
        <v>0.20512067877143536</v>
      </c>
      <c r="J241" s="3">
        <v>12.631339854951332</v>
      </c>
      <c r="K241" s="3">
        <v>21.947008873215896</v>
      </c>
      <c r="L241" s="3">
        <v>34.633488885110033</v>
      </c>
      <c r="M241" s="3">
        <v>9.137805140955642</v>
      </c>
      <c r="N241" s="3"/>
      <c r="O241" s="3">
        <f>AVERAGE($H$2:H241)</f>
        <v>30.038559722453563</v>
      </c>
      <c r="P241" s="3">
        <f>AVERAGE($I$2:I241)</f>
        <v>32.414212891781247</v>
      </c>
      <c r="Q241" s="3">
        <f>AVERAGE($J$2:J241)</f>
        <v>43.421234995169691</v>
      </c>
      <c r="R241" s="3">
        <f>AVERAGE($K$2:K241)</f>
        <v>178.67879322598438</v>
      </c>
      <c r="S241" s="3">
        <f>AVERAGE($L$2:L241)</f>
        <v>129.36084166503292</v>
      </c>
      <c r="T241" s="3">
        <f>AVERAGE($M$2:M241)</f>
        <v>15.900171050919509</v>
      </c>
    </row>
    <row r="242" spans="7:20" ht="15.4" x14ac:dyDescent="0.4">
      <c r="G242" s="43">
        <v>70</v>
      </c>
      <c r="H242" s="43">
        <v>34.308449860150077</v>
      </c>
      <c r="I242" s="3">
        <v>57.971687704067897</v>
      </c>
      <c r="J242" s="3">
        <v>64.131408751721736</v>
      </c>
      <c r="K242" s="3">
        <v>206.27394328136535</v>
      </c>
      <c r="L242" s="3">
        <v>310.22817944920706</v>
      </c>
      <c r="M242" s="3">
        <v>26.732206768806506</v>
      </c>
      <c r="N242" s="3"/>
      <c r="O242" s="3">
        <f>AVERAGE($H$2:H242)</f>
        <v>30.056277108917033</v>
      </c>
      <c r="P242" s="3">
        <f>AVERAGE($I$2:I242)</f>
        <v>32.520260505110237</v>
      </c>
      <c r="Q242" s="3">
        <f>AVERAGE($J$2:J242)</f>
        <v>43.507169326109739</v>
      </c>
      <c r="R242" s="3">
        <f>AVERAGE($K$2:K242)</f>
        <v>178.79329592330961</v>
      </c>
      <c r="S242" s="3">
        <f>AVERAGE($L$2:L242)</f>
        <v>130.11132854380543</v>
      </c>
      <c r="T242" s="3">
        <f>AVERAGE($M$2:M242)</f>
        <v>15.945117257217795</v>
      </c>
    </row>
    <row r="243" spans="7:20" ht="15.4" x14ac:dyDescent="0.4">
      <c r="G243" s="43">
        <v>70</v>
      </c>
      <c r="H243" s="43">
        <v>61.316720234858657</v>
      </c>
      <c r="I243" s="3">
        <v>12.810753799311255</v>
      </c>
      <c r="J243" s="3">
        <v>70.337824531062395</v>
      </c>
      <c r="K243" s="3">
        <v>125.9930392029832</v>
      </c>
      <c r="L243" s="3">
        <v>41.760203634871104</v>
      </c>
      <c r="M243" s="3">
        <v>22.967455571740324</v>
      </c>
      <c r="N243" s="3"/>
      <c r="O243" s="3">
        <f>AVERAGE($H$2:H243)</f>
        <v>30.185452493734974</v>
      </c>
      <c r="P243" s="3">
        <f>AVERAGE($I$2:I243)</f>
        <v>32.438816262524291</v>
      </c>
      <c r="Q243" s="3">
        <f>AVERAGE($J$2:J243)</f>
        <v>43.618039802163267</v>
      </c>
      <c r="R243" s="3">
        <f>AVERAGE($K$2:K243)</f>
        <v>178.57511304430002</v>
      </c>
      <c r="S243" s="3">
        <f>AVERAGE($L$2:L243)</f>
        <v>129.7462412507933</v>
      </c>
      <c r="T243" s="3">
        <f>AVERAGE($M$2:M243)</f>
        <v>15.974135184137308</v>
      </c>
    </row>
    <row r="244" spans="7:20" ht="15.4" x14ac:dyDescent="0.4">
      <c r="G244" s="43">
        <v>71</v>
      </c>
      <c r="H244" s="43">
        <v>9.4546912650545352</v>
      </c>
      <c r="I244" s="3">
        <v>50.84367997915539</v>
      </c>
      <c r="J244" s="3">
        <v>215.2217608679496</v>
      </c>
      <c r="K244" s="3">
        <v>245.69012498955232</v>
      </c>
      <c r="L244" s="3">
        <v>1532.8487675852441</v>
      </c>
      <c r="M244" s="3">
        <v>38.91092436974791</v>
      </c>
      <c r="N244" s="3"/>
      <c r="O244" s="3">
        <f>AVERAGE($H$2:H244)</f>
        <v>30.100140719131353</v>
      </c>
      <c r="P244" s="3">
        <f>AVERAGE($I$2:I244)</f>
        <v>32.514556442428123</v>
      </c>
      <c r="Q244" s="3">
        <f>AVERAGE($J$2:J244)</f>
        <v>44.324227954697371</v>
      </c>
      <c r="R244" s="3">
        <f>AVERAGE($K$2:K244)</f>
        <v>178.85130650909528</v>
      </c>
      <c r="S244" s="3">
        <f>AVERAGE($L$2:L244)</f>
        <v>135.52032572130545</v>
      </c>
      <c r="T244" s="3">
        <f>AVERAGE($M$2:M244)</f>
        <v>16.068525263090439</v>
      </c>
    </row>
    <row r="245" spans="7:20" ht="15.4" x14ac:dyDescent="0.4">
      <c r="G245" s="43">
        <v>71.428571428571431</v>
      </c>
      <c r="H245" s="43">
        <v>59.635716971010247</v>
      </c>
      <c r="I245" s="3">
        <v>32.566800454117953</v>
      </c>
      <c r="J245" s="3">
        <v>514.12686122692082</v>
      </c>
      <c r="K245" s="3">
        <v>272.39129595286278</v>
      </c>
      <c r="L245" s="3">
        <v>1008.3690924074587</v>
      </c>
      <c r="M245" s="3">
        <v>16.006222476928524</v>
      </c>
      <c r="N245" s="3"/>
      <c r="O245" s="3">
        <f>AVERAGE($H$2:H245)</f>
        <v>30.221188162786593</v>
      </c>
      <c r="P245" s="3">
        <f>AVERAGE($I$2:I245)</f>
        <v>32.514770557230129</v>
      </c>
      <c r="Q245" s="3">
        <f>AVERAGE($J$2:J245)</f>
        <v>46.249648582862221</v>
      </c>
      <c r="R245" s="3">
        <f>AVERAGE($K$2:K245)</f>
        <v>179.23466712156974</v>
      </c>
      <c r="S245" s="3">
        <f>AVERAGE($L$2:L245)</f>
        <v>139.09757476510117</v>
      </c>
      <c r="T245" s="3">
        <f>AVERAGE($M$2:M245)</f>
        <v>16.068269923802891</v>
      </c>
    </row>
    <row r="246" spans="7:20" ht="15.4" x14ac:dyDescent="0.4">
      <c r="G246" s="43">
        <v>75</v>
      </c>
      <c r="H246" s="43">
        <v>65.910357455616548</v>
      </c>
      <c r="I246" s="3">
        <v>36.155957927406142</v>
      </c>
      <c r="J246" s="3">
        <v>703.64820675105477</v>
      </c>
      <c r="K246" s="3">
        <v>235.20861583193883</v>
      </c>
      <c r="L246" s="3">
        <v>555.4104424723871</v>
      </c>
      <c r="M246" s="3">
        <v>24.376771373060127</v>
      </c>
      <c r="N246" s="3"/>
      <c r="O246" s="3">
        <f>AVERAGE($H$2:H246)</f>
        <v>30.366858241532839</v>
      </c>
      <c r="P246" s="3">
        <f>AVERAGE($I$2:I246)</f>
        <v>32.529632546496153</v>
      </c>
      <c r="Q246" s="3">
        <f>AVERAGE($J$2:J246)</f>
        <v>48.932908003956882</v>
      </c>
      <c r="R246" s="3">
        <f>AVERAGE($K$2:K246)</f>
        <v>179.46313221834674</v>
      </c>
      <c r="S246" s="3">
        <f>AVERAGE($L$2:L246)</f>
        <v>140.7968109598248</v>
      </c>
      <c r="T246" s="3">
        <f>AVERAGE($M$2:M246)</f>
        <v>16.102182174616186</v>
      </c>
    </row>
    <row r="247" spans="7:20" ht="15.4" x14ac:dyDescent="0.4">
      <c r="G247" s="43"/>
      <c r="H247" s="43"/>
    </row>
    <row r="248" spans="7:20" ht="15.4" x14ac:dyDescent="0.4">
      <c r="G248" s="43"/>
      <c r="H248" s="43"/>
    </row>
    <row r="258" spans="7:8" ht="15.4" x14ac:dyDescent="0.4">
      <c r="G258" s="7"/>
      <c r="H258" s="7"/>
    </row>
    <row r="1048571" spans="7:8" x14ac:dyDescent="0.4">
      <c r="G1048571" s="41"/>
      <c r="H1048571" s="41"/>
    </row>
    <row r="1048572" spans="7:8" x14ac:dyDescent="0.4">
      <c r="G1048572" s="41"/>
      <c r="H1048572" s="41"/>
    </row>
    <row r="1048573" spans="7:8" x14ac:dyDescent="0.4">
      <c r="G1048573" s="41"/>
      <c r="H1048573" s="41"/>
    </row>
    <row r="1048574" spans="7:8" x14ac:dyDescent="0.4">
      <c r="G1048574" s="41"/>
      <c r="H1048574" s="41"/>
    </row>
    <row r="1048575" spans="7:8" x14ac:dyDescent="0.4">
      <c r="G1048575" s="41"/>
      <c r="H1048575" s="41"/>
    </row>
    <row r="1048576" spans="7:8" x14ac:dyDescent="0.4">
      <c r="G1048576" s="41"/>
      <c r="H1048576" s="41"/>
    </row>
  </sheetData>
  <mergeCells count="1">
    <mergeCell ref="A1:D1"/>
  </mergeCells>
  <phoneticPr fontId="2" type="noConversion"/>
  <pageMargins left="0.7" right="0.7" top="0.75" bottom="0.75" header="0.3" footer="0.3"/>
  <ignoredErrors>
    <ignoredError sqref="T3:T246 P3:Q246 O3:O246 R3:S246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1C58-D2AA-4E6A-A5E5-5AE4AA1107B7}">
  <dimension ref="A1:T258"/>
  <sheetViews>
    <sheetView zoomScale="85" zoomScaleNormal="85" workbookViewId="0">
      <pane ySplit="1" topLeftCell="A2" activePane="bottomLeft" state="frozen"/>
      <selection pane="bottomLeft" activeCell="E14" sqref="E14"/>
    </sheetView>
  </sheetViews>
  <sheetFormatPr defaultColWidth="9.1328125" defaultRowHeight="15.4" x14ac:dyDescent="0.4"/>
  <cols>
    <col min="1" max="1" width="13" style="5" bestFit="1" customWidth="1"/>
    <col min="2" max="2" width="13.59765625" style="20" bestFit="1" customWidth="1"/>
    <col min="3" max="3" width="8.73046875" style="20" customWidth="1"/>
    <col min="4" max="4" width="13" style="22" bestFit="1" customWidth="1"/>
    <col min="5" max="5" width="10.265625" style="19" customWidth="1"/>
    <col min="6" max="6" width="10.3984375" style="24" bestFit="1" customWidth="1"/>
    <col min="7" max="7" width="13.3984375" style="22" bestFit="1" customWidth="1"/>
    <col min="8" max="8" width="13" style="19" bestFit="1" customWidth="1"/>
    <col min="9" max="9" width="16.86328125" style="22" customWidth="1"/>
    <col min="10" max="10" width="13.3984375" style="22" customWidth="1"/>
    <col min="11" max="11" width="9.1328125" style="8"/>
    <col min="12" max="20" width="11" style="8" bestFit="1" customWidth="1"/>
    <col min="21" max="16384" width="9.1328125" style="8"/>
  </cols>
  <sheetData>
    <row r="1" spans="1:20" s="18" customFormat="1" ht="35.25" x14ac:dyDescent="0.4">
      <c r="A1" s="45" t="s">
        <v>70</v>
      </c>
      <c r="B1" s="45" t="s">
        <v>71</v>
      </c>
      <c r="C1" s="45" t="s">
        <v>72</v>
      </c>
      <c r="D1" s="46" t="s">
        <v>25</v>
      </c>
      <c r="E1" s="37" t="s">
        <v>73</v>
      </c>
      <c r="F1" s="38" t="s">
        <v>74</v>
      </c>
      <c r="G1" s="46" t="s">
        <v>67</v>
      </c>
      <c r="H1" s="47" t="s">
        <v>75</v>
      </c>
      <c r="I1" s="46" t="s">
        <v>76</v>
      </c>
      <c r="J1" s="46"/>
      <c r="K1" s="61" t="s">
        <v>26</v>
      </c>
      <c r="L1" s="61"/>
      <c r="M1" s="61"/>
      <c r="N1" s="61"/>
      <c r="O1" s="61"/>
      <c r="P1" s="61"/>
      <c r="Q1" s="61"/>
      <c r="R1" s="61"/>
      <c r="S1" s="61"/>
    </row>
    <row r="2" spans="1:20" ht="18" x14ac:dyDescent="0.4">
      <c r="A2" s="2">
        <v>15.8</v>
      </c>
      <c r="B2" s="4">
        <v>5.3333333333333378E-2</v>
      </c>
      <c r="C2" s="7">
        <v>8.9999999999999993E-3</v>
      </c>
      <c r="D2" s="21">
        <v>1.0000000000000001E-5</v>
      </c>
      <c r="E2" s="7">
        <v>15</v>
      </c>
      <c r="F2" s="23">
        <v>401</v>
      </c>
      <c r="G2" s="21">
        <v>5.3957867425862199E-8</v>
      </c>
      <c r="H2" s="7">
        <v>26.733333333333334</v>
      </c>
      <c r="I2" s="21">
        <v>8.0936801138793298E-7</v>
      </c>
      <c r="J2" s="44"/>
      <c r="L2" s="18" t="s">
        <v>35</v>
      </c>
      <c r="M2" s="18" t="s">
        <v>27</v>
      </c>
      <c r="N2" s="18" t="s">
        <v>29</v>
      </c>
      <c r="O2" s="18" t="s">
        <v>28</v>
      </c>
      <c r="P2" s="18" t="s">
        <v>30</v>
      </c>
      <c r="Q2" s="18" t="s">
        <v>31</v>
      </c>
      <c r="R2" s="18" t="s">
        <v>32</v>
      </c>
      <c r="S2" s="18" t="s">
        <v>33</v>
      </c>
      <c r="T2" s="18" t="s">
        <v>34</v>
      </c>
    </row>
    <row r="3" spans="1:20" ht="18" x14ac:dyDescent="0.4">
      <c r="A3" s="2">
        <v>24.66</v>
      </c>
      <c r="B3" s="4">
        <v>6.2931034482758663E-2</v>
      </c>
      <c r="C3" s="7">
        <v>0.01</v>
      </c>
      <c r="D3" s="21">
        <v>1.0000000000000001E-5</v>
      </c>
      <c r="E3" s="7">
        <v>23.2</v>
      </c>
      <c r="F3" s="23">
        <v>401</v>
      </c>
      <c r="G3" s="21">
        <v>2.2405778835473E-8</v>
      </c>
      <c r="H3" s="7">
        <v>17.28448275862069</v>
      </c>
      <c r="I3" s="21">
        <v>5.1981406898297356E-7</v>
      </c>
      <c r="J3" s="44"/>
      <c r="K3" s="18" t="s">
        <v>35</v>
      </c>
      <c r="L3" s="50">
        <v>1</v>
      </c>
      <c r="M3" s="50">
        <v>-9.8040000000000002E-2</v>
      </c>
      <c r="N3" s="50">
        <v>0.66471999999999998</v>
      </c>
      <c r="O3" s="50">
        <v>0.75804000000000005</v>
      </c>
      <c r="P3" s="50">
        <v>0.96467000000000003</v>
      </c>
      <c r="Q3" s="50">
        <v>0.47453000000000001</v>
      </c>
      <c r="R3" s="50">
        <v>-0.15162999999999999</v>
      </c>
      <c r="S3" s="50">
        <v>-0.22982</v>
      </c>
      <c r="T3" s="50">
        <v>0.61516000000000004</v>
      </c>
    </row>
    <row r="4" spans="1:20" x14ac:dyDescent="0.4">
      <c r="A4" s="2">
        <v>0.189</v>
      </c>
      <c r="B4" s="4">
        <v>-5.2631578947368463E-3</v>
      </c>
      <c r="C4" s="7">
        <v>1.5817223198594025E-2</v>
      </c>
      <c r="D4" s="21">
        <v>3.9999999999999998E-7</v>
      </c>
      <c r="E4" s="7">
        <v>0.19</v>
      </c>
      <c r="F4" s="23">
        <v>20</v>
      </c>
      <c r="G4" s="21">
        <v>7.5122441119165003E-8</v>
      </c>
      <c r="H4" s="7">
        <v>105.26315789473684</v>
      </c>
      <c r="I4" s="21">
        <v>1.4273263812641351E-8</v>
      </c>
      <c r="J4" s="44"/>
      <c r="K4" s="18" t="s">
        <v>27</v>
      </c>
      <c r="L4" s="50">
        <v>-9.8040000000000002E-2</v>
      </c>
      <c r="M4" s="50">
        <v>1</v>
      </c>
      <c r="N4" s="50">
        <v>0.69133999999999995</v>
      </c>
      <c r="O4" s="50">
        <v>2.7109999999999999E-2</v>
      </c>
      <c r="P4" s="50">
        <v>-0.12928000000000001</v>
      </c>
      <c r="Q4" s="50">
        <v>-6.0229999999999999E-2</v>
      </c>
      <c r="R4" s="50">
        <v>0.15476999999999999</v>
      </c>
      <c r="S4" s="50">
        <v>0.27812999999999999</v>
      </c>
      <c r="T4" s="50">
        <v>-0.14449000000000001</v>
      </c>
    </row>
    <row r="5" spans="1:20" ht="18" x14ac:dyDescent="0.4">
      <c r="A5" s="2">
        <v>16.7</v>
      </c>
      <c r="B5" s="4">
        <v>0.11333333333333329</v>
      </c>
      <c r="C5" s="7">
        <v>0.02</v>
      </c>
      <c r="D5" s="21">
        <v>1.0000000000000001E-5</v>
      </c>
      <c r="E5" s="7">
        <v>15</v>
      </c>
      <c r="F5" s="23">
        <v>401</v>
      </c>
      <c r="G5" s="21">
        <v>5.3957867425862199E-8</v>
      </c>
      <c r="H5" s="7">
        <v>26.733333333333334</v>
      </c>
      <c r="I5" s="21">
        <v>8.0936801138793298E-7</v>
      </c>
      <c r="J5" s="44"/>
      <c r="K5" s="18" t="s">
        <v>29</v>
      </c>
      <c r="L5" s="50">
        <v>0.66471999999999998</v>
      </c>
      <c r="M5" s="50">
        <v>0.69133999999999995</v>
      </c>
      <c r="N5" s="50">
        <v>1</v>
      </c>
      <c r="O5" s="50">
        <v>0.32483000000000001</v>
      </c>
      <c r="P5" s="50">
        <v>0.32513999999999998</v>
      </c>
      <c r="Q5" s="50">
        <v>0.39953</v>
      </c>
      <c r="R5" s="50">
        <v>-7.8300000000000002E-3</v>
      </c>
      <c r="S5" s="50">
        <v>-3.8679999999999999E-2</v>
      </c>
      <c r="T5" s="50">
        <v>0.3599</v>
      </c>
    </row>
    <row r="6" spans="1:20" x14ac:dyDescent="0.4">
      <c r="A6" s="2">
        <v>26.3</v>
      </c>
      <c r="B6" s="4">
        <v>0.13362068965517249</v>
      </c>
      <c r="C6" s="7">
        <v>0.02</v>
      </c>
      <c r="D6" s="21">
        <v>1.0000000000000001E-5</v>
      </c>
      <c r="E6" s="7">
        <v>23.2</v>
      </c>
      <c r="F6" s="23">
        <v>401</v>
      </c>
      <c r="G6" s="21">
        <v>2.2405778835473E-8</v>
      </c>
      <c r="H6" s="7">
        <v>17.28448275862069</v>
      </c>
      <c r="I6" s="21">
        <v>5.1981406898297356E-7</v>
      </c>
      <c r="J6" s="44"/>
      <c r="K6" s="18" t="s">
        <v>28</v>
      </c>
      <c r="L6" s="50">
        <v>0.75804000000000005</v>
      </c>
      <c r="M6" s="50">
        <v>2.7109999999999999E-2</v>
      </c>
      <c r="N6" s="50">
        <v>0.32483000000000001</v>
      </c>
      <c r="O6" s="50">
        <v>1</v>
      </c>
      <c r="P6" s="50">
        <v>0.62565000000000004</v>
      </c>
      <c r="Q6" s="50">
        <v>0.37853999999999999</v>
      </c>
      <c r="R6" s="50">
        <v>-3.2230000000000002E-2</v>
      </c>
      <c r="S6" s="50">
        <v>-0.17713000000000001</v>
      </c>
      <c r="T6" s="50">
        <v>0.63038000000000005</v>
      </c>
    </row>
    <row r="7" spans="1:20" ht="18" x14ac:dyDescent="0.4">
      <c r="A7" s="2">
        <v>2.2400000000000002</v>
      </c>
      <c r="B7" s="4">
        <v>0.40000000000000008</v>
      </c>
      <c r="C7" s="7">
        <v>2.4E-2</v>
      </c>
      <c r="D7" s="21">
        <v>8.0000000000000002E-8</v>
      </c>
      <c r="E7" s="7">
        <v>1.6</v>
      </c>
      <c r="F7" s="23">
        <v>28</v>
      </c>
      <c r="G7" s="21">
        <v>1.71393173890467E-8</v>
      </c>
      <c r="H7" s="7">
        <v>17.5</v>
      </c>
      <c r="I7" s="21">
        <v>2.7422907822474723E-8</v>
      </c>
      <c r="J7" s="44"/>
      <c r="K7" s="18" t="s">
        <v>30</v>
      </c>
      <c r="L7" s="50">
        <v>0.96467000000000003</v>
      </c>
      <c r="M7" s="50">
        <v>-0.12928000000000001</v>
      </c>
      <c r="N7" s="50">
        <v>0.32513999999999998</v>
      </c>
      <c r="O7" s="50">
        <v>0.62565000000000004</v>
      </c>
      <c r="P7" s="50">
        <v>1</v>
      </c>
      <c r="Q7" s="50">
        <v>0.44522</v>
      </c>
      <c r="R7" s="50">
        <v>-0.14768999999999999</v>
      </c>
      <c r="S7" s="50">
        <v>-0.22742000000000001</v>
      </c>
      <c r="T7" s="50">
        <v>0.60787999999999998</v>
      </c>
    </row>
    <row r="8" spans="1:20" ht="18" x14ac:dyDescent="0.4">
      <c r="A8" s="2">
        <v>0.29599999999999999</v>
      </c>
      <c r="B8" s="4">
        <v>8.8235294117646926E-2</v>
      </c>
      <c r="C8" s="7">
        <v>2.5000000000000001E-2</v>
      </c>
      <c r="D8" s="21">
        <v>1.9999999999999999E-6</v>
      </c>
      <c r="E8" s="7">
        <v>0.27200000000000002</v>
      </c>
      <c r="F8" s="23">
        <v>60</v>
      </c>
      <c r="G8" s="21">
        <v>9.3848503656742105E-7</v>
      </c>
      <c r="H8" s="7">
        <v>220.58823529411762</v>
      </c>
      <c r="I8" s="21">
        <v>2.5526792994633855E-7</v>
      </c>
      <c r="J8" s="44"/>
      <c r="K8" s="18" t="s">
        <v>31</v>
      </c>
      <c r="L8" s="50">
        <v>0.47453000000000001</v>
      </c>
      <c r="M8" s="50">
        <v>-6.0229999999999999E-2</v>
      </c>
      <c r="N8" s="50">
        <v>0.39953</v>
      </c>
      <c r="O8" s="50">
        <v>0.37853999999999999</v>
      </c>
      <c r="P8" s="50">
        <v>0.44522</v>
      </c>
      <c r="Q8" s="50">
        <v>1</v>
      </c>
      <c r="R8" s="50">
        <v>-0.20977999999999999</v>
      </c>
      <c r="S8" s="50">
        <v>-9.3789999999999998E-2</v>
      </c>
      <c r="T8" s="50">
        <v>0.54495000000000005</v>
      </c>
    </row>
    <row r="9" spans="1:20" ht="18" x14ac:dyDescent="0.4">
      <c r="A9" s="2">
        <v>0.19</v>
      </c>
      <c r="B9" s="4">
        <v>0.26666666666666672</v>
      </c>
      <c r="C9" s="7">
        <v>2.5000000000000001E-2</v>
      </c>
      <c r="D9" s="21">
        <v>2.9999999999999997E-8</v>
      </c>
      <c r="E9" s="7">
        <v>0.15</v>
      </c>
      <c r="F9" s="23">
        <v>30</v>
      </c>
      <c r="G9" s="21">
        <v>7.30141843971631E-9</v>
      </c>
      <c r="H9" s="7">
        <v>200</v>
      </c>
      <c r="I9" s="21">
        <v>1.0952127659574465E-9</v>
      </c>
      <c r="J9" s="44"/>
      <c r="K9" s="18" t="s">
        <v>32</v>
      </c>
      <c r="L9" s="50">
        <v>-0.15162999999999999</v>
      </c>
      <c r="M9" s="50">
        <v>0.15476999999999999</v>
      </c>
      <c r="N9" s="50">
        <v>-7.8300000000000002E-3</v>
      </c>
      <c r="O9" s="50">
        <v>-3.2230000000000002E-2</v>
      </c>
      <c r="P9" s="50">
        <v>-0.14768999999999999</v>
      </c>
      <c r="Q9" s="50">
        <v>-0.20977999999999999</v>
      </c>
      <c r="R9" s="50">
        <v>1</v>
      </c>
      <c r="S9" s="50">
        <v>0.14038</v>
      </c>
      <c r="T9" s="50">
        <v>-2.5940000000000001E-2</v>
      </c>
    </row>
    <row r="10" spans="1:20" ht="18" x14ac:dyDescent="0.4">
      <c r="A10" s="2">
        <v>0.36199999999999999</v>
      </c>
      <c r="B10" s="4">
        <v>0.16774193548387095</v>
      </c>
      <c r="C10" s="7">
        <v>2.7027027027027029E-2</v>
      </c>
      <c r="D10" s="21">
        <v>1.9999999999999999E-6</v>
      </c>
      <c r="E10" s="7">
        <v>0.31</v>
      </c>
      <c r="F10" s="23">
        <v>30</v>
      </c>
      <c r="G10" s="21">
        <v>5.0983393018943301E-7</v>
      </c>
      <c r="H10" s="7">
        <v>96.774193548387103</v>
      </c>
      <c r="I10" s="21">
        <v>1.5804851835872424E-7</v>
      </c>
      <c r="J10" s="44"/>
      <c r="K10" s="18" t="s">
        <v>33</v>
      </c>
      <c r="L10" s="50">
        <v>-0.22982</v>
      </c>
      <c r="M10" s="50">
        <v>0.27812999999999999</v>
      </c>
      <c r="N10" s="50">
        <v>-3.8679999999999999E-2</v>
      </c>
      <c r="O10" s="50">
        <v>-0.17713000000000001</v>
      </c>
      <c r="P10" s="50">
        <v>-0.22742000000000001</v>
      </c>
      <c r="Q10" s="50">
        <v>-9.3789999999999998E-2</v>
      </c>
      <c r="R10" s="50">
        <v>0.14038</v>
      </c>
      <c r="S10" s="50">
        <v>1</v>
      </c>
      <c r="T10" s="50">
        <v>-0.29632999999999998</v>
      </c>
    </row>
    <row r="11" spans="1:20" ht="18" x14ac:dyDescent="0.4">
      <c r="A11" s="2">
        <v>0.29899999999999999</v>
      </c>
      <c r="B11" s="4">
        <v>0.16796874999999992</v>
      </c>
      <c r="C11" s="7">
        <v>0.03</v>
      </c>
      <c r="D11" s="21">
        <v>8.0000000000000002E-8</v>
      </c>
      <c r="E11" s="7">
        <v>0.25600000000000001</v>
      </c>
      <c r="F11" s="23">
        <v>230</v>
      </c>
      <c r="G11" s="21">
        <v>1.4992197308456265E-8</v>
      </c>
      <c r="H11" s="7">
        <v>898.4375</v>
      </c>
      <c r="I11" s="21">
        <v>3.8380025109648036E-9</v>
      </c>
      <c r="J11" s="44"/>
      <c r="K11" s="18" t="s">
        <v>34</v>
      </c>
      <c r="L11" s="50">
        <v>0.61516000000000004</v>
      </c>
      <c r="M11" s="50">
        <v>-0.14449000000000001</v>
      </c>
      <c r="N11" s="50">
        <v>0.3599</v>
      </c>
      <c r="O11" s="50">
        <v>0.63038000000000005</v>
      </c>
      <c r="P11" s="50">
        <v>0.60787999999999998</v>
      </c>
      <c r="Q11" s="50">
        <v>0.54495000000000005</v>
      </c>
      <c r="R11" s="50">
        <v>-2.5940000000000001E-2</v>
      </c>
      <c r="S11" s="50">
        <v>-0.29632999999999998</v>
      </c>
      <c r="T11" s="50">
        <v>1</v>
      </c>
    </row>
    <row r="12" spans="1:20" x14ac:dyDescent="0.4">
      <c r="A12" s="2">
        <v>20.27</v>
      </c>
      <c r="B12" s="4">
        <v>0.35133333333333333</v>
      </c>
      <c r="C12" s="7">
        <v>0.03</v>
      </c>
      <c r="D12" s="21">
        <v>1.0000000000000001E-5</v>
      </c>
      <c r="E12" s="7">
        <v>15</v>
      </c>
      <c r="F12" s="23">
        <v>401</v>
      </c>
      <c r="G12" s="21">
        <v>5.3957867425862199E-8</v>
      </c>
      <c r="H12" s="7">
        <v>26.733333333333334</v>
      </c>
      <c r="I12" s="21">
        <v>8.0936801138793298E-7</v>
      </c>
      <c r="J12" s="44"/>
    </row>
    <row r="13" spans="1:20" x14ac:dyDescent="0.4">
      <c r="A13" s="2">
        <v>28.66</v>
      </c>
      <c r="B13" s="4">
        <v>0.23534482758620695</v>
      </c>
      <c r="C13" s="7">
        <v>0.03</v>
      </c>
      <c r="D13" s="21">
        <v>1.0000000000000001E-5</v>
      </c>
      <c r="E13" s="7">
        <v>23.2</v>
      </c>
      <c r="F13" s="23">
        <v>401</v>
      </c>
      <c r="G13" s="21">
        <v>2.2405778835473E-8</v>
      </c>
      <c r="H13" s="7">
        <v>17.28448275862069</v>
      </c>
      <c r="I13" s="21">
        <v>5.1981406898297356E-7</v>
      </c>
      <c r="J13" s="44"/>
    </row>
    <row r="14" spans="1:20" x14ac:dyDescent="0.4">
      <c r="A14" s="2">
        <v>0.23</v>
      </c>
      <c r="B14" s="4">
        <v>0.15</v>
      </c>
      <c r="C14" s="7">
        <v>3.0674846625766871E-2</v>
      </c>
      <c r="D14" s="21">
        <v>3.9999999999999998E-6</v>
      </c>
      <c r="E14" s="7">
        <v>0.2</v>
      </c>
      <c r="F14" s="23">
        <v>200</v>
      </c>
      <c r="G14" s="21">
        <v>2.2403961965134785E-6</v>
      </c>
      <c r="H14" s="7">
        <v>1000</v>
      </c>
      <c r="I14" s="21">
        <v>4.4807923930269571E-7</v>
      </c>
      <c r="J14" s="44"/>
    </row>
    <row r="15" spans="1:20" x14ac:dyDescent="0.4">
      <c r="A15" s="2">
        <v>0.20399999999999999</v>
      </c>
      <c r="B15" s="4">
        <v>7.3684210526315713E-2</v>
      </c>
      <c r="C15" s="7">
        <v>3.221104795219356E-2</v>
      </c>
      <c r="D15" s="21">
        <v>3.9999999999999998E-7</v>
      </c>
      <c r="E15" s="7">
        <v>0.19</v>
      </c>
      <c r="F15" s="23">
        <v>20</v>
      </c>
      <c r="G15" s="21">
        <v>7.5122441119165003E-8</v>
      </c>
      <c r="H15" s="7">
        <v>105.26315789473684</v>
      </c>
      <c r="I15" s="21">
        <v>1.4273263812641351E-8</v>
      </c>
      <c r="J15" s="44"/>
    </row>
    <row r="16" spans="1:20" x14ac:dyDescent="0.4">
      <c r="A16" s="2">
        <v>0.42699999999999999</v>
      </c>
      <c r="B16" s="4">
        <v>0.26706231454005924</v>
      </c>
      <c r="C16" s="7">
        <v>3.5106670267350801E-2</v>
      </c>
      <c r="D16" s="21">
        <v>4.5000000000000003E-5</v>
      </c>
      <c r="E16" s="7">
        <v>0.33700000000000002</v>
      </c>
      <c r="F16" s="23">
        <v>30</v>
      </c>
      <c r="G16" s="21">
        <v>1.28525963592315E-5</v>
      </c>
      <c r="H16" s="7">
        <v>89.020771513353111</v>
      </c>
      <c r="I16" s="21">
        <v>4.3313249730610154E-6</v>
      </c>
      <c r="J16" s="44"/>
    </row>
    <row r="17" spans="1:10" x14ac:dyDescent="0.4">
      <c r="A17" s="2">
        <v>0.45100000000000001</v>
      </c>
      <c r="B17" s="4">
        <v>0.33827893175074181</v>
      </c>
      <c r="C17" s="7">
        <v>3.5106670267350801E-2</v>
      </c>
      <c r="D17" s="21">
        <v>4.5000000000000003E-5</v>
      </c>
      <c r="E17" s="7">
        <v>0.33700000000000002</v>
      </c>
      <c r="F17" s="23">
        <v>30</v>
      </c>
      <c r="G17" s="21">
        <v>9.4933714812137596E-6</v>
      </c>
      <c r="H17" s="7">
        <v>89.020771513353111</v>
      </c>
      <c r="I17" s="21">
        <v>3.1992661891690374E-6</v>
      </c>
      <c r="J17" s="44"/>
    </row>
    <row r="18" spans="1:10" x14ac:dyDescent="0.4">
      <c r="A18" s="2">
        <v>0.45400000000000001</v>
      </c>
      <c r="B18" s="4">
        <v>0.34718100890207709</v>
      </c>
      <c r="C18" s="7">
        <v>3.5106670267350801E-2</v>
      </c>
      <c r="D18" s="21">
        <v>6.9999999999999994E-5</v>
      </c>
      <c r="E18" s="7">
        <v>0.33700000000000002</v>
      </c>
      <c r="F18" s="23">
        <v>30</v>
      </c>
      <c r="G18" s="21">
        <v>1.41955478633333E-5</v>
      </c>
      <c r="H18" s="7">
        <v>89.020771513353111</v>
      </c>
      <c r="I18" s="21">
        <v>4.7838996299433223E-6</v>
      </c>
      <c r="J18" s="44"/>
    </row>
    <row r="19" spans="1:10" x14ac:dyDescent="0.4">
      <c r="A19" s="2">
        <v>0.24199999999999999</v>
      </c>
      <c r="B19" s="4">
        <v>0.15238095238095239</v>
      </c>
      <c r="C19" s="7">
        <v>3.614457831325301E-2</v>
      </c>
      <c r="D19" s="21">
        <v>5.0000000000000004E-6</v>
      </c>
      <c r="E19" s="7">
        <v>0.21</v>
      </c>
      <c r="F19" s="23">
        <v>200</v>
      </c>
      <c r="G19" s="21">
        <v>2.9976798143851598E-6</v>
      </c>
      <c r="H19" s="7">
        <v>952.38095238095241</v>
      </c>
      <c r="I19" s="21">
        <v>6.2951276102088358E-7</v>
      </c>
      <c r="J19" s="44"/>
    </row>
    <row r="20" spans="1:10" x14ac:dyDescent="0.4">
      <c r="A20" s="2">
        <v>0.47299999999999998</v>
      </c>
      <c r="B20" s="4">
        <v>1.1499999999999999</v>
      </c>
      <c r="C20" s="7">
        <v>3.9292730844793712E-2</v>
      </c>
      <c r="D20" s="21">
        <v>5.5000000000000002E-5</v>
      </c>
      <c r="E20" s="7">
        <v>0.22</v>
      </c>
      <c r="F20" s="23">
        <v>170</v>
      </c>
      <c r="G20" s="21">
        <v>2.9497013035797098E-6</v>
      </c>
      <c r="H20" s="7">
        <v>772.72727272727275</v>
      </c>
      <c r="I20" s="21">
        <v>6.489342867875362E-7</v>
      </c>
      <c r="J20" s="44"/>
    </row>
    <row r="21" spans="1:10" x14ac:dyDescent="0.4">
      <c r="A21" s="2">
        <v>0.18890000000000001</v>
      </c>
      <c r="B21" s="4">
        <v>0.14484848484848487</v>
      </c>
      <c r="C21" s="7">
        <v>3.9525691699604737E-2</v>
      </c>
      <c r="D21" s="21">
        <v>1.4E-5</v>
      </c>
      <c r="E21" s="7">
        <v>0.16500000000000001</v>
      </c>
      <c r="F21" s="23">
        <v>230</v>
      </c>
      <c r="G21" s="21">
        <v>4.3212804006726878E-6</v>
      </c>
      <c r="H21" s="7">
        <v>1393.9393939393938</v>
      </c>
      <c r="I21" s="21">
        <v>7.1301126611099349E-7</v>
      </c>
      <c r="J21" s="44"/>
    </row>
    <row r="22" spans="1:10" x14ac:dyDescent="0.4">
      <c r="A22" s="2">
        <v>0.23499999999999999</v>
      </c>
      <c r="B22" s="4">
        <v>0.11904761904761903</v>
      </c>
      <c r="C22" s="7">
        <v>3.9525691699604737E-2</v>
      </c>
      <c r="D22" s="21">
        <v>1.4E-5</v>
      </c>
      <c r="E22" s="7">
        <v>0.21</v>
      </c>
      <c r="F22" s="23">
        <v>230</v>
      </c>
      <c r="G22" s="21">
        <v>3.4981793719731287E-6</v>
      </c>
      <c r="H22" s="7">
        <v>1095.2380952380952</v>
      </c>
      <c r="I22" s="21">
        <v>7.3461766811435703E-7</v>
      </c>
      <c r="J22" s="44"/>
    </row>
    <row r="23" spans="1:10" x14ac:dyDescent="0.4">
      <c r="A23" s="2">
        <v>20.34</v>
      </c>
      <c r="B23" s="4">
        <v>0.35599999999999998</v>
      </c>
      <c r="C23" s="7">
        <v>0.04</v>
      </c>
      <c r="D23" s="21">
        <v>1.0000000000000001E-5</v>
      </c>
      <c r="E23" s="7">
        <v>15</v>
      </c>
      <c r="F23" s="23">
        <v>401</v>
      </c>
      <c r="G23" s="21">
        <v>5.3957867425862199E-8</v>
      </c>
      <c r="H23" s="7">
        <v>26.733333333333334</v>
      </c>
      <c r="I23" s="21">
        <v>8.0936801138793298E-7</v>
      </c>
      <c r="J23" s="44"/>
    </row>
    <row r="24" spans="1:10" x14ac:dyDescent="0.4">
      <c r="A24" s="2">
        <v>27.26</v>
      </c>
      <c r="B24" s="4">
        <v>0.1750000000000001</v>
      </c>
      <c r="C24" s="7">
        <v>0.04</v>
      </c>
      <c r="D24" s="21">
        <v>1.0000000000000001E-5</v>
      </c>
      <c r="E24" s="7">
        <v>23.2</v>
      </c>
      <c r="F24" s="23">
        <v>401</v>
      </c>
      <c r="G24" s="21">
        <v>2.2405778835473E-8</v>
      </c>
      <c r="H24" s="7">
        <v>17.28448275862069</v>
      </c>
      <c r="I24" s="21">
        <v>5.1981406898297356E-7</v>
      </c>
      <c r="J24" s="44"/>
    </row>
    <row r="25" spans="1:10" x14ac:dyDescent="0.4">
      <c r="A25" s="2">
        <v>0.215</v>
      </c>
      <c r="B25" s="4">
        <v>0.13157894736842102</v>
      </c>
      <c r="C25" s="7">
        <v>4.8811013767209005E-2</v>
      </c>
      <c r="D25" s="21">
        <v>3.9999999999999998E-7</v>
      </c>
      <c r="E25" s="7">
        <v>0.19</v>
      </c>
      <c r="F25" s="23">
        <v>20</v>
      </c>
      <c r="G25" s="21">
        <v>7.5122441119165003E-8</v>
      </c>
      <c r="H25" s="7">
        <v>105.26315789473684</v>
      </c>
      <c r="I25" s="21">
        <v>1.4273263812641351E-8</v>
      </c>
      <c r="J25" s="44"/>
    </row>
    <row r="26" spans="1:10" x14ac:dyDescent="0.4">
      <c r="A26" s="2">
        <v>0.311</v>
      </c>
      <c r="B26" s="4">
        <v>0.14338235294117638</v>
      </c>
      <c r="C26" s="7">
        <v>0.05</v>
      </c>
      <c r="D26" s="21">
        <v>1.9999999999999999E-6</v>
      </c>
      <c r="E26" s="7">
        <v>0.27200000000000002</v>
      </c>
      <c r="F26" s="23">
        <v>60</v>
      </c>
      <c r="G26" s="21">
        <v>9.3848503656742105E-7</v>
      </c>
      <c r="H26" s="7">
        <v>220.58823529411762</v>
      </c>
      <c r="I26" s="21">
        <v>2.5526792994633855E-7</v>
      </c>
      <c r="J26" s="44"/>
    </row>
    <row r="27" spans="1:10" x14ac:dyDescent="0.4">
      <c r="A27" s="2">
        <v>5.1733333333333302</v>
      </c>
      <c r="B27" s="4">
        <v>1.5866666666666651</v>
      </c>
      <c r="C27" s="7">
        <v>0.05</v>
      </c>
      <c r="D27" s="21">
        <v>5.0000000000000004E-6</v>
      </c>
      <c r="E27" s="7">
        <v>2</v>
      </c>
      <c r="F27" s="23">
        <v>200</v>
      </c>
      <c r="G27" s="21">
        <v>9.2509870276379999E-8</v>
      </c>
      <c r="H27" s="7">
        <v>100</v>
      </c>
      <c r="I27" s="21">
        <v>1.8501974055276E-7</v>
      </c>
      <c r="J27" s="44"/>
    </row>
    <row r="28" spans="1:10" x14ac:dyDescent="0.4">
      <c r="A28" s="2">
        <v>0.22700000000000001</v>
      </c>
      <c r="B28" s="4">
        <v>0.13499999999999998</v>
      </c>
      <c r="C28" s="7">
        <v>0.05</v>
      </c>
      <c r="D28" s="21">
        <v>1.9999999999999999E-6</v>
      </c>
      <c r="E28" s="7">
        <v>0.2</v>
      </c>
      <c r="F28" s="23">
        <v>200</v>
      </c>
      <c r="G28" s="21">
        <v>4.5983304042179199E-7</v>
      </c>
      <c r="H28" s="7">
        <v>1000</v>
      </c>
      <c r="I28" s="21">
        <v>9.1966608084358406E-8</v>
      </c>
      <c r="J28" s="44"/>
    </row>
    <row r="29" spans="1:10" x14ac:dyDescent="0.4">
      <c r="A29" s="2">
        <v>0.27500000000000002</v>
      </c>
      <c r="B29" s="4">
        <v>0.83333333333333359</v>
      </c>
      <c r="C29" s="7">
        <v>0.05</v>
      </c>
      <c r="D29" s="21">
        <v>2.9999999999999997E-8</v>
      </c>
      <c r="E29" s="7">
        <v>0.15</v>
      </c>
      <c r="F29" s="23">
        <v>30</v>
      </c>
      <c r="G29" s="21">
        <v>7.30141843971631E-9</v>
      </c>
      <c r="H29" s="7">
        <v>200</v>
      </c>
      <c r="I29" s="21">
        <v>1.0952127659574465E-9</v>
      </c>
      <c r="J29" s="44"/>
    </row>
    <row r="30" spans="1:10" x14ac:dyDescent="0.4">
      <c r="A30" s="2">
        <v>19.68</v>
      </c>
      <c r="B30" s="4">
        <v>0.312</v>
      </c>
      <c r="C30" s="7">
        <v>0.05</v>
      </c>
      <c r="D30" s="21">
        <v>1.0000000000000001E-5</v>
      </c>
      <c r="E30" s="7">
        <v>15</v>
      </c>
      <c r="F30" s="23">
        <v>401</v>
      </c>
      <c r="G30" s="21">
        <v>5.3957867425862199E-8</v>
      </c>
      <c r="H30" s="7">
        <v>26.733333333333334</v>
      </c>
      <c r="I30" s="21">
        <v>8.0936801138793298E-7</v>
      </c>
      <c r="J30" s="44"/>
    </row>
    <row r="31" spans="1:10" x14ac:dyDescent="0.4">
      <c r="A31" s="2">
        <v>33.79</v>
      </c>
      <c r="B31" s="4">
        <v>0.45646551724137929</v>
      </c>
      <c r="C31" s="7">
        <v>0.05</v>
      </c>
      <c r="D31" s="21">
        <v>1.0000000000000001E-5</v>
      </c>
      <c r="E31" s="7">
        <v>23.2</v>
      </c>
      <c r="F31" s="23">
        <v>401</v>
      </c>
      <c r="G31" s="21">
        <v>2.2405778835473E-8</v>
      </c>
      <c r="H31" s="7">
        <v>17.28448275862069</v>
      </c>
      <c r="I31" s="21">
        <v>5.1981406898297356E-7</v>
      </c>
      <c r="J31" s="44"/>
    </row>
    <row r="32" spans="1:10" x14ac:dyDescent="0.4">
      <c r="A32" s="2">
        <v>0.26400000000000001</v>
      </c>
      <c r="B32" s="4">
        <v>0.16299559471365641</v>
      </c>
      <c r="C32" s="7">
        <v>5.8139534883720929E-2</v>
      </c>
      <c r="D32" s="21">
        <v>1.1000000000000001E-6</v>
      </c>
      <c r="E32" s="7">
        <v>0.22700000000000001</v>
      </c>
      <c r="F32" s="23">
        <v>30</v>
      </c>
      <c r="G32" s="21">
        <v>7.2039237783014036E-7</v>
      </c>
      <c r="H32" s="7">
        <v>132.15859030837004</v>
      </c>
      <c r="I32" s="21">
        <v>1.6352906976744186E-7</v>
      </c>
      <c r="J32" s="44"/>
    </row>
    <row r="33" spans="1:10" x14ac:dyDescent="0.4">
      <c r="A33" s="2">
        <v>0.46400000000000002</v>
      </c>
      <c r="B33" s="4">
        <v>0.4967741935483872</v>
      </c>
      <c r="C33" s="7">
        <v>5.8823529411764705E-2</v>
      </c>
      <c r="D33" s="21">
        <v>1.9999999999999999E-6</v>
      </c>
      <c r="E33" s="7">
        <v>0.31</v>
      </c>
      <c r="F33" s="23">
        <v>30</v>
      </c>
      <c r="G33" s="21">
        <v>5.0983393018943301E-7</v>
      </c>
      <c r="H33" s="7">
        <v>96.774193548387103</v>
      </c>
      <c r="I33" s="21">
        <v>1.5804851835872424E-7</v>
      </c>
      <c r="J33" s="44"/>
    </row>
    <row r="34" spans="1:10" x14ac:dyDescent="0.4">
      <c r="A34" s="2">
        <v>0.22700000000000001</v>
      </c>
      <c r="B34" s="4">
        <v>0.19473684210526318</v>
      </c>
      <c r="C34" s="7">
        <v>5.9438275636838664E-2</v>
      </c>
      <c r="D34" s="21">
        <v>3.9999999999999998E-7</v>
      </c>
      <c r="E34" s="7">
        <v>0.19</v>
      </c>
      <c r="F34" s="23">
        <v>20</v>
      </c>
      <c r="G34" s="21">
        <v>7.5122441119165003E-8</v>
      </c>
      <c r="H34" s="7">
        <v>105.26315789473684</v>
      </c>
      <c r="I34" s="21">
        <v>1.4273263812641351E-8</v>
      </c>
      <c r="J34" s="44"/>
    </row>
    <row r="35" spans="1:10" x14ac:dyDescent="0.4">
      <c r="A35" s="2">
        <v>22.6</v>
      </c>
      <c r="B35" s="4">
        <v>0.50666666666666671</v>
      </c>
      <c r="C35" s="7">
        <v>0.06</v>
      </c>
      <c r="D35" s="21">
        <v>1.0000000000000001E-5</v>
      </c>
      <c r="E35" s="7">
        <v>15</v>
      </c>
      <c r="F35" s="23">
        <v>401</v>
      </c>
      <c r="G35" s="21">
        <v>5.3957867425862199E-8</v>
      </c>
      <c r="H35" s="7">
        <v>26.733333333333334</v>
      </c>
      <c r="I35" s="21">
        <v>8.0936801138793298E-7</v>
      </c>
      <c r="J35" s="44"/>
    </row>
    <row r="36" spans="1:10" x14ac:dyDescent="0.4">
      <c r="A36" s="2">
        <v>35.72</v>
      </c>
      <c r="B36" s="4">
        <v>0.53965517241379313</v>
      </c>
      <c r="C36" s="7">
        <v>0.06</v>
      </c>
      <c r="D36" s="21">
        <v>1.0000000000000001E-5</v>
      </c>
      <c r="E36" s="7">
        <v>23.2</v>
      </c>
      <c r="F36" s="23">
        <v>401</v>
      </c>
      <c r="G36" s="21">
        <v>2.2405778835473E-8</v>
      </c>
      <c r="H36" s="7">
        <v>17.28448275862069</v>
      </c>
      <c r="I36" s="21">
        <v>5.1981406898297356E-7</v>
      </c>
      <c r="J36" s="44"/>
    </row>
    <row r="37" spans="1:10" x14ac:dyDescent="0.4">
      <c r="A37" s="2">
        <v>0.27</v>
      </c>
      <c r="B37" s="4">
        <v>0.35000000000000003</v>
      </c>
      <c r="C37" s="7">
        <v>6.1349693251533742E-2</v>
      </c>
      <c r="D37" s="21">
        <v>3.9999999999999998E-6</v>
      </c>
      <c r="E37" s="7">
        <v>0.2</v>
      </c>
      <c r="F37" s="23">
        <v>200</v>
      </c>
      <c r="G37" s="21">
        <v>2.2403961965134785E-6</v>
      </c>
      <c r="H37" s="7">
        <v>1000</v>
      </c>
      <c r="I37" s="21">
        <v>4.4807923930269571E-7</v>
      </c>
      <c r="J37" s="44"/>
    </row>
    <row r="38" spans="1:10" x14ac:dyDescent="0.4">
      <c r="A38" s="2">
        <v>0.61719190000000002</v>
      </c>
      <c r="B38" s="4">
        <v>1.1790000000000047E-2</v>
      </c>
      <c r="C38" s="7">
        <v>6.5250000000000002E-2</v>
      </c>
      <c r="D38" s="21">
        <v>4.8E-8</v>
      </c>
      <c r="E38" s="7">
        <v>0.61</v>
      </c>
      <c r="F38" s="23">
        <v>401</v>
      </c>
      <c r="G38" s="21">
        <v>3.2961781303002294E-8</v>
      </c>
      <c r="H38" s="7">
        <v>657.37704918032784</v>
      </c>
      <c r="I38" s="21">
        <v>2.01066865948314E-8</v>
      </c>
      <c r="J38" s="44"/>
    </row>
    <row r="39" spans="1:10" x14ac:dyDescent="0.4">
      <c r="A39" s="2">
        <v>0.25800000000000001</v>
      </c>
      <c r="B39" s="4">
        <v>0.22857142857142865</v>
      </c>
      <c r="C39" s="7">
        <v>6.9767441860465115E-2</v>
      </c>
      <c r="D39" s="21">
        <v>5.0000000000000004E-6</v>
      </c>
      <c r="E39" s="7">
        <v>0.21</v>
      </c>
      <c r="F39" s="23">
        <v>200</v>
      </c>
      <c r="G39" s="21">
        <v>2.9976798143851598E-6</v>
      </c>
      <c r="H39" s="7">
        <v>952.38095238095241</v>
      </c>
      <c r="I39" s="21">
        <v>6.2951276102088358E-7</v>
      </c>
      <c r="J39" s="44"/>
    </row>
    <row r="40" spans="1:10" x14ac:dyDescent="0.4">
      <c r="A40" s="2">
        <v>36.31</v>
      </c>
      <c r="B40" s="4">
        <v>0.56508620689655187</v>
      </c>
      <c r="C40" s="7">
        <v>7.0000000000000007E-2</v>
      </c>
      <c r="D40" s="21">
        <v>1.0000000000000001E-5</v>
      </c>
      <c r="E40" s="7">
        <v>23.2</v>
      </c>
      <c r="F40" s="23">
        <v>401</v>
      </c>
      <c r="G40" s="21">
        <v>2.2405778835473E-8</v>
      </c>
      <c r="H40" s="7">
        <v>17.28448275862069</v>
      </c>
      <c r="I40" s="21">
        <v>5.1981406898297356E-7</v>
      </c>
      <c r="J40" s="44"/>
    </row>
    <row r="41" spans="1:10" x14ac:dyDescent="0.4">
      <c r="A41" s="2">
        <v>0.374</v>
      </c>
      <c r="B41" s="4">
        <v>1.4933333333333334</v>
      </c>
      <c r="C41" s="7">
        <v>7.4999999999999997E-2</v>
      </c>
      <c r="D41" s="21">
        <v>2.9999999999999997E-8</v>
      </c>
      <c r="E41" s="7">
        <v>0.15</v>
      </c>
      <c r="F41" s="23">
        <v>30</v>
      </c>
      <c r="G41" s="21">
        <v>7.30141843971631E-9</v>
      </c>
      <c r="H41" s="7">
        <v>200</v>
      </c>
      <c r="I41" s="21">
        <v>1.0952127659574465E-9</v>
      </c>
      <c r="J41" s="44"/>
    </row>
    <row r="42" spans="1:10" x14ac:dyDescent="0.4">
      <c r="A42" s="2">
        <v>0.53</v>
      </c>
      <c r="B42" s="4">
        <v>0.57270029673590506</v>
      </c>
      <c r="C42" s="7">
        <v>7.5669383003492435E-2</v>
      </c>
      <c r="D42" s="21">
        <v>4.5000000000000003E-5</v>
      </c>
      <c r="E42" s="7">
        <v>0.33700000000000002</v>
      </c>
      <c r="F42" s="23">
        <v>30</v>
      </c>
      <c r="G42" s="21">
        <v>9.4933714812137596E-6</v>
      </c>
      <c r="H42" s="7">
        <v>89.020771513353111</v>
      </c>
      <c r="I42" s="21">
        <v>3.1992661891690374E-6</v>
      </c>
      <c r="J42" s="44"/>
    </row>
    <row r="43" spans="1:10" x14ac:dyDescent="0.4">
      <c r="A43" s="2">
        <v>0.53600000000000003</v>
      </c>
      <c r="B43" s="4">
        <v>0.59050445103857563</v>
      </c>
      <c r="C43" s="7">
        <v>7.5669383003492435E-2</v>
      </c>
      <c r="D43" s="21">
        <v>6.9999999999999994E-5</v>
      </c>
      <c r="E43" s="7">
        <v>0.33700000000000002</v>
      </c>
      <c r="F43" s="23">
        <v>30</v>
      </c>
      <c r="G43" s="21">
        <v>1.41955478633333E-5</v>
      </c>
      <c r="H43" s="7">
        <v>89.020771513353111</v>
      </c>
      <c r="I43" s="21">
        <v>4.7838996299433223E-6</v>
      </c>
      <c r="J43" s="44"/>
    </row>
    <row r="44" spans="1:10" x14ac:dyDescent="0.4">
      <c r="A44" s="2">
        <v>0.57599999999999996</v>
      </c>
      <c r="B44" s="4">
        <v>0.70919881305637955</v>
      </c>
      <c r="C44" s="7">
        <v>7.5669383003492435E-2</v>
      </c>
      <c r="D44" s="21">
        <v>4.5000000000000003E-5</v>
      </c>
      <c r="E44" s="7">
        <v>0.33700000000000002</v>
      </c>
      <c r="F44" s="23">
        <v>30</v>
      </c>
      <c r="G44" s="21">
        <v>1.28525963592315E-5</v>
      </c>
      <c r="H44" s="7">
        <v>89.020771513353111</v>
      </c>
      <c r="I44" s="21">
        <v>4.3313249730610154E-6</v>
      </c>
      <c r="J44" s="44"/>
    </row>
    <row r="45" spans="1:10" x14ac:dyDescent="0.4">
      <c r="A45" s="2">
        <v>0.34222000000000002</v>
      </c>
      <c r="B45" s="4">
        <v>0.33679687500000005</v>
      </c>
      <c r="C45" s="7">
        <v>7.6999999999999999E-2</v>
      </c>
      <c r="D45" s="21">
        <v>8.0000000000000002E-8</v>
      </c>
      <c r="E45" s="7">
        <v>0.25600000000000001</v>
      </c>
      <c r="F45" s="23">
        <v>230</v>
      </c>
      <c r="G45" s="21">
        <v>1.4992197308456265E-8</v>
      </c>
      <c r="H45" s="7">
        <v>898.4375</v>
      </c>
      <c r="I45" s="21">
        <v>3.8380025109648036E-9</v>
      </c>
      <c r="J45" s="44"/>
    </row>
    <row r="46" spans="1:10" x14ac:dyDescent="0.4">
      <c r="A46" s="2">
        <v>0.51400000000000001</v>
      </c>
      <c r="B46" s="4">
        <v>1.3363636363636366</v>
      </c>
      <c r="C46" s="7">
        <v>8.4269662921348312E-2</v>
      </c>
      <c r="D46" s="21">
        <v>5.5000000000000002E-5</v>
      </c>
      <c r="E46" s="7">
        <v>0.22</v>
      </c>
      <c r="F46" s="23">
        <v>170</v>
      </c>
      <c r="G46" s="21">
        <v>2.9497013035797098E-6</v>
      </c>
      <c r="H46" s="7">
        <v>772.72727272727275</v>
      </c>
      <c r="I46" s="21">
        <v>6.489342867875362E-7</v>
      </c>
      <c r="J46" s="44"/>
    </row>
    <row r="47" spans="1:10" x14ac:dyDescent="0.4">
      <c r="A47" s="2">
        <v>2.92</v>
      </c>
      <c r="B47" s="4">
        <v>0.82499999999999984</v>
      </c>
      <c r="C47" s="7">
        <v>8.5999999999999993E-2</v>
      </c>
      <c r="D47" s="21">
        <v>8.0000000000000002E-8</v>
      </c>
      <c r="E47" s="7">
        <v>1.6</v>
      </c>
      <c r="F47" s="23">
        <v>28</v>
      </c>
      <c r="G47" s="21">
        <v>1.71393173890467E-8</v>
      </c>
      <c r="H47" s="7">
        <v>17.5</v>
      </c>
      <c r="I47" s="21">
        <v>2.7422907822474723E-8</v>
      </c>
      <c r="J47" s="44"/>
    </row>
    <row r="48" spans="1:10" x14ac:dyDescent="0.4">
      <c r="A48" s="2">
        <v>0.62338340000000003</v>
      </c>
      <c r="B48" s="4">
        <v>2.1940000000000074E-2</v>
      </c>
      <c r="C48" s="7">
        <v>8.7499999999999994E-2</v>
      </c>
      <c r="D48" s="21">
        <v>4.8E-8</v>
      </c>
      <c r="E48" s="7">
        <v>0.61</v>
      </c>
      <c r="F48" s="23">
        <v>401</v>
      </c>
      <c r="G48" s="21">
        <v>3.2961781303002294E-8</v>
      </c>
      <c r="H48" s="7">
        <v>657.37704918032784</v>
      </c>
      <c r="I48" s="21">
        <v>2.01066865948314E-8</v>
      </c>
      <c r="J48" s="44"/>
    </row>
    <row r="49" spans="1:10" x14ac:dyDescent="0.4">
      <c r="A49" s="2">
        <v>1.77</v>
      </c>
      <c r="B49" s="4">
        <v>5.3571428571428624E-2</v>
      </c>
      <c r="C49" s="7">
        <v>0.09</v>
      </c>
      <c r="D49" s="21">
        <v>3.9999999999999998E-7</v>
      </c>
      <c r="E49" s="7">
        <v>1.68</v>
      </c>
      <c r="F49" s="23">
        <v>200</v>
      </c>
      <c r="G49" s="21">
        <v>1.79574567554932E-8</v>
      </c>
      <c r="H49" s="7">
        <v>119.04761904761905</v>
      </c>
      <c r="I49" s="21">
        <v>3.0168527349228576E-8</v>
      </c>
      <c r="J49" s="44"/>
    </row>
    <row r="50" spans="1:10" x14ac:dyDescent="0.4">
      <c r="A50" s="2">
        <v>0.23400000000000001</v>
      </c>
      <c r="B50" s="4">
        <v>0.23157894736842111</v>
      </c>
      <c r="C50" s="7">
        <v>9.0575724239090577E-2</v>
      </c>
      <c r="D50" s="21">
        <v>3.9999999999999998E-7</v>
      </c>
      <c r="E50" s="7">
        <v>0.19</v>
      </c>
      <c r="F50" s="23">
        <v>20</v>
      </c>
      <c r="G50" s="21">
        <v>7.5122441119165003E-8</v>
      </c>
      <c r="H50" s="7">
        <v>105.26315789473684</v>
      </c>
      <c r="I50" s="21">
        <v>1.4273263812641351E-8</v>
      </c>
      <c r="J50" s="44"/>
    </row>
    <row r="51" spans="1:10" x14ac:dyDescent="0.4">
      <c r="A51" s="2">
        <v>0.31</v>
      </c>
      <c r="B51" s="4">
        <v>0.54999999999999993</v>
      </c>
      <c r="C51" s="7">
        <v>9.202453987730061E-2</v>
      </c>
      <c r="D51" s="21">
        <v>3.9999999999999998E-6</v>
      </c>
      <c r="E51" s="7">
        <v>0.2</v>
      </c>
      <c r="F51" s="23">
        <v>200</v>
      </c>
      <c r="G51" s="21">
        <v>2.2403961965134785E-6</v>
      </c>
      <c r="H51" s="7">
        <v>1000</v>
      </c>
      <c r="I51" s="21">
        <v>4.4807923930269571E-7</v>
      </c>
      <c r="J51" s="44"/>
    </row>
    <row r="52" spans="1:10" x14ac:dyDescent="0.4">
      <c r="A52" s="2">
        <v>0.56599999999999995</v>
      </c>
      <c r="B52" s="4">
        <v>0.82580645161290311</v>
      </c>
      <c r="C52" s="7">
        <v>9.6774193548387108E-2</v>
      </c>
      <c r="D52" s="21">
        <v>1.9999999999999999E-6</v>
      </c>
      <c r="E52" s="7">
        <v>0.31</v>
      </c>
      <c r="F52" s="23">
        <v>30</v>
      </c>
      <c r="G52" s="21">
        <v>5.0983393018943301E-7</v>
      </c>
      <c r="H52" s="7">
        <v>96.774193548387103</v>
      </c>
      <c r="I52" s="21">
        <v>1.5804851835872424E-7</v>
      </c>
      <c r="J52" s="44"/>
    </row>
    <row r="53" spans="1:10" x14ac:dyDescent="0.4">
      <c r="A53" s="2">
        <v>0.309</v>
      </c>
      <c r="B53" s="4">
        <v>0.54499999999999993</v>
      </c>
      <c r="C53" s="7">
        <v>9.7000000000000003E-2</v>
      </c>
      <c r="D53" s="21">
        <v>1.9999999999999999E-6</v>
      </c>
      <c r="E53" s="7">
        <v>0.2</v>
      </c>
      <c r="F53" s="23">
        <v>200</v>
      </c>
      <c r="G53" s="21">
        <v>4.5983304042179199E-7</v>
      </c>
      <c r="H53" s="7">
        <v>1000</v>
      </c>
      <c r="I53" s="21">
        <v>9.1966608084358406E-8</v>
      </c>
      <c r="J53" s="44"/>
    </row>
    <row r="54" spans="1:10" x14ac:dyDescent="0.4">
      <c r="A54" s="2">
        <v>0.373</v>
      </c>
      <c r="B54" s="4">
        <v>0.37132352941176461</v>
      </c>
      <c r="C54" s="7">
        <v>0.1</v>
      </c>
      <c r="D54" s="21">
        <v>1.9999999999999999E-6</v>
      </c>
      <c r="E54" s="7">
        <v>0.27200000000000002</v>
      </c>
      <c r="F54" s="23">
        <v>60</v>
      </c>
      <c r="G54" s="21">
        <v>9.3848503656742105E-7</v>
      </c>
      <c r="H54" s="7">
        <v>220.58823529411762</v>
      </c>
      <c r="I54" s="21">
        <v>2.5526792994633855E-7</v>
      </c>
      <c r="J54" s="44"/>
    </row>
    <row r="55" spans="1:10" x14ac:dyDescent="0.4">
      <c r="A55" s="2">
        <v>0.45500000000000002</v>
      </c>
      <c r="B55" s="4">
        <v>0.27450980392156871</v>
      </c>
      <c r="C55" s="7">
        <v>0.1</v>
      </c>
      <c r="D55" s="21">
        <v>3.9999999999999998E-6</v>
      </c>
      <c r="E55" s="7">
        <v>0.35699999999999998</v>
      </c>
      <c r="F55" s="23">
        <v>180</v>
      </c>
      <c r="G55" s="21">
        <v>1.4300724366741656E-6</v>
      </c>
      <c r="H55" s="7">
        <v>504.20168067226894</v>
      </c>
      <c r="I55" s="21">
        <v>5.105358598926771E-7</v>
      </c>
      <c r="J55" s="44"/>
    </row>
    <row r="56" spans="1:10" x14ac:dyDescent="0.4">
      <c r="A56" s="2">
        <v>0.17</v>
      </c>
      <c r="B56" s="4">
        <v>0.21428571428571425</v>
      </c>
      <c r="C56" s="7">
        <v>0.1</v>
      </c>
      <c r="D56" s="21">
        <v>1.9999999999999999E-7</v>
      </c>
      <c r="E56" s="7">
        <v>0.14000000000000001</v>
      </c>
      <c r="F56" s="23">
        <v>30</v>
      </c>
      <c r="G56" s="21">
        <v>2.1237541528239199E-7</v>
      </c>
      <c r="H56" s="7">
        <v>214.28571428571428</v>
      </c>
      <c r="I56" s="21">
        <v>2.9732558139534881E-8</v>
      </c>
      <c r="J56" s="44"/>
    </row>
    <row r="57" spans="1:10" x14ac:dyDescent="0.4">
      <c r="A57" s="2">
        <v>5.9200000000000008</v>
      </c>
      <c r="B57" s="4">
        <v>1.9600000000000004</v>
      </c>
      <c r="C57" s="7">
        <v>0.1</v>
      </c>
      <c r="D57" s="21">
        <v>5.0000000000000004E-6</v>
      </c>
      <c r="E57" s="7">
        <v>2</v>
      </c>
      <c r="F57" s="23">
        <v>200</v>
      </c>
      <c r="G57" s="21">
        <v>9.2509870276379999E-8</v>
      </c>
      <c r="H57" s="7">
        <v>100</v>
      </c>
      <c r="I57" s="21">
        <v>1.8501974055276E-7</v>
      </c>
      <c r="J57" s="44"/>
    </row>
    <row r="58" spans="1:10" x14ac:dyDescent="0.4">
      <c r="A58" s="2">
        <v>0.45</v>
      </c>
      <c r="B58" s="4">
        <v>1.25</v>
      </c>
      <c r="C58" s="7">
        <v>0.1</v>
      </c>
      <c r="D58" s="21">
        <v>1.0000000000000001E-5</v>
      </c>
      <c r="E58" s="7">
        <v>0.2</v>
      </c>
      <c r="F58" s="23">
        <v>200</v>
      </c>
      <c r="G58" s="21">
        <v>2.49067729978659E-6</v>
      </c>
      <c r="H58" s="7">
        <v>1000</v>
      </c>
      <c r="I58" s="21">
        <v>4.9813545995731804E-7</v>
      </c>
      <c r="J58" s="44"/>
    </row>
    <row r="59" spans="1:10" x14ac:dyDescent="0.4">
      <c r="A59" s="2">
        <v>0.24529100529100534</v>
      </c>
      <c r="B59" s="4">
        <v>-4.1832010582010422E-2</v>
      </c>
      <c r="C59" s="7">
        <v>0.1</v>
      </c>
      <c r="D59" s="21">
        <v>3.0000000000000001E-5</v>
      </c>
      <c r="E59" s="7">
        <v>0.25600000000000001</v>
      </c>
      <c r="F59" s="23">
        <v>30</v>
      </c>
      <c r="G59" s="21">
        <v>1.01734817125911E-5</v>
      </c>
      <c r="H59" s="7">
        <v>117.1875</v>
      </c>
      <c r="I59" s="21">
        <v>2.6044113184233218E-6</v>
      </c>
      <c r="J59" s="44"/>
    </row>
    <row r="60" spans="1:10" x14ac:dyDescent="0.4">
      <c r="A60" s="2">
        <v>0.25738303876429502</v>
      </c>
      <c r="B60" s="4">
        <v>5.402495173027419E-3</v>
      </c>
      <c r="C60" s="7">
        <v>0.1</v>
      </c>
      <c r="D60" s="21">
        <v>1.0000000000000001E-5</v>
      </c>
      <c r="E60" s="7">
        <v>0.25600000000000001</v>
      </c>
      <c r="F60" s="23">
        <v>30</v>
      </c>
      <c r="G60" s="21">
        <v>7.4555586114832146E-6</v>
      </c>
      <c r="H60" s="7">
        <v>117.1875</v>
      </c>
      <c r="I60" s="21">
        <v>1.908623004539703E-6</v>
      </c>
      <c r="J60" s="44"/>
    </row>
    <row r="61" spans="1:10" x14ac:dyDescent="0.4">
      <c r="A61" s="2">
        <v>0.27590116279069798</v>
      </c>
      <c r="B61" s="4">
        <v>7.7738917151163975E-2</v>
      </c>
      <c r="C61" s="7">
        <v>0.1</v>
      </c>
      <c r="D61" s="21">
        <v>1.9999999999999999E-6</v>
      </c>
      <c r="E61" s="7">
        <v>0.25600000000000001</v>
      </c>
      <c r="F61" s="23">
        <v>85</v>
      </c>
      <c r="G61" s="21">
        <v>1.040265617088219E-6</v>
      </c>
      <c r="H61" s="7">
        <v>332.03125</v>
      </c>
      <c r="I61" s="21">
        <v>2.6630799797458409E-7</v>
      </c>
      <c r="J61" s="44"/>
    </row>
    <row r="62" spans="1:10" x14ac:dyDescent="0.4">
      <c r="A62" s="2">
        <v>34.75</v>
      </c>
      <c r="B62" s="4">
        <v>0.19827586206896552</v>
      </c>
      <c r="C62" s="7">
        <v>0.1</v>
      </c>
      <c r="D62" s="21">
        <v>5.0000000000000002E-5</v>
      </c>
      <c r="E62" s="7">
        <v>29</v>
      </c>
      <c r="F62" s="23">
        <v>2000</v>
      </c>
      <c r="G62" s="21">
        <v>3.5471480621872E-7</v>
      </c>
      <c r="H62" s="7">
        <v>68.965517241379317</v>
      </c>
      <c r="I62" s="21">
        <v>1.0286729380342879E-5</v>
      </c>
      <c r="J62" s="44"/>
    </row>
    <row r="63" spans="1:10" x14ac:dyDescent="0.4">
      <c r="A63" s="2">
        <v>31.02</v>
      </c>
      <c r="B63" s="4">
        <v>0.21171874999999993</v>
      </c>
      <c r="C63" s="7">
        <v>0.1</v>
      </c>
      <c r="D63" s="21">
        <v>1.2E-5</v>
      </c>
      <c r="E63" s="7">
        <v>25.6</v>
      </c>
      <c r="F63" s="23">
        <v>173</v>
      </c>
      <c r="G63" s="21">
        <v>3.7862160769303602E-8</v>
      </c>
      <c r="H63" s="7">
        <v>6.7578125</v>
      </c>
      <c r="I63" s="21">
        <v>9.692713156941723E-7</v>
      </c>
      <c r="J63" s="44"/>
    </row>
    <row r="64" spans="1:10" x14ac:dyDescent="0.4">
      <c r="A64" s="2">
        <v>0.29399999999999998</v>
      </c>
      <c r="B64" s="4">
        <v>0.39999999999999997</v>
      </c>
      <c r="C64" s="7">
        <v>0.10112359550561796</v>
      </c>
      <c r="D64" s="21">
        <v>5.0000000000000004E-6</v>
      </c>
      <c r="E64" s="7">
        <v>0.21</v>
      </c>
      <c r="F64" s="23">
        <v>200</v>
      </c>
      <c r="G64" s="21">
        <v>2.9976798143851598E-6</v>
      </c>
      <c r="H64" s="7">
        <v>952.38095238095241</v>
      </c>
      <c r="I64" s="21">
        <v>6.2951276102088358E-7</v>
      </c>
      <c r="J64" s="44"/>
    </row>
    <row r="65" spans="1:10" x14ac:dyDescent="0.4">
      <c r="A65" s="2">
        <v>0.62659809999999994</v>
      </c>
      <c r="B65" s="4">
        <v>2.7209999999999918E-2</v>
      </c>
      <c r="C65" s="7">
        <v>0.10911</v>
      </c>
      <c r="D65" s="21">
        <v>4.8E-8</v>
      </c>
      <c r="E65" s="7">
        <v>0.61</v>
      </c>
      <c r="F65" s="23">
        <v>401</v>
      </c>
      <c r="G65" s="21">
        <v>3.2961781303002294E-8</v>
      </c>
      <c r="H65" s="7">
        <v>657.37704918032784</v>
      </c>
      <c r="I65" s="21">
        <v>2.01066865948314E-8</v>
      </c>
      <c r="J65" s="44"/>
    </row>
    <row r="66" spans="1:10" x14ac:dyDescent="0.4">
      <c r="A66" s="2">
        <v>0.28299999999999997</v>
      </c>
      <c r="B66" s="4">
        <v>0.48947368421052617</v>
      </c>
      <c r="C66" s="7">
        <v>0.11322248614410135</v>
      </c>
      <c r="D66" s="21">
        <v>3.9999999999999998E-7</v>
      </c>
      <c r="E66" s="7">
        <v>0.19</v>
      </c>
      <c r="F66" s="23">
        <v>20</v>
      </c>
      <c r="G66" s="21">
        <v>7.5122441119165003E-8</v>
      </c>
      <c r="H66" s="7">
        <v>105.26315789473684</v>
      </c>
      <c r="I66" s="21">
        <v>1.4273263812641351E-8</v>
      </c>
      <c r="J66" s="44"/>
    </row>
    <row r="67" spans="1:10" x14ac:dyDescent="0.4">
      <c r="A67" s="2">
        <v>0.51500000000000001</v>
      </c>
      <c r="B67" s="4">
        <v>0.51470588235294112</v>
      </c>
      <c r="C67" s="7">
        <v>0.12</v>
      </c>
      <c r="D67" s="21">
        <v>4.9999999999999998E-7</v>
      </c>
      <c r="E67" s="7">
        <v>0.34</v>
      </c>
      <c r="F67" s="23">
        <v>30</v>
      </c>
      <c r="G67" s="21">
        <v>2.2885568268191799E-7</v>
      </c>
      <c r="H67" s="7">
        <v>88.235294117647058</v>
      </c>
      <c r="I67" s="21">
        <v>7.7810932111852116E-8</v>
      </c>
      <c r="J67" s="44"/>
    </row>
    <row r="68" spans="1:10" x14ac:dyDescent="0.4">
      <c r="A68" s="2">
        <v>0.32300000000000001</v>
      </c>
      <c r="B68" s="4">
        <v>0.42290748898678415</v>
      </c>
      <c r="C68" s="7">
        <v>0.12195121951219512</v>
      </c>
      <c r="D68" s="21">
        <v>1.1000000000000001E-6</v>
      </c>
      <c r="E68" s="7">
        <v>0.22700000000000001</v>
      </c>
      <c r="F68" s="23">
        <v>30</v>
      </c>
      <c r="G68" s="21">
        <v>7.2039237783014036E-7</v>
      </c>
      <c r="H68" s="7">
        <v>132.15859030837004</v>
      </c>
      <c r="I68" s="21">
        <v>1.6352906976744186E-7</v>
      </c>
      <c r="J68" s="44"/>
    </row>
    <row r="69" spans="1:10" x14ac:dyDescent="0.4">
      <c r="A69" s="2">
        <v>0.34</v>
      </c>
      <c r="B69" s="4">
        <v>0.70000000000000007</v>
      </c>
      <c r="C69" s="7">
        <v>0.12269938650306748</v>
      </c>
      <c r="D69" s="21">
        <v>3.9999999999999998E-6</v>
      </c>
      <c r="E69" s="7">
        <v>0.2</v>
      </c>
      <c r="F69" s="23">
        <v>200</v>
      </c>
      <c r="G69" s="21">
        <v>2.2403961965134785E-6</v>
      </c>
      <c r="H69" s="7">
        <v>1000</v>
      </c>
      <c r="I69" s="21">
        <v>4.4807923930269571E-7</v>
      </c>
      <c r="J69" s="44"/>
    </row>
    <row r="70" spans="1:10" x14ac:dyDescent="0.4">
      <c r="A70" s="2">
        <v>0.72599999999999998</v>
      </c>
      <c r="B70" s="4">
        <v>1.1543026706231452</v>
      </c>
      <c r="C70" s="7">
        <v>0.12306721363206058</v>
      </c>
      <c r="D70" s="21">
        <v>4.5000000000000003E-5</v>
      </c>
      <c r="E70" s="7">
        <v>0.33700000000000002</v>
      </c>
      <c r="F70" s="23">
        <v>30</v>
      </c>
      <c r="G70" s="21">
        <v>1.28525963592315E-5</v>
      </c>
      <c r="H70" s="7">
        <v>89.020771513353111</v>
      </c>
      <c r="I70" s="21">
        <v>4.3313249730610154E-6</v>
      </c>
      <c r="J70" s="44"/>
    </row>
    <row r="71" spans="1:10" x14ac:dyDescent="0.4">
      <c r="A71" s="2">
        <v>0.81200000000000006</v>
      </c>
      <c r="B71" s="4">
        <v>1.4094955489614243</v>
      </c>
      <c r="C71" s="7">
        <v>0.12306721363206058</v>
      </c>
      <c r="D71" s="21">
        <v>4.5000000000000003E-5</v>
      </c>
      <c r="E71" s="7">
        <v>0.33700000000000002</v>
      </c>
      <c r="F71" s="23">
        <v>30</v>
      </c>
      <c r="G71" s="21">
        <v>9.4933714812137596E-6</v>
      </c>
      <c r="H71" s="7">
        <v>89.020771513353111</v>
      </c>
      <c r="I71" s="21">
        <v>3.1992661891690374E-6</v>
      </c>
      <c r="J71" s="44"/>
    </row>
    <row r="72" spans="1:10" x14ac:dyDescent="0.4">
      <c r="A72" s="2">
        <v>0.81599999999999995</v>
      </c>
      <c r="B72" s="4">
        <v>1.4213649851632044</v>
      </c>
      <c r="C72" s="7">
        <v>0.12306721363206058</v>
      </c>
      <c r="D72" s="21">
        <v>6.9999999999999994E-5</v>
      </c>
      <c r="E72" s="7">
        <v>0.33700000000000002</v>
      </c>
      <c r="F72" s="23">
        <v>30</v>
      </c>
      <c r="G72" s="21">
        <v>1.41955478633333E-5</v>
      </c>
      <c r="H72" s="7">
        <v>89.020771513353111</v>
      </c>
      <c r="I72" s="21">
        <v>4.7838996299433223E-6</v>
      </c>
      <c r="J72" s="44"/>
    </row>
    <row r="73" spans="1:10" x14ac:dyDescent="0.4">
      <c r="A73" s="2">
        <v>28.763100000000001</v>
      </c>
      <c r="B73" s="4">
        <v>0.10627307692307698</v>
      </c>
      <c r="C73" s="7">
        <v>0.125</v>
      </c>
      <c r="D73" s="21">
        <v>9.9999999999999995E-7</v>
      </c>
      <c r="E73" s="7">
        <v>26</v>
      </c>
      <c r="F73" s="23">
        <v>200</v>
      </c>
      <c r="G73" s="21">
        <v>4.38647541190105E-9</v>
      </c>
      <c r="H73" s="7">
        <v>7.6923076923076925</v>
      </c>
      <c r="I73" s="21">
        <v>1.140483607094273E-7</v>
      </c>
      <c r="J73" s="44"/>
    </row>
    <row r="74" spans="1:10" x14ac:dyDescent="0.4">
      <c r="A74" s="2">
        <v>0.69799999999999995</v>
      </c>
      <c r="B74" s="4">
        <v>1.2516129032258063</v>
      </c>
      <c r="C74" s="7">
        <v>0.14285714285714288</v>
      </c>
      <c r="D74" s="21">
        <v>1.9999999999999999E-6</v>
      </c>
      <c r="E74" s="7">
        <v>0.31</v>
      </c>
      <c r="F74" s="23">
        <v>30</v>
      </c>
      <c r="G74" s="21">
        <v>5.0983393018943301E-7</v>
      </c>
      <c r="H74" s="7">
        <v>96.774193548387103</v>
      </c>
      <c r="I74" s="21">
        <v>1.5804851835872424E-7</v>
      </c>
      <c r="J74" s="44"/>
    </row>
    <row r="75" spans="1:10" x14ac:dyDescent="0.4">
      <c r="A75" s="2">
        <v>0.35</v>
      </c>
      <c r="B75" s="4">
        <v>0.74999999999999978</v>
      </c>
      <c r="C75" s="7">
        <v>0.15</v>
      </c>
      <c r="D75" s="21">
        <v>1.9999999999999999E-6</v>
      </c>
      <c r="E75" s="7">
        <v>0.2</v>
      </c>
      <c r="F75" s="23">
        <v>200</v>
      </c>
      <c r="G75" s="21">
        <v>4.5983304042179199E-7</v>
      </c>
      <c r="H75" s="7">
        <v>1000</v>
      </c>
      <c r="I75" s="21">
        <v>9.1966608084358406E-8</v>
      </c>
      <c r="J75" s="44"/>
    </row>
    <row r="76" spans="1:10" x14ac:dyDescent="0.4">
      <c r="A76" s="2">
        <v>30.123799999999999</v>
      </c>
      <c r="B76" s="4">
        <v>0.15860769230769228</v>
      </c>
      <c r="C76" s="7">
        <v>0.15</v>
      </c>
      <c r="D76" s="21">
        <v>9.9999999999999995E-7</v>
      </c>
      <c r="E76" s="7">
        <v>26</v>
      </c>
      <c r="F76" s="23">
        <v>200</v>
      </c>
      <c r="G76" s="21">
        <v>4.38647541190105E-9</v>
      </c>
      <c r="H76" s="7">
        <v>7.6923076923076925</v>
      </c>
      <c r="I76" s="21">
        <v>1.140483607094273E-7</v>
      </c>
      <c r="J76" s="44"/>
    </row>
    <row r="77" spans="1:10" x14ac:dyDescent="0.4">
      <c r="A77" s="2">
        <v>33.950000000000003</v>
      </c>
      <c r="B77" s="4">
        <v>0.32617187500000006</v>
      </c>
      <c r="C77" s="7">
        <v>0.15</v>
      </c>
      <c r="D77" s="21">
        <v>1.2E-5</v>
      </c>
      <c r="E77" s="7">
        <v>25.6</v>
      </c>
      <c r="F77" s="23">
        <v>173</v>
      </c>
      <c r="G77" s="21">
        <v>3.7862160769303602E-8</v>
      </c>
      <c r="H77" s="7">
        <v>6.7578125</v>
      </c>
      <c r="I77" s="21">
        <v>9.692713156941723E-7</v>
      </c>
      <c r="J77" s="44"/>
    </row>
    <row r="78" spans="1:10" x14ac:dyDescent="0.4">
      <c r="A78" s="2">
        <v>0.35</v>
      </c>
      <c r="B78" s="4">
        <v>0.74999999999999978</v>
      </c>
      <c r="C78" s="7">
        <v>0.15337423312883436</v>
      </c>
      <c r="D78" s="21">
        <v>3.9999999999999998E-6</v>
      </c>
      <c r="E78" s="7">
        <v>0.2</v>
      </c>
      <c r="F78" s="23">
        <v>200</v>
      </c>
      <c r="G78" s="21">
        <v>2.2403961965134785E-6</v>
      </c>
      <c r="H78" s="7">
        <v>1000</v>
      </c>
      <c r="I78" s="21">
        <v>4.4807923930269571E-7</v>
      </c>
      <c r="J78" s="44"/>
    </row>
    <row r="79" spans="1:10" x14ac:dyDescent="0.4">
      <c r="A79" s="2">
        <v>0.47399999999999998</v>
      </c>
      <c r="B79" s="4">
        <v>1.2571428571428573</v>
      </c>
      <c r="C79" s="7">
        <v>0.15789473684210525</v>
      </c>
      <c r="D79" s="21">
        <v>5.0000000000000004E-6</v>
      </c>
      <c r="E79" s="7">
        <v>0.21</v>
      </c>
      <c r="F79" s="23">
        <v>200</v>
      </c>
      <c r="G79" s="21">
        <v>2.9976798143851598E-6</v>
      </c>
      <c r="H79" s="7">
        <v>952.38095238095241</v>
      </c>
      <c r="I79" s="21">
        <v>6.2951276102088358E-7</v>
      </c>
      <c r="J79" s="44"/>
    </row>
    <row r="80" spans="1:10" x14ac:dyDescent="0.4">
      <c r="A80" s="2">
        <v>2.36</v>
      </c>
      <c r="B80" s="4">
        <v>0.40476190476190477</v>
      </c>
      <c r="C80" s="7">
        <v>0.16</v>
      </c>
      <c r="D80" s="21">
        <v>3.9999999999999998E-7</v>
      </c>
      <c r="E80" s="7">
        <v>1.68</v>
      </c>
      <c r="F80" s="23">
        <v>200</v>
      </c>
      <c r="G80" s="21">
        <v>1.79574567554932E-8</v>
      </c>
      <c r="H80" s="7">
        <v>119.04761904761905</v>
      </c>
      <c r="I80" s="21">
        <v>3.0168527349228576E-8</v>
      </c>
      <c r="J80" s="44"/>
    </row>
    <row r="81" spans="1:10" x14ac:dyDescent="0.4">
      <c r="A81" s="2">
        <v>0.64002420000000004</v>
      </c>
      <c r="B81" s="4">
        <v>4.922000000000009E-2</v>
      </c>
      <c r="C81" s="7">
        <v>0.16403999999999999</v>
      </c>
      <c r="D81" s="21">
        <v>4.8E-8</v>
      </c>
      <c r="E81" s="7">
        <v>0.61</v>
      </c>
      <c r="F81" s="23">
        <v>401</v>
      </c>
      <c r="G81" s="21">
        <v>3.2961781303002294E-8</v>
      </c>
      <c r="H81" s="7">
        <v>657.37704918032784</v>
      </c>
      <c r="I81" s="21">
        <v>2.01066865948314E-8</v>
      </c>
      <c r="J81" s="44"/>
    </row>
    <row r="82" spans="1:10" x14ac:dyDescent="0.4">
      <c r="A82" s="2">
        <v>3.17</v>
      </c>
      <c r="B82" s="4">
        <v>0.98124999999999984</v>
      </c>
      <c r="C82" s="7">
        <v>0.17699999999999999</v>
      </c>
      <c r="D82" s="21">
        <v>8.0000000000000002E-8</v>
      </c>
      <c r="E82" s="7">
        <v>1.6</v>
      </c>
      <c r="F82" s="23">
        <v>28</v>
      </c>
      <c r="G82" s="21">
        <v>1.71393173890467E-8</v>
      </c>
      <c r="H82" s="7">
        <v>17.5</v>
      </c>
      <c r="I82" s="21">
        <v>2.7422907822474723E-8</v>
      </c>
      <c r="J82" s="44"/>
    </row>
    <row r="83" spans="1:10" x14ac:dyDescent="0.4">
      <c r="A83" s="2">
        <v>0.41499999999999998</v>
      </c>
      <c r="B83" s="4">
        <v>1.1842105263157894</v>
      </c>
      <c r="C83" s="7">
        <v>0.17723032767280555</v>
      </c>
      <c r="D83" s="21">
        <v>3.9999999999999998E-7</v>
      </c>
      <c r="E83" s="7">
        <v>0.19</v>
      </c>
      <c r="F83" s="23">
        <v>20</v>
      </c>
      <c r="G83" s="21">
        <v>7.5122441119165003E-8</v>
      </c>
      <c r="H83" s="7">
        <v>105.26315789473684</v>
      </c>
      <c r="I83" s="21">
        <v>1.4273263812641351E-8</v>
      </c>
      <c r="J83" s="44"/>
    </row>
    <row r="84" spans="1:10" x14ac:dyDescent="0.4">
      <c r="A84" s="2">
        <v>0.91600000000000004</v>
      </c>
      <c r="B84" s="4">
        <v>1.7181008902077148</v>
      </c>
      <c r="C84" s="7">
        <v>0.17918676774638181</v>
      </c>
      <c r="D84" s="21">
        <v>4.5000000000000003E-5</v>
      </c>
      <c r="E84" s="7">
        <v>0.33700000000000002</v>
      </c>
      <c r="F84" s="23">
        <v>30</v>
      </c>
      <c r="G84" s="21">
        <v>1.28525963592315E-5</v>
      </c>
      <c r="H84" s="7">
        <v>89.020771513353111</v>
      </c>
      <c r="I84" s="21">
        <v>4.3313249730610154E-6</v>
      </c>
      <c r="J84" s="44"/>
    </row>
    <row r="85" spans="1:10" x14ac:dyDescent="0.4">
      <c r="A85" s="2">
        <v>1.0509999999999999</v>
      </c>
      <c r="B85" s="4">
        <v>2.1186943620178038</v>
      </c>
      <c r="C85" s="7">
        <v>0.17918676774638181</v>
      </c>
      <c r="D85" s="21">
        <v>4.5000000000000003E-5</v>
      </c>
      <c r="E85" s="7">
        <v>0.33700000000000002</v>
      </c>
      <c r="F85" s="23">
        <v>30</v>
      </c>
      <c r="G85" s="21">
        <v>9.4933714812137596E-6</v>
      </c>
      <c r="H85" s="7">
        <v>89.020771513353111</v>
      </c>
      <c r="I85" s="21">
        <v>3.1992661891690374E-6</v>
      </c>
      <c r="J85" s="44"/>
    </row>
    <row r="86" spans="1:10" x14ac:dyDescent="0.4">
      <c r="A86" s="2">
        <v>1.079</v>
      </c>
      <c r="B86" s="4">
        <v>2.2017804154302669</v>
      </c>
      <c r="C86" s="7">
        <v>0.17918676774638181</v>
      </c>
      <c r="D86" s="21">
        <v>6.9999999999999994E-5</v>
      </c>
      <c r="E86" s="7">
        <v>0.33700000000000002</v>
      </c>
      <c r="F86" s="23">
        <v>30</v>
      </c>
      <c r="G86" s="21">
        <v>1.41955478633333E-5</v>
      </c>
      <c r="H86" s="7">
        <v>89.020771513353111</v>
      </c>
      <c r="I86" s="21">
        <v>4.7838996299433223E-6</v>
      </c>
      <c r="J86" s="44"/>
    </row>
    <row r="87" spans="1:10" x14ac:dyDescent="0.4">
      <c r="A87" s="2">
        <v>0.36</v>
      </c>
      <c r="B87" s="4">
        <v>0.79999999999999982</v>
      </c>
      <c r="C87" s="7">
        <v>0.18404907975460122</v>
      </c>
      <c r="D87" s="21">
        <v>3.9999999999999998E-6</v>
      </c>
      <c r="E87" s="7">
        <v>0.2</v>
      </c>
      <c r="F87" s="23">
        <v>200</v>
      </c>
      <c r="G87" s="21">
        <v>2.2403961965134785E-6</v>
      </c>
      <c r="H87" s="7">
        <v>1000</v>
      </c>
      <c r="I87" s="21">
        <v>4.4807923930269571E-7</v>
      </c>
      <c r="J87" s="44"/>
    </row>
    <row r="88" spans="1:10" x14ac:dyDescent="0.4">
      <c r="A88" s="2">
        <v>0.40100000000000002</v>
      </c>
      <c r="B88" s="4">
        <v>0.76651982378854633</v>
      </c>
      <c r="C88" s="7">
        <v>0.19230769230769232</v>
      </c>
      <c r="D88" s="21">
        <v>1.1000000000000001E-6</v>
      </c>
      <c r="E88" s="7">
        <v>0.22700000000000001</v>
      </c>
      <c r="F88" s="23">
        <v>30</v>
      </c>
      <c r="G88" s="21">
        <v>7.2039237783014036E-7</v>
      </c>
      <c r="H88" s="7">
        <v>132.15859030837004</v>
      </c>
      <c r="I88" s="21">
        <v>1.6352906976744186E-7</v>
      </c>
      <c r="J88" s="44"/>
    </row>
    <row r="89" spans="1:10" x14ac:dyDescent="0.4">
      <c r="A89" s="2">
        <v>0.21</v>
      </c>
      <c r="B89" s="4">
        <v>0.2727272727272726</v>
      </c>
      <c r="C89" s="7">
        <v>0.19500000000000001</v>
      </c>
      <c r="D89" s="21">
        <v>1.0000000000000001E-5</v>
      </c>
      <c r="E89" s="7">
        <v>0.16500000000000001</v>
      </c>
      <c r="F89" s="23">
        <v>30</v>
      </c>
      <c r="G89" s="21">
        <v>9.1895684960201138E-6</v>
      </c>
      <c r="H89" s="7">
        <v>181.81818181818181</v>
      </c>
      <c r="I89" s="21">
        <v>1.5162788018433188E-6</v>
      </c>
      <c r="J89" s="44"/>
    </row>
    <row r="90" spans="1:10" x14ac:dyDescent="0.4">
      <c r="A90" s="2">
        <v>1.9379999999999999</v>
      </c>
      <c r="B90" s="4">
        <v>7.8090909090909086</v>
      </c>
      <c r="C90" s="7">
        <v>0.19704433497536947</v>
      </c>
      <c r="D90" s="21">
        <v>5.5000000000000002E-5</v>
      </c>
      <c r="E90" s="7">
        <v>0.22</v>
      </c>
      <c r="F90" s="23">
        <v>170</v>
      </c>
      <c r="G90" s="21">
        <v>2.9497013035797098E-6</v>
      </c>
      <c r="H90" s="7">
        <v>772.72727272727275</v>
      </c>
      <c r="I90" s="21">
        <v>6.489342867875362E-7</v>
      </c>
      <c r="J90" s="44"/>
    </row>
    <row r="91" spans="1:10" x14ac:dyDescent="0.4">
      <c r="A91" s="2">
        <v>0.499</v>
      </c>
      <c r="B91" s="4">
        <v>0.83455882352941158</v>
      </c>
      <c r="C91" s="7">
        <v>0.2</v>
      </c>
      <c r="D91" s="21">
        <v>1.9999999999999999E-6</v>
      </c>
      <c r="E91" s="7">
        <v>0.27200000000000002</v>
      </c>
      <c r="F91" s="23">
        <v>60</v>
      </c>
      <c r="G91" s="21">
        <v>9.3848503656742105E-7</v>
      </c>
      <c r="H91" s="7">
        <v>220.58823529411762</v>
      </c>
      <c r="I91" s="21">
        <v>2.5526792994633855E-7</v>
      </c>
      <c r="J91" s="44"/>
    </row>
    <row r="92" spans="1:10" x14ac:dyDescent="0.4">
      <c r="A92" s="2">
        <v>0.22</v>
      </c>
      <c r="B92" s="4">
        <v>0.57142857142857129</v>
      </c>
      <c r="C92" s="7">
        <v>0.2</v>
      </c>
      <c r="D92" s="21">
        <v>1.9999999999999999E-7</v>
      </c>
      <c r="E92" s="7">
        <v>0.14000000000000001</v>
      </c>
      <c r="F92" s="23">
        <v>30</v>
      </c>
      <c r="G92" s="21">
        <v>2.1237541528239199E-7</v>
      </c>
      <c r="H92" s="7">
        <v>214.28571428571428</v>
      </c>
      <c r="I92" s="21">
        <v>2.9732558139534881E-8</v>
      </c>
      <c r="J92" s="44"/>
    </row>
    <row r="93" spans="1:10" x14ac:dyDescent="0.4">
      <c r="A93" s="2">
        <v>0.45700000000000002</v>
      </c>
      <c r="B93" s="4">
        <v>0.78515625</v>
      </c>
      <c r="C93" s="7">
        <v>0.2</v>
      </c>
      <c r="D93" s="21">
        <v>8.0000000000000002E-8</v>
      </c>
      <c r="E93" s="7">
        <v>0.25600000000000001</v>
      </c>
      <c r="F93" s="23">
        <v>230</v>
      </c>
      <c r="G93" s="21">
        <v>1.4992197308456265E-8</v>
      </c>
      <c r="H93" s="7">
        <v>898.4375</v>
      </c>
      <c r="I93" s="21">
        <v>3.8380025109648036E-9</v>
      </c>
      <c r="J93" s="44"/>
    </row>
    <row r="94" spans="1:10" x14ac:dyDescent="0.4">
      <c r="A94" s="2">
        <v>7.4133333333333331</v>
      </c>
      <c r="B94" s="4">
        <v>2.7066666666666666</v>
      </c>
      <c r="C94" s="7">
        <v>0.2</v>
      </c>
      <c r="D94" s="21">
        <v>5.0000000000000004E-6</v>
      </c>
      <c r="E94" s="7">
        <v>2</v>
      </c>
      <c r="F94" s="23">
        <v>200</v>
      </c>
      <c r="G94" s="21">
        <v>9.2509870276379999E-8</v>
      </c>
      <c r="H94" s="7">
        <v>100</v>
      </c>
      <c r="I94" s="21">
        <v>1.8501974055276E-7</v>
      </c>
      <c r="J94" s="44"/>
    </row>
    <row r="95" spans="1:10" x14ac:dyDescent="0.4">
      <c r="A95" s="2">
        <v>0.95</v>
      </c>
      <c r="B95" s="4">
        <v>3.75</v>
      </c>
      <c r="C95" s="7">
        <v>0.2</v>
      </c>
      <c r="D95" s="21">
        <v>1.0000000000000001E-5</v>
      </c>
      <c r="E95" s="7">
        <v>0.2</v>
      </c>
      <c r="F95" s="23">
        <v>200</v>
      </c>
      <c r="G95" s="21">
        <v>2.49067729978659E-6</v>
      </c>
      <c r="H95" s="7">
        <v>1000</v>
      </c>
      <c r="I95" s="21">
        <v>4.9813545995731804E-7</v>
      </c>
      <c r="J95" s="44"/>
    </row>
    <row r="96" spans="1:10" x14ac:dyDescent="0.4">
      <c r="A96" s="2">
        <v>0.34768292682926832</v>
      </c>
      <c r="B96" s="4">
        <v>0.35813643292682934</v>
      </c>
      <c r="C96" s="7">
        <v>0.2</v>
      </c>
      <c r="D96" s="21">
        <v>3.0000000000000001E-5</v>
      </c>
      <c r="E96" s="7">
        <v>0.25600000000000001</v>
      </c>
      <c r="F96" s="23">
        <v>30</v>
      </c>
      <c r="G96" s="21">
        <v>1.01734817125911E-5</v>
      </c>
      <c r="H96" s="7">
        <v>117.1875</v>
      </c>
      <c r="I96" s="21">
        <v>2.6044113184233218E-6</v>
      </c>
      <c r="J96" s="44"/>
    </row>
    <row r="97" spans="1:10" x14ac:dyDescent="0.4">
      <c r="A97" s="2">
        <v>0.33857142857142858</v>
      </c>
      <c r="B97" s="4">
        <v>0.32254464285714285</v>
      </c>
      <c r="C97" s="7">
        <v>0.2</v>
      </c>
      <c r="D97" s="21">
        <v>1.0000000000000001E-5</v>
      </c>
      <c r="E97" s="7">
        <v>0.25600000000000001</v>
      </c>
      <c r="F97" s="23">
        <v>30</v>
      </c>
      <c r="G97" s="21">
        <v>7.4555586114832146E-6</v>
      </c>
      <c r="H97" s="7">
        <v>117.1875</v>
      </c>
      <c r="I97" s="21">
        <v>1.908623004539703E-6</v>
      </c>
      <c r="J97" s="44"/>
    </row>
    <row r="98" spans="1:10" x14ac:dyDescent="0.4">
      <c r="A98" s="2">
        <v>0.33659763313609464</v>
      </c>
      <c r="B98" s="4">
        <v>0.31483450443786964</v>
      </c>
      <c r="C98" s="7">
        <v>0.2</v>
      </c>
      <c r="D98" s="21">
        <v>1.9999999999999999E-6</v>
      </c>
      <c r="E98" s="7">
        <v>0.25600000000000001</v>
      </c>
      <c r="F98" s="23">
        <v>85</v>
      </c>
      <c r="G98" s="21">
        <v>1.040265617088219E-6</v>
      </c>
      <c r="H98" s="7">
        <v>332.03125</v>
      </c>
      <c r="I98" s="21">
        <v>2.6630799797458409E-7</v>
      </c>
      <c r="J98" s="44"/>
    </row>
    <row r="99" spans="1:10" x14ac:dyDescent="0.4">
      <c r="A99" s="2">
        <v>31.278099999999998</v>
      </c>
      <c r="B99" s="4">
        <v>0.20300384615384609</v>
      </c>
      <c r="C99" s="7">
        <v>0.2</v>
      </c>
      <c r="D99" s="21">
        <v>9.9999999999999995E-7</v>
      </c>
      <c r="E99" s="7">
        <v>26</v>
      </c>
      <c r="F99" s="23">
        <v>200</v>
      </c>
      <c r="G99" s="21">
        <v>4.38647541190105E-9</v>
      </c>
      <c r="H99" s="7">
        <v>7.6923076923076925</v>
      </c>
      <c r="I99" s="21">
        <v>1.140483607094273E-7</v>
      </c>
      <c r="J99" s="44"/>
    </row>
    <row r="100" spans="1:10" x14ac:dyDescent="0.4">
      <c r="A100" s="2">
        <v>36.218699999999998</v>
      </c>
      <c r="B100" s="4">
        <v>0.393026923076923</v>
      </c>
      <c r="C100" s="7">
        <v>0.2</v>
      </c>
      <c r="D100" s="21">
        <v>5.0000000000000004E-6</v>
      </c>
      <c r="E100" s="7">
        <v>26</v>
      </c>
      <c r="F100" s="23">
        <v>200</v>
      </c>
      <c r="G100" s="21">
        <v>1.57578760320004E-8</v>
      </c>
      <c r="H100" s="7">
        <v>7.6923076923076925</v>
      </c>
      <c r="I100" s="21">
        <v>4.0970477683201038E-7</v>
      </c>
      <c r="J100" s="44"/>
    </row>
    <row r="101" spans="1:10" x14ac:dyDescent="0.4">
      <c r="A101" s="2">
        <v>34.770000000000003</v>
      </c>
      <c r="B101" s="4">
        <v>0.35820312500000007</v>
      </c>
      <c r="C101" s="7">
        <v>0.2</v>
      </c>
      <c r="D101" s="21">
        <v>1.2E-5</v>
      </c>
      <c r="E101" s="7">
        <v>25.6</v>
      </c>
      <c r="F101" s="23">
        <v>173</v>
      </c>
      <c r="G101" s="21">
        <v>3.7862160769303602E-8</v>
      </c>
      <c r="H101" s="7">
        <v>6.7578125</v>
      </c>
      <c r="I101" s="21">
        <v>9.692713156941723E-7</v>
      </c>
      <c r="J101" s="44"/>
    </row>
    <row r="102" spans="1:10" x14ac:dyDescent="0.4">
      <c r="A102" s="2">
        <v>0.83</v>
      </c>
      <c r="B102" s="4">
        <v>1.3714285714285714</v>
      </c>
      <c r="C102" s="7">
        <v>0.2</v>
      </c>
      <c r="D102" s="21">
        <v>5.0000000000000004E-6</v>
      </c>
      <c r="E102" s="7">
        <v>0.35</v>
      </c>
      <c r="F102" s="23">
        <v>30</v>
      </c>
      <c r="G102" s="21">
        <v>1.3130157777606399E-6</v>
      </c>
      <c r="H102" s="7">
        <v>85.714285714285722</v>
      </c>
      <c r="I102" s="21">
        <v>4.5955552221622393E-7</v>
      </c>
      <c r="J102" s="44"/>
    </row>
    <row r="103" spans="1:10" x14ac:dyDescent="0.4">
      <c r="A103" s="2">
        <v>0.89</v>
      </c>
      <c r="B103" s="4">
        <v>0.97777777777777775</v>
      </c>
      <c r="C103" s="7">
        <v>0.2</v>
      </c>
      <c r="D103" s="21">
        <v>5.0000000000000004E-6</v>
      </c>
      <c r="E103" s="7">
        <v>0.45</v>
      </c>
      <c r="F103" s="23">
        <v>30</v>
      </c>
      <c r="G103" s="21">
        <v>1.24402936746453E-6</v>
      </c>
      <c r="H103" s="7">
        <v>66.666666666666671</v>
      </c>
      <c r="I103" s="21">
        <v>5.5981321535903852E-7</v>
      </c>
      <c r="J103" s="44"/>
    </row>
    <row r="104" spans="1:10" x14ac:dyDescent="0.4">
      <c r="A104" s="2">
        <v>0.94</v>
      </c>
      <c r="B104" s="4">
        <v>0.95833333333333326</v>
      </c>
      <c r="C104" s="7">
        <v>0.2</v>
      </c>
      <c r="D104" s="21">
        <v>5.0000000000000004E-6</v>
      </c>
      <c r="E104" s="7">
        <v>0.48</v>
      </c>
      <c r="F104" s="23">
        <v>30</v>
      </c>
      <c r="G104" s="21">
        <v>1.16999027454929E-6</v>
      </c>
      <c r="H104" s="7">
        <v>62.5</v>
      </c>
      <c r="I104" s="21">
        <v>5.6159533178365916E-7</v>
      </c>
      <c r="J104" s="44"/>
    </row>
    <row r="105" spans="1:10" x14ac:dyDescent="0.4">
      <c r="A105" s="2">
        <v>0.53300000000000003</v>
      </c>
      <c r="B105" s="4">
        <v>1.665</v>
      </c>
      <c r="C105" s="7">
        <v>0.21</v>
      </c>
      <c r="D105" s="21">
        <v>1.9999999999999999E-6</v>
      </c>
      <c r="E105" s="7">
        <v>0.2</v>
      </c>
      <c r="F105" s="23">
        <v>200</v>
      </c>
      <c r="G105" s="21">
        <v>4.5983304042179199E-7</v>
      </c>
      <c r="H105" s="7">
        <v>1000</v>
      </c>
      <c r="I105" s="21">
        <v>9.1966608084358406E-8</v>
      </c>
      <c r="J105" s="44"/>
    </row>
    <row r="106" spans="1:10" x14ac:dyDescent="0.4">
      <c r="A106" s="2">
        <v>0.85</v>
      </c>
      <c r="B106" s="4">
        <v>1.5</v>
      </c>
      <c r="C106" s="7">
        <v>0.23</v>
      </c>
      <c r="D106" s="21">
        <v>4.9999999999999998E-7</v>
      </c>
      <c r="E106" s="7">
        <v>0.34</v>
      </c>
      <c r="F106" s="23">
        <v>30</v>
      </c>
      <c r="G106" s="21">
        <v>2.2885568268191799E-7</v>
      </c>
      <c r="H106" s="7">
        <v>88.235294117647058</v>
      </c>
      <c r="I106" s="21">
        <v>7.7810932111852116E-8</v>
      </c>
      <c r="J106" s="44"/>
    </row>
    <row r="107" spans="1:10" x14ac:dyDescent="0.4">
      <c r="A107" s="2">
        <v>1.329</v>
      </c>
      <c r="B107" s="4">
        <v>2.943620178041543</v>
      </c>
      <c r="C107" s="7">
        <v>0.24667931688804559</v>
      </c>
      <c r="D107" s="21">
        <v>4.5000000000000003E-5</v>
      </c>
      <c r="E107" s="7">
        <v>0.33700000000000002</v>
      </c>
      <c r="F107" s="23">
        <v>30</v>
      </c>
      <c r="G107" s="21">
        <v>9.4933714812137596E-6</v>
      </c>
      <c r="H107" s="7">
        <v>89.020771513353111</v>
      </c>
      <c r="I107" s="21">
        <v>3.1992661891690374E-6</v>
      </c>
      <c r="J107" s="44"/>
    </row>
    <row r="108" spans="1:10" x14ac:dyDescent="0.4">
      <c r="A108" s="2">
        <v>1.329</v>
      </c>
      <c r="B108" s="4">
        <v>2.943620178041543</v>
      </c>
      <c r="C108" s="7">
        <v>0.24667931688804559</v>
      </c>
      <c r="D108" s="21">
        <v>4.5000000000000003E-5</v>
      </c>
      <c r="E108" s="7">
        <v>0.33700000000000002</v>
      </c>
      <c r="F108" s="23">
        <v>30</v>
      </c>
      <c r="G108" s="21">
        <v>1.28525963592315E-5</v>
      </c>
      <c r="H108" s="7">
        <v>89.020771513353111</v>
      </c>
      <c r="I108" s="21">
        <v>4.3313249730610154E-6</v>
      </c>
      <c r="J108" s="44"/>
    </row>
    <row r="109" spans="1:10" x14ac:dyDescent="0.4">
      <c r="A109" s="2">
        <v>1.63</v>
      </c>
      <c r="B109" s="4">
        <v>3.8367952522255186</v>
      </c>
      <c r="C109" s="7">
        <v>0.24667931688804559</v>
      </c>
      <c r="D109" s="21">
        <v>6.9999999999999994E-5</v>
      </c>
      <c r="E109" s="7">
        <v>0.33700000000000002</v>
      </c>
      <c r="F109" s="23">
        <v>30</v>
      </c>
      <c r="G109" s="21">
        <v>1.41955478633333E-5</v>
      </c>
      <c r="H109" s="7">
        <v>89.020771513353111</v>
      </c>
      <c r="I109" s="21">
        <v>4.7838996299433223E-6</v>
      </c>
      <c r="J109" s="44"/>
    </row>
    <row r="110" spans="1:10" x14ac:dyDescent="0.4">
      <c r="A110" s="2">
        <v>0.55000000000000004</v>
      </c>
      <c r="B110" s="4">
        <v>1.8947368421052633</v>
      </c>
      <c r="C110" s="7">
        <v>0.24807747080603818</v>
      </c>
      <c r="D110" s="21">
        <v>3.9999999999999998E-7</v>
      </c>
      <c r="E110" s="7">
        <v>0.19</v>
      </c>
      <c r="F110" s="23">
        <v>20</v>
      </c>
      <c r="G110" s="21">
        <v>7.5122441119165003E-8</v>
      </c>
      <c r="H110" s="7">
        <v>105.26315789473684</v>
      </c>
      <c r="I110" s="21">
        <v>1.4273263812641351E-8</v>
      </c>
      <c r="J110" s="44"/>
    </row>
    <row r="111" spans="1:10" x14ac:dyDescent="0.4">
      <c r="A111" s="2">
        <v>33.129100000000001</v>
      </c>
      <c r="B111" s="4">
        <v>0.27419615384615387</v>
      </c>
      <c r="C111" s="7">
        <v>0.25</v>
      </c>
      <c r="D111" s="21">
        <v>9.9999999999999995E-7</v>
      </c>
      <c r="E111" s="7">
        <v>26</v>
      </c>
      <c r="F111" s="23">
        <v>200</v>
      </c>
      <c r="G111" s="21">
        <v>4.38647541190105E-9</v>
      </c>
      <c r="H111" s="7">
        <v>7.6923076923076925</v>
      </c>
      <c r="I111" s="21">
        <v>1.140483607094273E-7</v>
      </c>
      <c r="J111" s="44"/>
    </row>
    <row r="112" spans="1:10" x14ac:dyDescent="0.4">
      <c r="A112" s="2">
        <v>38.875300000000003</v>
      </c>
      <c r="B112" s="4">
        <v>0.49520384615384627</v>
      </c>
      <c r="C112" s="7">
        <v>0.25</v>
      </c>
      <c r="D112" s="21">
        <v>5.0000000000000004E-6</v>
      </c>
      <c r="E112" s="7">
        <v>26</v>
      </c>
      <c r="F112" s="23">
        <v>200</v>
      </c>
      <c r="G112" s="21">
        <v>1.57578760320004E-8</v>
      </c>
      <c r="H112" s="7">
        <v>7.6923076923076925</v>
      </c>
      <c r="I112" s="21">
        <v>4.0970477683201038E-7</v>
      </c>
      <c r="J112" s="44"/>
    </row>
    <row r="113" spans="1:10" x14ac:dyDescent="0.4">
      <c r="A113" s="2">
        <v>37.85</v>
      </c>
      <c r="B113" s="4">
        <v>0.478515625</v>
      </c>
      <c r="C113" s="7">
        <v>0.25</v>
      </c>
      <c r="D113" s="21">
        <v>1.2E-5</v>
      </c>
      <c r="E113" s="7">
        <v>25.6</v>
      </c>
      <c r="F113" s="23">
        <v>173</v>
      </c>
      <c r="G113" s="21">
        <v>3.7862160769303602E-8</v>
      </c>
      <c r="H113" s="7">
        <v>6.7578125</v>
      </c>
      <c r="I113" s="21">
        <v>9.692713156941723E-7</v>
      </c>
      <c r="J113" s="44"/>
    </row>
    <row r="114" spans="1:10" x14ac:dyDescent="0.4">
      <c r="A114" s="2">
        <v>33.880000000000003</v>
      </c>
      <c r="B114" s="4">
        <v>0.28333333333333349</v>
      </c>
      <c r="C114" s="7">
        <v>0.25800000000000001</v>
      </c>
      <c r="D114" s="21">
        <v>8.6000000000000003E-5</v>
      </c>
      <c r="E114" s="7">
        <v>26.4</v>
      </c>
      <c r="F114" s="23">
        <v>401</v>
      </c>
      <c r="G114" s="21">
        <v>5.3157133469765097E-7</v>
      </c>
      <c r="H114" s="7">
        <v>15.189393939393939</v>
      </c>
      <c r="I114" s="21">
        <v>1.4033483236017984E-5</v>
      </c>
      <c r="J114" s="44"/>
    </row>
    <row r="115" spans="1:10" x14ac:dyDescent="0.4">
      <c r="A115" s="2">
        <v>3.07</v>
      </c>
      <c r="B115" s="4">
        <v>0.82738095238095233</v>
      </c>
      <c r="C115" s="7">
        <v>0.26</v>
      </c>
      <c r="D115" s="21">
        <v>3.9999999999999998E-7</v>
      </c>
      <c r="E115" s="7">
        <v>1.68</v>
      </c>
      <c r="F115" s="23">
        <v>200</v>
      </c>
      <c r="G115" s="21">
        <v>1.79574567554932E-8</v>
      </c>
      <c r="H115" s="7">
        <v>119.04761904761905</v>
      </c>
      <c r="I115" s="21">
        <v>3.0168527349228576E-8</v>
      </c>
      <c r="J115" s="44"/>
    </row>
    <row r="116" spans="1:10" x14ac:dyDescent="0.4">
      <c r="A116" s="2">
        <v>3.4809999999999999</v>
      </c>
      <c r="B116" s="4">
        <v>14.822727272727271</v>
      </c>
      <c r="C116" s="7">
        <v>0.26905829596412556</v>
      </c>
      <c r="D116" s="21">
        <v>5.5000000000000002E-5</v>
      </c>
      <c r="E116" s="7">
        <v>0.22</v>
      </c>
      <c r="F116" s="23">
        <v>170</v>
      </c>
      <c r="G116" s="21">
        <v>2.9497013035797098E-6</v>
      </c>
      <c r="H116" s="7">
        <v>772.72727272727275</v>
      </c>
      <c r="I116" s="21">
        <v>6.489342867875362E-7</v>
      </c>
      <c r="J116" s="44"/>
    </row>
    <row r="117" spans="1:10" x14ac:dyDescent="0.4">
      <c r="A117" s="2">
        <v>0.47</v>
      </c>
      <c r="B117" s="4">
        <v>1.0704845814977972</v>
      </c>
      <c r="C117" s="7">
        <v>0.27027027027027023</v>
      </c>
      <c r="D117" s="21">
        <v>1.1000000000000001E-6</v>
      </c>
      <c r="E117" s="7">
        <v>0.22700000000000001</v>
      </c>
      <c r="F117" s="23">
        <v>30</v>
      </c>
      <c r="G117" s="21">
        <v>7.2039237783014036E-7</v>
      </c>
      <c r="H117" s="7">
        <v>132.15859030837004</v>
      </c>
      <c r="I117" s="21">
        <v>1.6352906976744186E-7</v>
      </c>
      <c r="J117" s="44"/>
    </row>
    <row r="118" spans="1:10" x14ac:dyDescent="0.4">
      <c r="A118" s="2">
        <v>0.56200000000000006</v>
      </c>
      <c r="B118" s="4">
        <v>2.4060606060606062</v>
      </c>
      <c r="C118" s="7">
        <v>0.27027027027027029</v>
      </c>
      <c r="D118" s="21">
        <v>1.4E-5</v>
      </c>
      <c r="E118" s="7">
        <v>0.16500000000000001</v>
      </c>
      <c r="F118" s="23">
        <v>230</v>
      </c>
      <c r="G118" s="21">
        <v>4.3212804006726878E-6</v>
      </c>
      <c r="H118" s="7">
        <v>1393.9393939393938</v>
      </c>
      <c r="I118" s="21">
        <v>7.1301126611099349E-7</v>
      </c>
      <c r="J118" s="44"/>
    </row>
    <row r="119" spans="1:10" x14ac:dyDescent="0.4">
      <c r="A119" s="2">
        <v>1.0449999999999999</v>
      </c>
      <c r="B119" s="4">
        <v>3.9761904761904763</v>
      </c>
      <c r="C119" s="7">
        <v>0.27027027027027029</v>
      </c>
      <c r="D119" s="21">
        <v>1.4E-5</v>
      </c>
      <c r="E119" s="7">
        <v>0.21</v>
      </c>
      <c r="F119" s="23">
        <v>230</v>
      </c>
      <c r="G119" s="21">
        <v>3.4981793719731287E-6</v>
      </c>
      <c r="H119" s="7">
        <v>1095.2380952380952</v>
      </c>
      <c r="I119" s="21">
        <v>7.3461766811435703E-7</v>
      </c>
      <c r="J119" s="44"/>
    </row>
    <row r="120" spans="1:10" x14ac:dyDescent="0.4">
      <c r="A120" s="2">
        <v>0.63800000000000001</v>
      </c>
      <c r="B120" s="4">
        <v>2.19</v>
      </c>
      <c r="C120" s="7">
        <v>0.28999999999999998</v>
      </c>
      <c r="D120" s="21">
        <v>1.9999999999999999E-6</v>
      </c>
      <c r="E120" s="7">
        <v>0.2</v>
      </c>
      <c r="F120" s="23">
        <v>200</v>
      </c>
      <c r="G120" s="21">
        <v>4.5983304042179199E-7</v>
      </c>
      <c r="H120" s="7">
        <v>1000</v>
      </c>
      <c r="I120" s="21">
        <v>9.1966608084358406E-8</v>
      </c>
      <c r="J120" s="44"/>
    </row>
    <row r="121" spans="1:10" x14ac:dyDescent="0.4">
      <c r="A121" s="2">
        <v>0.68100000000000005</v>
      </c>
      <c r="B121" s="4">
        <v>1.5036764705882353</v>
      </c>
      <c r="C121" s="7">
        <v>0.3</v>
      </c>
      <c r="D121" s="21">
        <v>1.9999999999999999E-6</v>
      </c>
      <c r="E121" s="7">
        <v>0.27200000000000002</v>
      </c>
      <c r="F121" s="23">
        <v>60</v>
      </c>
      <c r="G121" s="21">
        <v>9.3848503656742105E-7</v>
      </c>
      <c r="H121" s="7">
        <v>220.58823529411762</v>
      </c>
      <c r="I121" s="21">
        <v>2.5526792994633855E-7</v>
      </c>
      <c r="J121" s="44"/>
    </row>
    <row r="122" spans="1:10" x14ac:dyDescent="0.4">
      <c r="A122" s="2">
        <v>0.749</v>
      </c>
      <c r="B122" s="4">
        <v>1.0980392156862746</v>
      </c>
      <c r="C122" s="7">
        <v>0.3</v>
      </c>
      <c r="D122" s="21">
        <v>3.9999999999999998E-6</v>
      </c>
      <c r="E122" s="7">
        <v>0.35699999999999998</v>
      </c>
      <c r="F122" s="23">
        <v>180</v>
      </c>
      <c r="G122" s="21">
        <v>1.4300724366741656E-6</v>
      </c>
      <c r="H122" s="7">
        <v>504.20168067226894</v>
      </c>
      <c r="I122" s="21">
        <v>5.105358598926771E-7</v>
      </c>
      <c r="J122" s="44"/>
    </row>
    <row r="123" spans="1:10" x14ac:dyDescent="0.4">
      <c r="A123" s="2">
        <v>0.3</v>
      </c>
      <c r="B123" s="4">
        <v>1.1428571428571426</v>
      </c>
      <c r="C123" s="7">
        <v>0.3</v>
      </c>
      <c r="D123" s="21">
        <v>1.9999999999999999E-7</v>
      </c>
      <c r="E123" s="7">
        <v>0.14000000000000001</v>
      </c>
      <c r="F123" s="23">
        <v>30</v>
      </c>
      <c r="G123" s="21">
        <v>2.1237541528239199E-7</v>
      </c>
      <c r="H123" s="7">
        <v>214.28571428571428</v>
      </c>
      <c r="I123" s="21">
        <v>2.9732558139534881E-8</v>
      </c>
      <c r="J123" s="44"/>
    </row>
    <row r="124" spans="1:10" x14ac:dyDescent="0.4">
      <c r="A124" s="2">
        <v>0.74199999999999999</v>
      </c>
      <c r="B124" s="4">
        <v>1.8984375</v>
      </c>
      <c r="C124" s="7">
        <v>0.3</v>
      </c>
      <c r="D124" s="21">
        <v>8.0000000000000002E-8</v>
      </c>
      <c r="E124" s="7">
        <v>0.25600000000000001</v>
      </c>
      <c r="F124" s="23">
        <v>230</v>
      </c>
      <c r="G124" s="21">
        <v>1.4992197308456265E-8</v>
      </c>
      <c r="H124" s="7">
        <v>898.4375</v>
      </c>
      <c r="I124" s="21">
        <v>3.8380025109648036E-9</v>
      </c>
      <c r="J124" s="44"/>
    </row>
    <row r="125" spans="1:10" x14ac:dyDescent="0.4">
      <c r="A125" s="2">
        <v>0.75</v>
      </c>
      <c r="B125" s="4">
        <v>2.75</v>
      </c>
      <c r="C125" s="7">
        <v>0.3</v>
      </c>
      <c r="D125" s="21">
        <v>9.9999999999999995E-7</v>
      </c>
      <c r="E125" s="7">
        <v>0.2</v>
      </c>
      <c r="F125" s="23">
        <v>200</v>
      </c>
      <c r="G125" s="21">
        <v>2.3250987027638001E-7</v>
      </c>
      <c r="H125" s="7">
        <v>1000</v>
      </c>
      <c r="I125" s="21">
        <v>4.6501974055276007E-8</v>
      </c>
      <c r="J125" s="44"/>
    </row>
    <row r="126" spans="1:10" x14ac:dyDescent="0.4">
      <c r="A126" s="2">
        <v>8.1066666666666674</v>
      </c>
      <c r="B126" s="4">
        <v>3.0533333333333337</v>
      </c>
      <c r="C126" s="7">
        <v>0.3</v>
      </c>
      <c r="D126" s="21">
        <v>5.0000000000000004E-6</v>
      </c>
      <c r="E126" s="7">
        <v>2</v>
      </c>
      <c r="F126" s="23">
        <v>200</v>
      </c>
      <c r="G126" s="21">
        <v>9.2509870276379999E-8</v>
      </c>
      <c r="H126" s="7">
        <v>100</v>
      </c>
      <c r="I126" s="21">
        <v>1.8501974055276E-7</v>
      </c>
      <c r="J126" s="44"/>
    </row>
    <row r="127" spans="1:10" x14ac:dyDescent="0.4">
      <c r="A127" s="2">
        <v>1.64</v>
      </c>
      <c r="B127" s="4">
        <v>7.1999999999999993</v>
      </c>
      <c r="C127" s="7">
        <v>0.3</v>
      </c>
      <c r="D127" s="21">
        <v>1.0000000000000001E-5</v>
      </c>
      <c r="E127" s="7">
        <v>0.2</v>
      </c>
      <c r="F127" s="23">
        <v>200</v>
      </c>
      <c r="G127" s="21">
        <v>2.49067729978659E-6</v>
      </c>
      <c r="H127" s="7">
        <v>1000</v>
      </c>
      <c r="I127" s="21">
        <v>4.9813545995731804E-7</v>
      </c>
      <c r="J127" s="44"/>
    </row>
    <row r="128" spans="1:10" x14ac:dyDescent="0.4">
      <c r="A128" s="2">
        <v>0.61596958174904948</v>
      </c>
      <c r="B128" s="4">
        <v>1.4061311787072244</v>
      </c>
      <c r="C128" s="7">
        <v>0.3</v>
      </c>
      <c r="D128" s="21">
        <v>3.0000000000000001E-5</v>
      </c>
      <c r="E128" s="7">
        <v>0.25600000000000001</v>
      </c>
      <c r="F128" s="23">
        <v>30</v>
      </c>
      <c r="G128" s="21">
        <v>1.01734817125911E-5</v>
      </c>
      <c r="H128" s="7">
        <v>117.1875</v>
      </c>
      <c r="I128" s="21">
        <v>2.6044113184233218E-6</v>
      </c>
      <c r="J128" s="44"/>
    </row>
    <row r="129" spans="1:10" x14ac:dyDescent="0.4">
      <c r="A129" s="2">
        <v>0.47020833333333334</v>
      </c>
      <c r="B129" s="4">
        <v>0.83675130208333337</v>
      </c>
      <c r="C129" s="7">
        <v>0.3</v>
      </c>
      <c r="D129" s="21">
        <v>1.0000000000000001E-5</v>
      </c>
      <c r="E129" s="7">
        <v>0.25600000000000001</v>
      </c>
      <c r="F129" s="23">
        <v>30</v>
      </c>
      <c r="G129" s="21">
        <v>7.4555586114832146E-6</v>
      </c>
      <c r="H129" s="7">
        <v>117.1875</v>
      </c>
      <c r="I129" s="21">
        <v>1.908623004539703E-6</v>
      </c>
      <c r="J129" s="44"/>
    </row>
    <row r="130" spans="1:10" x14ac:dyDescent="0.4">
      <c r="A130" s="2">
        <v>42.396500000000003</v>
      </c>
      <c r="B130" s="4">
        <v>0.63063461538461552</v>
      </c>
      <c r="C130" s="7">
        <v>0.3</v>
      </c>
      <c r="D130" s="21">
        <v>5.0000000000000004E-6</v>
      </c>
      <c r="E130" s="7">
        <v>26</v>
      </c>
      <c r="F130" s="23">
        <v>200</v>
      </c>
      <c r="G130" s="21">
        <v>1.57578760320004E-8</v>
      </c>
      <c r="H130" s="7">
        <v>7.6923076923076925</v>
      </c>
      <c r="I130" s="21">
        <v>4.0970477683201038E-7</v>
      </c>
      <c r="J130" s="44"/>
    </row>
    <row r="131" spans="1:10" x14ac:dyDescent="0.4">
      <c r="A131" s="2">
        <v>43.55</v>
      </c>
      <c r="B131" s="4">
        <v>0.70117187499999978</v>
      </c>
      <c r="C131" s="7">
        <v>0.3</v>
      </c>
      <c r="D131" s="21">
        <v>1.2E-5</v>
      </c>
      <c r="E131" s="7">
        <v>25.6</v>
      </c>
      <c r="F131" s="23">
        <v>173</v>
      </c>
      <c r="G131" s="21">
        <v>3.7862160769303602E-8</v>
      </c>
      <c r="H131" s="7">
        <v>6.7578125</v>
      </c>
      <c r="I131" s="21">
        <v>9.692713156941723E-7</v>
      </c>
      <c r="J131" s="44"/>
    </row>
    <row r="132" spans="1:10" x14ac:dyDescent="0.4">
      <c r="A132" s="2">
        <v>1.4</v>
      </c>
      <c r="B132" s="4">
        <v>2.9999999999999996</v>
      </c>
      <c r="C132" s="7">
        <v>0.3</v>
      </c>
      <c r="D132" s="21">
        <v>5.0000000000000004E-6</v>
      </c>
      <c r="E132" s="7">
        <v>0.35</v>
      </c>
      <c r="F132" s="23">
        <v>30</v>
      </c>
      <c r="G132" s="21">
        <v>1.3130157777606399E-6</v>
      </c>
      <c r="H132" s="7">
        <v>85.714285714285722</v>
      </c>
      <c r="I132" s="21">
        <v>4.5955552221622393E-7</v>
      </c>
      <c r="J132" s="44"/>
    </row>
    <row r="133" spans="1:10" x14ac:dyDescent="0.4">
      <c r="A133" s="2">
        <v>1.45</v>
      </c>
      <c r="B133" s="4">
        <v>2.2222222222222223</v>
      </c>
      <c r="C133" s="7">
        <v>0.3</v>
      </c>
      <c r="D133" s="21">
        <v>5.0000000000000004E-6</v>
      </c>
      <c r="E133" s="7">
        <v>0.45</v>
      </c>
      <c r="F133" s="23">
        <v>30</v>
      </c>
      <c r="G133" s="21">
        <v>1.24402936746453E-6</v>
      </c>
      <c r="H133" s="7">
        <v>66.666666666666671</v>
      </c>
      <c r="I133" s="21">
        <v>5.5981321535903852E-7</v>
      </c>
      <c r="J133" s="44"/>
    </row>
    <row r="134" spans="1:10" x14ac:dyDescent="0.4">
      <c r="A134" s="2">
        <v>1.53</v>
      </c>
      <c r="B134" s="4">
        <v>2.1875</v>
      </c>
      <c r="C134" s="7">
        <v>0.3</v>
      </c>
      <c r="D134" s="21">
        <v>5.0000000000000004E-6</v>
      </c>
      <c r="E134" s="7">
        <v>0.48</v>
      </c>
      <c r="F134" s="23">
        <v>30</v>
      </c>
      <c r="G134" s="21">
        <v>1.16999027454929E-6</v>
      </c>
      <c r="H134" s="7">
        <v>62.5</v>
      </c>
      <c r="I134" s="21">
        <v>5.6159533178365916E-7</v>
      </c>
      <c r="J134" s="44"/>
    </row>
    <row r="135" spans="1:10" x14ac:dyDescent="0.4">
      <c r="A135" s="2">
        <v>5.68</v>
      </c>
      <c r="B135" s="4">
        <v>2.5499999999999998</v>
      </c>
      <c r="C135" s="7">
        <v>0.32500000000000001</v>
      </c>
      <c r="D135" s="21">
        <v>8.0000000000000002E-8</v>
      </c>
      <c r="E135" s="7">
        <v>1.6</v>
      </c>
      <c r="F135" s="23">
        <v>28</v>
      </c>
      <c r="G135" s="21">
        <v>1.71393173890467E-8</v>
      </c>
      <c r="H135" s="7">
        <v>17.5</v>
      </c>
      <c r="I135" s="21">
        <v>2.7422907822474723E-8</v>
      </c>
      <c r="J135" s="44"/>
    </row>
    <row r="136" spans="1:10" x14ac:dyDescent="0.4">
      <c r="A136" s="2">
        <v>9.6999999999999993</v>
      </c>
      <c r="B136" s="4">
        <v>2.0312499999999996</v>
      </c>
      <c r="C136" s="7">
        <v>0.33333333333333331</v>
      </c>
      <c r="D136" s="21">
        <v>3.0000000000000001E-5</v>
      </c>
      <c r="E136" s="7">
        <v>3.2</v>
      </c>
      <c r="F136" s="23">
        <v>2000</v>
      </c>
      <c r="G136" s="21">
        <v>7.2824991447643399E-7</v>
      </c>
      <c r="H136" s="7">
        <v>625</v>
      </c>
      <c r="I136" s="21">
        <v>2.3303997263245888E-6</v>
      </c>
      <c r="J136" s="44"/>
    </row>
    <row r="137" spans="1:10" x14ac:dyDescent="0.4">
      <c r="A137" s="2">
        <v>0.84</v>
      </c>
      <c r="B137" s="4">
        <v>3.1999999999999993</v>
      </c>
      <c r="C137" s="7">
        <v>0.35</v>
      </c>
      <c r="D137" s="21">
        <v>9.9999999999999995E-7</v>
      </c>
      <c r="E137" s="7">
        <v>0.2</v>
      </c>
      <c r="F137" s="23">
        <v>200</v>
      </c>
      <c r="G137" s="21">
        <v>2.3250987027638001E-7</v>
      </c>
      <c r="H137" s="7">
        <v>1000</v>
      </c>
      <c r="I137" s="21">
        <v>4.6501974055276007E-8</v>
      </c>
      <c r="J137" s="44"/>
    </row>
    <row r="138" spans="1:10" x14ac:dyDescent="0.4">
      <c r="A138" s="2">
        <v>46.227600000000002</v>
      </c>
      <c r="B138" s="4">
        <v>0.7779846153846155</v>
      </c>
      <c r="C138" s="7">
        <v>0.35</v>
      </c>
      <c r="D138" s="21">
        <v>5.0000000000000004E-6</v>
      </c>
      <c r="E138" s="7">
        <v>26</v>
      </c>
      <c r="F138" s="23">
        <v>200</v>
      </c>
      <c r="G138" s="21">
        <v>1.57578760320004E-8</v>
      </c>
      <c r="H138" s="7">
        <v>7.6923076923076925</v>
      </c>
      <c r="I138" s="21">
        <v>4.0970477683201038E-7</v>
      </c>
      <c r="J138" s="44"/>
    </row>
    <row r="139" spans="1:10" x14ac:dyDescent="0.4">
      <c r="A139" s="1">
        <v>48.19</v>
      </c>
      <c r="B139" s="4">
        <v>0.8824218749999998</v>
      </c>
      <c r="C139" s="7">
        <v>0.35</v>
      </c>
      <c r="D139" s="21">
        <v>1.2E-5</v>
      </c>
      <c r="E139" s="7">
        <v>25.6</v>
      </c>
      <c r="F139" s="23">
        <v>173</v>
      </c>
      <c r="G139" s="21">
        <v>3.7862160769303602E-8</v>
      </c>
      <c r="H139" s="7">
        <v>6.7578125</v>
      </c>
      <c r="I139" s="21">
        <v>9.692713156941723E-7</v>
      </c>
      <c r="J139" s="44"/>
    </row>
    <row r="140" spans="1:10" x14ac:dyDescent="0.4">
      <c r="A140" s="2">
        <v>36.590000000000003</v>
      </c>
      <c r="B140" s="4">
        <v>0.82950000000000013</v>
      </c>
      <c r="C140" s="7">
        <v>0.35</v>
      </c>
      <c r="D140" s="21">
        <v>8.5000000000000006E-5</v>
      </c>
      <c r="E140" s="7">
        <v>20</v>
      </c>
      <c r="F140" s="23">
        <v>401</v>
      </c>
      <c r="G140" s="21">
        <v>2.55930768649878E-7</v>
      </c>
      <c r="H140" s="7">
        <v>20.05</v>
      </c>
      <c r="I140" s="21">
        <v>5.1186153729975599E-6</v>
      </c>
      <c r="J140" s="44"/>
    </row>
    <row r="141" spans="1:10" x14ac:dyDescent="0.4">
      <c r="A141" s="2">
        <v>4.3360000000000003</v>
      </c>
      <c r="B141" s="4">
        <v>18.709090909090911</v>
      </c>
      <c r="C141" s="7">
        <v>0.35573122529644263</v>
      </c>
      <c r="D141" s="21">
        <v>5.5000000000000002E-5</v>
      </c>
      <c r="E141" s="7">
        <v>0.22</v>
      </c>
      <c r="F141" s="23">
        <v>170</v>
      </c>
      <c r="G141" s="21">
        <v>2.9497013035797098E-6</v>
      </c>
      <c r="H141" s="7">
        <v>772.72727272727275</v>
      </c>
      <c r="I141" s="21">
        <v>6.489342867875362E-7</v>
      </c>
      <c r="J141" s="44"/>
    </row>
    <row r="142" spans="1:10" x14ac:dyDescent="0.4">
      <c r="A142" s="2">
        <v>0.621</v>
      </c>
      <c r="B142" s="4">
        <v>1.7356828193832599</v>
      </c>
      <c r="C142" s="7">
        <v>0.35714285714285721</v>
      </c>
      <c r="D142" s="21">
        <v>1.1000000000000001E-6</v>
      </c>
      <c r="E142" s="7">
        <v>0.22700000000000001</v>
      </c>
      <c r="F142" s="23">
        <v>30</v>
      </c>
      <c r="G142" s="21">
        <v>7.2039237783014036E-7</v>
      </c>
      <c r="H142" s="7">
        <v>132.15859030837004</v>
      </c>
      <c r="I142" s="21">
        <v>1.6352906976744186E-7</v>
      </c>
      <c r="J142" s="44"/>
    </row>
    <row r="143" spans="1:10" x14ac:dyDescent="0.4">
      <c r="A143" s="2">
        <v>4.0999999999999996</v>
      </c>
      <c r="B143" s="4">
        <v>1.4404761904761905</v>
      </c>
      <c r="C143" s="7">
        <v>0.36</v>
      </c>
      <c r="D143" s="21">
        <v>3.9999999999999998E-7</v>
      </c>
      <c r="E143" s="7">
        <v>1.68</v>
      </c>
      <c r="F143" s="23">
        <v>200</v>
      </c>
      <c r="G143" s="21">
        <v>1.79574567554932E-8</v>
      </c>
      <c r="H143" s="7">
        <v>119.04761904761905</v>
      </c>
      <c r="I143" s="21">
        <v>3.0168527349228576E-8</v>
      </c>
      <c r="J143" s="44"/>
    </row>
    <row r="144" spans="1:10" x14ac:dyDescent="0.4">
      <c r="A144" s="2">
        <v>0.45</v>
      </c>
      <c r="B144" s="4">
        <v>1.7272727272727273</v>
      </c>
      <c r="C144" s="7">
        <v>0.36</v>
      </c>
      <c r="D144" s="21">
        <v>1.0000000000000001E-5</v>
      </c>
      <c r="E144" s="7">
        <v>0.16500000000000001</v>
      </c>
      <c r="F144" s="23">
        <v>30</v>
      </c>
      <c r="G144" s="21">
        <v>9.1895684960201138E-6</v>
      </c>
      <c r="H144" s="7">
        <v>181.81818181818181</v>
      </c>
      <c r="I144" s="21">
        <v>1.5162788018433188E-6</v>
      </c>
      <c r="J144" s="44"/>
    </row>
    <row r="145" spans="1:10" x14ac:dyDescent="0.4">
      <c r="A145" s="2">
        <v>1.4630000000000001</v>
      </c>
      <c r="B145" s="4">
        <v>3.7193548387096773</v>
      </c>
      <c r="C145" s="7">
        <v>0.36842105263157887</v>
      </c>
      <c r="D145" s="21">
        <v>1.9999999999999999E-6</v>
      </c>
      <c r="E145" s="7">
        <v>0.31</v>
      </c>
      <c r="F145" s="23">
        <v>30</v>
      </c>
      <c r="G145" s="21">
        <v>5.0983393018943301E-7</v>
      </c>
      <c r="H145" s="7">
        <v>96.774193548387103</v>
      </c>
      <c r="I145" s="21">
        <v>1.5804851835872424E-7</v>
      </c>
      <c r="J145" s="44"/>
    </row>
    <row r="146" spans="1:10" x14ac:dyDescent="0.4">
      <c r="A146" s="2">
        <v>57.127099999999999</v>
      </c>
      <c r="B146" s="4">
        <v>1.1971961538461537</v>
      </c>
      <c r="C146" s="7">
        <v>0.375</v>
      </c>
      <c r="D146" s="21">
        <v>3.0000000000000001E-5</v>
      </c>
      <c r="E146" s="7">
        <v>26</v>
      </c>
      <c r="F146" s="23">
        <v>200</v>
      </c>
      <c r="G146" s="21">
        <v>5.7024127449739402E-8</v>
      </c>
      <c r="H146" s="7">
        <v>7.6923076923076925</v>
      </c>
      <c r="I146" s="21">
        <v>1.4826273136932243E-6</v>
      </c>
      <c r="J146" s="44"/>
    </row>
    <row r="147" spans="1:10" x14ac:dyDescent="0.4">
      <c r="A147" s="2">
        <v>0.82899999999999996</v>
      </c>
      <c r="B147" s="4">
        <v>3.3631578947368421</v>
      </c>
      <c r="C147" s="7">
        <v>0.37938677502770596</v>
      </c>
      <c r="D147" s="21">
        <v>3.9999999999999998E-7</v>
      </c>
      <c r="E147" s="7">
        <v>0.19</v>
      </c>
      <c r="F147" s="23">
        <v>20</v>
      </c>
      <c r="G147" s="21">
        <v>7.5122441119165003E-8</v>
      </c>
      <c r="H147" s="7">
        <v>105.26315789473684</v>
      </c>
      <c r="I147" s="21">
        <v>1.4273263812641351E-8</v>
      </c>
      <c r="J147" s="44"/>
    </row>
    <row r="148" spans="1:10" x14ac:dyDescent="0.4">
      <c r="A148" s="2">
        <v>1.03</v>
      </c>
      <c r="B148" s="4">
        <v>4.1500000000000004</v>
      </c>
      <c r="C148" s="7">
        <v>0.38</v>
      </c>
      <c r="D148" s="21">
        <v>1.9999999999999999E-6</v>
      </c>
      <c r="E148" s="7">
        <v>0.2</v>
      </c>
      <c r="F148" s="23">
        <v>200</v>
      </c>
      <c r="G148" s="21">
        <v>4.5983304042179199E-7</v>
      </c>
      <c r="H148" s="7">
        <v>1000</v>
      </c>
      <c r="I148" s="21">
        <v>9.1966608084358406E-8</v>
      </c>
      <c r="J148" s="44"/>
    </row>
    <row r="149" spans="1:10" x14ac:dyDescent="0.4">
      <c r="A149" s="2">
        <v>1.056</v>
      </c>
      <c r="B149" s="4">
        <v>3.125</v>
      </c>
      <c r="C149" s="7">
        <v>0.4</v>
      </c>
      <c r="D149" s="21">
        <v>8.0000000000000002E-8</v>
      </c>
      <c r="E149" s="7">
        <v>0.25600000000000001</v>
      </c>
      <c r="F149" s="23">
        <v>230</v>
      </c>
      <c r="G149" s="21">
        <v>1.4992197308456265E-8</v>
      </c>
      <c r="H149" s="7">
        <v>898.4375</v>
      </c>
      <c r="I149" s="21">
        <v>3.8380025109648036E-9</v>
      </c>
      <c r="J149" s="44"/>
    </row>
    <row r="150" spans="1:10" x14ac:dyDescent="0.4">
      <c r="A150" s="2">
        <v>1.0900000000000001</v>
      </c>
      <c r="B150" s="4">
        <v>4.45</v>
      </c>
      <c r="C150" s="7">
        <v>0.4</v>
      </c>
      <c r="D150" s="21">
        <v>9.9999999999999995E-7</v>
      </c>
      <c r="E150" s="7">
        <v>0.2</v>
      </c>
      <c r="F150" s="23">
        <v>200</v>
      </c>
      <c r="G150" s="21">
        <v>2.3250987027638001E-7</v>
      </c>
      <c r="H150" s="7">
        <v>1000</v>
      </c>
      <c r="I150" s="21">
        <v>4.6501974055276007E-8</v>
      </c>
      <c r="J150" s="44"/>
    </row>
    <row r="151" spans="1:10" x14ac:dyDescent="0.4">
      <c r="A151" s="2">
        <v>12.906666666666666</v>
      </c>
      <c r="B151" s="4">
        <v>5.4533333333333331</v>
      </c>
      <c r="C151" s="7">
        <v>0.4</v>
      </c>
      <c r="D151" s="21">
        <v>5.0000000000000004E-6</v>
      </c>
      <c r="E151" s="7">
        <v>2</v>
      </c>
      <c r="F151" s="23">
        <v>200</v>
      </c>
      <c r="G151" s="21">
        <v>9.2509870276379999E-8</v>
      </c>
      <c r="H151" s="7">
        <v>100</v>
      </c>
      <c r="I151" s="21">
        <v>1.8501974055276E-7</v>
      </c>
      <c r="J151" s="44"/>
    </row>
    <row r="152" spans="1:10" x14ac:dyDescent="0.4">
      <c r="A152" s="2">
        <v>2.57</v>
      </c>
      <c r="B152" s="4">
        <v>11.849999999999998</v>
      </c>
      <c r="C152" s="7">
        <v>0.4</v>
      </c>
      <c r="D152" s="21">
        <v>1.0000000000000001E-5</v>
      </c>
      <c r="E152" s="7">
        <v>0.2</v>
      </c>
      <c r="F152" s="23">
        <v>200</v>
      </c>
      <c r="G152" s="21">
        <v>2.49067729978659E-6</v>
      </c>
      <c r="H152" s="7">
        <v>1000</v>
      </c>
      <c r="I152" s="21">
        <v>4.9813545995731804E-7</v>
      </c>
      <c r="J152" s="44"/>
    </row>
    <row r="153" spans="1:10" x14ac:dyDescent="0.4">
      <c r="A153" s="2">
        <v>0.8727272727272728</v>
      </c>
      <c r="B153" s="4">
        <v>2.4090909090909092</v>
      </c>
      <c r="C153" s="7">
        <v>0.4</v>
      </c>
      <c r="D153" s="21">
        <v>3.0000000000000001E-5</v>
      </c>
      <c r="E153" s="7">
        <v>0.25600000000000001</v>
      </c>
      <c r="F153" s="23">
        <v>30</v>
      </c>
      <c r="G153" s="21">
        <v>1.01734817125911E-5</v>
      </c>
      <c r="H153" s="7">
        <v>117.1875</v>
      </c>
      <c r="I153" s="21">
        <v>2.6044113184233218E-6</v>
      </c>
      <c r="J153" s="44"/>
    </row>
    <row r="154" spans="1:10" x14ac:dyDescent="0.4">
      <c r="A154" s="2">
        <v>0.67452830188679236</v>
      </c>
      <c r="B154" s="4">
        <v>1.6348761792452826</v>
      </c>
      <c r="C154" s="7">
        <v>0.4</v>
      </c>
      <c r="D154" s="21">
        <v>1.0000000000000001E-5</v>
      </c>
      <c r="E154" s="7">
        <v>0.25600000000000001</v>
      </c>
      <c r="F154" s="23">
        <v>30</v>
      </c>
      <c r="G154" s="21">
        <v>7.4555586114832146E-6</v>
      </c>
      <c r="H154" s="7">
        <v>117.1875</v>
      </c>
      <c r="I154" s="21">
        <v>1.908623004539703E-6</v>
      </c>
      <c r="J154" s="44"/>
    </row>
    <row r="155" spans="1:10" x14ac:dyDescent="0.4">
      <c r="A155" s="2">
        <v>0.80104712041884818</v>
      </c>
      <c r="B155" s="4">
        <v>2.1290903141361257</v>
      </c>
      <c r="C155" s="7">
        <v>0.4</v>
      </c>
      <c r="D155" s="21">
        <v>1.9999999999999999E-6</v>
      </c>
      <c r="E155" s="7">
        <v>0.25600000000000001</v>
      </c>
      <c r="F155" s="23">
        <v>85</v>
      </c>
      <c r="G155" s="21">
        <v>1.040265617088219E-6</v>
      </c>
      <c r="H155" s="7">
        <v>332.03125</v>
      </c>
      <c r="I155" s="21">
        <v>2.6630799797458409E-7</v>
      </c>
      <c r="J155" s="44"/>
    </row>
    <row r="156" spans="1:10" x14ac:dyDescent="0.4">
      <c r="A156" s="2">
        <v>60.5289</v>
      </c>
      <c r="B156" s="4">
        <v>1.3280346153846154</v>
      </c>
      <c r="C156" s="7">
        <v>0.4</v>
      </c>
      <c r="D156" s="21">
        <v>3.0000000000000001E-5</v>
      </c>
      <c r="E156" s="7">
        <v>26</v>
      </c>
      <c r="F156" s="23">
        <v>200</v>
      </c>
      <c r="G156" s="21">
        <v>5.7024127449739402E-8</v>
      </c>
      <c r="H156" s="7">
        <v>7.6923076923076925</v>
      </c>
      <c r="I156" s="21">
        <v>1.4826273136932243E-6</v>
      </c>
      <c r="J156" s="44"/>
    </row>
    <row r="157" spans="1:10" x14ac:dyDescent="0.4">
      <c r="A157" s="2">
        <v>82.06</v>
      </c>
      <c r="B157" s="4">
        <v>1.8296551724137933</v>
      </c>
      <c r="C157" s="7">
        <v>0.4</v>
      </c>
      <c r="D157" s="21">
        <v>5.0000000000000002E-5</v>
      </c>
      <c r="E157" s="7">
        <v>29</v>
      </c>
      <c r="F157" s="23">
        <v>2000</v>
      </c>
      <c r="G157" s="21">
        <v>1.6527691763413399E-7</v>
      </c>
      <c r="H157" s="7">
        <v>68.965517241379317</v>
      </c>
      <c r="I157" s="21">
        <v>4.7930306113898857E-6</v>
      </c>
      <c r="J157" s="44"/>
    </row>
    <row r="158" spans="1:10" x14ac:dyDescent="0.4">
      <c r="A158" s="2">
        <v>56.89</v>
      </c>
      <c r="B158" s="4">
        <v>1.2222656249999999</v>
      </c>
      <c r="C158" s="7">
        <v>0.4</v>
      </c>
      <c r="D158" s="21">
        <v>1.2E-5</v>
      </c>
      <c r="E158" s="7">
        <v>25.6</v>
      </c>
      <c r="F158" s="23">
        <v>173</v>
      </c>
      <c r="G158" s="21">
        <v>3.7862160769303602E-8</v>
      </c>
      <c r="H158" s="7">
        <v>6.7578125</v>
      </c>
      <c r="I158" s="21">
        <v>9.692713156941723E-7</v>
      </c>
      <c r="J158" s="44"/>
    </row>
    <row r="159" spans="1:10" x14ac:dyDescent="0.4">
      <c r="A159" s="2">
        <v>42.53</v>
      </c>
      <c r="B159" s="4">
        <v>1.1265000000000001</v>
      </c>
      <c r="C159" s="7">
        <v>0.4</v>
      </c>
      <c r="D159" s="21">
        <v>8.5000000000000006E-5</v>
      </c>
      <c r="E159" s="7">
        <v>20</v>
      </c>
      <c r="F159" s="23">
        <v>401</v>
      </c>
      <c r="G159" s="21">
        <v>2.55930768649878E-7</v>
      </c>
      <c r="H159" s="7">
        <v>20.05</v>
      </c>
      <c r="I159" s="21">
        <v>5.1186153729975599E-6</v>
      </c>
      <c r="J159" s="44"/>
    </row>
    <row r="160" spans="1:10" x14ac:dyDescent="0.4">
      <c r="A160" s="2">
        <v>41.21</v>
      </c>
      <c r="B160" s="4">
        <v>0.56098484848484864</v>
      </c>
      <c r="C160" s="7">
        <v>0.41099999999999998</v>
      </c>
      <c r="D160" s="21">
        <v>8.6000000000000003E-5</v>
      </c>
      <c r="E160" s="7">
        <v>26.4</v>
      </c>
      <c r="F160" s="23">
        <v>401</v>
      </c>
      <c r="G160" s="21">
        <v>4.8882256830186603E-7</v>
      </c>
      <c r="H160" s="7">
        <v>15.189393939393939</v>
      </c>
      <c r="I160" s="21">
        <v>1.2904915803169263E-5</v>
      </c>
      <c r="J160" s="44"/>
    </row>
    <row r="161" spans="1:10" x14ac:dyDescent="0.4">
      <c r="A161" s="2">
        <v>42.19</v>
      </c>
      <c r="B161" s="4">
        <v>0.59810606060606064</v>
      </c>
      <c r="C161" s="7">
        <v>0.41099999999999998</v>
      </c>
      <c r="D161" s="21">
        <v>8.6000000000000003E-5</v>
      </c>
      <c r="E161" s="7">
        <v>26.4</v>
      </c>
      <c r="F161" s="23">
        <v>401</v>
      </c>
      <c r="G161" s="21">
        <v>5.3157133469765097E-7</v>
      </c>
      <c r="H161" s="7">
        <v>15.189393939393939</v>
      </c>
      <c r="I161" s="21">
        <v>1.4033483236017984E-5</v>
      </c>
      <c r="J161" s="44"/>
    </row>
    <row r="162" spans="1:10" x14ac:dyDescent="0.4">
      <c r="A162" s="2">
        <v>64.156700000000001</v>
      </c>
      <c r="B162" s="4">
        <v>1.4675653846153847</v>
      </c>
      <c r="C162" s="7">
        <v>0.42</v>
      </c>
      <c r="D162" s="21">
        <v>3.0000000000000001E-5</v>
      </c>
      <c r="E162" s="7">
        <v>26</v>
      </c>
      <c r="F162" s="23">
        <v>200</v>
      </c>
      <c r="G162" s="21">
        <v>5.7024127449739402E-8</v>
      </c>
      <c r="H162" s="7">
        <v>7.6923076923076925</v>
      </c>
      <c r="I162" s="21">
        <v>1.4826273136932243E-6</v>
      </c>
      <c r="J162" s="44"/>
    </row>
    <row r="163" spans="1:10" x14ac:dyDescent="0.4">
      <c r="A163" s="2">
        <v>0.77100000000000002</v>
      </c>
      <c r="B163" s="4">
        <v>2.8549999999999995</v>
      </c>
      <c r="C163" s="7">
        <v>0.42199999999999999</v>
      </c>
      <c r="D163" s="21">
        <v>9.9999999999999995E-8</v>
      </c>
      <c r="E163" s="7">
        <v>0.2</v>
      </c>
      <c r="F163" s="23">
        <v>285</v>
      </c>
      <c r="G163" s="21">
        <v>2.00141843971631E-8</v>
      </c>
      <c r="H163" s="7">
        <v>1425</v>
      </c>
      <c r="I163" s="21">
        <v>4.0028368794326202E-9</v>
      </c>
      <c r="J163" s="44"/>
    </row>
    <row r="164" spans="1:10" x14ac:dyDescent="0.4">
      <c r="A164" s="2">
        <v>1.05768</v>
      </c>
      <c r="B164" s="4">
        <v>4.2883999999999993</v>
      </c>
      <c r="C164" s="7">
        <v>0.42199999999999999</v>
      </c>
      <c r="D164" s="21">
        <v>1.0000000000000001E-5</v>
      </c>
      <c r="E164" s="7">
        <v>0.2</v>
      </c>
      <c r="F164" s="23">
        <v>285</v>
      </c>
      <c r="G164" s="21">
        <v>2.49067729978659E-6</v>
      </c>
      <c r="H164" s="7">
        <v>1425</v>
      </c>
      <c r="I164" s="21">
        <v>4.9813545995731804E-7</v>
      </c>
      <c r="J164" s="44"/>
    </row>
    <row r="165" spans="1:10" x14ac:dyDescent="0.4">
      <c r="A165" s="2">
        <v>66.379099999999994</v>
      </c>
      <c r="B165" s="4">
        <v>1.5530423076923074</v>
      </c>
      <c r="C165" s="7">
        <v>0.42499999999999999</v>
      </c>
      <c r="D165" s="21">
        <v>8.0000000000000007E-5</v>
      </c>
      <c r="E165" s="7">
        <v>26</v>
      </c>
      <c r="F165" s="23">
        <v>200</v>
      </c>
      <c r="G165" s="21">
        <v>1.2036325508974701E-7</v>
      </c>
      <c r="H165" s="7">
        <v>7.6923076923076925</v>
      </c>
      <c r="I165" s="21">
        <v>3.129444632333422E-6</v>
      </c>
      <c r="J165" s="44"/>
    </row>
    <row r="166" spans="1:10" x14ac:dyDescent="0.4">
      <c r="A166" s="2">
        <v>1.43</v>
      </c>
      <c r="B166" s="4">
        <v>3.2058823529411757</v>
      </c>
      <c r="C166" s="7">
        <v>0.43</v>
      </c>
      <c r="D166" s="21">
        <v>4.9999999999999998E-7</v>
      </c>
      <c r="E166" s="7">
        <v>0.34</v>
      </c>
      <c r="F166" s="23">
        <v>30</v>
      </c>
      <c r="G166" s="21">
        <v>2.2885568268191799E-7</v>
      </c>
      <c r="H166" s="7">
        <v>88.235294117647058</v>
      </c>
      <c r="I166" s="21">
        <v>7.7810932111852116E-8</v>
      </c>
      <c r="J166" s="44"/>
    </row>
    <row r="167" spans="1:10" x14ac:dyDescent="0.4">
      <c r="A167" s="2">
        <v>0.93799999999999994</v>
      </c>
      <c r="B167" s="4">
        <v>3.9368421052631577</v>
      </c>
      <c r="C167" s="7">
        <v>0.44239442394423945</v>
      </c>
      <c r="D167" s="21">
        <v>3.9999999999999998E-7</v>
      </c>
      <c r="E167" s="7">
        <v>0.19</v>
      </c>
      <c r="F167" s="23">
        <v>20</v>
      </c>
      <c r="G167" s="21">
        <v>7.5122441119165003E-8</v>
      </c>
      <c r="H167" s="7">
        <v>105.26315789473684</v>
      </c>
      <c r="I167" s="21">
        <v>1.4273263812641351E-8</v>
      </c>
      <c r="J167" s="44"/>
    </row>
    <row r="168" spans="1:10" x14ac:dyDescent="0.4">
      <c r="A168" s="2">
        <v>1.1599999999999999</v>
      </c>
      <c r="B168" s="4">
        <v>4.8</v>
      </c>
      <c r="C168" s="7">
        <v>0.45</v>
      </c>
      <c r="D168" s="21">
        <v>9.9999999999999995E-7</v>
      </c>
      <c r="E168" s="7">
        <v>0.2</v>
      </c>
      <c r="F168" s="23">
        <v>200</v>
      </c>
      <c r="G168" s="21">
        <v>2.3250987027638001E-7</v>
      </c>
      <c r="H168" s="7">
        <v>1000</v>
      </c>
      <c r="I168" s="21">
        <v>4.6501974055276007E-8</v>
      </c>
      <c r="J168" s="44"/>
    </row>
    <row r="169" spans="1:10" x14ac:dyDescent="0.4">
      <c r="A169" s="2">
        <v>0.79755054814814796</v>
      </c>
      <c r="B169" s="4">
        <v>4.6967896296296274</v>
      </c>
      <c r="C169" s="7">
        <v>0.45</v>
      </c>
      <c r="D169" s="21">
        <v>1.0000000000000001E-5</v>
      </c>
      <c r="E169" s="7">
        <v>0.14000000000000001</v>
      </c>
      <c r="F169" s="23">
        <v>30</v>
      </c>
      <c r="G169" s="21">
        <v>3.5115209493581004E-6</v>
      </c>
      <c r="H169" s="7">
        <v>214.28571428571428</v>
      </c>
      <c r="I169" s="21">
        <v>4.9161293291013414E-7</v>
      </c>
      <c r="J169" s="44"/>
    </row>
    <row r="170" spans="1:10" x14ac:dyDescent="0.4">
      <c r="A170" s="2">
        <v>2.8612805714285727</v>
      </c>
      <c r="B170" s="4">
        <v>6.7331907335907371</v>
      </c>
      <c r="C170" s="7">
        <v>0.45</v>
      </c>
      <c r="D170" s="21">
        <v>1.0000000000000001E-5</v>
      </c>
      <c r="E170" s="7">
        <v>0.37</v>
      </c>
      <c r="F170" s="23">
        <v>30</v>
      </c>
      <c r="G170" s="21">
        <v>9.8667816752923075E-7</v>
      </c>
      <c r="H170" s="7">
        <v>81.081081081081081</v>
      </c>
      <c r="I170" s="21">
        <v>3.6507092198581536E-7</v>
      </c>
      <c r="J170" s="44"/>
    </row>
    <row r="171" spans="1:10" x14ac:dyDescent="0.4">
      <c r="A171" s="2">
        <v>68.2179</v>
      </c>
      <c r="B171" s="4">
        <v>1.6237653846153846</v>
      </c>
      <c r="C171" s="7">
        <v>0.45</v>
      </c>
      <c r="D171" s="21">
        <v>3.0000000000000001E-5</v>
      </c>
      <c r="E171" s="7">
        <v>26</v>
      </c>
      <c r="F171" s="23">
        <v>200</v>
      </c>
      <c r="G171" s="21">
        <v>5.7024127449739402E-8</v>
      </c>
      <c r="H171" s="7">
        <v>7.6923076923076925</v>
      </c>
      <c r="I171" s="21">
        <v>1.4826273136932243E-6</v>
      </c>
      <c r="J171" s="44"/>
    </row>
    <row r="172" spans="1:10" x14ac:dyDescent="0.4">
      <c r="A172" s="2">
        <v>69.976600000000005</v>
      </c>
      <c r="B172" s="4">
        <v>1.6914076923076924</v>
      </c>
      <c r="C172" s="7">
        <v>0.45</v>
      </c>
      <c r="D172" s="21">
        <v>8.0000000000000007E-5</v>
      </c>
      <c r="E172" s="7">
        <v>26</v>
      </c>
      <c r="F172" s="23">
        <v>200</v>
      </c>
      <c r="G172" s="21">
        <v>1.2036325508974701E-7</v>
      </c>
      <c r="H172" s="7">
        <v>7.6923076923076925</v>
      </c>
      <c r="I172" s="21">
        <v>3.129444632333422E-6</v>
      </c>
      <c r="J172" s="44"/>
    </row>
    <row r="173" spans="1:10" x14ac:dyDescent="0.4">
      <c r="A173" s="2">
        <v>53.57</v>
      </c>
      <c r="B173" s="4">
        <v>1.6785000000000001</v>
      </c>
      <c r="C173" s="7">
        <v>0.45</v>
      </c>
      <c r="D173" s="21">
        <v>8.5000000000000006E-5</v>
      </c>
      <c r="E173" s="7">
        <v>20</v>
      </c>
      <c r="F173" s="23">
        <v>401</v>
      </c>
      <c r="G173" s="21">
        <v>2.55930768649878E-7</v>
      </c>
      <c r="H173" s="7">
        <v>20.05</v>
      </c>
      <c r="I173" s="21">
        <v>5.1186153729975599E-6</v>
      </c>
      <c r="J173" s="44"/>
    </row>
    <row r="174" spans="1:10" x14ac:dyDescent="0.4">
      <c r="A174" s="2">
        <v>5.13</v>
      </c>
      <c r="B174" s="4">
        <v>2.0535714285714288</v>
      </c>
      <c r="C174" s="7">
        <v>0.46</v>
      </c>
      <c r="D174" s="21">
        <v>3.9999999999999998E-7</v>
      </c>
      <c r="E174" s="7">
        <v>1.68</v>
      </c>
      <c r="F174" s="23">
        <v>200</v>
      </c>
      <c r="G174" s="21">
        <v>1.79574567554932E-8</v>
      </c>
      <c r="H174" s="7">
        <v>119.04761904761905</v>
      </c>
      <c r="I174" s="21">
        <v>3.0168527349228576E-8</v>
      </c>
      <c r="J174" s="44"/>
    </row>
    <row r="175" spans="1:10" x14ac:dyDescent="0.4">
      <c r="A175" s="2">
        <v>5.5149999999999997</v>
      </c>
      <c r="B175" s="4">
        <v>24.068181818181817</v>
      </c>
      <c r="C175" s="7">
        <v>0.46204620462046209</v>
      </c>
      <c r="D175" s="21">
        <v>5.5000000000000002E-5</v>
      </c>
      <c r="E175" s="7">
        <v>0.22</v>
      </c>
      <c r="F175" s="23">
        <v>170</v>
      </c>
      <c r="G175" s="21">
        <v>2.9497013035797098E-6</v>
      </c>
      <c r="H175" s="7">
        <v>772.72727272727275</v>
      </c>
      <c r="I175" s="21">
        <v>6.489342867875362E-7</v>
      </c>
      <c r="J175" s="44"/>
    </row>
    <row r="176" spans="1:10" x14ac:dyDescent="0.4">
      <c r="A176" s="2">
        <v>1.1020000000000001</v>
      </c>
      <c r="B176" s="4">
        <v>5.6787878787878787</v>
      </c>
      <c r="C176" s="7">
        <v>0.46357615894039733</v>
      </c>
      <c r="D176" s="21">
        <v>1.4E-5</v>
      </c>
      <c r="E176" s="7">
        <v>0.16500000000000001</v>
      </c>
      <c r="F176" s="23">
        <v>230</v>
      </c>
      <c r="G176" s="21">
        <v>4.3212804006726878E-6</v>
      </c>
      <c r="H176" s="7">
        <v>1393.9393939393938</v>
      </c>
      <c r="I176" s="21">
        <v>7.1301126611099349E-7</v>
      </c>
      <c r="J176" s="44"/>
    </row>
    <row r="177" spans="1:10" x14ac:dyDescent="0.4">
      <c r="A177" s="2">
        <v>1.8280000000000001</v>
      </c>
      <c r="B177" s="4">
        <v>7.7047619047619058</v>
      </c>
      <c r="C177" s="7">
        <v>0.46357615894039733</v>
      </c>
      <c r="D177" s="21">
        <v>1.4E-5</v>
      </c>
      <c r="E177" s="7">
        <v>0.21</v>
      </c>
      <c r="F177" s="23">
        <v>230</v>
      </c>
      <c r="G177" s="21">
        <v>3.4981793719731287E-6</v>
      </c>
      <c r="H177" s="7">
        <v>1095.2380952380952</v>
      </c>
      <c r="I177" s="21">
        <v>7.3461766811435703E-7</v>
      </c>
      <c r="J177" s="44"/>
    </row>
    <row r="178" spans="1:10" x14ac:dyDescent="0.4">
      <c r="A178" s="2">
        <v>74.287899999999993</v>
      </c>
      <c r="B178" s="4">
        <v>1.8572269230769227</v>
      </c>
      <c r="C178" s="7">
        <v>0.47499999999999998</v>
      </c>
      <c r="D178" s="21">
        <v>8.0000000000000007E-5</v>
      </c>
      <c r="E178" s="7">
        <v>26</v>
      </c>
      <c r="F178" s="23">
        <v>200</v>
      </c>
      <c r="G178" s="21">
        <v>1.2036325508974701E-7</v>
      </c>
      <c r="H178" s="7">
        <v>7.6923076923076925</v>
      </c>
      <c r="I178" s="21">
        <v>3.129444632333422E-6</v>
      </c>
      <c r="J178" s="44"/>
    </row>
    <row r="179" spans="1:10" x14ac:dyDescent="0.4">
      <c r="A179" s="2">
        <v>11.81</v>
      </c>
      <c r="B179" s="4">
        <v>-9.1538461538461499E-2</v>
      </c>
      <c r="C179" s="7">
        <v>0.48</v>
      </c>
      <c r="D179" s="21">
        <v>1.2E-5</v>
      </c>
      <c r="E179" s="7">
        <v>13</v>
      </c>
      <c r="F179" s="23">
        <v>2400</v>
      </c>
      <c r="G179" s="21">
        <v>4.58069452643911E-7</v>
      </c>
      <c r="H179" s="7">
        <v>184.61538461538461</v>
      </c>
      <c r="I179" s="21">
        <v>5.9549028843708431E-6</v>
      </c>
      <c r="J179" s="44"/>
    </row>
    <row r="180" spans="1:10" x14ac:dyDescent="0.4">
      <c r="A180" s="2">
        <v>31.41</v>
      </c>
      <c r="B180" s="4">
        <v>1.4161538461538461</v>
      </c>
      <c r="C180" s="7">
        <v>0.48</v>
      </c>
      <c r="D180" s="21">
        <v>1.8E-5</v>
      </c>
      <c r="E180" s="7">
        <v>13</v>
      </c>
      <c r="F180" s="23">
        <v>2400</v>
      </c>
      <c r="G180" s="21">
        <v>4.58069452643911E-7</v>
      </c>
      <c r="H180" s="7">
        <v>184.61538461538461</v>
      </c>
      <c r="I180" s="21">
        <v>5.9549028843708431E-6</v>
      </c>
      <c r="J180" s="44"/>
    </row>
    <row r="181" spans="1:10" x14ac:dyDescent="0.4">
      <c r="A181" s="2">
        <v>32.770000000000003</v>
      </c>
      <c r="B181" s="4">
        <v>1.5207692307692311</v>
      </c>
      <c r="C181" s="7">
        <v>0.48</v>
      </c>
      <c r="D181" s="21">
        <v>5.0000000000000002E-5</v>
      </c>
      <c r="E181" s="7">
        <v>13</v>
      </c>
      <c r="F181" s="23">
        <v>2400</v>
      </c>
      <c r="G181" s="21">
        <v>4.58069452643911E-7</v>
      </c>
      <c r="H181" s="7">
        <v>184.61538461538461</v>
      </c>
      <c r="I181" s="21">
        <v>5.9549028843708431E-6</v>
      </c>
      <c r="J181" s="44"/>
    </row>
    <row r="182" spans="1:10" x14ac:dyDescent="0.4">
      <c r="A182" s="2">
        <v>61.16</v>
      </c>
      <c r="B182" s="4">
        <v>3.7046153846153844</v>
      </c>
      <c r="C182" s="7">
        <v>0.48</v>
      </c>
      <c r="D182" s="21">
        <v>8.0000000000000007E-5</v>
      </c>
      <c r="E182" s="7">
        <v>13</v>
      </c>
      <c r="F182" s="23">
        <v>2400</v>
      </c>
      <c r="G182" s="21">
        <v>4.58069452643911E-7</v>
      </c>
      <c r="H182" s="7">
        <v>184.61538461538461</v>
      </c>
      <c r="I182" s="21">
        <v>5.9549028843708431E-6</v>
      </c>
      <c r="J182" s="44"/>
    </row>
    <row r="183" spans="1:10" x14ac:dyDescent="0.4">
      <c r="A183" s="2">
        <v>73.7</v>
      </c>
      <c r="B183" s="4">
        <v>4.6692307692307695</v>
      </c>
      <c r="C183" s="7">
        <v>0.48</v>
      </c>
      <c r="D183" s="21">
        <v>1.4999999999999999E-4</v>
      </c>
      <c r="E183" s="7">
        <v>13</v>
      </c>
      <c r="F183" s="23">
        <v>2400</v>
      </c>
      <c r="G183" s="21">
        <v>4.58069452643911E-7</v>
      </c>
      <c r="H183" s="7">
        <v>184.61538461538461</v>
      </c>
      <c r="I183" s="21">
        <v>5.9549028843708431E-6</v>
      </c>
      <c r="J183" s="44"/>
    </row>
    <row r="184" spans="1:10" x14ac:dyDescent="0.4">
      <c r="A184" s="2">
        <v>1.6850000000000001</v>
      </c>
      <c r="B184" s="4">
        <v>7.4249999999999998</v>
      </c>
      <c r="C184" s="7">
        <v>0.49</v>
      </c>
      <c r="D184" s="21">
        <v>1.9999999999999999E-6</v>
      </c>
      <c r="E184" s="7">
        <v>0.2</v>
      </c>
      <c r="F184" s="23">
        <v>200</v>
      </c>
      <c r="G184" s="21">
        <v>4.5983304042179199E-7</v>
      </c>
      <c r="H184" s="7">
        <v>1000</v>
      </c>
      <c r="I184" s="21">
        <v>9.1966608084358406E-8</v>
      </c>
      <c r="J184" s="44"/>
    </row>
    <row r="185" spans="1:10" x14ac:dyDescent="0.4">
      <c r="A185" s="2">
        <v>0.89</v>
      </c>
      <c r="B185" s="4">
        <v>4.9333333333333336</v>
      </c>
      <c r="C185" s="7">
        <v>0.49243098842386457</v>
      </c>
      <c r="D185" s="21">
        <v>1.5E-5</v>
      </c>
      <c r="E185" s="7">
        <v>0.15</v>
      </c>
      <c r="F185" s="23">
        <v>30</v>
      </c>
      <c r="G185" s="21">
        <v>4.87518234322751E-6</v>
      </c>
      <c r="H185" s="7">
        <v>200</v>
      </c>
      <c r="I185" s="21">
        <v>7.3127735148412644E-7</v>
      </c>
      <c r="J185" s="44"/>
    </row>
    <row r="186" spans="1:10" x14ac:dyDescent="0.4">
      <c r="A186" s="2">
        <v>2.06</v>
      </c>
      <c r="B186" s="4">
        <v>12.733333333333334</v>
      </c>
      <c r="C186" s="7">
        <v>0.49243098842386457</v>
      </c>
      <c r="D186" s="21">
        <v>6.9999999999999994E-5</v>
      </c>
      <c r="E186" s="7">
        <v>0.15</v>
      </c>
      <c r="F186" s="23">
        <v>30</v>
      </c>
      <c r="G186" s="21">
        <v>8.9590180703006897E-6</v>
      </c>
      <c r="H186" s="7">
        <v>200</v>
      </c>
      <c r="I186" s="21">
        <v>1.3438527105451033E-6</v>
      </c>
      <c r="J186" s="44"/>
    </row>
    <row r="187" spans="1:10" x14ac:dyDescent="0.4">
      <c r="A187" s="2">
        <v>7.9</v>
      </c>
      <c r="B187" s="4">
        <v>5.1930758988016058E-2</v>
      </c>
      <c r="C187" s="7">
        <v>0.49243098842386457</v>
      </c>
      <c r="D187" s="21">
        <v>6.9999999999999994E-5</v>
      </c>
      <c r="E187" s="7">
        <v>7.51</v>
      </c>
      <c r="F187" s="23">
        <v>30</v>
      </c>
      <c r="G187" s="21">
        <v>1.64576737194344E-6</v>
      </c>
      <c r="H187" s="7">
        <v>3.9946737683089215</v>
      </c>
      <c r="I187" s="21">
        <v>1.2359712963295233E-5</v>
      </c>
      <c r="J187" s="44"/>
    </row>
    <row r="188" spans="1:10" x14ac:dyDescent="0.4">
      <c r="A188" s="2">
        <v>2.7330000000000001</v>
      </c>
      <c r="B188" s="4">
        <v>7.2818181818181813</v>
      </c>
      <c r="C188" s="7">
        <v>0.5</v>
      </c>
      <c r="D188" s="21">
        <v>2.5500000000000001E-6</v>
      </c>
      <c r="E188" s="7">
        <v>0.33</v>
      </c>
      <c r="F188" s="23">
        <v>186</v>
      </c>
      <c r="G188" s="21">
        <v>2.6992197308456299E-7</v>
      </c>
      <c r="H188" s="7">
        <v>563.63636363636363</v>
      </c>
      <c r="I188" s="21">
        <v>8.9074251117905787E-8</v>
      </c>
      <c r="J188" s="44"/>
    </row>
    <row r="189" spans="1:10" x14ac:dyDescent="0.4">
      <c r="A189" s="2">
        <v>1.4610000000000001</v>
      </c>
      <c r="B189" s="4">
        <v>4.70703125</v>
      </c>
      <c r="C189" s="7">
        <v>0.5</v>
      </c>
      <c r="D189" s="21">
        <v>8.0000000000000002E-8</v>
      </c>
      <c r="E189" s="7">
        <v>0.25600000000000001</v>
      </c>
      <c r="F189" s="23">
        <v>230</v>
      </c>
      <c r="G189" s="21">
        <v>1.4992197308456265E-8</v>
      </c>
      <c r="H189" s="7">
        <v>898.4375</v>
      </c>
      <c r="I189" s="21">
        <v>3.8380025109648036E-9</v>
      </c>
      <c r="J189" s="44"/>
    </row>
    <row r="190" spans="1:10" x14ac:dyDescent="0.4">
      <c r="A190" s="2">
        <v>1.38</v>
      </c>
      <c r="B190" s="4">
        <v>5.8999999999999995</v>
      </c>
      <c r="C190" s="7">
        <v>0.5</v>
      </c>
      <c r="D190" s="21">
        <v>9.9999999999999995E-7</v>
      </c>
      <c r="E190" s="7">
        <v>0.2</v>
      </c>
      <c r="F190" s="23">
        <v>200</v>
      </c>
      <c r="G190" s="21">
        <v>2.3250987027638001E-7</v>
      </c>
      <c r="H190" s="7">
        <v>1000</v>
      </c>
      <c r="I190" s="21">
        <v>4.6501974055276007E-8</v>
      </c>
      <c r="J190" s="44"/>
    </row>
    <row r="191" spans="1:10" x14ac:dyDescent="0.4">
      <c r="A191" s="2">
        <v>1.1068702290076335</v>
      </c>
      <c r="B191" s="4">
        <v>3.3237118320610683</v>
      </c>
      <c r="C191" s="7">
        <v>0.5</v>
      </c>
      <c r="D191" s="21">
        <v>3.0000000000000001E-5</v>
      </c>
      <c r="E191" s="7">
        <v>0.25600000000000001</v>
      </c>
      <c r="F191" s="23">
        <v>30</v>
      </c>
      <c r="G191" s="21">
        <v>1.01734817125911E-5</v>
      </c>
      <c r="H191" s="7">
        <v>117.1875</v>
      </c>
      <c r="I191" s="21">
        <v>2.6044113184233218E-6</v>
      </c>
      <c r="J191" s="44"/>
    </row>
    <row r="192" spans="1:10" x14ac:dyDescent="0.4">
      <c r="A192" s="2">
        <v>0.86274509803921573</v>
      </c>
      <c r="B192" s="4">
        <v>2.3700980392156863</v>
      </c>
      <c r="C192" s="7">
        <v>0.5</v>
      </c>
      <c r="D192" s="21">
        <v>1.0000000000000001E-5</v>
      </c>
      <c r="E192" s="7">
        <v>0.25600000000000001</v>
      </c>
      <c r="F192" s="23">
        <v>30</v>
      </c>
      <c r="G192" s="21">
        <v>7.4555586114832146E-6</v>
      </c>
      <c r="H192" s="7">
        <v>117.1875</v>
      </c>
      <c r="I192" s="21">
        <v>1.908623004539703E-6</v>
      </c>
      <c r="J192" s="44"/>
    </row>
    <row r="193" spans="1:10" x14ac:dyDescent="0.4">
      <c r="A193" s="2">
        <v>1.0769230769230769</v>
      </c>
      <c r="B193" s="4">
        <v>3.2067307692307692</v>
      </c>
      <c r="C193" s="7">
        <v>0.5</v>
      </c>
      <c r="D193" s="21">
        <v>1.9999999999999999E-6</v>
      </c>
      <c r="E193" s="7">
        <v>0.25600000000000001</v>
      </c>
      <c r="F193" s="23">
        <v>85</v>
      </c>
      <c r="G193" s="21">
        <v>1.040265617088219E-6</v>
      </c>
      <c r="H193" s="7">
        <v>332.03125</v>
      </c>
      <c r="I193" s="21">
        <v>2.6630799797458409E-7</v>
      </c>
      <c r="J193" s="44"/>
    </row>
    <row r="194" spans="1:10" x14ac:dyDescent="0.4">
      <c r="A194" s="2">
        <v>0.90529599999999999</v>
      </c>
      <c r="B194" s="4">
        <v>5.4663999999999993</v>
      </c>
      <c r="C194" s="7">
        <v>0.5</v>
      </c>
      <c r="D194" s="21">
        <v>1.0000000000000001E-5</v>
      </c>
      <c r="E194" s="7">
        <v>0.14000000000000001</v>
      </c>
      <c r="F194" s="23">
        <v>30</v>
      </c>
      <c r="G194" s="21">
        <v>3.5115209493581004E-6</v>
      </c>
      <c r="H194" s="7">
        <v>214.28571428571428</v>
      </c>
      <c r="I194" s="21">
        <v>4.9161293291013414E-7</v>
      </c>
      <c r="J194" s="44"/>
    </row>
    <row r="195" spans="1:10" x14ac:dyDescent="0.4">
      <c r="A195" s="2">
        <v>3.0157259999999995</v>
      </c>
      <c r="B195" s="4">
        <v>7.1506108108108091</v>
      </c>
      <c r="C195" s="7">
        <v>0.5</v>
      </c>
      <c r="D195" s="21">
        <v>1.0000000000000001E-5</v>
      </c>
      <c r="E195" s="7">
        <v>0.37</v>
      </c>
      <c r="F195" s="23">
        <v>30</v>
      </c>
      <c r="G195" s="21">
        <v>9.8667816752923075E-7</v>
      </c>
      <c r="H195" s="7">
        <v>81.081081081081081</v>
      </c>
      <c r="I195" s="21">
        <v>3.6507092198581536E-7</v>
      </c>
      <c r="J195" s="44"/>
    </row>
    <row r="196" spans="1:10" x14ac:dyDescent="0.4">
      <c r="A196" s="2">
        <v>78.462800000000001</v>
      </c>
      <c r="B196" s="4">
        <v>2.0178000000000003</v>
      </c>
      <c r="C196" s="7">
        <v>0.5</v>
      </c>
      <c r="D196" s="21">
        <v>8.0000000000000007E-5</v>
      </c>
      <c r="E196" s="7">
        <v>26</v>
      </c>
      <c r="F196" s="23">
        <v>200</v>
      </c>
      <c r="G196" s="21">
        <v>1.2036325508974701E-7</v>
      </c>
      <c r="H196" s="7">
        <v>7.6923076923076925</v>
      </c>
      <c r="I196" s="21">
        <v>3.129444632333422E-6</v>
      </c>
      <c r="J196" s="44"/>
    </row>
    <row r="197" spans="1:10" x14ac:dyDescent="0.4">
      <c r="A197" s="2">
        <v>87.02</v>
      </c>
      <c r="B197" s="4">
        <v>2.0006896551724136</v>
      </c>
      <c r="C197" s="7">
        <v>0.5</v>
      </c>
      <c r="D197" s="21">
        <v>5.0000000000000002E-5</v>
      </c>
      <c r="E197" s="7">
        <v>29</v>
      </c>
      <c r="F197" s="23">
        <v>2000</v>
      </c>
      <c r="G197" s="21">
        <v>1.6527691763413399E-7</v>
      </c>
      <c r="H197" s="7">
        <v>68.965517241379317</v>
      </c>
      <c r="I197" s="21">
        <v>4.7930306113898857E-6</v>
      </c>
      <c r="J197" s="44"/>
    </row>
    <row r="198" spans="1:10" x14ac:dyDescent="0.4">
      <c r="A198" s="2">
        <v>66.13</v>
      </c>
      <c r="B198" s="4">
        <v>2.3064999999999998</v>
      </c>
      <c r="C198" s="7">
        <v>0.5</v>
      </c>
      <c r="D198" s="21">
        <v>8.5000000000000006E-5</v>
      </c>
      <c r="E198" s="7">
        <v>20</v>
      </c>
      <c r="F198" s="23">
        <v>401</v>
      </c>
      <c r="G198" s="21">
        <v>2.55930768649878E-7</v>
      </c>
      <c r="H198" s="7">
        <v>20.05</v>
      </c>
      <c r="I198" s="21">
        <v>5.1186153729975599E-6</v>
      </c>
      <c r="J198" s="44"/>
    </row>
    <row r="199" spans="1:10" x14ac:dyDescent="0.4">
      <c r="A199" s="1">
        <v>12.03</v>
      </c>
      <c r="B199" s="4">
        <v>2.7593749999999995</v>
      </c>
      <c r="C199" s="7">
        <v>0.5</v>
      </c>
      <c r="D199" s="21">
        <v>3.0000000000000001E-5</v>
      </c>
      <c r="E199" s="7">
        <v>3.2</v>
      </c>
      <c r="F199" s="23">
        <v>2000</v>
      </c>
      <c r="G199" s="21">
        <v>7.2824991447643399E-7</v>
      </c>
      <c r="H199" s="7">
        <v>625</v>
      </c>
      <c r="I199" s="21">
        <v>2.3303997263245888E-6</v>
      </c>
      <c r="J199" s="44"/>
    </row>
    <row r="200" spans="1:10" x14ac:dyDescent="0.4">
      <c r="A200" s="2">
        <v>1.8620000000000001</v>
      </c>
      <c r="B200" s="4">
        <v>5.0064516129032262</v>
      </c>
      <c r="C200" s="7">
        <v>0.50000000000000011</v>
      </c>
      <c r="D200" s="21">
        <v>1.9999999999999999E-6</v>
      </c>
      <c r="E200" s="7">
        <v>0.31</v>
      </c>
      <c r="F200" s="23">
        <v>30</v>
      </c>
      <c r="G200" s="21">
        <v>5.0983393018943301E-7</v>
      </c>
      <c r="H200" s="7">
        <v>96.774193548387103</v>
      </c>
      <c r="I200" s="21">
        <v>1.5804851835872424E-7</v>
      </c>
      <c r="J200" s="44"/>
    </row>
    <row r="201" spans="1:10" x14ac:dyDescent="0.4">
      <c r="A201" s="2">
        <v>6.64</v>
      </c>
      <c r="B201" s="4">
        <v>2.9523809523809526</v>
      </c>
      <c r="C201" s="7">
        <v>0.51</v>
      </c>
      <c r="D201" s="21">
        <v>3.9999999999999998E-7</v>
      </c>
      <c r="E201" s="7">
        <v>1.68</v>
      </c>
      <c r="F201" s="23">
        <v>200</v>
      </c>
      <c r="G201" s="21">
        <v>1.79574567554932E-8</v>
      </c>
      <c r="H201" s="7">
        <v>119.04761904761905</v>
      </c>
      <c r="I201" s="21">
        <v>3.0168527349228576E-8</v>
      </c>
      <c r="J201" s="44"/>
    </row>
    <row r="202" spans="1:10" x14ac:dyDescent="0.4">
      <c r="A202" s="2">
        <v>51.14</v>
      </c>
      <c r="B202" s="4">
        <v>0.93712121212121224</v>
      </c>
      <c r="C202" s="7">
        <v>0.51200000000000001</v>
      </c>
      <c r="D202" s="21">
        <v>8.6000000000000003E-5</v>
      </c>
      <c r="E202" s="7">
        <v>26.4</v>
      </c>
      <c r="F202" s="23">
        <v>401</v>
      </c>
      <c r="G202" s="21">
        <v>4.8882256830186603E-7</v>
      </c>
      <c r="H202" s="7">
        <v>15.189393939393939</v>
      </c>
      <c r="I202" s="21">
        <v>1.2904915803169263E-5</v>
      </c>
      <c r="J202" s="44"/>
    </row>
    <row r="203" spans="1:10" x14ac:dyDescent="0.4">
      <c r="A203" s="2">
        <v>64.61</v>
      </c>
      <c r="B203" s="4">
        <v>1.447348484848485</v>
      </c>
      <c r="C203" s="7">
        <v>0.51200000000000001</v>
      </c>
      <c r="D203" s="21">
        <v>8.6000000000000003E-5</v>
      </c>
      <c r="E203" s="7">
        <v>26.4</v>
      </c>
      <c r="F203" s="23">
        <v>401</v>
      </c>
      <c r="G203" s="21">
        <v>5.3157133469765097E-7</v>
      </c>
      <c r="H203" s="7">
        <v>15.189393939393939</v>
      </c>
      <c r="I203" s="21">
        <v>1.4033483236017984E-5</v>
      </c>
      <c r="J203" s="44"/>
    </row>
    <row r="204" spans="1:10" x14ac:dyDescent="0.4">
      <c r="A204" s="2">
        <v>1.1379999999999999</v>
      </c>
      <c r="B204" s="4">
        <v>4.9894736842105258</v>
      </c>
      <c r="C204" s="7">
        <v>0.52095808383233544</v>
      </c>
      <c r="D204" s="21">
        <v>3.9999999999999998E-7</v>
      </c>
      <c r="E204" s="7">
        <v>0.19</v>
      </c>
      <c r="F204" s="23">
        <v>20</v>
      </c>
      <c r="G204" s="21">
        <v>7.5122441119165003E-8</v>
      </c>
      <c r="H204" s="7">
        <v>105.26315789473684</v>
      </c>
      <c r="I204" s="21">
        <v>1.4273263812641351E-8</v>
      </c>
      <c r="J204" s="44"/>
    </row>
    <row r="205" spans="1:10" x14ac:dyDescent="0.4">
      <c r="A205" s="2">
        <v>1.5229999999999999</v>
      </c>
      <c r="B205" s="4">
        <v>6.6149999999999993</v>
      </c>
      <c r="C205" s="7">
        <v>0.53500000000000003</v>
      </c>
      <c r="D205" s="21">
        <v>9.9999999999999995E-8</v>
      </c>
      <c r="E205" s="7">
        <v>0.2</v>
      </c>
      <c r="F205" s="23">
        <v>285</v>
      </c>
      <c r="G205" s="21">
        <v>2.00141843971631E-8</v>
      </c>
      <c r="H205" s="7">
        <v>1425</v>
      </c>
      <c r="I205" s="21">
        <v>4.0028368794326202E-9</v>
      </c>
      <c r="J205" s="44"/>
    </row>
    <row r="206" spans="1:10" x14ac:dyDescent="0.4">
      <c r="A206" s="2">
        <v>1.7413799999999999</v>
      </c>
      <c r="B206" s="4">
        <v>7.7068999999999992</v>
      </c>
      <c r="C206" s="7">
        <v>0.53500000000000003</v>
      </c>
      <c r="D206" s="21">
        <v>1.0000000000000001E-5</v>
      </c>
      <c r="E206" s="7">
        <v>0.2</v>
      </c>
      <c r="F206" s="23">
        <v>285</v>
      </c>
      <c r="G206" s="21">
        <v>2.49067729978659E-6</v>
      </c>
      <c r="H206" s="7">
        <v>1425</v>
      </c>
      <c r="I206" s="21">
        <v>4.9813545995731804E-7</v>
      </c>
      <c r="J206" s="44"/>
    </row>
    <row r="207" spans="1:10" x14ac:dyDescent="0.4">
      <c r="A207" s="2">
        <v>1.63</v>
      </c>
      <c r="B207" s="4">
        <v>7.1499999999999995</v>
      </c>
      <c r="C207" s="7">
        <v>0.55000000000000004</v>
      </c>
      <c r="D207" s="21">
        <v>9.9999999999999995E-7</v>
      </c>
      <c r="E207" s="7">
        <v>0.2</v>
      </c>
      <c r="F207" s="23">
        <v>200</v>
      </c>
      <c r="G207" s="21">
        <v>2.3250987027638001E-7</v>
      </c>
      <c r="H207" s="7">
        <v>1000</v>
      </c>
      <c r="I207" s="21">
        <v>4.6501974055276007E-8</v>
      </c>
      <c r="J207" s="44"/>
    </row>
    <row r="208" spans="1:10" x14ac:dyDescent="0.4">
      <c r="A208" s="2">
        <v>1.0081315244239633</v>
      </c>
      <c r="B208" s="4">
        <v>6.2009394601711652</v>
      </c>
      <c r="C208" s="7">
        <v>0.55000000000000004</v>
      </c>
      <c r="D208" s="21">
        <v>1.0000000000000001E-5</v>
      </c>
      <c r="E208" s="7">
        <v>0.14000000000000001</v>
      </c>
      <c r="F208" s="23">
        <v>30</v>
      </c>
      <c r="G208" s="21">
        <v>3.5115209493581004E-6</v>
      </c>
      <c r="H208" s="7">
        <v>214.28571428571428</v>
      </c>
      <c r="I208" s="21">
        <v>4.9161293291013414E-7</v>
      </c>
      <c r="J208" s="44"/>
    </row>
    <row r="209" spans="1:10" x14ac:dyDescent="0.4">
      <c r="A209" s="2">
        <v>3.1885493684210524</v>
      </c>
      <c r="B209" s="4">
        <v>7.6177009957325739</v>
      </c>
      <c r="C209" s="7">
        <v>0.55000000000000004</v>
      </c>
      <c r="D209" s="21">
        <v>1.0000000000000001E-5</v>
      </c>
      <c r="E209" s="7">
        <v>0.37</v>
      </c>
      <c r="F209" s="23">
        <v>30</v>
      </c>
      <c r="G209" s="21">
        <v>9.8667816752923075E-7</v>
      </c>
      <c r="H209" s="7">
        <v>81.081081081081081</v>
      </c>
      <c r="I209" s="21">
        <v>3.6507092198581536E-7</v>
      </c>
      <c r="J209" s="44"/>
    </row>
    <row r="210" spans="1:10" x14ac:dyDescent="0.4">
      <c r="A210" s="2">
        <v>7.08</v>
      </c>
      <c r="B210" s="4">
        <v>3.2142857142857144</v>
      </c>
      <c r="C210" s="7">
        <v>0.56000000000000005</v>
      </c>
      <c r="D210" s="21">
        <v>3.9999999999999998E-7</v>
      </c>
      <c r="E210" s="7">
        <v>1.68</v>
      </c>
      <c r="F210" s="23">
        <v>200</v>
      </c>
      <c r="G210" s="21">
        <v>1.79574567554932E-8</v>
      </c>
      <c r="H210" s="7">
        <v>119.04761904761905</v>
      </c>
      <c r="I210" s="21">
        <v>3.0168527349228576E-8</v>
      </c>
      <c r="J210" s="44"/>
    </row>
    <row r="211" spans="1:10" x14ac:dyDescent="0.4">
      <c r="A211" s="2">
        <v>1.4430000000000001</v>
      </c>
      <c r="B211" s="4">
        <v>6.5947368421052639</v>
      </c>
      <c r="C211" s="7">
        <v>0.56799214531173292</v>
      </c>
      <c r="D211" s="21">
        <v>3.9999999999999998E-7</v>
      </c>
      <c r="E211" s="7">
        <v>0.19</v>
      </c>
      <c r="F211" s="23">
        <v>20</v>
      </c>
      <c r="G211" s="21">
        <v>7.5122441119165003E-8</v>
      </c>
      <c r="H211" s="7">
        <v>105.26315789473684</v>
      </c>
      <c r="I211" s="21">
        <v>1.4273263812641351E-8</v>
      </c>
      <c r="J211" s="44"/>
    </row>
    <row r="212" spans="1:10" x14ac:dyDescent="0.4">
      <c r="A212" s="2">
        <v>1.8360000000000001</v>
      </c>
      <c r="B212" s="4">
        <v>8.18</v>
      </c>
      <c r="C212" s="7">
        <v>0.58399999999999996</v>
      </c>
      <c r="D212" s="21">
        <v>9.9999999999999995E-8</v>
      </c>
      <c r="E212" s="7">
        <v>0.2</v>
      </c>
      <c r="F212" s="23">
        <v>285</v>
      </c>
      <c r="G212" s="21">
        <v>2.00141843971631E-8</v>
      </c>
      <c r="H212" s="7">
        <v>1425</v>
      </c>
      <c r="I212" s="21">
        <v>4.0028368794326202E-9</v>
      </c>
      <c r="J212" s="44"/>
    </row>
    <row r="213" spans="1:10" x14ac:dyDescent="0.4">
      <c r="A213" s="2">
        <v>2.1806000000000001</v>
      </c>
      <c r="B213" s="4">
        <v>9.9030000000000005</v>
      </c>
      <c r="C213" s="7">
        <v>0.58399999999999996</v>
      </c>
      <c r="D213" s="21">
        <v>1.0000000000000001E-5</v>
      </c>
      <c r="E213" s="7">
        <v>0.2</v>
      </c>
      <c r="F213" s="23">
        <v>285</v>
      </c>
      <c r="G213" s="21">
        <v>2.49067729978659E-6</v>
      </c>
      <c r="H213" s="7">
        <v>1425</v>
      </c>
      <c r="I213" s="21">
        <v>4.9813545995731804E-7</v>
      </c>
      <c r="J213" s="44"/>
    </row>
    <row r="214" spans="1:10" x14ac:dyDescent="0.4">
      <c r="A214" s="2">
        <v>6.8559999999999999</v>
      </c>
      <c r="B214" s="4">
        <v>30.163636363636364</v>
      </c>
      <c r="C214" s="7">
        <v>0.59553349875930517</v>
      </c>
      <c r="D214" s="21">
        <v>5.5000000000000002E-5</v>
      </c>
      <c r="E214" s="7">
        <v>0.22</v>
      </c>
      <c r="F214" s="23">
        <v>170</v>
      </c>
      <c r="G214" s="21">
        <v>2.9497013035797098E-6</v>
      </c>
      <c r="H214" s="7">
        <v>772.72727272727275</v>
      </c>
      <c r="I214" s="21">
        <v>6.489342867875362E-7</v>
      </c>
      <c r="J214" s="44"/>
    </row>
    <row r="215" spans="1:10" x14ac:dyDescent="0.4">
      <c r="A215" s="2">
        <v>1.9970000000000001</v>
      </c>
      <c r="B215" s="4">
        <v>4.5938375350140062</v>
      </c>
      <c r="C215" s="7">
        <v>0.6</v>
      </c>
      <c r="D215" s="21">
        <v>3.9999999999999998E-6</v>
      </c>
      <c r="E215" s="7">
        <v>0.35699999999999998</v>
      </c>
      <c r="F215" s="23">
        <v>180</v>
      </c>
      <c r="G215" s="21">
        <v>1.4300724366741656E-6</v>
      </c>
      <c r="H215" s="7">
        <v>504.20168067226894</v>
      </c>
      <c r="I215" s="21">
        <v>5.105358598926771E-7</v>
      </c>
      <c r="J215" s="44"/>
    </row>
    <row r="216" spans="1:10" x14ac:dyDescent="0.4">
      <c r="A216" s="2">
        <v>2.9870000000000001</v>
      </c>
      <c r="B216" s="4">
        <v>8.0515151515151508</v>
      </c>
      <c r="C216" s="7">
        <v>0.6</v>
      </c>
      <c r="D216" s="21">
        <v>2.5500000000000001E-6</v>
      </c>
      <c r="E216" s="7">
        <v>0.33</v>
      </c>
      <c r="F216" s="23">
        <v>186</v>
      </c>
      <c r="G216" s="21">
        <v>2.6992197308456299E-7</v>
      </c>
      <c r="H216" s="7">
        <v>563.63636363636363</v>
      </c>
      <c r="I216" s="21">
        <v>8.9074251117905787E-8</v>
      </c>
      <c r="J216" s="44"/>
    </row>
    <row r="217" spans="1:10" x14ac:dyDescent="0.4">
      <c r="A217" s="2">
        <v>1.585</v>
      </c>
      <c r="B217" s="4">
        <v>5.19140625</v>
      </c>
      <c r="C217" s="7">
        <v>0.6</v>
      </c>
      <c r="D217" s="21">
        <v>8.0000000000000002E-8</v>
      </c>
      <c r="E217" s="7">
        <v>0.25600000000000001</v>
      </c>
      <c r="F217" s="23">
        <v>230</v>
      </c>
      <c r="G217" s="21">
        <v>1.4992197308456265E-8</v>
      </c>
      <c r="H217" s="7">
        <v>898.4375</v>
      </c>
      <c r="I217" s="21">
        <v>3.8380025109648036E-9</v>
      </c>
      <c r="J217" s="44"/>
    </row>
    <row r="218" spans="1:10" x14ac:dyDescent="0.4">
      <c r="A218" s="2">
        <v>1.2015676235294119</v>
      </c>
      <c r="B218" s="4">
        <v>7.5826258823529411</v>
      </c>
      <c r="C218" s="7">
        <v>0.6</v>
      </c>
      <c r="D218" s="21">
        <v>1.0000000000000001E-5</v>
      </c>
      <c r="E218" s="7">
        <v>0.14000000000000001</v>
      </c>
      <c r="F218" s="23">
        <v>30</v>
      </c>
      <c r="G218" s="21">
        <v>3.5115209493581004E-6</v>
      </c>
      <c r="H218" s="7">
        <v>214.28571428571428</v>
      </c>
      <c r="I218" s="21">
        <v>4.9161293291013414E-7</v>
      </c>
      <c r="J218" s="44"/>
    </row>
    <row r="219" spans="1:10" x14ac:dyDescent="0.4">
      <c r="A219" s="2">
        <v>3.4298880000000009</v>
      </c>
      <c r="B219" s="4">
        <v>8.2699675675675692</v>
      </c>
      <c r="C219" s="7">
        <v>0.6</v>
      </c>
      <c r="D219" s="21">
        <v>1.0000000000000001E-5</v>
      </c>
      <c r="E219" s="7">
        <v>0.37</v>
      </c>
      <c r="F219" s="23">
        <v>30</v>
      </c>
      <c r="G219" s="21">
        <v>9.8667816752923075E-7</v>
      </c>
      <c r="H219" s="7">
        <v>81.081081081081081</v>
      </c>
      <c r="I219" s="21">
        <v>3.6507092198581536E-7</v>
      </c>
      <c r="J219" s="44"/>
    </row>
    <row r="220" spans="1:10" x14ac:dyDescent="0.4">
      <c r="A220" s="2">
        <v>537.78</v>
      </c>
      <c r="B220" s="4">
        <v>0.3410972568578553</v>
      </c>
      <c r="C220" s="7">
        <v>0.6</v>
      </c>
      <c r="D220" s="21">
        <v>5.0000000000000002E-5</v>
      </c>
      <c r="E220" s="7">
        <v>401</v>
      </c>
      <c r="F220" s="23">
        <v>2000</v>
      </c>
      <c r="G220" s="21">
        <v>1.9144429778400399E-8</v>
      </c>
      <c r="H220" s="7">
        <v>4.9875311720698257</v>
      </c>
      <c r="I220" s="21">
        <v>7.6769163411385602E-6</v>
      </c>
      <c r="J220" s="44"/>
    </row>
    <row r="221" spans="1:10" x14ac:dyDescent="0.4">
      <c r="A221" s="2">
        <v>13.42</v>
      </c>
      <c r="B221" s="4">
        <v>3.1937499999999996</v>
      </c>
      <c r="C221" s="7">
        <v>0.6</v>
      </c>
      <c r="D221" s="21">
        <v>3.0000000000000001E-5</v>
      </c>
      <c r="E221" s="7">
        <v>3.2</v>
      </c>
      <c r="F221" s="23">
        <v>2000</v>
      </c>
      <c r="G221" s="21">
        <v>7.2824991447643399E-7</v>
      </c>
      <c r="H221" s="7">
        <v>625</v>
      </c>
      <c r="I221" s="21">
        <v>2.3303997263245888E-6</v>
      </c>
      <c r="J221" s="44"/>
    </row>
    <row r="222" spans="1:10" x14ac:dyDescent="0.4">
      <c r="A222" s="2">
        <v>8.4</v>
      </c>
      <c r="B222" s="4">
        <v>4.0000000000000009</v>
      </c>
      <c r="C222" s="7">
        <v>0.61</v>
      </c>
      <c r="D222" s="21">
        <v>3.9999999999999998E-7</v>
      </c>
      <c r="E222" s="7">
        <v>1.68</v>
      </c>
      <c r="F222" s="23">
        <v>200</v>
      </c>
      <c r="G222" s="21">
        <v>1.79574567554932E-8</v>
      </c>
      <c r="H222" s="7">
        <v>119.04761904761905</v>
      </c>
      <c r="I222" s="21">
        <v>3.0168527349228576E-8</v>
      </c>
      <c r="J222" s="44"/>
    </row>
    <row r="223" spans="1:10" x14ac:dyDescent="0.4">
      <c r="A223" s="1">
        <v>1.53</v>
      </c>
      <c r="B223" s="20">
        <v>7.052631578947369</v>
      </c>
      <c r="C223" s="20">
        <v>0.61878829135466307</v>
      </c>
      <c r="D223" s="22">
        <v>3.9999999999999998E-7</v>
      </c>
      <c r="E223" s="19">
        <v>0.19</v>
      </c>
      <c r="F223" s="24">
        <v>20</v>
      </c>
      <c r="G223" s="22">
        <v>7.5122441119165003E-8</v>
      </c>
      <c r="H223" s="19">
        <v>105.26315789473684</v>
      </c>
      <c r="I223" s="22">
        <v>1.4273263812641351E-8</v>
      </c>
    </row>
    <row r="224" spans="1:10" x14ac:dyDescent="0.4">
      <c r="A224" s="2">
        <v>42.04</v>
      </c>
      <c r="B224" s="20">
        <v>0.44965517241379305</v>
      </c>
      <c r="C224" s="20">
        <v>0.6400409626216077</v>
      </c>
      <c r="D224" s="22">
        <v>1.5E-5</v>
      </c>
      <c r="E224" s="19">
        <v>29</v>
      </c>
      <c r="F224" s="24">
        <v>2000</v>
      </c>
      <c r="G224" s="22">
        <v>1.16265344045781E-7</v>
      </c>
      <c r="H224" s="19">
        <v>68.965517241379317</v>
      </c>
      <c r="I224" s="22">
        <v>3.371694977327649E-6</v>
      </c>
    </row>
    <row r="225" spans="1:9" x14ac:dyDescent="0.4">
      <c r="A225" s="2">
        <v>103.34</v>
      </c>
      <c r="B225" s="20">
        <v>2.5634482758620689</v>
      </c>
      <c r="C225" s="20">
        <v>0.6400409626216077</v>
      </c>
      <c r="D225" s="22">
        <v>3.0000000000000001E-5</v>
      </c>
      <c r="E225" s="19">
        <v>29</v>
      </c>
      <c r="F225" s="24">
        <v>2000</v>
      </c>
      <c r="G225" s="22">
        <v>1.16265344045781E-7</v>
      </c>
      <c r="H225" s="19">
        <v>68.965517241379317</v>
      </c>
      <c r="I225" s="22">
        <v>3.371694977327649E-6</v>
      </c>
    </row>
    <row r="226" spans="1:9" x14ac:dyDescent="0.4">
      <c r="A226" s="2">
        <v>129.82</v>
      </c>
      <c r="B226" s="20">
        <v>3.4765517241379307</v>
      </c>
      <c r="C226" s="20">
        <v>0.6400409626216077</v>
      </c>
      <c r="D226" s="22">
        <v>5.0000000000000002E-5</v>
      </c>
      <c r="E226" s="19">
        <v>29</v>
      </c>
      <c r="F226" s="24">
        <v>2000</v>
      </c>
      <c r="G226" s="22">
        <v>1.16265344045781E-7</v>
      </c>
      <c r="H226" s="19">
        <v>68.965517241379317</v>
      </c>
      <c r="I226" s="22">
        <v>3.371694977327649E-6</v>
      </c>
    </row>
    <row r="227" spans="1:9" x14ac:dyDescent="0.4">
      <c r="A227" s="2">
        <v>155.25</v>
      </c>
      <c r="B227" s="20">
        <v>4.3534482758620694</v>
      </c>
      <c r="C227" s="20">
        <v>0.6400409626216077</v>
      </c>
      <c r="D227" s="22">
        <v>1E-4</v>
      </c>
      <c r="E227" s="19">
        <v>29</v>
      </c>
      <c r="F227" s="24">
        <v>2000</v>
      </c>
      <c r="G227" s="22">
        <v>1.16265344045781E-7</v>
      </c>
      <c r="H227" s="19">
        <v>68.965517241379317</v>
      </c>
      <c r="I227" s="22">
        <v>3.371694977327649E-6</v>
      </c>
    </row>
    <row r="228" spans="1:9" x14ac:dyDescent="0.4">
      <c r="A228" s="2">
        <v>237.9</v>
      </c>
      <c r="B228" s="20">
        <v>7.203448275862069</v>
      </c>
      <c r="C228" s="20">
        <v>0.6400409626216077</v>
      </c>
      <c r="D228" s="22">
        <v>1.4999999999999999E-4</v>
      </c>
      <c r="E228" s="19">
        <v>29</v>
      </c>
      <c r="F228" s="24">
        <v>2000</v>
      </c>
      <c r="G228" s="22">
        <v>1.16265344045781E-7</v>
      </c>
      <c r="H228" s="19">
        <v>68.965517241379317</v>
      </c>
      <c r="I228" s="22">
        <v>3.371694977327649E-6</v>
      </c>
    </row>
    <row r="229" spans="1:9" x14ac:dyDescent="0.4">
      <c r="A229" s="2">
        <v>442.68</v>
      </c>
      <c r="B229" s="20">
        <v>0.10394014962593517</v>
      </c>
      <c r="C229" s="20">
        <v>0.64600000000000002</v>
      </c>
      <c r="D229" s="22">
        <v>6.6000000000000005E-5</v>
      </c>
      <c r="E229" s="19">
        <v>401</v>
      </c>
      <c r="F229" s="24">
        <v>1481</v>
      </c>
      <c r="G229" s="22">
        <v>3.0976493754882599E-8</v>
      </c>
      <c r="H229" s="19">
        <v>3.6932668329177059</v>
      </c>
      <c r="I229" s="22">
        <v>1.2421573995707922E-5</v>
      </c>
    </row>
    <row r="230" spans="1:9" x14ac:dyDescent="0.4">
      <c r="A230" s="2">
        <v>1.3980676439790578</v>
      </c>
      <c r="B230" s="20">
        <v>8.9861974569932688</v>
      </c>
      <c r="C230" s="20">
        <v>0.65</v>
      </c>
      <c r="D230" s="22">
        <v>1.0000000000000001E-5</v>
      </c>
      <c r="E230" s="19">
        <v>0.14000000000000001</v>
      </c>
      <c r="F230" s="24">
        <v>30</v>
      </c>
      <c r="G230" s="22">
        <v>3.5115209493581004E-6</v>
      </c>
      <c r="H230" s="19">
        <v>214.28571428571428</v>
      </c>
      <c r="I230" s="22">
        <v>4.9161293291013414E-7</v>
      </c>
    </row>
    <row r="231" spans="1:9" x14ac:dyDescent="0.4">
      <c r="A231" s="2">
        <v>3.6082632705882354</v>
      </c>
      <c r="B231" s="20">
        <v>8.7520628934817175</v>
      </c>
      <c r="C231" s="20">
        <v>0.65</v>
      </c>
      <c r="D231" s="22">
        <v>1.0000000000000001E-5</v>
      </c>
      <c r="E231" s="19">
        <v>0.37</v>
      </c>
      <c r="F231" s="24">
        <v>30</v>
      </c>
      <c r="G231" s="22">
        <v>9.8667816752923075E-7</v>
      </c>
      <c r="H231" s="19">
        <v>81.081081081081081</v>
      </c>
      <c r="I231" s="22">
        <v>3.6507092198581536E-7</v>
      </c>
    </row>
    <row r="232" spans="1:9" x14ac:dyDescent="0.4">
      <c r="A232" s="2">
        <v>577.66</v>
      </c>
      <c r="B232" s="20">
        <v>0.44054862842892761</v>
      </c>
      <c r="C232" s="20">
        <v>0.65</v>
      </c>
      <c r="D232" s="22">
        <v>5.0000000000000002E-5</v>
      </c>
      <c r="E232" s="19">
        <v>401</v>
      </c>
      <c r="F232" s="24">
        <v>2000</v>
      </c>
      <c r="G232" s="22">
        <v>1.9144429778400399E-8</v>
      </c>
      <c r="H232" s="19">
        <v>4.9875311720698257</v>
      </c>
      <c r="I232" s="22">
        <v>7.6769163411385602E-6</v>
      </c>
    </row>
    <row r="233" spans="1:9" x14ac:dyDescent="0.4">
      <c r="A233" s="2">
        <v>10</v>
      </c>
      <c r="B233" s="20">
        <v>4.9523809523809526</v>
      </c>
      <c r="C233" s="20">
        <v>0.66</v>
      </c>
      <c r="D233" s="22">
        <v>3.9999999999999998E-7</v>
      </c>
      <c r="E233" s="19">
        <v>1.68</v>
      </c>
      <c r="F233" s="24">
        <v>200</v>
      </c>
      <c r="G233" s="22">
        <v>1.79574567554932E-8</v>
      </c>
      <c r="H233" s="19">
        <v>119.04761904761905</v>
      </c>
      <c r="I233" s="22">
        <v>3.0168527349228576E-8</v>
      </c>
    </row>
    <row r="234" spans="1:9" x14ac:dyDescent="0.4">
      <c r="A234" s="2">
        <v>672.03</v>
      </c>
      <c r="B234" s="20">
        <v>0.67588528678304227</v>
      </c>
      <c r="C234" s="20">
        <v>0.66200000000000003</v>
      </c>
      <c r="D234" s="22">
        <v>1.16E-4</v>
      </c>
      <c r="E234" s="19">
        <v>401</v>
      </c>
      <c r="F234" s="24">
        <v>1481</v>
      </c>
      <c r="G234" s="22">
        <v>3.0976493754882599E-8</v>
      </c>
      <c r="H234" s="19">
        <v>3.6932668329177059</v>
      </c>
      <c r="I234" s="22">
        <v>1.2421573995707922E-5</v>
      </c>
    </row>
    <row r="235" spans="1:9" x14ac:dyDescent="0.4">
      <c r="A235" s="2">
        <v>14.38</v>
      </c>
      <c r="B235" s="20">
        <v>3.4937499999999999</v>
      </c>
      <c r="C235" s="20">
        <v>0.66666666666666663</v>
      </c>
      <c r="D235" s="22">
        <v>3.0000000000000001E-5</v>
      </c>
      <c r="E235" s="19">
        <v>3.2</v>
      </c>
      <c r="F235" s="24">
        <v>2000</v>
      </c>
      <c r="G235" s="22">
        <v>7.2824991447643399E-7</v>
      </c>
      <c r="H235" s="19">
        <v>625</v>
      </c>
      <c r="I235" s="22">
        <v>2.3303997263245888E-6</v>
      </c>
    </row>
    <row r="236" spans="1:9" x14ac:dyDescent="0.4">
      <c r="A236" s="2">
        <v>888.17</v>
      </c>
      <c r="B236" s="20">
        <v>1.2148877805486282</v>
      </c>
      <c r="C236" s="20">
        <v>0.68</v>
      </c>
      <c r="D236" s="22">
        <v>5.2800000000000004E-4</v>
      </c>
      <c r="E236" s="19">
        <v>401</v>
      </c>
      <c r="F236" s="24">
        <v>1481</v>
      </c>
      <c r="G236" s="22">
        <v>3.0976493754882599E-8</v>
      </c>
      <c r="H236" s="19">
        <v>3.6932668329177059</v>
      </c>
      <c r="I236" s="22">
        <v>1.2421573995707922E-5</v>
      </c>
    </row>
    <row r="237" spans="1:9" x14ac:dyDescent="0.4">
      <c r="A237" s="2">
        <v>851.13</v>
      </c>
      <c r="B237" s="20">
        <v>1.1225187032418953</v>
      </c>
      <c r="C237" s="20">
        <v>0.68300000000000005</v>
      </c>
      <c r="D237" s="22">
        <v>2.72E-4</v>
      </c>
      <c r="E237" s="19">
        <v>401</v>
      </c>
      <c r="F237" s="24">
        <v>1481</v>
      </c>
      <c r="G237" s="22">
        <v>3.0976493754882599E-8</v>
      </c>
      <c r="H237" s="19">
        <v>3.6932668329177059</v>
      </c>
      <c r="I237" s="22">
        <v>1.2421573995707922E-5</v>
      </c>
    </row>
    <row r="238" spans="1:9" x14ac:dyDescent="0.4">
      <c r="A238" s="1">
        <v>904</v>
      </c>
      <c r="B238" s="20">
        <v>1.254364089775561</v>
      </c>
      <c r="C238" s="20">
        <v>0.68700000000000006</v>
      </c>
      <c r="D238" s="22">
        <v>7.0100000000000002E-4</v>
      </c>
      <c r="E238" s="19">
        <v>401</v>
      </c>
      <c r="F238" s="24">
        <v>1481</v>
      </c>
      <c r="G238" s="22">
        <v>3.0976493754882599E-8</v>
      </c>
      <c r="H238" s="19">
        <v>3.6932668329177059</v>
      </c>
      <c r="I238" s="22">
        <v>1.2421573995707922E-5</v>
      </c>
    </row>
    <row r="239" spans="1:9" x14ac:dyDescent="0.4">
      <c r="A239" s="2">
        <v>4.0682268000000006</v>
      </c>
      <c r="B239" s="20">
        <v>9.9952075675675687</v>
      </c>
      <c r="C239" s="20">
        <v>0.7</v>
      </c>
      <c r="D239" s="22">
        <v>1.0000000000000001E-5</v>
      </c>
      <c r="E239" s="19">
        <v>0.37</v>
      </c>
      <c r="F239" s="24">
        <v>30</v>
      </c>
      <c r="G239" s="22">
        <v>9.8667816752923075E-7</v>
      </c>
      <c r="H239" s="19">
        <v>81.081081081081081</v>
      </c>
      <c r="I239" s="22">
        <v>3.6507092198581536E-7</v>
      </c>
    </row>
    <row r="240" spans="1:9" x14ac:dyDescent="0.4">
      <c r="A240" s="2">
        <v>744.63</v>
      </c>
      <c r="B240" s="20">
        <v>0.85693266832917703</v>
      </c>
      <c r="C240" s="20">
        <v>0.7</v>
      </c>
      <c r="D240" s="22">
        <v>5.0000000000000002E-5</v>
      </c>
      <c r="E240" s="19">
        <v>401</v>
      </c>
      <c r="F240" s="24">
        <v>2000</v>
      </c>
      <c r="G240" s="22">
        <v>1.9144429778400399E-8</v>
      </c>
      <c r="H240" s="19">
        <v>4.9875311720698257</v>
      </c>
      <c r="I240" s="22">
        <v>7.6769163411385602E-6</v>
      </c>
    </row>
    <row r="241" spans="1:9" x14ac:dyDescent="0.4">
      <c r="A241" s="2">
        <v>11.9</v>
      </c>
      <c r="B241" s="20">
        <v>6.0833333333333339</v>
      </c>
      <c r="C241" s="20">
        <v>0.71</v>
      </c>
      <c r="D241" s="22">
        <v>3.9999999999999998E-7</v>
      </c>
      <c r="E241" s="19">
        <v>1.68</v>
      </c>
      <c r="F241" s="24">
        <v>200</v>
      </c>
      <c r="G241" s="22">
        <v>1.79574567554932E-8</v>
      </c>
      <c r="H241" s="19">
        <v>119.04761904761905</v>
      </c>
      <c r="I241" s="22">
        <v>3.0168527349228576E-8</v>
      </c>
    </row>
    <row r="242" spans="1:9" x14ac:dyDescent="0.4">
      <c r="A242" s="2">
        <v>16.79</v>
      </c>
      <c r="B242" s="20">
        <v>4.2468749999999993</v>
      </c>
      <c r="C242" s="20">
        <v>0.7142857142857143</v>
      </c>
      <c r="D242" s="22">
        <v>3.0000000000000001E-5</v>
      </c>
      <c r="E242" s="19">
        <v>3.2</v>
      </c>
      <c r="F242" s="24">
        <v>2000</v>
      </c>
      <c r="G242" s="22">
        <v>7.2824991447643399E-7</v>
      </c>
      <c r="H242" s="19">
        <v>625</v>
      </c>
      <c r="I242" s="22">
        <v>2.3303997263245888E-6</v>
      </c>
    </row>
    <row r="243" spans="1:9" x14ac:dyDescent="0.4">
      <c r="A243" s="2">
        <v>18.96</v>
      </c>
      <c r="B243" s="20">
        <v>4.9249999999999998</v>
      </c>
      <c r="C243" s="20">
        <v>0.75</v>
      </c>
      <c r="D243" s="22">
        <v>3.0000000000000001E-5</v>
      </c>
      <c r="E243" s="19">
        <v>3.2</v>
      </c>
      <c r="F243" s="24">
        <v>2000</v>
      </c>
      <c r="G243" s="22">
        <v>7.2824991447643399E-7</v>
      </c>
      <c r="H243" s="19">
        <v>625</v>
      </c>
      <c r="I243" s="22">
        <v>2.3303997263245888E-6</v>
      </c>
    </row>
    <row r="244" spans="1:9" x14ac:dyDescent="0.4">
      <c r="A244" s="2"/>
    </row>
    <row r="245" spans="1:9" x14ac:dyDescent="0.4">
      <c r="A245" s="1"/>
    </row>
    <row r="246" spans="1:9" x14ac:dyDescent="0.4">
      <c r="A246" s="1"/>
    </row>
    <row r="258" spans="1:1" x14ac:dyDescent="0.4">
      <c r="A258" s="3"/>
    </row>
  </sheetData>
  <mergeCells count="1">
    <mergeCell ref="K1:S1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20ED-130E-4AE4-97F7-028566152D35}">
  <dimension ref="A1:W243"/>
  <sheetViews>
    <sheetView zoomScale="70" zoomScaleNormal="70" workbookViewId="0">
      <pane ySplit="1" topLeftCell="A2" activePane="bottomLeft" state="frozen"/>
      <selection pane="bottomLeft" activeCell="L1" sqref="L1:L1048576"/>
    </sheetView>
  </sheetViews>
  <sheetFormatPr defaultRowHeight="13.9" x14ac:dyDescent="0.4"/>
  <cols>
    <col min="1" max="1" width="10.73046875" style="6" customWidth="1"/>
    <col min="2" max="2" width="13.265625" style="5" customWidth="1"/>
    <col min="3" max="3" width="12.86328125" style="5" customWidth="1"/>
    <col min="5" max="5" width="10.73046875" customWidth="1"/>
    <col min="6" max="6" width="11.86328125" style="5" customWidth="1"/>
    <col min="7" max="7" width="11.73046875" style="5" customWidth="1"/>
    <col min="8" max="8" width="10.73046875" style="5" customWidth="1"/>
    <col min="9" max="9" width="8.59765625" style="27" bestFit="1" customWidth="1"/>
    <col min="10" max="11" width="12.3984375" style="5" customWidth="1"/>
  </cols>
  <sheetData>
    <row r="1" spans="1:23" s="36" customFormat="1" ht="33" x14ac:dyDescent="0.4">
      <c r="A1" s="15" t="s">
        <v>77</v>
      </c>
      <c r="B1" s="35" t="s">
        <v>36</v>
      </c>
      <c r="C1" s="35" t="s">
        <v>7</v>
      </c>
      <c r="E1" s="15" t="s">
        <v>78</v>
      </c>
      <c r="F1" s="35" t="s">
        <v>36</v>
      </c>
      <c r="G1" s="35" t="s">
        <v>7</v>
      </c>
      <c r="H1" s="35"/>
      <c r="I1" s="10" t="s">
        <v>25</v>
      </c>
      <c r="J1" s="35" t="s">
        <v>36</v>
      </c>
      <c r="K1" s="35" t="s">
        <v>7</v>
      </c>
      <c r="Q1" s="15"/>
      <c r="R1" s="35"/>
      <c r="S1" s="35"/>
      <c r="U1" s="48"/>
      <c r="V1" s="35"/>
      <c r="W1" s="35"/>
    </row>
    <row r="2" spans="1:23" ht="15.4" x14ac:dyDescent="0.4">
      <c r="A2" s="1">
        <v>0.14000000000000001</v>
      </c>
      <c r="B2" s="2">
        <v>3.1199999999999978E-2</v>
      </c>
      <c r="C2" s="2">
        <v>18.352941176470576</v>
      </c>
      <c r="D2" s="5"/>
      <c r="E2" s="40">
        <v>20</v>
      </c>
      <c r="F2" s="2">
        <v>7.9950971956306849E-3</v>
      </c>
      <c r="G2" s="2">
        <v>4.2302101564183525</v>
      </c>
      <c r="H2" s="2"/>
      <c r="I2" s="25">
        <v>2.9999999999999997E-8</v>
      </c>
      <c r="J2" s="2">
        <v>4.3999999999999873E-3</v>
      </c>
      <c r="K2" s="2">
        <v>2.3157894736842035</v>
      </c>
      <c r="L2" s="5"/>
    </row>
    <row r="3" spans="1:23" ht="15.4" x14ac:dyDescent="0.4">
      <c r="A3" s="1">
        <v>0.14000000000000001</v>
      </c>
      <c r="B3" s="2">
        <v>1.7199999999999993E-2</v>
      </c>
      <c r="C3" s="2">
        <v>7.8181818181818148</v>
      </c>
      <c r="D3" s="5"/>
      <c r="E3" s="40">
        <v>20</v>
      </c>
      <c r="F3" s="2">
        <v>1.4939475408104752E-3</v>
      </c>
      <c r="G3" s="2">
        <v>0.73232722588748789</v>
      </c>
      <c r="H3" s="2"/>
      <c r="I3" s="25">
        <v>2.9999999999999997E-8</v>
      </c>
      <c r="J3" s="2">
        <v>-1.8400000000000027E-2</v>
      </c>
      <c r="K3" s="2">
        <v>6.6909090909091002</v>
      </c>
      <c r="L3" s="5"/>
    </row>
    <row r="4" spans="1:23" ht="15.4" x14ac:dyDescent="0.4">
      <c r="A4" s="1">
        <v>0.14000000000000001</v>
      </c>
      <c r="B4" s="2">
        <v>-4.6599999999999975E-2</v>
      </c>
      <c r="C4" s="2">
        <v>15.533333333333326</v>
      </c>
      <c r="D4" s="5"/>
      <c r="E4" s="40">
        <v>20</v>
      </c>
      <c r="F4" s="2">
        <v>2.320089640900358E-5</v>
      </c>
      <c r="G4" s="2">
        <v>1.0791114608838874E-2</v>
      </c>
      <c r="H4" s="2"/>
      <c r="I4" s="25">
        <v>2.9999999999999997E-8</v>
      </c>
      <c r="J4" s="2">
        <v>-3.4999999999999976E-2</v>
      </c>
      <c r="K4" s="2">
        <v>9.3582887700534698</v>
      </c>
      <c r="L4" s="5"/>
    </row>
    <row r="5" spans="1:23" ht="15.4" x14ac:dyDescent="0.4">
      <c r="A5" s="1">
        <v>0.14000000000000001</v>
      </c>
      <c r="B5" s="2">
        <v>1.7494518518520463E-3</v>
      </c>
      <c r="C5" s="2">
        <v>0.21935310005292344</v>
      </c>
      <c r="D5" s="5"/>
      <c r="E5" s="40">
        <v>20</v>
      </c>
      <c r="F5" s="2">
        <v>-5.4397110815090632E-3</v>
      </c>
      <c r="G5" s="2">
        <v>2.396348494056856</v>
      </c>
      <c r="H5" s="2"/>
      <c r="I5" s="25">
        <v>4.8E-8</v>
      </c>
      <c r="J5" s="2">
        <v>-7.1391900000000064E-2</v>
      </c>
      <c r="K5" s="2">
        <v>11.567212725896121</v>
      </c>
      <c r="L5" s="5"/>
    </row>
    <row r="6" spans="1:23" ht="15.4" x14ac:dyDescent="0.4">
      <c r="A6" s="1">
        <v>0.14000000000000001</v>
      </c>
      <c r="B6" s="2">
        <v>-7.6196000000000041E-2</v>
      </c>
      <c r="C6" s="2">
        <v>8.4166946501475817</v>
      </c>
      <c r="D6" s="5"/>
      <c r="E6" s="40">
        <v>20</v>
      </c>
      <c r="F6" s="2">
        <v>8.548251813557145E-3</v>
      </c>
      <c r="G6" s="2">
        <v>3.6530990656227114</v>
      </c>
      <c r="H6" s="2"/>
      <c r="I6" s="25">
        <v>4.8E-8</v>
      </c>
      <c r="J6" s="2">
        <v>-9.4683400000000084E-2</v>
      </c>
      <c r="K6" s="2">
        <v>15.188630303598089</v>
      </c>
      <c r="L6" s="5"/>
    </row>
    <row r="7" spans="1:23" ht="15.4" x14ac:dyDescent="0.4">
      <c r="A7" s="1">
        <v>0.14000000000000001</v>
      </c>
      <c r="B7" s="2">
        <v>-0.15093152442396329</v>
      </c>
      <c r="C7" s="2">
        <v>14.971412039734014</v>
      </c>
      <c r="D7" s="5"/>
      <c r="E7" s="40">
        <v>20</v>
      </c>
      <c r="F7" s="2">
        <v>-2.3519168875578977E-2</v>
      </c>
      <c r="G7" s="2">
        <v>8.3106603800632435</v>
      </c>
      <c r="H7" s="2"/>
      <c r="I7" s="25">
        <v>4.8E-8</v>
      </c>
      <c r="J7" s="2">
        <v>-0.11109809999999998</v>
      </c>
      <c r="K7" s="2">
        <v>17.730360178238648</v>
      </c>
      <c r="L7" s="5"/>
    </row>
    <row r="8" spans="1:23" ht="15.4" x14ac:dyDescent="0.4">
      <c r="A8" s="1">
        <v>0.14000000000000001</v>
      </c>
      <c r="B8" s="2">
        <v>-0.31756762352941192</v>
      </c>
      <c r="C8" s="2">
        <v>26.429442447575944</v>
      </c>
      <c r="D8" s="5"/>
      <c r="E8" s="40">
        <v>20</v>
      </c>
      <c r="F8" s="2">
        <v>-3.7773147276706831E-2</v>
      </c>
      <c r="G8" s="2">
        <v>9.101963199206466</v>
      </c>
      <c r="H8" s="2"/>
      <c r="I8" s="25">
        <v>4.8E-8</v>
      </c>
      <c r="J8" s="2">
        <v>-0.15732420000000003</v>
      </c>
      <c r="K8" s="2">
        <v>24.580976781815441</v>
      </c>
      <c r="L8" s="5"/>
    </row>
    <row r="9" spans="1:23" ht="15.4" x14ac:dyDescent="0.4">
      <c r="A9" s="1">
        <v>0.14000000000000001</v>
      </c>
      <c r="B9" s="2">
        <v>-0.48856764397905783</v>
      </c>
      <c r="C9" s="2">
        <v>34.945923116319278</v>
      </c>
      <c r="D9" s="5"/>
      <c r="E9" s="40">
        <v>20</v>
      </c>
      <c r="F9" s="2">
        <v>5.072503117531435E-2</v>
      </c>
      <c r="G9" s="2">
        <v>9.222732940966246</v>
      </c>
      <c r="H9" s="2"/>
      <c r="I9" s="25">
        <v>8.0000000000000002E-8</v>
      </c>
      <c r="J9" s="2">
        <v>-2.3738103696754775E-2</v>
      </c>
      <c r="K9" s="2">
        <v>7.9391651159714973</v>
      </c>
      <c r="L9" s="5"/>
    </row>
    <row r="10" spans="1:23" ht="15.4" x14ac:dyDescent="0.4">
      <c r="A10" s="1">
        <v>0.15</v>
      </c>
      <c r="B10" s="2">
        <v>4.3999999999999873E-3</v>
      </c>
      <c r="C10" s="2">
        <v>2.3157894736842035</v>
      </c>
      <c r="D10" s="5"/>
      <c r="E10" s="40">
        <v>20</v>
      </c>
      <c r="F10" s="2">
        <v>0.14022069597864206</v>
      </c>
      <c r="G10" s="2">
        <v>16.914438598147417</v>
      </c>
      <c r="H10" s="2"/>
      <c r="I10" s="25">
        <v>8.0000000000000002E-8</v>
      </c>
      <c r="J10" s="2">
        <v>-2.8170022225944835E-2</v>
      </c>
      <c r="K10" s="2">
        <v>8.2315534527335732</v>
      </c>
      <c r="L10" s="5"/>
    </row>
    <row r="11" spans="1:23" ht="15.4" x14ac:dyDescent="0.4">
      <c r="A11" s="1">
        <v>0.15</v>
      </c>
      <c r="B11" s="2">
        <v>-1.8400000000000027E-2</v>
      </c>
      <c r="C11" s="2">
        <v>6.6909090909091002</v>
      </c>
      <c r="D11" s="5"/>
      <c r="E11" s="40">
        <v>20</v>
      </c>
      <c r="F11" s="2">
        <v>0.40310829442201013</v>
      </c>
      <c r="G11" s="2">
        <v>42.975297912794261</v>
      </c>
      <c r="H11" s="2"/>
      <c r="I11" s="25">
        <v>8.0000000000000002E-8</v>
      </c>
      <c r="J11" s="2">
        <v>0.20338435200120758</v>
      </c>
      <c r="K11" s="2">
        <v>44.504234573568397</v>
      </c>
      <c r="L11" s="5"/>
    </row>
    <row r="12" spans="1:23" ht="15.4" x14ac:dyDescent="0.4">
      <c r="A12" s="1">
        <v>0.15</v>
      </c>
      <c r="B12" s="2">
        <v>-3.4999999999999976E-2</v>
      </c>
      <c r="C12" s="2">
        <v>9.3582887700534698</v>
      </c>
      <c r="D12" s="5"/>
      <c r="E12" s="40">
        <v>20</v>
      </c>
      <c r="F12" s="2">
        <v>0.29510604417618014</v>
      </c>
      <c r="G12" s="2">
        <v>25.931989822159945</v>
      </c>
      <c r="H12" s="2"/>
      <c r="I12" s="25">
        <v>8.0000000000000002E-8</v>
      </c>
      <c r="J12" s="2">
        <v>0.26457635911615984</v>
      </c>
      <c r="K12" s="2">
        <v>35.657191255547147</v>
      </c>
      <c r="L12" s="5"/>
    </row>
    <row r="13" spans="1:23" ht="15.4" x14ac:dyDescent="0.4">
      <c r="A13" s="1">
        <v>0.15</v>
      </c>
      <c r="B13" s="2">
        <v>-8.1956240720404416E-4</v>
      </c>
      <c r="C13" s="2">
        <v>9.2085663730791467E-2</v>
      </c>
      <c r="D13" s="5"/>
      <c r="E13" s="40">
        <v>20</v>
      </c>
      <c r="F13" s="2">
        <v>4.1179533981479999E-2</v>
      </c>
      <c r="G13" s="2">
        <v>2.8537445586611221</v>
      </c>
      <c r="H13" s="2"/>
      <c r="I13" s="25">
        <v>8.0000000000000002E-8</v>
      </c>
      <c r="J13" s="2">
        <v>0.45219999999999994</v>
      </c>
      <c r="K13" s="2">
        <v>42.821969696969688</v>
      </c>
      <c r="L13" s="5"/>
    </row>
    <row r="14" spans="1:23" ht="15.4" x14ac:dyDescent="0.4">
      <c r="A14" s="1">
        <v>0.15</v>
      </c>
      <c r="B14" s="2">
        <v>-1.9365312948993463E-4</v>
      </c>
      <c r="C14" s="2">
        <v>9.4006373538803208E-3</v>
      </c>
      <c r="D14" s="5"/>
      <c r="E14" s="40">
        <v>20</v>
      </c>
      <c r="F14" s="2">
        <v>6.6383027862200183E-3</v>
      </c>
      <c r="G14" s="2">
        <v>0.4338759990993476</v>
      </c>
      <c r="H14" s="2"/>
      <c r="I14" s="25">
        <v>8.0000000000000002E-8</v>
      </c>
      <c r="J14" s="2">
        <v>0.15809999999999991</v>
      </c>
      <c r="K14" s="2">
        <v>10.821355236139624</v>
      </c>
      <c r="L14" s="5"/>
    </row>
    <row r="15" spans="1:23" ht="15.4" x14ac:dyDescent="0.4">
      <c r="A15" s="1">
        <v>0.16500000000000001</v>
      </c>
      <c r="B15" s="2">
        <v>6.0099999999999987E-2</v>
      </c>
      <c r="C15" s="2">
        <v>31.815775542615132</v>
      </c>
      <c r="D15" s="5"/>
      <c r="E15" s="40">
        <v>28</v>
      </c>
      <c r="F15" s="2">
        <v>-0.34476863960298032</v>
      </c>
      <c r="G15" s="2">
        <v>15.391457125133048</v>
      </c>
      <c r="H15" s="2"/>
      <c r="I15" s="25">
        <v>8.0000000000000002E-8</v>
      </c>
      <c r="J15" s="2">
        <v>0.13390000000000013</v>
      </c>
      <c r="K15" s="2">
        <v>8.447949526813888</v>
      </c>
      <c r="L15" s="5"/>
    </row>
    <row r="16" spans="1:23" ht="15.4" x14ac:dyDescent="0.4">
      <c r="A16" s="1">
        <v>0.16500000000000001</v>
      </c>
      <c r="B16" s="2">
        <v>6.2200000000000005E-2</v>
      </c>
      <c r="C16" s="2">
        <v>29.619047619047624</v>
      </c>
      <c r="D16" s="5"/>
      <c r="E16" s="40">
        <v>28</v>
      </c>
      <c r="F16" s="2">
        <v>-6.7532643292089745E-2</v>
      </c>
      <c r="G16" s="2">
        <v>2.312761756578416</v>
      </c>
      <c r="H16" s="2"/>
      <c r="I16" s="25">
        <v>8.0000000000000002E-8</v>
      </c>
      <c r="J16" s="2">
        <v>-0.34476863960298032</v>
      </c>
      <c r="K16" s="2">
        <v>15.391457125133048</v>
      </c>
      <c r="L16" s="5"/>
    </row>
    <row r="17" spans="1:12" ht="15.4" x14ac:dyDescent="0.4">
      <c r="A17" s="1">
        <v>0.16500000000000001</v>
      </c>
      <c r="B17" s="2">
        <v>0.26029999999999998</v>
      </c>
      <c r="C17" s="2">
        <v>46.316725978647675</v>
      </c>
      <c r="D17" s="5"/>
      <c r="E17" s="40">
        <v>28</v>
      </c>
      <c r="F17" s="2">
        <v>0.79350350391711988</v>
      </c>
      <c r="G17" s="2">
        <v>25.031656274988006</v>
      </c>
      <c r="H17" s="2"/>
      <c r="I17" s="25">
        <v>8.0000000000000002E-8</v>
      </c>
      <c r="J17" s="2">
        <v>-6.7532643292089745E-2</v>
      </c>
      <c r="K17" s="2">
        <v>2.312761756578416</v>
      </c>
      <c r="L17" s="5"/>
    </row>
    <row r="18" spans="1:12" ht="15.4" x14ac:dyDescent="0.4">
      <c r="A18" s="1">
        <v>0.16500000000000001</v>
      </c>
      <c r="B18" s="2">
        <v>-0.14690000000000003</v>
      </c>
      <c r="C18" s="2">
        <v>32.644444444444446</v>
      </c>
      <c r="D18" s="5"/>
      <c r="E18" s="40">
        <v>28</v>
      </c>
      <c r="F18" s="2">
        <v>-9.7254126469437097E-5</v>
      </c>
      <c r="G18" s="2">
        <v>1.7122205364337518E-3</v>
      </c>
      <c r="H18" s="2"/>
      <c r="I18" s="25">
        <v>8.0000000000000002E-8</v>
      </c>
      <c r="J18" s="2">
        <v>0.79350350391711988</v>
      </c>
      <c r="K18" s="2">
        <v>25.031656274988006</v>
      </c>
      <c r="L18" s="5"/>
    </row>
    <row r="19" spans="1:12" ht="15.4" x14ac:dyDescent="0.4">
      <c r="A19" s="1">
        <v>0.16500000000000001</v>
      </c>
      <c r="B19" s="2">
        <v>-0.13570000000000004</v>
      </c>
      <c r="C19" s="2">
        <v>12.313974591651546</v>
      </c>
      <c r="D19" s="5"/>
      <c r="E19" s="40">
        <v>30</v>
      </c>
      <c r="F19" s="2">
        <v>3.1199999999999978E-2</v>
      </c>
      <c r="G19" s="2">
        <v>18.352941176470576</v>
      </c>
      <c r="H19" s="2"/>
      <c r="I19" s="25">
        <v>8.0000000000000002E-8</v>
      </c>
      <c r="J19" s="2">
        <v>-9.7254126469437097E-5</v>
      </c>
      <c r="K19" s="2">
        <v>1.7122205364337518E-3</v>
      </c>
      <c r="L19" s="5"/>
    </row>
    <row r="20" spans="1:12" ht="15.4" x14ac:dyDescent="0.4">
      <c r="A20" s="1">
        <v>0.19</v>
      </c>
      <c r="B20" s="2">
        <v>7.9950971956306849E-3</v>
      </c>
      <c r="C20" s="2">
        <v>4.2302101564183525</v>
      </c>
      <c r="D20" s="5"/>
      <c r="E20" s="40">
        <v>30</v>
      </c>
      <c r="F20" s="2">
        <v>1.7199999999999993E-2</v>
      </c>
      <c r="G20" s="2">
        <v>7.8181818181818148</v>
      </c>
      <c r="H20" s="2"/>
      <c r="I20" s="25">
        <v>9.9999999999999995E-8</v>
      </c>
      <c r="J20" s="2">
        <v>0.43583442384654913</v>
      </c>
      <c r="K20" s="2">
        <v>56.528459642872775</v>
      </c>
      <c r="L20" s="5"/>
    </row>
    <row r="21" spans="1:12" ht="15.4" x14ac:dyDescent="0.4">
      <c r="A21" s="1">
        <v>0.19</v>
      </c>
      <c r="B21" s="2">
        <v>1.4939475408104752E-3</v>
      </c>
      <c r="C21" s="2">
        <v>0.73232722588748789</v>
      </c>
      <c r="D21" s="5"/>
      <c r="E21" s="40">
        <v>30</v>
      </c>
      <c r="F21" s="2">
        <v>-4.6599999999999975E-2</v>
      </c>
      <c r="G21" s="2">
        <v>15.533333333333326</v>
      </c>
      <c r="H21" s="2"/>
      <c r="I21" s="25">
        <v>9.9999999999999995E-8</v>
      </c>
      <c r="J21" s="2">
        <v>3.3300000000000107E-2</v>
      </c>
      <c r="K21" s="2">
        <v>2.1864740643466911</v>
      </c>
      <c r="L21" s="5"/>
    </row>
    <row r="22" spans="1:12" ht="15.4" x14ac:dyDescent="0.4">
      <c r="A22" s="1">
        <v>0.19</v>
      </c>
      <c r="B22" s="2">
        <v>2.320089640900358E-5</v>
      </c>
      <c r="C22" s="2">
        <v>1.0791114608838874E-2</v>
      </c>
      <c r="D22" s="5"/>
      <c r="E22" s="40">
        <v>30</v>
      </c>
      <c r="F22" s="2">
        <v>1.7494518518520463E-3</v>
      </c>
      <c r="G22" s="2">
        <v>0.21935310005292344</v>
      </c>
      <c r="H22" s="2"/>
      <c r="I22" s="25">
        <v>9.9999999999999995E-8</v>
      </c>
      <c r="J22" s="2">
        <v>-0.23420000000000019</v>
      </c>
      <c r="K22" s="2">
        <v>12.755991285403059</v>
      </c>
      <c r="L22" s="5"/>
    </row>
    <row r="23" spans="1:12" ht="15.4" x14ac:dyDescent="0.4">
      <c r="A23" s="1">
        <v>0.19</v>
      </c>
      <c r="B23" s="2">
        <v>-5.4397110815090632E-3</v>
      </c>
      <c r="C23" s="2">
        <v>2.396348494056856</v>
      </c>
      <c r="D23" s="5"/>
      <c r="E23" s="40">
        <v>30</v>
      </c>
      <c r="F23" s="2">
        <v>-7.6196000000000041E-2</v>
      </c>
      <c r="G23" s="2">
        <v>8.4166946501475817</v>
      </c>
      <c r="H23" s="2"/>
      <c r="I23" s="25">
        <v>1.9999999999999999E-7</v>
      </c>
      <c r="J23" s="2">
        <v>3.1199999999999978E-2</v>
      </c>
      <c r="K23" s="2">
        <v>18.352941176470576</v>
      </c>
      <c r="L23" s="5"/>
    </row>
    <row r="24" spans="1:12" ht="15.4" x14ac:dyDescent="0.4">
      <c r="A24" s="1">
        <v>0.19</v>
      </c>
      <c r="B24" s="2">
        <v>8.548251813557145E-3</v>
      </c>
      <c r="C24" s="2">
        <v>3.6530990656227114</v>
      </c>
      <c r="D24" s="5"/>
      <c r="E24" s="40">
        <v>30</v>
      </c>
      <c r="F24" s="2">
        <v>-0.15093152442396329</v>
      </c>
      <c r="G24" s="2">
        <v>14.971412039734014</v>
      </c>
      <c r="H24" s="2"/>
      <c r="I24" s="25">
        <v>1.9999999999999999E-7</v>
      </c>
      <c r="J24" s="2">
        <v>1.7199999999999993E-2</v>
      </c>
      <c r="K24" s="2">
        <v>7.8181818181818148</v>
      </c>
      <c r="L24" s="5"/>
    </row>
    <row r="25" spans="1:12" ht="15.4" x14ac:dyDescent="0.4">
      <c r="A25" s="1">
        <v>0.19</v>
      </c>
      <c r="B25" s="2">
        <v>-2.3519168875578977E-2</v>
      </c>
      <c r="C25" s="2">
        <v>8.3106603800632435</v>
      </c>
      <c r="D25" s="5"/>
      <c r="E25" s="40">
        <v>30</v>
      </c>
      <c r="F25" s="2">
        <v>-0.31756762352941192</v>
      </c>
      <c r="G25" s="2">
        <v>26.429442447575944</v>
      </c>
      <c r="H25" s="2"/>
      <c r="I25" s="25">
        <v>1.9999999999999999E-7</v>
      </c>
      <c r="J25" s="2">
        <v>-4.6599999999999975E-2</v>
      </c>
      <c r="K25" s="2">
        <v>15.533333333333326</v>
      </c>
      <c r="L25" s="5"/>
    </row>
    <row r="26" spans="1:12" ht="15.4" x14ac:dyDescent="0.4">
      <c r="A26" s="1">
        <v>0.19</v>
      </c>
      <c r="B26" s="2">
        <v>-3.7773147276706831E-2</v>
      </c>
      <c r="C26" s="2">
        <v>9.101963199206466</v>
      </c>
      <c r="D26" s="5"/>
      <c r="E26" s="40">
        <v>30</v>
      </c>
      <c r="F26" s="2">
        <v>-0.48856764397905783</v>
      </c>
      <c r="G26" s="2">
        <v>34.945923116319278</v>
      </c>
      <c r="H26" s="2"/>
      <c r="I26" s="25">
        <v>3.9999999999999998E-7</v>
      </c>
      <c r="J26" s="2">
        <v>7.9950971956306849E-3</v>
      </c>
      <c r="K26" s="2">
        <v>4.2302101564183525</v>
      </c>
      <c r="L26" s="5"/>
    </row>
    <row r="27" spans="1:12" ht="15.4" x14ac:dyDescent="0.4">
      <c r="A27" s="1">
        <v>0.19</v>
      </c>
      <c r="B27" s="2">
        <v>5.072503117531435E-2</v>
      </c>
      <c r="C27" s="2">
        <v>9.222732940966246</v>
      </c>
      <c r="D27" s="5"/>
      <c r="E27" s="40">
        <v>30</v>
      </c>
      <c r="F27" s="2">
        <v>4.3999999999999873E-3</v>
      </c>
      <c r="G27" s="2">
        <v>2.3157894736842035</v>
      </c>
      <c r="H27" s="2"/>
      <c r="I27" s="25">
        <v>3.9999999999999998E-7</v>
      </c>
      <c r="J27" s="2">
        <v>1.4939475408104752E-3</v>
      </c>
      <c r="K27" s="2">
        <v>0.73232722588748789</v>
      </c>
      <c r="L27" s="5"/>
    </row>
    <row r="28" spans="1:12" ht="15.4" x14ac:dyDescent="0.4">
      <c r="A28" s="1">
        <v>0.19</v>
      </c>
      <c r="B28" s="2">
        <v>0.14022069597864206</v>
      </c>
      <c r="C28" s="2">
        <v>16.914438598147417</v>
      </c>
      <c r="D28" s="5"/>
      <c r="E28" s="40">
        <v>30</v>
      </c>
      <c r="F28" s="2">
        <v>-1.8400000000000027E-2</v>
      </c>
      <c r="G28" s="2">
        <v>6.6909090909091002</v>
      </c>
      <c r="H28" s="2"/>
      <c r="I28" s="25">
        <v>3.9999999999999998E-7</v>
      </c>
      <c r="J28" s="2">
        <v>2.320089640900358E-5</v>
      </c>
      <c r="K28" s="2">
        <v>1.0791114608838874E-2</v>
      </c>
      <c r="L28" s="5"/>
    </row>
    <row r="29" spans="1:12" ht="15.4" x14ac:dyDescent="0.4">
      <c r="A29" s="1">
        <v>0.19</v>
      </c>
      <c r="B29" s="2">
        <v>0.40310829442201013</v>
      </c>
      <c r="C29" s="2">
        <v>42.975297912794261</v>
      </c>
      <c r="D29" s="5"/>
      <c r="E29" s="40">
        <v>30</v>
      </c>
      <c r="F29" s="2">
        <v>-3.4999999999999976E-2</v>
      </c>
      <c r="G29" s="2">
        <v>9.3582887700534698</v>
      </c>
      <c r="H29" s="2"/>
      <c r="I29" s="25">
        <v>3.9999999999999998E-7</v>
      </c>
      <c r="J29" s="2">
        <v>-5.4397110815090632E-3</v>
      </c>
      <c r="K29" s="2">
        <v>2.396348494056856</v>
      </c>
      <c r="L29" s="5"/>
    </row>
    <row r="30" spans="1:12" ht="15.4" x14ac:dyDescent="0.4">
      <c r="A30" s="1">
        <v>0.19</v>
      </c>
      <c r="B30" s="2">
        <v>0.29510604417618014</v>
      </c>
      <c r="C30" s="2">
        <v>25.931989822159945</v>
      </c>
      <c r="D30" s="5"/>
      <c r="E30" s="40">
        <v>30</v>
      </c>
      <c r="F30" s="2">
        <v>-8.1956240720404416E-4</v>
      </c>
      <c r="G30" s="2">
        <v>9.2085663730791467E-2</v>
      </c>
      <c r="H30" s="2"/>
      <c r="I30" s="25">
        <v>3.9999999999999998E-7</v>
      </c>
      <c r="J30" s="2">
        <v>8.548251813557145E-3</v>
      </c>
      <c r="K30" s="2">
        <v>3.6530990656227114</v>
      </c>
      <c r="L30" s="5"/>
    </row>
    <row r="31" spans="1:12" ht="15.4" x14ac:dyDescent="0.4">
      <c r="A31" s="1">
        <v>0.19</v>
      </c>
      <c r="B31" s="2">
        <v>4.1179533981479999E-2</v>
      </c>
      <c r="C31" s="2">
        <v>2.8537445586611221</v>
      </c>
      <c r="D31" s="5"/>
      <c r="E31" s="40">
        <v>30</v>
      </c>
      <c r="F31" s="2">
        <v>-1.9365312948993463E-4</v>
      </c>
      <c r="G31" s="2">
        <v>9.4006373538803208E-3</v>
      </c>
      <c r="H31" s="2"/>
      <c r="I31" s="25">
        <v>3.9999999999999998E-7</v>
      </c>
      <c r="J31" s="2">
        <v>-2.3519168875578977E-2</v>
      </c>
      <c r="K31" s="2">
        <v>8.3106603800632435</v>
      </c>
      <c r="L31" s="5"/>
    </row>
    <row r="32" spans="1:12" ht="15.4" x14ac:dyDescent="0.4">
      <c r="A32" s="1">
        <v>0.19</v>
      </c>
      <c r="B32" s="2">
        <v>6.6383027862200183E-3</v>
      </c>
      <c r="C32" s="2">
        <v>0.4338759990993476</v>
      </c>
      <c r="D32" s="5"/>
      <c r="E32" s="40">
        <v>30</v>
      </c>
      <c r="F32" s="2">
        <v>6.2200000000000005E-2</v>
      </c>
      <c r="G32" s="2">
        <v>29.619047619047624</v>
      </c>
      <c r="H32" s="2"/>
      <c r="I32" s="25">
        <v>3.9999999999999998E-7</v>
      </c>
      <c r="J32" s="2">
        <v>-3.7773147276706831E-2</v>
      </c>
      <c r="K32" s="2">
        <v>9.101963199206466</v>
      </c>
      <c r="L32" s="5"/>
    </row>
    <row r="33" spans="1:12" ht="15.4" x14ac:dyDescent="0.4">
      <c r="A33" s="1">
        <v>0.2</v>
      </c>
      <c r="B33" s="2">
        <v>1.21E-2</v>
      </c>
      <c r="C33" s="2">
        <v>5.2608695652173907</v>
      </c>
      <c r="D33" s="5"/>
      <c r="E33" s="40">
        <v>30</v>
      </c>
      <c r="F33" s="2">
        <v>-0.14690000000000003</v>
      </c>
      <c r="G33" s="2">
        <v>32.644444444444446</v>
      </c>
      <c r="H33" s="2"/>
      <c r="I33" s="25">
        <v>3.9999999999999998E-7</v>
      </c>
      <c r="J33" s="2">
        <v>5.072503117531435E-2</v>
      </c>
      <c r="K33" s="2">
        <v>9.222732940966246</v>
      </c>
      <c r="L33" s="5"/>
    </row>
    <row r="34" spans="1:12" ht="15.4" x14ac:dyDescent="0.4">
      <c r="A34" s="1">
        <v>0.2</v>
      </c>
      <c r="B34" s="2">
        <v>2.2292703562212801E-4</v>
      </c>
      <c r="C34" s="2">
        <v>9.8205742564814097E-2</v>
      </c>
      <c r="D34" s="5"/>
      <c r="E34" s="40">
        <v>30</v>
      </c>
      <c r="F34" s="2">
        <v>1.6699999999999993E-2</v>
      </c>
      <c r="G34" s="2">
        <v>6.3257575757575717</v>
      </c>
      <c r="H34" s="2"/>
      <c r="I34" s="25">
        <v>3.9999999999999998E-7</v>
      </c>
      <c r="J34" s="2">
        <v>0.14022069597864206</v>
      </c>
      <c r="K34" s="2">
        <v>16.914438598147417</v>
      </c>
      <c r="L34" s="5"/>
    </row>
    <row r="35" spans="1:12" ht="15.4" x14ac:dyDescent="0.4">
      <c r="A35" s="1">
        <v>0.2</v>
      </c>
      <c r="B35" s="2">
        <v>1.7699999999999994E-2</v>
      </c>
      <c r="C35" s="2">
        <v>6.5555555555555536</v>
      </c>
      <c r="D35" s="5"/>
      <c r="E35" s="40">
        <v>30</v>
      </c>
      <c r="F35" s="2">
        <v>1.8399999999999972E-2</v>
      </c>
      <c r="G35" s="2">
        <v>5.6965944272445732</v>
      </c>
      <c r="H35" s="2"/>
      <c r="I35" s="25">
        <v>3.9999999999999998E-7</v>
      </c>
      <c r="J35" s="2">
        <v>0.40310829442201013</v>
      </c>
      <c r="K35" s="2">
        <v>42.975297912794261</v>
      </c>
      <c r="L35" s="5"/>
    </row>
    <row r="36" spans="1:12" ht="15.4" x14ac:dyDescent="0.4">
      <c r="A36" s="1">
        <v>0.2</v>
      </c>
      <c r="B36" s="2">
        <v>2.9000000000000026E-2</v>
      </c>
      <c r="C36" s="2">
        <v>9.3548387096774288</v>
      </c>
      <c r="D36" s="5"/>
      <c r="E36" s="40">
        <v>30</v>
      </c>
      <c r="F36" s="2">
        <v>-2.6200000000000001E-2</v>
      </c>
      <c r="G36" s="2">
        <v>6.5336658354114716</v>
      </c>
      <c r="H36" s="2"/>
      <c r="I36" s="25">
        <v>3.9999999999999998E-7</v>
      </c>
      <c r="J36" s="2">
        <v>0.29510604417618014</v>
      </c>
      <c r="K36" s="2">
        <v>25.931989822159945</v>
      </c>
      <c r="L36" s="5"/>
    </row>
    <row r="37" spans="1:12" ht="15.4" x14ac:dyDescent="0.4">
      <c r="A37" s="1">
        <v>0.2</v>
      </c>
      <c r="B37" s="2">
        <v>-4.8447338883500612E-2</v>
      </c>
      <c r="C37" s="2">
        <v>15.678750447734826</v>
      </c>
      <c r="D37" s="5"/>
      <c r="E37" s="40">
        <v>30</v>
      </c>
      <c r="F37" s="2">
        <v>-7.3899999999999966E-2</v>
      </c>
      <c r="G37" s="2">
        <v>15.723404255319142</v>
      </c>
      <c r="H37" s="2"/>
      <c r="I37" s="25">
        <v>3.9999999999999998E-7</v>
      </c>
      <c r="J37" s="2">
        <v>4.1179533981479999E-2</v>
      </c>
      <c r="K37" s="2">
        <v>2.8537445586611221</v>
      </c>
      <c r="L37" s="5"/>
    </row>
    <row r="38" spans="1:12" ht="15.4" x14ac:dyDescent="0.4">
      <c r="A38" s="1">
        <v>0.2</v>
      </c>
      <c r="B38" s="2">
        <v>0.12289999999999995</v>
      </c>
      <c r="C38" s="2">
        <v>27.311111111111103</v>
      </c>
      <c r="D38" s="5"/>
      <c r="E38" s="40">
        <v>30</v>
      </c>
      <c r="F38" s="2">
        <v>-0.20090000000000002</v>
      </c>
      <c r="G38" s="2">
        <v>32.351046698872786</v>
      </c>
      <c r="H38" s="2"/>
      <c r="I38" s="25">
        <v>3.9999999999999998E-7</v>
      </c>
      <c r="J38" s="2">
        <v>6.6383027862200183E-3</v>
      </c>
      <c r="K38" s="2">
        <v>0.4338759990993476</v>
      </c>
      <c r="L38" s="5"/>
    </row>
    <row r="39" spans="1:12" ht="15.4" x14ac:dyDescent="0.4">
      <c r="A39" s="1">
        <v>0.2</v>
      </c>
      <c r="B39" s="2">
        <v>5.6899999999999951E-2</v>
      </c>
      <c r="C39" s="2">
        <v>16.735294117647044</v>
      </c>
      <c r="D39" s="5"/>
      <c r="E39" s="40">
        <v>30</v>
      </c>
      <c r="F39" s="2">
        <v>9.5108994708994643E-2</v>
      </c>
      <c r="G39" s="2">
        <v>38.773943054357169</v>
      </c>
      <c r="H39" s="2"/>
      <c r="I39" s="25">
        <v>3.9999999999999998E-7</v>
      </c>
      <c r="J39" s="2">
        <v>0.33171128766706337</v>
      </c>
      <c r="K39" s="2">
        <v>18.740750715653299</v>
      </c>
      <c r="L39" s="5"/>
    </row>
    <row r="40" spans="1:12" ht="15.4" x14ac:dyDescent="0.4">
      <c r="A40" s="1">
        <v>0.2</v>
      </c>
      <c r="B40" s="2">
        <v>2.0022942817841116E-3</v>
      </c>
      <c r="C40" s="2">
        <v>0.57208408050974624</v>
      </c>
      <c r="D40" s="5"/>
      <c r="E40" s="40">
        <v>30</v>
      </c>
      <c r="F40" s="2">
        <v>5.5816961235704954E-2</v>
      </c>
      <c r="G40" s="2">
        <v>21.686340134798368</v>
      </c>
      <c r="H40" s="2"/>
      <c r="I40" s="25">
        <v>3.9999999999999998E-7</v>
      </c>
      <c r="J40" s="2">
        <v>0.32064474430343815</v>
      </c>
      <c r="K40" s="2">
        <v>13.586641707772804</v>
      </c>
      <c r="L40" s="5"/>
    </row>
    <row r="41" spans="1:12" ht="15.4" x14ac:dyDescent="0.4">
      <c r="A41" s="1">
        <v>0.2</v>
      </c>
      <c r="B41" s="2">
        <v>7.6200000000000045E-2</v>
      </c>
      <c r="C41" s="2">
        <v>21.771428571428586</v>
      </c>
      <c r="D41" s="5"/>
      <c r="E41" s="40">
        <v>30</v>
      </c>
      <c r="F41" s="2">
        <v>0.13299327213131362</v>
      </c>
      <c r="G41" s="2">
        <v>38.251309416933417</v>
      </c>
      <c r="H41" s="2"/>
      <c r="I41" s="25">
        <v>3.9999999999999998E-7</v>
      </c>
      <c r="J41" s="2">
        <v>1.0623807091287838</v>
      </c>
      <c r="K41" s="2">
        <v>34.605234825041819</v>
      </c>
      <c r="L41" s="5"/>
    </row>
    <row r="42" spans="1:12" ht="15.4" x14ac:dyDescent="0.4">
      <c r="A42" s="1">
        <v>0.2</v>
      </c>
      <c r="B42" s="2">
        <v>7.8600000000000003E-2</v>
      </c>
      <c r="C42" s="2">
        <v>21.833333333333336</v>
      </c>
      <c r="D42" s="5"/>
      <c r="E42" s="40">
        <v>30</v>
      </c>
      <c r="F42" s="2">
        <v>7.1285714285714286E-3</v>
      </c>
      <c r="G42" s="2">
        <v>2.1054852320675104</v>
      </c>
      <c r="H42" s="2"/>
      <c r="I42" s="25">
        <v>3.9999999999999998E-7</v>
      </c>
      <c r="J42" s="2">
        <v>1.6590000000000007</v>
      </c>
      <c r="K42" s="2">
        <v>40.463414634146361</v>
      </c>
      <c r="L42" s="5"/>
    </row>
    <row r="43" spans="1:12" ht="15.4" x14ac:dyDescent="0.4">
      <c r="A43" s="1">
        <v>0.2</v>
      </c>
      <c r="B43" s="2">
        <v>-1.8199999999999994E-2</v>
      </c>
      <c r="C43" s="2">
        <v>1.91578947368421</v>
      </c>
      <c r="D43" s="5"/>
      <c r="E43" s="40">
        <v>30</v>
      </c>
      <c r="F43" s="2">
        <v>0.11503041825095051</v>
      </c>
      <c r="G43" s="2">
        <v>18.674691358024678</v>
      </c>
      <c r="H43" s="2"/>
      <c r="I43" s="25">
        <v>3.9999999999999998E-7</v>
      </c>
      <c r="J43" s="2">
        <v>1.1109</v>
      </c>
      <c r="K43" s="2">
        <v>21.654970760233919</v>
      </c>
      <c r="L43" s="5"/>
    </row>
    <row r="44" spans="1:12" ht="15.4" x14ac:dyDescent="0.4">
      <c r="A44" s="1">
        <v>0.2</v>
      </c>
      <c r="B44" s="2">
        <v>2.6601673538431014E-2</v>
      </c>
      <c r="C44" s="2">
        <v>4.9909331216568509</v>
      </c>
      <c r="D44" s="5"/>
      <c r="E44" s="40">
        <v>30</v>
      </c>
      <c r="F44" s="2">
        <v>-0.10730833333333334</v>
      </c>
      <c r="G44" s="2">
        <v>22.821444395214886</v>
      </c>
      <c r="H44" s="2"/>
      <c r="I44" s="25">
        <v>3.9999999999999998E-7</v>
      </c>
      <c r="J44" s="2">
        <v>-0.17609999999999992</v>
      </c>
      <c r="K44" s="2">
        <v>2.6521084337349388</v>
      </c>
      <c r="L44" s="5"/>
    </row>
    <row r="45" spans="1:12" ht="15.4" x14ac:dyDescent="0.4">
      <c r="A45" s="1">
        <v>0.2</v>
      </c>
      <c r="B45" s="2">
        <v>0.14721543868686404</v>
      </c>
      <c r="C45" s="2">
        <v>23.074520170354866</v>
      </c>
      <c r="D45" s="5"/>
      <c r="E45" s="40">
        <v>30</v>
      </c>
      <c r="F45" s="2">
        <v>-7.5627272727272765E-2</v>
      </c>
      <c r="G45" s="2">
        <v>8.6656250000000039</v>
      </c>
      <c r="H45" s="2"/>
      <c r="I45" s="25">
        <v>3.9999999999999998E-7</v>
      </c>
      <c r="J45" s="2">
        <v>-0.40300000000000047</v>
      </c>
      <c r="K45" s="2">
        <v>5.692090395480232</v>
      </c>
      <c r="L45" s="5"/>
    </row>
    <row r="46" spans="1:12" ht="15.4" x14ac:dyDescent="0.4">
      <c r="A46" s="1">
        <v>0.2</v>
      </c>
      <c r="B46" s="2">
        <v>0.36309999999999998</v>
      </c>
      <c r="C46" s="2">
        <v>48.413333333333327</v>
      </c>
      <c r="D46" s="5"/>
      <c r="E46" s="40">
        <v>30</v>
      </c>
      <c r="F46" s="2">
        <v>-0.29092830188679236</v>
      </c>
      <c r="G46" s="2">
        <v>43.130629370629364</v>
      </c>
      <c r="H46" s="2"/>
      <c r="I46" s="25">
        <v>3.9999999999999998E-7</v>
      </c>
      <c r="J46" s="2">
        <v>-1.5186000000000002</v>
      </c>
      <c r="K46" s="2">
        <v>18.078571428571429</v>
      </c>
      <c r="L46" s="5"/>
    </row>
    <row r="47" spans="1:12" ht="15.4" x14ac:dyDescent="0.4">
      <c r="A47" s="1">
        <v>0.2</v>
      </c>
      <c r="B47" s="2">
        <v>-0.59579999999999989</v>
      </c>
      <c r="C47" s="2">
        <v>36.329268292682919</v>
      </c>
      <c r="D47" s="5"/>
      <c r="E47" s="40">
        <v>30</v>
      </c>
      <c r="F47" s="2">
        <v>-0.25007022900763354</v>
      </c>
      <c r="G47" s="2">
        <v>22.592551724137927</v>
      </c>
      <c r="H47" s="2"/>
      <c r="I47" s="25">
        <v>3.9999999999999998E-7</v>
      </c>
      <c r="J47" s="2">
        <v>-2.9217000000000004</v>
      </c>
      <c r="K47" s="2">
        <v>29.217000000000006</v>
      </c>
      <c r="L47" s="5"/>
    </row>
    <row r="48" spans="1:12" ht="15.4" x14ac:dyDescent="0.4">
      <c r="A48" s="1">
        <v>0.2</v>
      </c>
      <c r="B48" s="2">
        <v>0.32579999999999998</v>
      </c>
      <c r="C48" s="2">
        <v>38.785714285714285</v>
      </c>
      <c r="D48" s="5"/>
      <c r="E48" s="40">
        <v>30</v>
      </c>
      <c r="F48" s="2">
        <v>-0.45704509803921572</v>
      </c>
      <c r="G48" s="2">
        <v>52.975681818181819</v>
      </c>
      <c r="H48" s="2"/>
      <c r="I48" s="25">
        <v>3.9999999999999998E-7</v>
      </c>
      <c r="J48" s="2">
        <v>-4.6304000000000007</v>
      </c>
      <c r="K48" s="2">
        <v>38.91092436974791</v>
      </c>
      <c r="L48" s="5"/>
    </row>
    <row r="49" spans="1:12" ht="15.4" x14ac:dyDescent="0.4">
      <c r="A49" s="1">
        <v>0.2</v>
      </c>
      <c r="B49" s="2">
        <v>0.18084344045800993</v>
      </c>
      <c r="C49" s="2">
        <v>17.557615578447567</v>
      </c>
      <c r="D49" s="5"/>
      <c r="E49" s="40">
        <v>30</v>
      </c>
      <c r="F49" s="2">
        <v>1.1300000000000032E-2</v>
      </c>
      <c r="G49" s="2">
        <v>3.1215469613259756</v>
      </c>
      <c r="H49" s="2"/>
      <c r="I49" s="25">
        <v>4.9999999999999998E-7</v>
      </c>
      <c r="J49" s="2">
        <v>-3.4867935891940038E-2</v>
      </c>
      <c r="K49" s="2">
        <v>6.7704729887262216</v>
      </c>
      <c r="L49" s="5"/>
    </row>
    <row r="50" spans="1:12" ht="15.4" x14ac:dyDescent="0.4">
      <c r="A50" s="1">
        <v>0.2</v>
      </c>
      <c r="B50" s="2">
        <v>0.12490000000000001</v>
      </c>
      <c r="C50" s="2">
        <v>11.458715596330276</v>
      </c>
      <c r="D50" s="5"/>
      <c r="E50" s="40">
        <v>30</v>
      </c>
      <c r="F50" s="2">
        <v>-3.2000000000000361E-3</v>
      </c>
      <c r="G50" s="2">
        <v>0.68965517241380092</v>
      </c>
      <c r="H50" s="2"/>
      <c r="I50" s="25">
        <v>4.9999999999999998E-7</v>
      </c>
      <c r="J50" s="2">
        <v>-0.30671765703945997</v>
      </c>
      <c r="K50" s="2">
        <v>36.084430239936466</v>
      </c>
      <c r="L50" s="5"/>
    </row>
    <row r="51" spans="1:12" ht="15.4" x14ac:dyDescent="0.4">
      <c r="A51" s="1">
        <v>0.2</v>
      </c>
      <c r="B51" s="2">
        <v>-1.4313999999999998</v>
      </c>
      <c r="C51" s="2">
        <v>55.696498054474709</v>
      </c>
      <c r="D51" s="5"/>
      <c r="E51" s="40">
        <v>30</v>
      </c>
      <c r="F51" s="2">
        <v>1.4000000000000012E-2</v>
      </c>
      <c r="G51" s="2">
        <v>2.4734982332155502</v>
      </c>
      <c r="H51" s="2"/>
      <c r="I51" s="25">
        <v>4.9999999999999998E-7</v>
      </c>
      <c r="J51" s="2">
        <v>-0.80869179950215897</v>
      </c>
      <c r="K51" s="2">
        <v>56.551874091060071</v>
      </c>
      <c r="L51" s="5"/>
    </row>
    <row r="52" spans="1:12" ht="15.4" x14ac:dyDescent="0.4">
      <c r="A52" s="1">
        <v>0.2</v>
      </c>
      <c r="B52" s="2">
        <v>0.43583442384654913</v>
      </c>
      <c r="C52" s="2">
        <v>56.528459642872775</v>
      </c>
      <c r="D52" s="5"/>
      <c r="E52" s="40">
        <v>30</v>
      </c>
      <c r="F52" s="2">
        <v>4.7800000000000065E-2</v>
      </c>
      <c r="G52" s="2">
        <v>6.8481375358166288</v>
      </c>
      <c r="H52" s="2"/>
      <c r="I52" s="25">
        <v>9.9999999999999995E-7</v>
      </c>
      <c r="J52" s="2">
        <v>0.36309999999999998</v>
      </c>
      <c r="K52" s="2">
        <v>48.413333333333327</v>
      </c>
      <c r="L52" s="5"/>
    </row>
    <row r="53" spans="1:12" ht="15.4" x14ac:dyDescent="0.4">
      <c r="A53" s="1">
        <v>0.2</v>
      </c>
      <c r="B53" s="2">
        <v>0.10472000000000015</v>
      </c>
      <c r="C53" s="2">
        <v>9.9009152106497389</v>
      </c>
      <c r="D53" s="5"/>
      <c r="E53" s="40">
        <v>30</v>
      </c>
      <c r="F53" s="2">
        <v>-0.45179999999999998</v>
      </c>
      <c r="G53" s="2">
        <v>30.881749829118249</v>
      </c>
      <c r="H53" s="2"/>
      <c r="I53" s="25">
        <v>9.9999999999999995E-7</v>
      </c>
      <c r="J53" s="2">
        <v>0.32579999999999998</v>
      </c>
      <c r="K53" s="2">
        <v>38.785714285714285</v>
      </c>
      <c r="L53" s="5"/>
    </row>
    <row r="54" spans="1:12" ht="15.4" x14ac:dyDescent="0.4">
      <c r="A54" s="1">
        <v>0.2</v>
      </c>
      <c r="B54" s="2">
        <v>0.1008</v>
      </c>
      <c r="C54" s="2">
        <v>8.6896551724137936</v>
      </c>
      <c r="D54" s="5"/>
      <c r="E54" s="40">
        <v>30</v>
      </c>
      <c r="F54" s="2">
        <v>-0.74120000000000008</v>
      </c>
      <c r="G54" s="2">
        <v>39.806659505907625</v>
      </c>
      <c r="H54" s="2"/>
      <c r="I54" s="25">
        <v>9.9999999999999995E-7</v>
      </c>
      <c r="J54" s="2">
        <v>0.12490000000000001</v>
      </c>
      <c r="K54" s="2">
        <v>11.458715596330276</v>
      </c>
      <c r="L54" s="5"/>
    </row>
    <row r="55" spans="1:12" ht="15.4" x14ac:dyDescent="0.4">
      <c r="A55" s="1">
        <v>0.2</v>
      </c>
      <c r="B55" s="2">
        <v>-0.37268114727307999</v>
      </c>
      <c r="C55" s="2">
        <v>22.117575505820771</v>
      </c>
      <c r="D55" s="5"/>
      <c r="E55" s="40">
        <v>30</v>
      </c>
      <c r="F55" s="2">
        <v>-6.4197009915750169E-3</v>
      </c>
      <c r="G55" s="2">
        <v>1.5034428551697934</v>
      </c>
      <c r="H55" s="2"/>
      <c r="I55" s="25">
        <v>9.9999999999999995E-7</v>
      </c>
      <c r="J55" s="2">
        <v>0.1008</v>
      </c>
      <c r="K55" s="2">
        <v>8.6896551724137936</v>
      </c>
      <c r="L55" s="5"/>
    </row>
    <row r="56" spans="1:12" ht="15.4" x14ac:dyDescent="0.4">
      <c r="A56" s="1">
        <v>0.2</v>
      </c>
      <c r="B56" s="2">
        <v>-7.5799999999999867E-2</v>
      </c>
      <c r="C56" s="2">
        <v>5.4927536231883973</v>
      </c>
      <c r="D56" s="5"/>
      <c r="E56" s="40">
        <v>30</v>
      </c>
      <c r="F56" s="2">
        <v>-1.0248574787910025E-2</v>
      </c>
      <c r="G56" s="2">
        <v>2.2724112611773895</v>
      </c>
      <c r="H56" s="2"/>
      <c r="I56" s="25">
        <v>9.9999999999999995E-7</v>
      </c>
      <c r="J56" s="2">
        <v>-7.5799999999999867E-2</v>
      </c>
      <c r="K56" s="2">
        <v>5.4927536231883973</v>
      </c>
      <c r="L56" s="5"/>
    </row>
    <row r="57" spans="1:12" ht="15.4" x14ac:dyDescent="0.4">
      <c r="A57" s="1">
        <v>0.2</v>
      </c>
      <c r="B57" s="2">
        <v>3.3300000000000107E-2</v>
      </c>
      <c r="C57" s="2">
        <v>2.1864740643466911</v>
      </c>
      <c r="D57" s="5"/>
      <c r="E57" s="40">
        <v>30</v>
      </c>
      <c r="F57" s="2">
        <v>-1.7446392370787989E-2</v>
      </c>
      <c r="G57" s="2">
        <v>3.8428177028167374</v>
      </c>
      <c r="H57" s="2"/>
      <c r="I57" s="25">
        <v>9.9999999999999995E-7</v>
      </c>
      <c r="J57" s="2">
        <v>-0.28469999999999995</v>
      </c>
      <c r="K57" s="2">
        <v>17.466257668711656</v>
      </c>
      <c r="L57" s="5"/>
    </row>
    <row r="58" spans="1:12" ht="15.4" x14ac:dyDescent="0.4">
      <c r="A58" s="1">
        <v>0.2</v>
      </c>
      <c r="B58" s="2">
        <v>-0.48827999999999983</v>
      </c>
      <c r="C58" s="2">
        <v>28.039830479275047</v>
      </c>
      <c r="D58" s="5"/>
      <c r="E58" s="40">
        <v>30</v>
      </c>
      <c r="F58" s="2">
        <v>6.5075487910803975E-2</v>
      </c>
      <c r="G58" s="2">
        <v>12.278393945434711</v>
      </c>
      <c r="H58" s="2"/>
      <c r="I58" s="25">
        <v>9.9999999999999995E-7</v>
      </c>
      <c r="J58" s="2">
        <v>0.57010000000000005</v>
      </c>
      <c r="K58" s="2">
        <v>1.9820533948009775</v>
      </c>
      <c r="L58" s="5"/>
    </row>
    <row r="59" spans="1:12" ht="15.4" x14ac:dyDescent="0.4">
      <c r="A59" s="1">
        <v>0.2</v>
      </c>
      <c r="B59" s="2">
        <v>-0.28469999999999995</v>
      </c>
      <c r="C59" s="2">
        <v>17.466257668711656</v>
      </c>
      <c r="D59" s="5"/>
      <c r="E59" s="40">
        <v>30</v>
      </c>
      <c r="F59" s="2">
        <v>4.5715401548453993E-2</v>
      </c>
      <c r="G59" s="2">
        <v>8.528992826204103</v>
      </c>
      <c r="H59" s="2"/>
      <c r="I59" s="25">
        <v>9.9999999999999995E-7</v>
      </c>
      <c r="J59" s="2">
        <v>-1.2499999999999289E-2</v>
      </c>
      <c r="K59" s="2">
        <v>4.1495428863554035E-2</v>
      </c>
      <c r="L59" s="5"/>
    </row>
    <row r="60" spans="1:12" ht="15.4" x14ac:dyDescent="0.4">
      <c r="A60" s="1">
        <v>0.2</v>
      </c>
      <c r="B60" s="2">
        <v>-0.23420000000000019</v>
      </c>
      <c r="C60" s="2">
        <v>12.755991285403059</v>
      </c>
      <c r="D60" s="5"/>
      <c r="E60" s="40">
        <v>30</v>
      </c>
      <c r="F60" s="2">
        <v>-4.2374878835418905E-2</v>
      </c>
      <c r="G60" s="2">
        <v>7.356749797815783</v>
      </c>
      <c r="H60" s="2"/>
      <c r="I60" s="25">
        <v>9.9999999999999995E-7</v>
      </c>
      <c r="J60" s="2">
        <v>0.5517000000000003</v>
      </c>
      <c r="K60" s="2">
        <v>1.7638539425348738</v>
      </c>
      <c r="L60" s="5"/>
    </row>
    <row r="61" spans="1:12" ht="15.4" x14ac:dyDescent="0.4">
      <c r="A61" s="1">
        <v>0.2</v>
      </c>
      <c r="B61" s="2">
        <v>-0.8913000000000002</v>
      </c>
      <c r="C61" s="2">
        <v>40.874071356507393</v>
      </c>
      <c r="D61" s="5"/>
      <c r="E61" s="40">
        <v>30</v>
      </c>
      <c r="F61" s="2">
        <v>-4.0693847555498985E-2</v>
      </c>
      <c r="G61" s="2">
        <v>5.6052131619144605</v>
      </c>
      <c r="H61" s="2"/>
      <c r="I61" s="25">
        <v>9.9999999999999995E-7</v>
      </c>
      <c r="J61" s="2">
        <v>0.53569999999999851</v>
      </c>
      <c r="K61" s="2">
        <v>1.6170074043665494</v>
      </c>
      <c r="L61" s="5"/>
    </row>
    <row r="62" spans="1:12" ht="15.4" x14ac:dyDescent="0.4">
      <c r="A62" s="1">
        <v>0.21</v>
      </c>
      <c r="B62" s="2">
        <v>1.3300000000000034E-2</v>
      </c>
      <c r="C62" s="2">
        <v>5.4958677685950557</v>
      </c>
      <c r="D62" s="5"/>
      <c r="E62" s="40">
        <v>30</v>
      </c>
      <c r="F62" s="2">
        <v>8.310222302259973E-3</v>
      </c>
      <c r="G62" s="2">
        <v>1.0234263919039375</v>
      </c>
      <c r="H62" s="2"/>
      <c r="I62" s="25">
        <v>1.1000000000000001E-6</v>
      </c>
      <c r="J62" s="2">
        <v>1.6699999999999993E-2</v>
      </c>
      <c r="K62" s="2">
        <v>6.3257575757575717</v>
      </c>
      <c r="L62" s="5"/>
    </row>
    <row r="63" spans="1:12" ht="15.4" x14ac:dyDescent="0.4">
      <c r="A63" s="1">
        <v>0.21</v>
      </c>
      <c r="B63" s="2">
        <v>7.9600000000000004E-2</v>
      </c>
      <c r="C63" s="2">
        <v>33.872340425531917</v>
      </c>
      <c r="D63" s="5"/>
      <c r="E63" s="40">
        <v>30</v>
      </c>
      <c r="F63" s="2">
        <v>-2.6409378718818988E-2</v>
      </c>
      <c r="G63" s="2">
        <v>3.2364434704435037</v>
      </c>
      <c r="H63" s="2"/>
      <c r="I63" s="25">
        <v>1.1000000000000001E-6</v>
      </c>
      <c r="J63" s="2">
        <v>1.8399999999999972E-2</v>
      </c>
      <c r="K63" s="2">
        <v>5.6965944272445732</v>
      </c>
      <c r="L63" s="5"/>
    </row>
    <row r="64" spans="1:12" ht="15.4" x14ac:dyDescent="0.4">
      <c r="A64" s="1">
        <v>0.21</v>
      </c>
      <c r="B64" s="2">
        <v>4.3499999999999983E-2</v>
      </c>
      <c r="C64" s="2">
        <v>16.860465116279062</v>
      </c>
      <c r="D64" s="5"/>
      <c r="E64" s="40">
        <v>30</v>
      </c>
      <c r="F64" s="2">
        <v>-0.10535657840233703</v>
      </c>
      <c r="G64" s="2">
        <v>11.501809869250767</v>
      </c>
      <c r="H64" s="2"/>
      <c r="I64" s="25">
        <v>1.1000000000000001E-6</v>
      </c>
      <c r="J64" s="2">
        <v>-2.6200000000000001E-2</v>
      </c>
      <c r="K64" s="2">
        <v>6.5336658354114716</v>
      </c>
      <c r="L64" s="5"/>
    </row>
    <row r="65" spans="1:12" ht="15.4" x14ac:dyDescent="0.4">
      <c r="A65" s="1">
        <v>0.21</v>
      </c>
      <c r="B65" s="2">
        <v>5.2200000000000024E-2</v>
      </c>
      <c r="C65" s="2">
        <v>17.755102040816336</v>
      </c>
      <c r="D65" s="5"/>
      <c r="E65" s="40">
        <v>30</v>
      </c>
      <c r="F65" s="2">
        <v>-2.9127053479169884E-2</v>
      </c>
      <c r="G65" s="2">
        <v>2.7713656973520346</v>
      </c>
      <c r="H65" s="2"/>
      <c r="I65" s="25">
        <v>1.1000000000000001E-6</v>
      </c>
      <c r="J65" s="2">
        <v>-7.3899999999999966E-2</v>
      </c>
      <c r="K65" s="2">
        <v>15.723404255319142</v>
      </c>
      <c r="L65" s="5"/>
    </row>
    <row r="66" spans="1:12" ht="15.4" x14ac:dyDescent="0.4">
      <c r="A66" s="1">
        <v>0.21</v>
      </c>
      <c r="B66" s="2">
        <v>-6.6899999999999959E-2</v>
      </c>
      <c r="C66" s="2">
        <v>14.113924050632903</v>
      </c>
      <c r="D66" s="5"/>
      <c r="E66" s="40">
        <v>30</v>
      </c>
      <c r="F66" s="2">
        <v>-0.10661787999537597</v>
      </c>
      <c r="G66" s="2">
        <v>9.8811751617586641</v>
      </c>
      <c r="H66" s="2"/>
      <c r="I66" s="25">
        <v>1.1000000000000001E-6</v>
      </c>
      <c r="J66" s="2">
        <v>-0.20090000000000002</v>
      </c>
      <c r="K66" s="2">
        <v>32.351046698872786</v>
      </c>
      <c r="L66" s="5"/>
    </row>
    <row r="67" spans="1:12" ht="15.4" x14ac:dyDescent="0.4">
      <c r="A67" s="1">
        <v>0.21</v>
      </c>
      <c r="B67" s="2">
        <v>-3.2200000000000006E-2</v>
      </c>
      <c r="C67" s="2">
        <v>3.0813397129186613</v>
      </c>
      <c r="D67" s="5"/>
      <c r="E67" s="40">
        <v>30</v>
      </c>
      <c r="F67" s="2">
        <v>-0.18391435034568993</v>
      </c>
      <c r="G67" s="2">
        <v>13.838551568524448</v>
      </c>
      <c r="H67" s="2"/>
      <c r="I67" s="25">
        <v>1.9999999999999999E-6</v>
      </c>
      <c r="J67" s="2">
        <v>2.2292703562212801E-4</v>
      </c>
      <c r="K67" s="2">
        <v>9.8205742564814097E-2</v>
      </c>
      <c r="L67" s="5"/>
    </row>
    <row r="68" spans="1:12" ht="15.4" x14ac:dyDescent="0.4">
      <c r="A68" s="1">
        <v>0.21</v>
      </c>
      <c r="B68" s="2">
        <v>-0.63760000000000017</v>
      </c>
      <c r="C68" s="2">
        <v>34.879649890590819</v>
      </c>
      <c r="D68" s="5"/>
      <c r="E68" s="40">
        <v>30</v>
      </c>
      <c r="F68" s="2">
        <v>-0.43963390519038592</v>
      </c>
      <c r="G68" s="2">
        <v>33.080053061729565</v>
      </c>
      <c r="H68" s="2"/>
      <c r="I68" s="25">
        <v>1.9999999999999999E-6</v>
      </c>
      <c r="J68" s="2">
        <v>-4.8447338883500612E-2</v>
      </c>
      <c r="K68" s="2">
        <v>15.678750447734826</v>
      </c>
      <c r="L68" s="5"/>
    </row>
    <row r="69" spans="1:12" ht="15.4" x14ac:dyDescent="0.4">
      <c r="A69" s="1">
        <v>0.22</v>
      </c>
      <c r="B69" s="2">
        <v>-9.0899999999999981E-2</v>
      </c>
      <c r="C69" s="2">
        <v>19.217758985200842</v>
      </c>
      <c r="D69" s="5"/>
      <c r="E69" s="40">
        <v>30</v>
      </c>
      <c r="F69" s="2">
        <v>-0.54533101058824984</v>
      </c>
      <c r="G69" s="2">
        <v>33.455890220138031</v>
      </c>
      <c r="H69" s="2"/>
      <c r="I69" s="25">
        <v>1.9999999999999999E-6</v>
      </c>
      <c r="J69" s="2">
        <v>2.0022942817841116E-3</v>
      </c>
      <c r="K69" s="2">
        <v>0.57208408050974624</v>
      </c>
      <c r="L69" s="5"/>
    </row>
    <row r="70" spans="1:12" ht="15.4" x14ac:dyDescent="0.4">
      <c r="A70" s="1">
        <v>0.22</v>
      </c>
      <c r="B70" s="2">
        <v>0.32209999999999994</v>
      </c>
      <c r="C70" s="2">
        <v>62.665369649805434</v>
      </c>
      <c r="D70" s="5"/>
      <c r="E70" s="40">
        <v>30</v>
      </c>
      <c r="F70" s="2">
        <v>-3.4867935891940038E-2</v>
      </c>
      <c r="G70" s="2">
        <v>6.7704729887262216</v>
      </c>
      <c r="H70" s="2"/>
      <c r="I70" s="25">
        <v>1.9999999999999999E-6</v>
      </c>
      <c r="J70" s="2">
        <v>2.6601673538431014E-2</v>
      </c>
      <c r="K70" s="2">
        <v>4.9909331216568509</v>
      </c>
      <c r="L70" s="5"/>
    </row>
    <row r="71" spans="1:12" ht="15.4" x14ac:dyDescent="0.4">
      <c r="A71" s="1">
        <v>0.22</v>
      </c>
      <c r="B71" s="2">
        <v>-0.82179611324262747</v>
      </c>
      <c r="C71" s="2">
        <v>42.404340208597908</v>
      </c>
      <c r="D71" s="5"/>
      <c r="E71" s="40">
        <v>30</v>
      </c>
      <c r="F71" s="2">
        <v>-0.30671765703945997</v>
      </c>
      <c r="G71" s="2">
        <v>36.084430239936466</v>
      </c>
      <c r="H71" s="2"/>
      <c r="I71" s="25">
        <v>1.9999999999999999E-6</v>
      </c>
      <c r="J71" s="2">
        <v>0.14721543868686404</v>
      </c>
      <c r="K71" s="2">
        <v>23.074520170354866</v>
      </c>
      <c r="L71" s="5"/>
    </row>
    <row r="72" spans="1:12" ht="15.4" x14ac:dyDescent="0.4">
      <c r="A72" s="1">
        <v>0.22</v>
      </c>
      <c r="B72" s="2">
        <v>0.76829999999999998</v>
      </c>
      <c r="C72" s="2">
        <v>22.071243895432346</v>
      </c>
      <c r="D72" s="5"/>
      <c r="E72" s="40">
        <v>30</v>
      </c>
      <c r="F72" s="2">
        <v>-0.80869179950215897</v>
      </c>
      <c r="G72" s="2">
        <v>56.551874091060071</v>
      </c>
      <c r="H72" s="2"/>
      <c r="I72" s="25">
        <v>1.9999999999999999E-6</v>
      </c>
      <c r="J72" s="2">
        <v>0.18084344045800993</v>
      </c>
      <c r="K72" s="2">
        <v>17.557615578447567</v>
      </c>
      <c r="L72" s="5"/>
    </row>
    <row r="73" spans="1:12" ht="15.4" x14ac:dyDescent="0.4">
      <c r="A73" s="1">
        <v>0.22</v>
      </c>
      <c r="B73" s="2">
        <v>0.39169999999999927</v>
      </c>
      <c r="C73" s="2">
        <v>9.0336715867158492</v>
      </c>
      <c r="D73" s="5"/>
      <c r="E73" s="40">
        <v>30</v>
      </c>
      <c r="F73" s="2">
        <v>3.2895851896808104E-4</v>
      </c>
      <c r="G73" s="2">
        <v>3.9633556502178438E-2</v>
      </c>
      <c r="H73" s="2"/>
      <c r="I73" s="25">
        <v>1.9999999999999999E-6</v>
      </c>
      <c r="J73" s="2">
        <v>-0.37268114727307999</v>
      </c>
      <c r="K73" s="2">
        <v>22.117575505820771</v>
      </c>
      <c r="L73" s="5"/>
    </row>
    <row r="74" spans="1:12" ht="15.4" x14ac:dyDescent="0.4">
      <c r="A74" s="1">
        <v>0.22</v>
      </c>
      <c r="B74" s="2">
        <v>-0.3052999999999999</v>
      </c>
      <c r="C74" s="2">
        <v>5.5358114233907507</v>
      </c>
      <c r="D74" s="5"/>
      <c r="E74" s="40">
        <v>30</v>
      </c>
      <c r="F74" s="2">
        <v>-0.46945627683546787</v>
      </c>
      <c r="G74" s="2">
        <v>33.532591202533425</v>
      </c>
      <c r="H74" s="2"/>
      <c r="I74" s="25">
        <v>1.9999999999999999E-6</v>
      </c>
      <c r="J74" s="2">
        <v>0.12149883720930199</v>
      </c>
      <c r="K74" s="2">
        <v>44.037087767358379</v>
      </c>
      <c r="L74" s="5"/>
    </row>
    <row r="75" spans="1:12" ht="15.4" x14ac:dyDescent="0.4">
      <c r="A75" s="1">
        <v>0.22</v>
      </c>
      <c r="B75" s="2">
        <v>-1.1334</v>
      </c>
      <c r="C75" s="2">
        <v>16.531505250875146</v>
      </c>
      <c r="D75" s="5"/>
      <c r="E75" s="40">
        <v>30</v>
      </c>
      <c r="F75" s="2">
        <v>-0.38878057142857259</v>
      </c>
      <c r="G75" s="2">
        <v>13.58764237631066</v>
      </c>
      <c r="H75" s="2"/>
      <c r="I75" s="25">
        <v>1.9999999999999999E-6</v>
      </c>
      <c r="J75" s="2">
        <v>0.14450236686390538</v>
      </c>
      <c r="K75" s="2">
        <v>42.930297969587791</v>
      </c>
      <c r="L75" s="5"/>
    </row>
    <row r="76" spans="1:12" ht="15.4" x14ac:dyDescent="0.4">
      <c r="A76" s="1">
        <v>0.22700000000000001</v>
      </c>
      <c r="B76" s="2">
        <v>1.6699999999999993E-2</v>
      </c>
      <c r="C76" s="2">
        <v>6.3257575757575717</v>
      </c>
      <c r="D76" s="5"/>
      <c r="E76" s="40">
        <v>30</v>
      </c>
      <c r="F76" s="2">
        <v>-0.43032599999999954</v>
      </c>
      <c r="G76" s="2">
        <v>14.269399806215805</v>
      </c>
      <c r="H76" s="2"/>
      <c r="I76" s="25">
        <v>1.9999999999999999E-6</v>
      </c>
      <c r="J76" s="2">
        <v>-0.2484471204188482</v>
      </c>
      <c r="K76" s="2">
        <v>31.015294117647063</v>
      </c>
      <c r="L76" s="5"/>
    </row>
    <row r="77" spans="1:12" ht="15.4" x14ac:dyDescent="0.4">
      <c r="A77" s="1">
        <v>0.22700000000000001</v>
      </c>
      <c r="B77" s="2">
        <v>1.8399999999999972E-2</v>
      </c>
      <c r="C77" s="2">
        <v>5.6965944272445732</v>
      </c>
      <c r="D77" s="5"/>
      <c r="E77" s="40">
        <v>30</v>
      </c>
      <c r="F77" s="2">
        <v>-0.49684936842105243</v>
      </c>
      <c r="G77" s="2">
        <v>15.582301260309128</v>
      </c>
      <c r="H77" s="2"/>
      <c r="I77" s="25">
        <v>1.9999999999999999E-6</v>
      </c>
      <c r="J77" s="2">
        <v>-0.48952307692307684</v>
      </c>
      <c r="K77" s="2">
        <v>45.455714285714279</v>
      </c>
      <c r="L77" s="5"/>
    </row>
    <row r="78" spans="1:12" ht="15.4" x14ac:dyDescent="0.4">
      <c r="A78" s="1">
        <v>0.22700000000000001</v>
      </c>
      <c r="B78" s="2">
        <v>-2.6200000000000001E-2</v>
      </c>
      <c r="C78" s="2">
        <v>6.5336658354114716</v>
      </c>
      <c r="D78" s="5"/>
      <c r="E78" s="40">
        <v>30</v>
      </c>
      <c r="F78" s="2">
        <v>-0.63738800000000095</v>
      </c>
      <c r="G78" s="2">
        <v>18.583347327959419</v>
      </c>
      <c r="H78" s="2"/>
      <c r="I78" s="25">
        <v>1.9999999999999999E-6</v>
      </c>
      <c r="J78" s="2">
        <v>1.2500000000000011E-2</v>
      </c>
      <c r="K78" s="2">
        <v>4.2229729729729772</v>
      </c>
      <c r="L78" s="5"/>
    </row>
    <row r="79" spans="1:12" ht="15.4" x14ac:dyDescent="0.4">
      <c r="A79" s="1">
        <v>0.22700000000000001</v>
      </c>
      <c r="B79" s="2">
        <v>-7.3899999999999966E-2</v>
      </c>
      <c r="C79" s="2">
        <v>15.723404255319142</v>
      </c>
      <c r="D79" s="5"/>
      <c r="E79" s="40">
        <v>30</v>
      </c>
      <c r="F79" s="2">
        <v>-0.71966327058823554</v>
      </c>
      <c r="G79" s="2">
        <v>19.944865898626983</v>
      </c>
      <c r="H79" s="2"/>
      <c r="I79" s="25">
        <v>1.9999999999999999E-6</v>
      </c>
      <c r="J79" s="2">
        <v>3.5600000000000021E-2</v>
      </c>
      <c r="K79" s="2">
        <v>11.446945337620585</v>
      </c>
      <c r="L79" s="5"/>
    </row>
    <row r="80" spans="1:12" ht="15.4" x14ac:dyDescent="0.4">
      <c r="A80" s="1">
        <v>0.22700000000000001</v>
      </c>
      <c r="B80" s="2">
        <v>-0.20090000000000002</v>
      </c>
      <c r="C80" s="2">
        <v>32.351046698872786</v>
      </c>
      <c r="D80" s="5"/>
      <c r="E80" s="40">
        <v>30</v>
      </c>
      <c r="F80" s="2">
        <v>-1.0875268000000005</v>
      </c>
      <c r="G80" s="2">
        <v>26.732206768806506</v>
      </c>
      <c r="H80" s="2"/>
      <c r="I80" s="25">
        <v>1.9999999999999999E-6</v>
      </c>
      <c r="J80" s="2">
        <v>5.3200000000000025E-2</v>
      </c>
      <c r="K80" s="2">
        <v>14.26273458445041</v>
      </c>
      <c r="L80" s="5"/>
    </row>
    <row r="81" spans="1:12" ht="15.4" x14ac:dyDescent="0.4">
      <c r="A81" s="1">
        <v>0.25600000000000001</v>
      </c>
      <c r="B81" s="2">
        <v>-2.3738103696754775E-2</v>
      </c>
      <c r="C81" s="2">
        <v>7.9391651159714973</v>
      </c>
      <c r="D81" s="5"/>
      <c r="E81" s="40">
        <v>30</v>
      </c>
      <c r="F81" s="2">
        <v>7.0400266234693643E-4</v>
      </c>
      <c r="G81" s="2">
        <v>7.9101422735610841E-2</v>
      </c>
      <c r="H81" s="2"/>
      <c r="I81" s="25">
        <v>1.9999999999999999E-6</v>
      </c>
      <c r="J81" s="2">
        <v>2.4900000000000033E-2</v>
      </c>
      <c r="K81" s="2">
        <v>4.9899799599198467</v>
      </c>
      <c r="L81" s="5"/>
    </row>
    <row r="82" spans="1:12" ht="15.4" x14ac:dyDescent="0.4">
      <c r="A82" s="1">
        <v>0.25600000000000001</v>
      </c>
      <c r="B82" s="2">
        <v>-2.8170022225944835E-2</v>
      </c>
      <c r="C82" s="2">
        <v>8.2315534527335732</v>
      </c>
      <c r="D82" s="5"/>
      <c r="E82" s="40">
        <v>30</v>
      </c>
      <c r="F82" s="2">
        <v>-0.46255302655979091</v>
      </c>
      <c r="G82" s="2">
        <v>31.900208728261443</v>
      </c>
      <c r="H82" s="2"/>
      <c r="I82" s="25">
        <v>1.9999999999999999E-6</v>
      </c>
      <c r="J82" s="2">
        <v>-0.1150000000000001</v>
      </c>
      <c r="K82" s="2">
        <v>16.886930983847297</v>
      </c>
      <c r="L82" s="5"/>
    </row>
    <row r="83" spans="1:12" ht="15.4" x14ac:dyDescent="0.4">
      <c r="A83" s="1">
        <v>0.25600000000000001</v>
      </c>
      <c r="B83" s="2">
        <v>9.5108994708994643E-2</v>
      </c>
      <c r="C83" s="2">
        <v>38.773943054357169</v>
      </c>
      <c r="D83" s="5"/>
      <c r="E83" s="40">
        <v>30</v>
      </c>
      <c r="F83" s="2">
        <v>-1.6155155672679111E-3</v>
      </c>
      <c r="G83" s="2">
        <v>0.17186335821999055</v>
      </c>
      <c r="H83" s="2"/>
      <c r="I83" s="25">
        <v>1.9999999999999999E-6</v>
      </c>
      <c r="J83" s="2">
        <v>1.1300000000000032E-2</v>
      </c>
      <c r="K83" s="2">
        <v>3.1215469613259756</v>
      </c>
      <c r="L83" s="5"/>
    </row>
    <row r="84" spans="1:12" ht="15.4" x14ac:dyDescent="0.4">
      <c r="A84" s="1">
        <v>0.25600000000000001</v>
      </c>
      <c r="B84" s="2">
        <v>5.5816961235704954E-2</v>
      </c>
      <c r="C84" s="2">
        <v>21.686340134798368</v>
      </c>
      <c r="D84" s="5"/>
      <c r="E84" s="40">
        <v>30</v>
      </c>
      <c r="F84" s="2">
        <v>-0.48898206471513994</v>
      </c>
      <c r="G84" s="2">
        <v>31.959612072884962</v>
      </c>
      <c r="H84" s="2"/>
      <c r="I84" s="25">
        <v>1.9999999999999999E-6</v>
      </c>
      <c r="J84" s="2">
        <v>-3.2000000000000361E-3</v>
      </c>
      <c r="K84" s="2">
        <v>0.68965517241380092</v>
      </c>
      <c r="L84" s="5"/>
    </row>
    <row r="85" spans="1:12" ht="15.4" x14ac:dyDescent="0.4">
      <c r="A85" s="1">
        <v>0.25600000000000001</v>
      </c>
      <c r="B85" s="2">
        <v>0.12149883720930199</v>
      </c>
      <c r="C85" s="2">
        <v>44.037087767358379</v>
      </c>
      <c r="D85" s="5"/>
      <c r="E85" s="40">
        <v>30</v>
      </c>
      <c r="F85" s="2">
        <v>-1.1275670109400338E-2</v>
      </c>
      <c r="G85" s="2">
        <v>0.14273000138481437</v>
      </c>
      <c r="H85" s="2"/>
      <c r="I85" s="25">
        <v>1.9999999999999999E-6</v>
      </c>
      <c r="J85" s="2">
        <v>1.4000000000000012E-2</v>
      </c>
      <c r="K85" s="2">
        <v>2.4734982332155502</v>
      </c>
      <c r="L85" s="5"/>
    </row>
    <row r="86" spans="1:12" ht="15.4" x14ac:dyDescent="0.4">
      <c r="A86" s="1">
        <v>0.25600000000000001</v>
      </c>
      <c r="B86" s="2">
        <v>0.20338435200120758</v>
      </c>
      <c r="C86" s="2">
        <v>44.504234573568397</v>
      </c>
      <c r="D86" s="5"/>
      <c r="E86" s="40">
        <v>60</v>
      </c>
      <c r="F86" s="2">
        <v>1.2500000000000011E-2</v>
      </c>
      <c r="G86" s="2">
        <v>4.2229729729729772</v>
      </c>
      <c r="H86" s="2"/>
      <c r="I86" s="25">
        <v>1.9999999999999999E-6</v>
      </c>
      <c r="J86" s="2">
        <v>4.7800000000000065E-2</v>
      </c>
      <c r="K86" s="2">
        <v>6.8481375358166288</v>
      </c>
      <c r="L86" s="5"/>
    </row>
    <row r="87" spans="1:12" ht="15.4" x14ac:dyDescent="0.4">
      <c r="A87" s="1">
        <v>0.25600000000000001</v>
      </c>
      <c r="B87" s="2">
        <v>0.13299327213131362</v>
      </c>
      <c r="C87" s="2">
        <v>38.251309416933417</v>
      </c>
      <c r="D87" s="5"/>
      <c r="E87" s="40">
        <v>60</v>
      </c>
      <c r="F87" s="2">
        <v>3.5600000000000021E-2</v>
      </c>
      <c r="G87" s="2">
        <v>11.446945337620585</v>
      </c>
      <c r="H87" s="2"/>
      <c r="I87" s="25">
        <v>1.9999999999999999E-6</v>
      </c>
      <c r="J87" s="2">
        <v>-0.45179999999999998</v>
      </c>
      <c r="K87" s="2">
        <v>30.881749829118249</v>
      </c>
      <c r="L87" s="5"/>
    </row>
    <row r="88" spans="1:12" ht="15.4" x14ac:dyDescent="0.4">
      <c r="A88" s="1">
        <v>0.25600000000000001</v>
      </c>
      <c r="B88" s="2">
        <v>7.1285714285714286E-3</v>
      </c>
      <c r="C88" s="2">
        <v>2.1054852320675104</v>
      </c>
      <c r="D88" s="5"/>
      <c r="E88" s="40">
        <v>60</v>
      </c>
      <c r="F88" s="2">
        <v>5.3200000000000025E-2</v>
      </c>
      <c r="G88" s="2">
        <v>14.26273458445041</v>
      </c>
      <c r="H88" s="2"/>
      <c r="I88" s="25">
        <v>1.9999999999999999E-6</v>
      </c>
      <c r="J88" s="2">
        <v>-0.74120000000000008</v>
      </c>
      <c r="K88" s="2">
        <v>39.806659505907625</v>
      </c>
      <c r="L88" s="5"/>
    </row>
    <row r="89" spans="1:12" ht="15.4" x14ac:dyDescent="0.4">
      <c r="A89" s="1">
        <v>0.25600000000000001</v>
      </c>
      <c r="B89" s="2">
        <v>0.14450236686390538</v>
      </c>
      <c r="C89" s="2">
        <v>42.930297969587791</v>
      </c>
      <c r="D89" s="5"/>
      <c r="E89" s="40">
        <v>60</v>
      </c>
      <c r="F89" s="2">
        <v>2.4900000000000033E-2</v>
      </c>
      <c r="G89" s="2">
        <v>4.9899799599198467</v>
      </c>
      <c r="H89" s="2"/>
      <c r="I89" s="25">
        <v>2.5500000000000001E-6</v>
      </c>
      <c r="J89" s="2">
        <v>8.4499999999999797E-2</v>
      </c>
      <c r="K89" s="2">
        <v>3.0918404683497913</v>
      </c>
      <c r="L89" s="5"/>
    </row>
    <row r="90" spans="1:12" ht="15.4" x14ac:dyDescent="0.4">
      <c r="A90" s="1">
        <v>0.25600000000000001</v>
      </c>
      <c r="B90" s="2">
        <v>0.26457635911615984</v>
      </c>
      <c r="C90" s="2">
        <v>35.657191255547147</v>
      </c>
      <c r="D90" s="5"/>
      <c r="E90" s="40">
        <v>60</v>
      </c>
      <c r="F90" s="2">
        <v>-0.1150000000000001</v>
      </c>
      <c r="G90" s="2">
        <v>16.886930983847297</v>
      </c>
      <c r="H90" s="2"/>
      <c r="I90" s="25">
        <v>2.5500000000000001E-6</v>
      </c>
      <c r="J90" s="2">
        <v>1.1499999999999844E-2</v>
      </c>
      <c r="K90" s="2">
        <v>0.38500167392031615</v>
      </c>
      <c r="L90" s="5"/>
    </row>
    <row r="91" spans="1:12" ht="15.4" x14ac:dyDescent="0.4">
      <c r="A91" s="1">
        <v>0.25600000000000001</v>
      </c>
      <c r="B91" s="2">
        <v>0.11503041825095051</v>
      </c>
      <c r="C91" s="2">
        <v>18.674691358024678</v>
      </c>
      <c r="D91" s="5"/>
      <c r="E91" s="40">
        <v>85</v>
      </c>
      <c r="F91" s="2">
        <v>0.12149883720930199</v>
      </c>
      <c r="G91" s="2">
        <v>44.037087767358379</v>
      </c>
      <c r="H91" s="2"/>
      <c r="I91" s="25">
        <v>3.9999999999999998E-6</v>
      </c>
      <c r="J91" s="2">
        <v>1.21E-2</v>
      </c>
      <c r="K91" s="2">
        <v>5.2608695652173907</v>
      </c>
      <c r="L91" s="5"/>
    </row>
    <row r="92" spans="1:12" ht="15.4" x14ac:dyDescent="0.4">
      <c r="A92" s="1">
        <v>0.25600000000000001</v>
      </c>
      <c r="B92" s="2">
        <v>-0.10730833333333334</v>
      </c>
      <c r="C92" s="2">
        <v>22.821444395214886</v>
      </c>
      <c r="D92" s="5"/>
      <c r="E92" s="40">
        <v>85</v>
      </c>
      <c r="F92" s="2">
        <v>0.14450236686390538</v>
      </c>
      <c r="G92" s="2">
        <v>42.930297969587791</v>
      </c>
      <c r="H92" s="2"/>
      <c r="I92" s="25">
        <v>3.9999999999999998E-6</v>
      </c>
      <c r="J92" s="2">
        <v>1.7699999999999994E-2</v>
      </c>
      <c r="K92" s="2">
        <v>6.5555555555555536</v>
      </c>
      <c r="L92" s="5"/>
    </row>
    <row r="93" spans="1:12" ht="15.4" x14ac:dyDescent="0.4">
      <c r="A93" s="1">
        <v>0.25600000000000001</v>
      </c>
      <c r="B93" s="2">
        <v>0.45219999999999994</v>
      </c>
      <c r="C93" s="2">
        <v>42.821969696969688</v>
      </c>
      <c r="D93" s="5"/>
      <c r="E93" s="40">
        <v>85</v>
      </c>
      <c r="F93" s="2">
        <v>-0.2484471204188482</v>
      </c>
      <c r="G93" s="2">
        <v>31.015294117647063</v>
      </c>
      <c r="H93" s="2"/>
      <c r="I93" s="25">
        <v>3.9999999999999998E-6</v>
      </c>
      <c r="J93" s="2">
        <v>2.9000000000000026E-2</v>
      </c>
      <c r="K93" s="2">
        <v>9.3548387096774288</v>
      </c>
      <c r="L93" s="5"/>
    </row>
    <row r="94" spans="1:12" ht="15.4" x14ac:dyDescent="0.4">
      <c r="A94" s="1">
        <v>0.25600000000000001</v>
      </c>
      <c r="B94" s="2">
        <v>-7.5627272727272765E-2</v>
      </c>
      <c r="C94" s="2">
        <v>8.6656250000000039</v>
      </c>
      <c r="D94" s="5"/>
      <c r="E94" s="40">
        <v>85</v>
      </c>
      <c r="F94" s="2">
        <v>-0.48952307692307684</v>
      </c>
      <c r="G94" s="2">
        <v>45.455714285714279</v>
      </c>
      <c r="H94" s="2"/>
      <c r="I94" s="25">
        <v>3.9999999999999998E-6</v>
      </c>
      <c r="J94" s="2">
        <v>5.6899999999999951E-2</v>
      </c>
      <c r="K94" s="2">
        <v>16.735294117647044</v>
      </c>
      <c r="L94" s="5"/>
    </row>
    <row r="95" spans="1:12" ht="15.4" x14ac:dyDescent="0.4">
      <c r="A95" s="1">
        <v>0.25600000000000001</v>
      </c>
      <c r="B95" s="2">
        <v>-0.29092830188679236</v>
      </c>
      <c r="C95" s="2">
        <v>43.130629370629364</v>
      </c>
      <c r="D95" s="5"/>
      <c r="E95" s="40">
        <v>170</v>
      </c>
      <c r="F95" s="2">
        <v>-9.0899999999999981E-2</v>
      </c>
      <c r="G95" s="2">
        <v>19.217758985200842</v>
      </c>
      <c r="H95" s="2"/>
      <c r="I95" s="25">
        <v>3.9999999999999998E-6</v>
      </c>
      <c r="J95" s="2">
        <v>7.6200000000000045E-2</v>
      </c>
      <c r="K95" s="2">
        <v>21.771428571428586</v>
      </c>
      <c r="L95" s="5"/>
    </row>
    <row r="96" spans="1:12" ht="15.4" x14ac:dyDescent="0.4">
      <c r="A96" s="1">
        <v>0.25600000000000001</v>
      </c>
      <c r="B96" s="2">
        <v>-0.2484471204188482</v>
      </c>
      <c r="C96" s="2">
        <v>31.015294117647063</v>
      </c>
      <c r="D96" s="5"/>
      <c r="E96" s="40">
        <v>170</v>
      </c>
      <c r="F96" s="2">
        <v>0.32209999999999994</v>
      </c>
      <c r="G96" s="2">
        <v>62.665369649805434</v>
      </c>
      <c r="H96" s="2"/>
      <c r="I96" s="25">
        <v>3.9999999999999998E-6</v>
      </c>
      <c r="J96" s="2">
        <v>7.8600000000000003E-2</v>
      </c>
      <c r="K96" s="2">
        <v>21.833333333333336</v>
      </c>
      <c r="L96" s="5"/>
    </row>
    <row r="97" spans="1:12" ht="15.4" x14ac:dyDescent="0.4">
      <c r="A97" s="1">
        <v>0.25600000000000001</v>
      </c>
      <c r="B97" s="2">
        <v>0.15809999999999991</v>
      </c>
      <c r="C97" s="2">
        <v>10.821355236139624</v>
      </c>
      <c r="D97" s="5"/>
      <c r="E97" s="40">
        <v>170</v>
      </c>
      <c r="F97" s="2">
        <v>-0.82179611324262747</v>
      </c>
      <c r="G97" s="2">
        <v>42.404340208597908</v>
      </c>
      <c r="H97" s="2"/>
      <c r="I97" s="25">
        <v>3.9999999999999998E-6</v>
      </c>
      <c r="J97" s="2">
        <v>0.11959999999999998</v>
      </c>
      <c r="K97" s="2">
        <v>26.285714285714278</v>
      </c>
      <c r="L97" s="5"/>
    </row>
    <row r="98" spans="1:12" ht="15.4" x14ac:dyDescent="0.4">
      <c r="A98" s="1">
        <v>0.25600000000000001</v>
      </c>
      <c r="B98" s="2">
        <v>-0.25007022900763354</v>
      </c>
      <c r="C98" s="2">
        <v>22.592551724137927</v>
      </c>
      <c r="D98" s="5"/>
      <c r="E98" s="40">
        <v>170</v>
      </c>
      <c r="F98" s="2">
        <v>0.76829999999999998</v>
      </c>
      <c r="G98" s="2">
        <v>22.071243895432346</v>
      </c>
      <c r="H98" s="2"/>
      <c r="I98" s="25">
        <v>3.9999999999999998E-6</v>
      </c>
      <c r="J98" s="2">
        <v>5.3999999999999604E-3</v>
      </c>
      <c r="K98" s="2">
        <v>0.72096128170893992</v>
      </c>
      <c r="L98" s="5"/>
    </row>
    <row r="99" spans="1:12" ht="15.4" x14ac:dyDescent="0.4">
      <c r="A99" s="1">
        <v>0.25600000000000001</v>
      </c>
      <c r="B99" s="2">
        <v>-0.45704509803921572</v>
      </c>
      <c r="C99" s="2">
        <v>52.975681818181819</v>
      </c>
      <c r="D99" s="5"/>
      <c r="E99" s="40">
        <v>170</v>
      </c>
      <c r="F99" s="2">
        <v>0.39169999999999927</v>
      </c>
      <c r="G99" s="2">
        <v>9.0336715867158492</v>
      </c>
      <c r="H99" s="2"/>
      <c r="I99" s="25">
        <v>3.9999999999999998E-6</v>
      </c>
      <c r="J99" s="2">
        <v>-1.0907</v>
      </c>
      <c r="K99" s="2">
        <v>54.616925388082116</v>
      </c>
      <c r="L99" s="5"/>
    </row>
    <row r="100" spans="1:12" ht="15.4" x14ac:dyDescent="0.4">
      <c r="A100" s="1">
        <v>0.25600000000000001</v>
      </c>
      <c r="B100" s="2">
        <v>-0.48952307692307684</v>
      </c>
      <c r="C100" s="2">
        <v>45.455714285714279</v>
      </c>
      <c r="D100" s="5"/>
      <c r="E100" s="40">
        <v>170</v>
      </c>
      <c r="F100" s="2">
        <v>-0.3052999999999999</v>
      </c>
      <c r="G100" s="2">
        <v>5.5358114233907507</v>
      </c>
      <c r="H100" s="2"/>
      <c r="I100" s="25">
        <v>5.0000000000000004E-6</v>
      </c>
      <c r="J100" s="2">
        <v>1.3300000000000034E-2</v>
      </c>
      <c r="K100" s="2">
        <v>5.4958677685950557</v>
      </c>
      <c r="L100" s="5"/>
    </row>
    <row r="101" spans="1:12" ht="15.4" x14ac:dyDescent="0.4">
      <c r="A101" s="1">
        <v>0.25600000000000001</v>
      </c>
      <c r="B101" s="2">
        <v>0.13390000000000013</v>
      </c>
      <c r="C101" s="2">
        <v>8.447949526813888</v>
      </c>
      <c r="D101" s="5"/>
      <c r="E101" s="40">
        <v>170</v>
      </c>
      <c r="F101" s="2">
        <v>-1.1334</v>
      </c>
      <c r="G101" s="2">
        <v>16.531505250875146</v>
      </c>
      <c r="H101" s="2"/>
      <c r="I101" s="25">
        <v>5.0000000000000004E-6</v>
      </c>
      <c r="J101" s="2">
        <v>4.3499999999999983E-2</v>
      </c>
      <c r="K101" s="2">
        <v>16.860465116279062</v>
      </c>
      <c r="L101" s="5"/>
    </row>
    <row r="102" spans="1:12" ht="15.4" x14ac:dyDescent="0.4">
      <c r="A102" s="1">
        <v>0.27200000000000002</v>
      </c>
      <c r="B102" s="2">
        <v>1.2500000000000011E-2</v>
      </c>
      <c r="C102" s="2">
        <v>4.2229729729729772</v>
      </c>
      <c r="D102" s="5"/>
      <c r="E102" s="40">
        <v>173</v>
      </c>
      <c r="F102" s="2">
        <v>-0.9867843688349005</v>
      </c>
      <c r="G102" s="2">
        <v>3.1811230458894277</v>
      </c>
      <c r="H102" s="2"/>
      <c r="I102" s="25">
        <v>5.0000000000000004E-6</v>
      </c>
      <c r="J102" s="2">
        <v>5.2200000000000024E-2</v>
      </c>
      <c r="K102" s="2">
        <v>17.755102040816336</v>
      </c>
      <c r="L102" s="5"/>
    </row>
    <row r="103" spans="1:12" ht="15.4" x14ac:dyDescent="0.4">
      <c r="A103" s="1">
        <v>0.27200000000000002</v>
      </c>
      <c r="B103" s="2">
        <v>3.5600000000000021E-2</v>
      </c>
      <c r="C103" s="2">
        <v>11.446945337620585</v>
      </c>
      <c r="D103" s="5"/>
      <c r="E103" s="40">
        <v>173</v>
      </c>
      <c r="F103" s="2">
        <v>-2.1851526103892027</v>
      </c>
      <c r="G103" s="2">
        <v>6.4363847139593586</v>
      </c>
      <c r="H103" s="2"/>
      <c r="I103" s="25">
        <v>5.0000000000000004E-6</v>
      </c>
      <c r="J103" s="2">
        <v>-6.6899999999999959E-2</v>
      </c>
      <c r="K103" s="2">
        <v>14.113924050632903</v>
      </c>
      <c r="L103" s="5"/>
    </row>
    <row r="104" spans="1:12" ht="15.4" x14ac:dyDescent="0.4">
      <c r="A104" s="1">
        <v>0.27200000000000002</v>
      </c>
      <c r="B104" s="2">
        <v>5.3200000000000025E-2</v>
      </c>
      <c r="C104" s="2">
        <v>14.26273458445041</v>
      </c>
      <c r="D104" s="5"/>
      <c r="E104" s="40">
        <v>173</v>
      </c>
      <c r="F104" s="2">
        <v>-0.64384815224550351</v>
      </c>
      <c r="G104" s="2">
        <v>1.8517346915315025</v>
      </c>
      <c r="H104" s="2"/>
      <c r="I104" s="25">
        <v>5.0000000000000004E-6</v>
      </c>
      <c r="J104" s="2">
        <v>3.2895851896808104E-4</v>
      </c>
      <c r="K104" s="2">
        <v>3.9633556502178438E-2</v>
      </c>
      <c r="L104" s="5"/>
    </row>
    <row r="105" spans="1:12" ht="15.4" x14ac:dyDescent="0.4">
      <c r="A105" s="1">
        <v>0.27200000000000002</v>
      </c>
      <c r="B105" s="2">
        <v>2.4900000000000033E-2</v>
      </c>
      <c r="C105" s="2">
        <v>4.9899799599198467</v>
      </c>
      <c r="D105" s="5"/>
      <c r="E105" s="40">
        <v>173</v>
      </c>
      <c r="F105" s="2">
        <v>-1.2606447159246983</v>
      </c>
      <c r="G105" s="2">
        <v>3.3306333313730465</v>
      </c>
      <c r="H105" s="2"/>
      <c r="I105" s="25">
        <v>5.0000000000000004E-6</v>
      </c>
      <c r="J105" s="2">
        <v>-0.46945627683546787</v>
      </c>
      <c r="K105" s="2">
        <v>33.532591202533425</v>
      </c>
      <c r="L105" s="5"/>
    </row>
    <row r="106" spans="1:12" ht="15.4" x14ac:dyDescent="0.4">
      <c r="A106" s="1">
        <v>0.27200000000000002</v>
      </c>
      <c r="B106" s="2">
        <v>-0.1150000000000001</v>
      </c>
      <c r="C106" s="2">
        <v>16.886930983847297</v>
      </c>
      <c r="D106" s="5"/>
      <c r="E106" s="40">
        <v>173</v>
      </c>
      <c r="F106" s="2">
        <v>-4.4408083649873973</v>
      </c>
      <c r="G106" s="2">
        <v>10.197034133151314</v>
      </c>
      <c r="H106" s="2"/>
      <c r="I106" s="25">
        <v>5.0000000000000004E-6</v>
      </c>
      <c r="J106" s="2">
        <v>7.0400266234693643E-4</v>
      </c>
      <c r="K106" s="2">
        <v>7.9101422735610841E-2</v>
      </c>
      <c r="L106" s="5"/>
    </row>
    <row r="107" spans="1:12" ht="15.4" x14ac:dyDescent="0.4">
      <c r="A107" s="1">
        <v>0.31</v>
      </c>
      <c r="B107" s="2">
        <v>1.1300000000000032E-2</v>
      </c>
      <c r="C107" s="2">
        <v>3.1215469613259756</v>
      </c>
      <c r="D107" s="5"/>
      <c r="E107" s="40">
        <v>173</v>
      </c>
      <c r="F107" s="2">
        <v>-6.5408455473026947</v>
      </c>
      <c r="G107" s="2">
        <v>13.573034960163302</v>
      </c>
      <c r="H107" s="2"/>
      <c r="I107" s="25">
        <v>5.0000000000000004E-6</v>
      </c>
      <c r="J107" s="2">
        <v>-0.46255302655979091</v>
      </c>
      <c r="K107" s="2">
        <v>31.900208728261443</v>
      </c>
      <c r="L107" s="5"/>
    </row>
    <row r="108" spans="1:12" ht="15.4" x14ac:dyDescent="0.4">
      <c r="A108" s="1">
        <v>0.31</v>
      </c>
      <c r="B108" s="2">
        <v>-3.2000000000000361E-3</v>
      </c>
      <c r="C108" s="2">
        <v>0.68965517241380092</v>
      </c>
      <c r="D108" s="5"/>
      <c r="E108" s="40">
        <v>173</v>
      </c>
      <c r="F108" s="2">
        <v>-12.707956754775104</v>
      </c>
      <c r="G108" s="2">
        <v>22.337768948453338</v>
      </c>
      <c r="H108" s="2"/>
      <c r="I108" s="25">
        <v>5.0000000000000004E-6</v>
      </c>
      <c r="J108" s="2">
        <v>-1.6155155672679111E-3</v>
      </c>
      <c r="K108" s="2">
        <v>0.17186335821999055</v>
      </c>
      <c r="L108" s="5"/>
    </row>
    <row r="109" spans="1:12" ht="15.4" x14ac:dyDescent="0.4">
      <c r="A109" s="1">
        <v>0.31</v>
      </c>
      <c r="B109" s="2">
        <v>1.4000000000000012E-2</v>
      </c>
      <c r="C109" s="2">
        <v>2.4734982332155502</v>
      </c>
      <c r="D109" s="5"/>
      <c r="E109" s="40">
        <v>180</v>
      </c>
      <c r="F109" s="2">
        <v>0.11959999999999998</v>
      </c>
      <c r="G109" s="2">
        <v>26.285714285714278</v>
      </c>
      <c r="H109" s="2"/>
      <c r="I109" s="25">
        <v>5.0000000000000004E-6</v>
      </c>
      <c r="J109" s="2">
        <v>-0.48898206471513994</v>
      </c>
      <c r="K109" s="2">
        <v>31.959612072884962</v>
      </c>
      <c r="L109" s="5"/>
    </row>
    <row r="110" spans="1:12" ht="15.4" x14ac:dyDescent="0.4">
      <c r="A110" s="1">
        <v>0.31</v>
      </c>
      <c r="B110" s="2">
        <v>4.7800000000000065E-2</v>
      </c>
      <c r="C110" s="2">
        <v>6.8481375358166288</v>
      </c>
      <c r="D110" s="5"/>
      <c r="E110" s="40">
        <v>180</v>
      </c>
      <c r="F110" s="2">
        <v>5.3999999999999604E-3</v>
      </c>
      <c r="G110" s="2">
        <v>0.72096128170893992</v>
      </c>
      <c r="H110" s="2"/>
      <c r="I110" s="25">
        <v>5.0000000000000004E-6</v>
      </c>
      <c r="J110" s="2">
        <v>-1.9057333333333304</v>
      </c>
      <c r="K110" s="2">
        <v>36.837628865979347</v>
      </c>
      <c r="L110" s="5"/>
    </row>
    <row r="111" spans="1:12" ht="15.4" x14ac:dyDescent="0.4">
      <c r="A111" s="1">
        <v>0.31</v>
      </c>
      <c r="B111" s="2">
        <v>-0.45179999999999998</v>
      </c>
      <c r="C111" s="2">
        <v>30.881749829118249</v>
      </c>
      <c r="D111" s="5"/>
      <c r="E111" s="40">
        <v>180</v>
      </c>
      <c r="F111" s="2">
        <v>-1.0907</v>
      </c>
      <c r="G111" s="2">
        <v>54.616925388082116</v>
      </c>
      <c r="H111" s="2"/>
      <c r="I111" s="25">
        <v>5.0000000000000004E-6</v>
      </c>
      <c r="J111" s="2">
        <v>-0.57870000000000044</v>
      </c>
      <c r="K111" s="2">
        <v>9.7753378378378439</v>
      </c>
      <c r="L111" s="5"/>
    </row>
    <row r="112" spans="1:12" ht="15.4" x14ac:dyDescent="0.4">
      <c r="A112" s="1">
        <v>0.31</v>
      </c>
      <c r="B112" s="2">
        <v>-0.74120000000000008</v>
      </c>
      <c r="C112" s="2">
        <v>39.806659505907625</v>
      </c>
      <c r="D112" s="5"/>
      <c r="E112" s="40">
        <v>186</v>
      </c>
      <c r="F112" s="2">
        <v>8.4499999999999797E-2</v>
      </c>
      <c r="G112" s="2">
        <v>3.0918404683497913</v>
      </c>
      <c r="H112" s="2"/>
      <c r="I112" s="25">
        <v>5.0000000000000004E-6</v>
      </c>
      <c r="J112" s="2">
        <v>2.3136666666666672</v>
      </c>
      <c r="K112" s="2">
        <v>31.209532374100728</v>
      </c>
      <c r="L112" s="5"/>
    </row>
    <row r="113" spans="1:12" ht="15.4" x14ac:dyDescent="0.4">
      <c r="A113" s="1">
        <v>0.33</v>
      </c>
      <c r="B113" s="2">
        <v>8.4499999999999797E-2</v>
      </c>
      <c r="C113" s="2">
        <v>3.0918404683497913</v>
      </c>
      <c r="D113" s="5"/>
      <c r="E113" s="40">
        <v>186</v>
      </c>
      <c r="F113" s="2">
        <v>1.1499999999999844E-2</v>
      </c>
      <c r="G113" s="2">
        <v>0.38500167392031615</v>
      </c>
      <c r="H113" s="2"/>
      <c r="I113" s="25">
        <v>5.0000000000000004E-6</v>
      </c>
      <c r="J113" s="2">
        <v>3.483533333333332</v>
      </c>
      <c r="K113" s="2">
        <v>42.971217105263136</v>
      </c>
      <c r="L113" s="5"/>
    </row>
    <row r="114" spans="1:12" ht="15.4" x14ac:dyDescent="0.4">
      <c r="A114" s="1">
        <v>0.33</v>
      </c>
      <c r="B114" s="2">
        <v>1.1499999999999844E-2</v>
      </c>
      <c r="C114" s="2">
        <v>0.38500167392031615</v>
      </c>
      <c r="D114" s="5"/>
      <c r="E114" s="40">
        <v>200</v>
      </c>
      <c r="F114" s="2">
        <v>1.21E-2</v>
      </c>
      <c r="G114" s="2">
        <v>5.2608695652173907</v>
      </c>
      <c r="H114" s="2"/>
      <c r="I114" s="25">
        <v>5.0000000000000004E-6</v>
      </c>
      <c r="J114" s="2">
        <v>0.13223333333333365</v>
      </c>
      <c r="K114" s="2">
        <v>1.0245351239669445</v>
      </c>
      <c r="L114" s="5"/>
    </row>
    <row r="115" spans="1:12" ht="15.4" x14ac:dyDescent="0.4">
      <c r="A115" s="1">
        <v>0.33700000000000002</v>
      </c>
      <c r="B115" s="2">
        <v>-6.4197009915750169E-3</v>
      </c>
      <c r="C115" s="2">
        <v>1.5034428551697934</v>
      </c>
      <c r="D115" s="5"/>
      <c r="E115" s="40">
        <v>200</v>
      </c>
      <c r="F115" s="2">
        <v>2.2292703562212801E-4</v>
      </c>
      <c r="G115" s="2">
        <v>9.8205742564814097E-2</v>
      </c>
      <c r="H115" s="2"/>
      <c r="I115" s="25">
        <v>5.0000000000000004E-6</v>
      </c>
      <c r="J115" s="2">
        <v>-0.11999999999999744</v>
      </c>
      <c r="K115" s="2">
        <v>0.33132056092570261</v>
      </c>
      <c r="L115" s="5"/>
    </row>
    <row r="116" spans="1:12" ht="15.4" x14ac:dyDescent="0.4">
      <c r="A116" s="1">
        <v>0.33700000000000002</v>
      </c>
      <c r="B116" s="2">
        <v>-1.0248574787910025E-2</v>
      </c>
      <c r="C116" s="2">
        <v>2.2724112611773895</v>
      </c>
      <c r="D116" s="5"/>
      <c r="E116" s="40">
        <v>200</v>
      </c>
      <c r="F116" s="2">
        <v>1.7699999999999994E-2</v>
      </c>
      <c r="G116" s="2">
        <v>6.5555555555555536</v>
      </c>
      <c r="H116" s="2"/>
      <c r="I116" s="25">
        <v>5.0000000000000004E-6</v>
      </c>
      <c r="J116" s="2">
        <v>-4.0500000000001535E-2</v>
      </c>
      <c r="K116" s="2">
        <v>0.10417926035297871</v>
      </c>
      <c r="L116" s="5"/>
    </row>
    <row r="117" spans="1:12" ht="15.4" x14ac:dyDescent="0.4">
      <c r="A117" s="1">
        <v>0.33700000000000002</v>
      </c>
      <c r="B117" s="2">
        <v>-1.7446392370787989E-2</v>
      </c>
      <c r="C117" s="2">
        <v>3.8428177028167374</v>
      </c>
      <c r="D117" s="5"/>
      <c r="E117" s="40">
        <v>200</v>
      </c>
      <c r="F117" s="2">
        <v>2.9000000000000026E-2</v>
      </c>
      <c r="G117" s="2">
        <v>9.3548387096774288</v>
      </c>
      <c r="H117" s="2"/>
      <c r="I117" s="25">
        <v>5.0000000000000004E-6</v>
      </c>
      <c r="J117" s="2">
        <v>-0.81270000000000664</v>
      </c>
      <c r="K117" s="2">
        <v>1.9169035179790941</v>
      </c>
      <c r="L117" s="5"/>
    </row>
    <row r="118" spans="1:12" ht="15.4" x14ac:dyDescent="0.4">
      <c r="A118" s="1">
        <v>0.33700000000000002</v>
      </c>
      <c r="B118" s="2">
        <v>6.5075487910803975E-2</v>
      </c>
      <c r="C118" s="2">
        <v>12.278393945434711</v>
      </c>
      <c r="D118" s="5"/>
      <c r="E118" s="40">
        <v>200</v>
      </c>
      <c r="F118" s="2">
        <v>-4.8447338883500612E-2</v>
      </c>
      <c r="G118" s="2">
        <v>15.678750447734826</v>
      </c>
      <c r="H118" s="2"/>
      <c r="I118" s="25">
        <v>5.0000000000000004E-6</v>
      </c>
      <c r="J118" s="2">
        <v>-1.9039000000000001</v>
      </c>
      <c r="K118" s="2">
        <v>4.1185352473414145</v>
      </c>
      <c r="L118" s="5"/>
    </row>
    <row r="119" spans="1:12" ht="15.4" x14ac:dyDescent="0.4">
      <c r="A119" s="1">
        <v>0.33700000000000002</v>
      </c>
      <c r="B119" s="2">
        <v>4.5715401548453993E-2</v>
      </c>
      <c r="C119" s="2">
        <v>8.528992826204103</v>
      </c>
      <c r="D119" s="5"/>
      <c r="E119" s="40">
        <v>200</v>
      </c>
      <c r="F119" s="2">
        <v>0.12289999999999995</v>
      </c>
      <c r="G119" s="2">
        <v>27.311111111111103</v>
      </c>
      <c r="H119" s="2"/>
      <c r="I119" s="25">
        <v>1.0000000000000001E-5</v>
      </c>
      <c r="J119" s="2">
        <v>1.7494518518520463E-3</v>
      </c>
      <c r="K119" s="2">
        <v>0.21935310005292344</v>
      </c>
      <c r="L119" s="5"/>
    </row>
    <row r="120" spans="1:12" ht="15.4" x14ac:dyDescent="0.4">
      <c r="A120" s="1">
        <v>0.33700000000000002</v>
      </c>
      <c r="B120" s="2">
        <v>-4.2374878835418905E-2</v>
      </c>
      <c r="C120" s="2">
        <v>7.356749797815783</v>
      </c>
      <c r="D120" s="5"/>
      <c r="E120" s="40">
        <v>200</v>
      </c>
      <c r="F120" s="2">
        <v>5.6899999999999951E-2</v>
      </c>
      <c r="G120" s="2">
        <v>16.735294117647044</v>
      </c>
      <c r="H120" s="2"/>
      <c r="I120" s="25">
        <v>1.0000000000000001E-5</v>
      </c>
      <c r="J120" s="2">
        <v>-7.6196000000000041E-2</v>
      </c>
      <c r="K120" s="2">
        <v>8.4166946501475817</v>
      </c>
      <c r="L120" s="5"/>
    </row>
    <row r="121" spans="1:12" ht="15.4" x14ac:dyDescent="0.4">
      <c r="A121" s="1">
        <v>0.33700000000000002</v>
      </c>
      <c r="B121" s="2">
        <v>-4.0693847555498985E-2</v>
      </c>
      <c r="C121" s="2">
        <v>5.6052131619144605</v>
      </c>
      <c r="D121" s="5"/>
      <c r="E121" s="40">
        <v>200</v>
      </c>
      <c r="F121" s="2">
        <v>2.0022942817841116E-3</v>
      </c>
      <c r="G121" s="2">
        <v>0.57208408050974624</v>
      </c>
      <c r="H121" s="2"/>
      <c r="I121" s="25">
        <v>1.0000000000000001E-5</v>
      </c>
      <c r="J121" s="2">
        <v>-0.15093152442396329</v>
      </c>
      <c r="K121" s="2">
        <v>14.971412039734014</v>
      </c>
      <c r="L121" s="5"/>
    </row>
    <row r="122" spans="1:12" ht="15.4" x14ac:dyDescent="0.4">
      <c r="A122" s="1">
        <v>0.33700000000000002</v>
      </c>
      <c r="B122" s="2">
        <v>8.310222302259973E-3</v>
      </c>
      <c r="C122" s="2">
        <v>1.0234263919039375</v>
      </c>
      <c r="D122" s="5"/>
      <c r="E122" s="40">
        <v>200</v>
      </c>
      <c r="F122" s="2">
        <v>7.6200000000000045E-2</v>
      </c>
      <c r="G122" s="2">
        <v>21.771428571428586</v>
      </c>
      <c r="H122" s="2"/>
      <c r="I122" s="25">
        <v>1.0000000000000001E-5</v>
      </c>
      <c r="J122" s="2">
        <v>-0.31756762352941192</v>
      </c>
      <c r="K122" s="2">
        <v>26.429442447575944</v>
      </c>
      <c r="L122" s="5"/>
    </row>
    <row r="123" spans="1:12" ht="15.4" x14ac:dyDescent="0.4">
      <c r="A123" s="1">
        <v>0.33700000000000002</v>
      </c>
      <c r="B123" s="2">
        <v>-2.6409378718818988E-2</v>
      </c>
      <c r="C123" s="2">
        <v>3.2364434704435037</v>
      </c>
      <c r="D123" s="5"/>
      <c r="E123" s="40">
        <v>200</v>
      </c>
      <c r="F123" s="2">
        <v>7.8600000000000003E-2</v>
      </c>
      <c r="G123" s="2">
        <v>21.833333333333336</v>
      </c>
      <c r="H123" s="2"/>
      <c r="I123" s="25">
        <v>1.0000000000000001E-5</v>
      </c>
      <c r="J123" s="2">
        <v>-0.48856764397905783</v>
      </c>
      <c r="K123" s="2">
        <v>34.945923116319278</v>
      </c>
      <c r="L123" s="5"/>
    </row>
    <row r="124" spans="1:12" ht="15.4" x14ac:dyDescent="0.4">
      <c r="A124" s="1">
        <v>0.33700000000000002</v>
      </c>
      <c r="B124" s="2">
        <v>-0.10535657840233703</v>
      </c>
      <c r="C124" s="2">
        <v>11.501809869250767</v>
      </c>
      <c r="D124" s="5"/>
      <c r="E124" s="40">
        <v>200</v>
      </c>
      <c r="F124" s="2">
        <v>-1.8199999999999994E-2</v>
      </c>
      <c r="G124" s="2">
        <v>1.91578947368421</v>
      </c>
      <c r="H124" s="2"/>
      <c r="I124" s="25">
        <v>1.0000000000000001E-5</v>
      </c>
      <c r="J124" s="2">
        <v>6.2200000000000005E-2</v>
      </c>
      <c r="K124" s="2">
        <v>29.619047619047624</v>
      </c>
      <c r="L124" s="5"/>
    </row>
    <row r="125" spans="1:12" ht="15.4" x14ac:dyDescent="0.4">
      <c r="A125" s="1">
        <v>0.33700000000000002</v>
      </c>
      <c r="B125" s="2">
        <v>-2.9127053479169884E-2</v>
      </c>
      <c r="C125" s="2">
        <v>2.7713656973520346</v>
      </c>
      <c r="D125" s="5"/>
      <c r="E125" s="40">
        <v>200</v>
      </c>
      <c r="F125" s="2">
        <v>2.6601673538431014E-2</v>
      </c>
      <c r="G125" s="2">
        <v>4.9909331216568509</v>
      </c>
      <c r="H125" s="2"/>
      <c r="I125" s="25">
        <v>1.0000000000000001E-5</v>
      </c>
      <c r="J125" s="2">
        <v>-0.14690000000000003</v>
      </c>
      <c r="K125" s="2">
        <v>32.644444444444446</v>
      </c>
      <c r="L125" s="5"/>
    </row>
    <row r="126" spans="1:12" ht="15.4" x14ac:dyDescent="0.4">
      <c r="A126" s="1">
        <v>0.33700000000000002</v>
      </c>
      <c r="B126" s="2">
        <v>-0.10661787999537597</v>
      </c>
      <c r="C126" s="2">
        <v>9.8811751617586641</v>
      </c>
      <c r="D126" s="5"/>
      <c r="E126" s="40">
        <v>200</v>
      </c>
      <c r="F126" s="2">
        <v>0.14721543868686404</v>
      </c>
      <c r="G126" s="2">
        <v>23.074520170354866</v>
      </c>
      <c r="H126" s="2"/>
      <c r="I126" s="25">
        <v>1.0000000000000001E-5</v>
      </c>
      <c r="J126" s="2">
        <v>0.12289999999999995</v>
      </c>
      <c r="K126" s="2">
        <v>27.311111111111103</v>
      </c>
      <c r="L126" s="5"/>
    </row>
    <row r="127" spans="1:12" ht="15.4" x14ac:dyDescent="0.4">
      <c r="A127" s="1">
        <v>0.33700000000000002</v>
      </c>
      <c r="B127" s="2">
        <v>-0.18391435034568993</v>
      </c>
      <c r="C127" s="2">
        <v>13.838551568524448</v>
      </c>
      <c r="D127" s="5"/>
      <c r="E127" s="40">
        <v>200</v>
      </c>
      <c r="F127" s="2">
        <v>0.36309999999999998</v>
      </c>
      <c r="G127" s="2">
        <v>48.413333333333327</v>
      </c>
      <c r="H127" s="2"/>
      <c r="I127" s="25">
        <v>1.0000000000000001E-5</v>
      </c>
      <c r="J127" s="2">
        <v>-1.8199999999999994E-2</v>
      </c>
      <c r="K127" s="2">
        <v>1.91578947368421</v>
      </c>
      <c r="L127" s="5"/>
    </row>
    <row r="128" spans="1:12" ht="15.4" x14ac:dyDescent="0.4">
      <c r="A128" s="1">
        <v>0.33700000000000002</v>
      </c>
      <c r="B128" s="2">
        <v>-0.43963390519038592</v>
      </c>
      <c r="C128" s="2">
        <v>33.080053061729565</v>
      </c>
      <c r="D128" s="5"/>
      <c r="E128" s="40">
        <v>200</v>
      </c>
      <c r="F128" s="2">
        <v>-0.59579999999999989</v>
      </c>
      <c r="G128" s="2">
        <v>36.329268292682919</v>
      </c>
      <c r="H128" s="2"/>
      <c r="I128" s="25">
        <v>1.0000000000000001E-5</v>
      </c>
      <c r="J128" s="2">
        <v>-0.59579999999999989</v>
      </c>
      <c r="K128" s="2">
        <v>36.329268292682919</v>
      </c>
      <c r="L128" s="5"/>
    </row>
    <row r="129" spans="1:12" ht="15.4" x14ac:dyDescent="0.4">
      <c r="A129" s="1">
        <v>0.33700000000000002</v>
      </c>
      <c r="B129" s="2">
        <v>-0.54533101058824984</v>
      </c>
      <c r="C129" s="2">
        <v>33.455890220138031</v>
      </c>
      <c r="D129" s="5"/>
      <c r="E129" s="40">
        <v>200</v>
      </c>
      <c r="F129" s="2">
        <v>0.32579999999999998</v>
      </c>
      <c r="G129" s="2">
        <v>38.785714285714285</v>
      </c>
      <c r="H129" s="2"/>
      <c r="I129" s="25">
        <v>1.0000000000000001E-5</v>
      </c>
      <c r="J129" s="2">
        <v>-1.4313999999999998</v>
      </c>
      <c r="K129" s="2">
        <v>55.696498054474709</v>
      </c>
      <c r="L129" s="5"/>
    </row>
    <row r="130" spans="1:12" ht="15.4" x14ac:dyDescent="0.4">
      <c r="A130" s="1">
        <v>0.34</v>
      </c>
      <c r="B130" s="2">
        <v>-3.4867935891940038E-2</v>
      </c>
      <c r="C130" s="2">
        <v>6.7704729887262216</v>
      </c>
      <c r="D130" s="5"/>
      <c r="E130" s="40">
        <v>200</v>
      </c>
      <c r="F130" s="2">
        <v>0.18084344045800993</v>
      </c>
      <c r="G130" s="2">
        <v>17.557615578447567</v>
      </c>
      <c r="H130" s="2"/>
      <c r="I130" s="25">
        <v>1.0000000000000001E-5</v>
      </c>
      <c r="J130" s="2">
        <v>0.10472000000000015</v>
      </c>
      <c r="K130" s="2">
        <v>9.9009152106497389</v>
      </c>
      <c r="L130" s="5"/>
    </row>
    <row r="131" spans="1:12" ht="15.4" x14ac:dyDescent="0.4">
      <c r="A131" s="1">
        <v>0.34</v>
      </c>
      <c r="B131" s="2">
        <v>-0.30671765703945997</v>
      </c>
      <c r="C131" s="2">
        <v>36.084430239936466</v>
      </c>
      <c r="D131" s="5"/>
      <c r="E131" s="40">
        <v>200</v>
      </c>
      <c r="F131" s="2">
        <v>0.12490000000000001</v>
      </c>
      <c r="G131" s="2">
        <v>11.458715596330276</v>
      </c>
      <c r="H131" s="2"/>
      <c r="I131" s="25">
        <v>1.0000000000000001E-5</v>
      </c>
      <c r="J131" s="2">
        <v>-0.48827999999999983</v>
      </c>
      <c r="K131" s="2">
        <v>28.039830479275047</v>
      </c>
      <c r="L131" s="5"/>
    </row>
    <row r="132" spans="1:12" ht="15.4" x14ac:dyDescent="0.4">
      <c r="A132" s="1">
        <v>0.34</v>
      </c>
      <c r="B132" s="2">
        <v>-0.80869179950215897</v>
      </c>
      <c r="C132" s="2">
        <v>56.551874091060071</v>
      </c>
      <c r="D132" s="5"/>
      <c r="E132" s="40">
        <v>200</v>
      </c>
      <c r="F132" s="2">
        <v>-1.4313999999999998</v>
      </c>
      <c r="G132" s="2">
        <v>55.696498054474709</v>
      </c>
      <c r="H132" s="2"/>
      <c r="I132" s="25">
        <v>1.0000000000000001E-5</v>
      </c>
      <c r="J132" s="2">
        <v>-0.8913000000000002</v>
      </c>
      <c r="K132" s="2">
        <v>40.874071356507393</v>
      </c>
      <c r="L132" s="5"/>
    </row>
    <row r="133" spans="1:12" ht="15.4" x14ac:dyDescent="0.4">
      <c r="A133" s="1">
        <v>0.35</v>
      </c>
      <c r="B133" s="2">
        <v>3.2895851896808104E-4</v>
      </c>
      <c r="C133" s="2">
        <v>3.9633556502178438E-2</v>
      </c>
      <c r="D133" s="5"/>
      <c r="E133" s="40">
        <v>200</v>
      </c>
      <c r="F133" s="2">
        <v>0.1008</v>
      </c>
      <c r="G133" s="2">
        <v>8.6896551724137936</v>
      </c>
      <c r="H133" s="2"/>
      <c r="I133" s="25">
        <v>1.0000000000000001E-5</v>
      </c>
      <c r="J133" s="2">
        <v>5.5816961235704954E-2</v>
      </c>
      <c r="K133" s="2">
        <v>21.686340134798368</v>
      </c>
      <c r="L133" s="5"/>
    </row>
    <row r="134" spans="1:12" ht="15.4" x14ac:dyDescent="0.4">
      <c r="A134" s="1">
        <v>0.35</v>
      </c>
      <c r="B134" s="2">
        <v>-0.46945627683546787</v>
      </c>
      <c r="C134" s="2">
        <v>33.532591202533425</v>
      </c>
      <c r="D134" s="5"/>
      <c r="E134" s="40">
        <v>200</v>
      </c>
      <c r="F134" s="2">
        <v>-0.37268114727307999</v>
      </c>
      <c r="G134" s="2">
        <v>22.117575505820771</v>
      </c>
      <c r="H134" s="2"/>
      <c r="I134" s="25">
        <v>1.0000000000000001E-5</v>
      </c>
      <c r="J134" s="2">
        <v>7.1285714285714286E-3</v>
      </c>
      <c r="K134" s="2">
        <v>2.1054852320675104</v>
      </c>
      <c r="L134" s="5"/>
    </row>
    <row r="135" spans="1:12" ht="15.4" x14ac:dyDescent="0.4">
      <c r="A135" s="1">
        <v>0.35699999999999998</v>
      </c>
      <c r="B135" s="2">
        <v>0.11959999999999998</v>
      </c>
      <c r="C135" s="2">
        <v>26.285714285714278</v>
      </c>
      <c r="D135" s="5"/>
      <c r="E135" s="40">
        <v>200</v>
      </c>
      <c r="F135" s="2">
        <v>-7.5799999999999867E-2</v>
      </c>
      <c r="G135" s="2">
        <v>5.4927536231883973</v>
      </c>
      <c r="H135" s="2"/>
      <c r="I135" s="25">
        <v>1.0000000000000001E-5</v>
      </c>
      <c r="J135" s="2">
        <v>-0.10730833333333334</v>
      </c>
      <c r="K135" s="2">
        <v>22.821444395214886</v>
      </c>
      <c r="L135" s="5"/>
    </row>
    <row r="136" spans="1:12" ht="15.4" x14ac:dyDescent="0.4">
      <c r="A136" s="1">
        <v>0.35699999999999998</v>
      </c>
      <c r="B136" s="2">
        <v>5.3999999999999604E-3</v>
      </c>
      <c r="C136" s="2">
        <v>0.72096128170893992</v>
      </c>
      <c r="D136" s="5"/>
      <c r="E136" s="40">
        <v>200</v>
      </c>
      <c r="F136" s="2">
        <v>-0.28469999999999995</v>
      </c>
      <c r="G136" s="2">
        <v>17.466257668711656</v>
      </c>
      <c r="H136" s="2"/>
      <c r="I136" s="25">
        <v>1.0000000000000001E-5</v>
      </c>
      <c r="J136" s="2">
        <v>-0.29092830188679236</v>
      </c>
      <c r="K136" s="2">
        <v>43.130629370629364</v>
      </c>
      <c r="L136" s="5"/>
    </row>
    <row r="137" spans="1:12" ht="15.4" x14ac:dyDescent="0.4">
      <c r="A137" s="1">
        <v>0.35699999999999998</v>
      </c>
      <c r="B137" s="2">
        <v>-1.0907</v>
      </c>
      <c r="C137" s="2">
        <v>54.616925388082116</v>
      </c>
      <c r="D137" s="5"/>
      <c r="E137" s="40">
        <v>200</v>
      </c>
      <c r="F137" s="2">
        <v>1.3300000000000034E-2</v>
      </c>
      <c r="G137" s="2">
        <v>5.4958677685950557</v>
      </c>
      <c r="H137" s="2"/>
      <c r="I137" s="25">
        <v>1.0000000000000001E-5</v>
      </c>
      <c r="J137" s="2">
        <v>-0.45704509803921572</v>
      </c>
      <c r="K137" s="2">
        <v>52.975681818181819</v>
      </c>
      <c r="L137" s="5"/>
    </row>
    <row r="138" spans="1:12" ht="15.4" x14ac:dyDescent="0.4">
      <c r="A138" s="1">
        <v>0.37</v>
      </c>
      <c r="B138" s="2">
        <v>-0.38878057142857259</v>
      </c>
      <c r="C138" s="2">
        <v>13.58764237631066</v>
      </c>
      <c r="D138" s="5"/>
      <c r="E138" s="40">
        <v>200</v>
      </c>
      <c r="F138" s="2">
        <v>4.3499999999999983E-2</v>
      </c>
      <c r="G138" s="2">
        <v>16.860465116279062</v>
      </c>
      <c r="H138" s="2"/>
      <c r="I138" s="25">
        <v>1.0000000000000001E-5</v>
      </c>
      <c r="J138" s="2">
        <v>-0.38878057142857259</v>
      </c>
      <c r="K138" s="2">
        <v>13.58764237631066</v>
      </c>
      <c r="L138" s="5"/>
    </row>
    <row r="139" spans="1:12" ht="15.4" x14ac:dyDescent="0.4">
      <c r="A139" s="1">
        <v>0.37</v>
      </c>
      <c r="B139" s="2">
        <v>-0.43032599999999954</v>
      </c>
      <c r="C139" s="2">
        <v>14.269399806215805</v>
      </c>
      <c r="D139" s="5"/>
      <c r="E139" s="40">
        <v>200</v>
      </c>
      <c r="F139" s="2">
        <v>5.2200000000000024E-2</v>
      </c>
      <c r="G139" s="2">
        <v>17.755102040816336</v>
      </c>
      <c r="H139" s="2"/>
      <c r="I139" s="25">
        <v>1.0000000000000001E-5</v>
      </c>
      <c r="J139" s="2">
        <v>-0.43032599999999954</v>
      </c>
      <c r="K139" s="2">
        <v>14.269399806215805</v>
      </c>
      <c r="L139" s="5"/>
    </row>
    <row r="140" spans="1:12" ht="15.4" x14ac:dyDescent="0.4">
      <c r="A140" s="1">
        <v>0.37</v>
      </c>
      <c r="B140" s="2">
        <v>-0.49684936842105243</v>
      </c>
      <c r="C140" s="2">
        <v>15.582301260309128</v>
      </c>
      <c r="D140" s="5"/>
      <c r="E140" s="40">
        <v>200</v>
      </c>
      <c r="F140" s="2">
        <v>-6.6899999999999959E-2</v>
      </c>
      <c r="G140" s="2">
        <v>14.113924050632903</v>
      </c>
      <c r="H140" s="2"/>
      <c r="I140" s="25">
        <v>1.0000000000000001E-5</v>
      </c>
      <c r="J140" s="2">
        <v>-0.49684936842105243</v>
      </c>
      <c r="K140" s="2">
        <v>15.582301260309128</v>
      </c>
      <c r="L140" s="5"/>
    </row>
    <row r="141" spans="1:12" ht="15.4" x14ac:dyDescent="0.4">
      <c r="A141" s="1">
        <v>0.37</v>
      </c>
      <c r="B141" s="2">
        <v>-0.63738800000000095</v>
      </c>
      <c r="C141" s="2">
        <v>18.583347327959419</v>
      </c>
      <c r="D141" s="5"/>
      <c r="E141" s="40">
        <v>200</v>
      </c>
      <c r="F141" s="2">
        <v>0.33171128766706337</v>
      </c>
      <c r="G141" s="2">
        <v>18.740750715653299</v>
      </c>
      <c r="H141" s="2"/>
      <c r="I141" s="25">
        <v>1.0000000000000001E-5</v>
      </c>
      <c r="J141" s="2">
        <v>-0.63738800000000095</v>
      </c>
      <c r="K141" s="2">
        <v>18.583347327959419</v>
      </c>
      <c r="L141" s="5"/>
    </row>
    <row r="142" spans="1:12" ht="15.4" x14ac:dyDescent="0.4">
      <c r="A142" s="1">
        <v>0.37</v>
      </c>
      <c r="B142" s="2">
        <v>-0.71966327058823554</v>
      </c>
      <c r="C142" s="2">
        <v>19.944865898626983</v>
      </c>
      <c r="D142" s="5"/>
      <c r="E142" s="40">
        <v>200</v>
      </c>
      <c r="F142" s="2">
        <v>0.32064474430343815</v>
      </c>
      <c r="G142" s="2">
        <v>13.586641707772804</v>
      </c>
      <c r="H142" s="2"/>
      <c r="I142" s="25">
        <v>1.0000000000000001E-5</v>
      </c>
      <c r="J142" s="2">
        <v>-0.71966327058823554</v>
      </c>
      <c r="K142" s="2">
        <v>19.944865898626983</v>
      </c>
      <c r="L142" s="5"/>
    </row>
    <row r="143" spans="1:12" ht="15.4" x14ac:dyDescent="0.4">
      <c r="A143" s="1">
        <v>0.37</v>
      </c>
      <c r="B143" s="2">
        <v>-1.0875268000000005</v>
      </c>
      <c r="C143" s="2">
        <v>26.732206768806506</v>
      </c>
      <c r="D143" s="5"/>
      <c r="E143" s="40">
        <v>200</v>
      </c>
      <c r="F143" s="2">
        <v>1.0623807091287838</v>
      </c>
      <c r="G143" s="2">
        <v>34.605234825041819</v>
      </c>
      <c r="H143" s="2"/>
      <c r="I143" s="25">
        <v>1.0000000000000001E-5</v>
      </c>
      <c r="J143" s="2">
        <v>-1.0875268000000005</v>
      </c>
      <c r="K143" s="2">
        <v>26.732206768806506</v>
      </c>
      <c r="L143" s="5"/>
    </row>
    <row r="144" spans="1:12" ht="15.4" x14ac:dyDescent="0.4">
      <c r="A144" s="1">
        <v>0.45</v>
      </c>
      <c r="B144" s="2">
        <v>7.0400266234693643E-4</v>
      </c>
      <c r="C144" s="2">
        <v>7.9101422735610841E-2</v>
      </c>
      <c r="D144" s="5"/>
      <c r="E144" s="40">
        <v>200</v>
      </c>
      <c r="F144" s="2">
        <v>1.6590000000000007</v>
      </c>
      <c r="G144" s="2">
        <v>40.463414634146361</v>
      </c>
      <c r="H144" s="2"/>
      <c r="I144" s="25">
        <v>1.0000000000000001E-5</v>
      </c>
      <c r="J144" s="2">
        <v>-0.10429266883030053</v>
      </c>
      <c r="K144" s="2">
        <v>0.66008018247025646</v>
      </c>
      <c r="L144" s="5"/>
    </row>
    <row r="145" spans="1:12" ht="15.4" x14ac:dyDescent="0.4">
      <c r="A145" s="1">
        <v>0.45</v>
      </c>
      <c r="B145" s="2">
        <v>-0.46255302655979091</v>
      </c>
      <c r="C145" s="2">
        <v>31.900208728261443</v>
      </c>
      <c r="D145" s="5"/>
      <c r="E145" s="40">
        <v>200</v>
      </c>
      <c r="F145" s="2">
        <v>1.1109</v>
      </c>
      <c r="G145" s="2">
        <v>21.654970760233919</v>
      </c>
      <c r="H145" s="2"/>
      <c r="I145" s="25">
        <v>1.0000000000000001E-5</v>
      </c>
      <c r="J145" s="2">
        <v>-0.13322458099479917</v>
      </c>
      <c r="K145" s="2">
        <v>0.79775198200478548</v>
      </c>
      <c r="L145" s="5"/>
    </row>
    <row r="146" spans="1:12" ht="15.4" x14ac:dyDescent="0.4">
      <c r="A146" s="1">
        <v>0.48</v>
      </c>
      <c r="B146" s="2">
        <v>-1.6155155672679111E-3</v>
      </c>
      <c r="C146" s="2">
        <v>0.17186335821999055</v>
      </c>
      <c r="D146" s="5"/>
      <c r="E146" s="40">
        <v>200</v>
      </c>
      <c r="F146" s="2">
        <v>-0.17609999999999992</v>
      </c>
      <c r="G146" s="2">
        <v>2.6521084337349388</v>
      </c>
      <c r="H146" s="2"/>
      <c r="I146" s="25">
        <v>1.0000000000000001E-5</v>
      </c>
      <c r="J146" s="2">
        <v>-2.8995175182497981</v>
      </c>
      <c r="K146" s="2">
        <v>14.304477149727667</v>
      </c>
      <c r="L146" s="5"/>
    </row>
    <row r="147" spans="1:12" ht="15.4" x14ac:dyDescent="0.4">
      <c r="A147" s="1">
        <v>0.48</v>
      </c>
      <c r="B147" s="2">
        <v>-0.48898206471513994</v>
      </c>
      <c r="C147" s="2">
        <v>31.959612072884962</v>
      </c>
      <c r="D147" s="5"/>
      <c r="E147" s="40">
        <v>200</v>
      </c>
      <c r="F147" s="2">
        <v>-0.40300000000000047</v>
      </c>
      <c r="G147" s="2">
        <v>5.692090395480232</v>
      </c>
      <c r="H147" s="2"/>
      <c r="I147" s="25">
        <v>1.0000000000000001E-5</v>
      </c>
      <c r="J147" s="2">
        <v>-2.1566066339280994</v>
      </c>
      <c r="K147" s="2">
        <v>10.602785810855945</v>
      </c>
      <c r="L147" s="5"/>
    </row>
    <row r="148" spans="1:12" ht="15.4" x14ac:dyDescent="0.4">
      <c r="A148" s="1">
        <v>0.61</v>
      </c>
      <c r="B148" s="2">
        <v>-7.1391900000000064E-2</v>
      </c>
      <c r="C148" s="2">
        <v>11.567212725896121</v>
      </c>
      <c r="D148" s="5"/>
      <c r="E148" s="40">
        <v>200</v>
      </c>
      <c r="F148" s="2">
        <v>-1.5186000000000002</v>
      </c>
      <c r="G148" s="2">
        <v>18.078571428571429</v>
      </c>
      <c r="H148" s="2"/>
      <c r="I148" s="25">
        <v>1.0000000000000001E-5</v>
      </c>
      <c r="J148" s="2">
        <v>-0.67542737830629918</v>
      </c>
      <c r="K148" s="2">
        <v>3.4320496865157479</v>
      </c>
      <c r="L148" s="5"/>
    </row>
    <row r="149" spans="1:12" ht="15.4" x14ac:dyDescent="0.4">
      <c r="A149" s="1">
        <v>0.61</v>
      </c>
      <c r="B149" s="2">
        <v>-9.4683400000000084E-2</v>
      </c>
      <c r="C149" s="2">
        <v>15.188630303598089</v>
      </c>
      <c r="D149" s="5"/>
      <c r="E149" s="40">
        <v>200</v>
      </c>
      <c r="F149" s="2">
        <v>-2.9217000000000004</v>
      </c>
      <c r="G149" s="2">
        <v>29.217000000000006</v>
      </c>
      <c r="H149" s="2"/>
      <c r="I149" s="25">
        <v>1.0000000000000001E-5</v>
      </c>
      <c r="J149" s="2">
        <v>-2.7664003781312019</v>
      </c>
      <c r="K149" s="2">
        <v>12.240709637748679</v>
      </c>
      <c r="L149" s="5"/>
    </row>
    <row r="150" spans="1:12" ht="15.4" x14ac:dyDescent="0.4">
      <c r="A150" s="1">
        <v>0.61</v>
      </c>
      <c r="B150" s="2">
        <v>-0.11109809999999998</v>
      </c>
      <c r="C150" s="2">
        <v>17.730360178238648</v>
      </c>
      <c r="D150" s="5"/>
      <c r="E150" s="40">
        <v>200</v>
      </c>
      <c r="F150" s="2">
        <v>-4.6304000000000007</v>
      </c>
      <c r="G150" s="2">
        <v>38.91092436974791</v>
      </c>
      <c r="H150" s="2"/>
      <c r="I150" s="25">
        <v>1.0000000000000001E-5</v>
      </c>
      <c r="J150" s="2">
        <v>-0.18712200004970114</v>
      </c>
      <c r="K150" s="2">
        <v>0.75880778608962351</v>
      </c>
      <c r="L150" s="5"/>
    </row>
    <row r="151" spans="1:12" ht="15.4" x14ac:dyDescent="0.4">
      <c r="A151" s="1">
        <v>0.61</v>
      </c>
      <c r="B151" s="2">
        <v>-0.15732420000000003</v>
      </c>
      <c r="C151" s="2">
        <v>24.580976781815441</v>
      </c>
      <c r="D151" s="5"/>
      <c r="E151" s="40">
        <v>200</v>
      </c>
      <c r="F151" s="2">
        <v>-1.9057333333333304</v>
      </c>
      <c r="G151" s="2">
        <v>36.837628865979347</v>
      </c>
      <c r="H151" s="2"/>
      <c r="I151" s="25">
        <v>1.0000000000000001E-5</v>
      </c>
      <c r="J151" s="2">
        <v>-0.51080781763679894</v>
      </c>
      <c r="K151" s="2">
        <v>1.9422350480486652</v>
      </c>
      <c r="L151" s="5"/>
    </row>
    <row r="152" spans="1:12" ht="15.4" x14ac:dyDescent="0.4">
      <c r="A152" s="1">
        <v>1.6</v>
      </c>
      <c r="B152" s="2">
        <v>-0.34476863960298032</v>
      </c>
      <c r="C152" s="2">
        <v>15.391457125133048</v>
      </c>
      <c r="D152" s="5"/>
      <c r="E152" s="40">
        <v>200</v>
      </c>
      <c r="F152" s="2">
        <v>-0.57870000000000044</v>
      </c>
      <c r="G152" s="2">
        <v>9.7753378378378439</v>
      </c>
      <c r="H152" s="2"/>
      <c r="I152" s="25">
        <v>1.0000000000000001E-5</v>
      </c>
      <c r="J152" s="2">
        <v>-1.5268949481511989</v>
      </c>
      <c r="K152" s="2">
        <v>5.3276167067383069</v>
      </c>
      <c r="L152" s="5"/>
    </row>
    <row r="153" spans="1:12" ht="15.4" x14ac:dyDescent="0.4">
      <c r="A153" s="1">
        <v>1.6</v>
      </c>
      <c r="B153" s="2">
        <v>-6.7532643292089745E-2</v>
      </c>
      <c r="C153" s="2">
        <v>2.312761756578416</v>
      </c>
      <c r="D153" s="5"/>
      <c r="E153" s="40">
        <v>200</v>
      </c>
      <c r="F153" s="2">
        <v>2.3136666666666672</v>
      </c>
      <c r="G153" s="2">
        <v>31.209532374100728</v>
      </c>
      <c r="H153" s="2"/>
      <c r="I153" s="25">
        <v>1.0000000000000001E-5</v>
      </c>
      <c r="J153" s="2">
        <v>1.2402065403994982</v>
      </c>
      <c r="K153" s="2">
        <v>4.549547103446435</v>
      </c>
      <c r="L153" s="5"/>
    </row>
    <row r="154" spans="1:12" ht="15.4" x14ac:dyDescent="0.4">
      <c r="A154" s="1">
        <v>1.6</v>
      </c>
      <c r="B154" s="2">
        <v>0.79350350391711988</v>
      </c>
      <c r="C154" s="2">
        <v>25.031656274988006</v>
      </c>
      <c r="D154" s="5"/>
      <c r="E154" s="40">
        <v>200</v>
      </c>
      <c r="F154" s="2">
        <v>3.483533333333332</v>
      </c>
      <c r="G154" s="2">
        <v>42.971217105263136</v>
      </c>
      <c r="H154" s="2"/>
      <c r="I154" s="25">
        <v>1.0000000000000001E-5</v>
      </c>
      <c r="J154" s="2">
        <v>-3.9016882219386986</v>
      </c>
      <c r="K154" s="2">
        <v>11.546872512396266</v>
      </c>
      <c r="L154" s="5"/>
    </row>
    <row r="155" spans="1:12" ht="15.4" x14ac:dyDescent="0.4">
      <c r="A155" s="1">
        <v>1.6</v>
      </c>
      <c r="B155" s="2">
        <v>-9.7254126469437097E-5</v>
      </c>
      <c r="C155" s="2">
        <v>1.7122205364337518E-3</v>
      </c>
      <c r="D155" s="5"/>
      <c r="E155" s="40">
        <v>200</v>
      </c>
      <c r="F155" s="2">
        <v>0.13223333333333365</v>
      </c>
      <c r="G155" s="2">
        <v>1.0245351239669445</v>
      </c>
      <c r="H155" s="2"/>
      <c r="I155" s="25">
        <v>1.0000000000000001E-5</v>
      </c>
      <c r="J155" s="2">
        <v>-4.4236751096966991</v>
      </c>
      <c r="K155" s="2">
        <v>12.384308817739919</v>
      </c>
      <c r="L155" s="5"/>
    </row>
    <row r="156" spans="1:12" ht="15.4" x14ac:dyDescent="0.4">
      <c r="A156" s="1">
        <v>1.68</v>
      </c>
      <c r="B156" s="2">
        <v>0.33171128766706337</v>
      </c>
      <c r="C156" s="2">
        <v>18.740750715653299</v>
      </c>
      <c r="D156" s="5"/>
      <c r="E156" s="40">
        <v>200</v>
      </c>
      <c r="F156" s="2">
        <v>0.57010000000000005</v>
      </c>
      <c r="G156" s="2">
        <v>1.9820533948009775</v>
      </c>
      <c r="H156" s="2"/>
      <c r="I156" s="25">
        <v>1.0000000000000001E-5</v>
      </c>
      <c r="J156" s="2">
        <v>-3.5859418886964036</v>
      </c>
      <c r="K156" s="2">
        <v>9.8759071569716426</v>
      </c>
      <c r="L156" s="5"/>
    </row>
    <row r="157" spans="1:12" ht="15.4" x14ac:dyDescent="0.4">
      <c r="A157" s="1">
        <v>1.68</v>
      </c>
      <c r="B157" s="2">
        <v>0.32064474430343815</v>
      </c>
      <c r="C157" s="2">
        <v>13.586641707772804</v>
      </c>
      <c r="D157" s="5"/>
      <c r="E157" s="40">
        <v>200</v>
      </c>
      <c r="F157" s="2">
        <v>-1.2499999999999289E-2</v>
      </c>
      <c r="G157" s="2">
        <v>4.1495428863554035E-2</v>
      </c>
      <c r="H157" s="2"/>
      <c r="I157" s="25">
        <v>1.2E-5</v>
      </c>
      <c r="J157" s="2">
        <v>-3.6017543522080597</v>
      </c>
      <c r="K157" s="2">
        <v>30.497496631736322</v>
      </c>
      <c r="L157" s="5"/>
    </row>
    <row r="158" spans="1:12" ht="15.4" x14ac:dyDescent="0.4">
      <c r="A158" s="1">
        <v>1.68</v>
      </c>
      <c r="B158" s="2">
        <v>1.0623807091287838</v>
      </c>
      <c r="C158" s="2">
        <v>34.605234825041819</v>
      </c>
      <c r="D158" s="5"/>
      <c r="E158" s="40">
        <v>200</v>
      </c>
      <c r="F158" s="2">
        <v>0.5517000000000003</v>
      </c>
      <c r="G158" s="2">
        <v>1.7638539425348738</v>
      </c>
      <c r="H158" s="2"/>
      <c r="I158" s="25">
        <v>1.2E-5</v>
      </c>
      <c r="J158" s="2">
        <v>-0.9867843688349005</v>
      </c>
      <c r="K158" s="2">
        <v>3.1811230458894277</v>
      </c>
      <c r="L158" s="5"/>
    </row>
    <row r="159" spans="1:12" ht="15.4" x14ac:dyDescent="0.4">
      <c r="A159" s="1">
        <v>1.68</v>
      </c>
      <c r="B159" s="2">
        <v>1.6590000000000007</v>
      </c>
      <c r="C159" s="2">
        <v>40.463414634146361</v>
      </c>
      <c r="D159" s="5"/>
      <c r="E159" s="40">
        <v>200</v>
      </c>
      <c r="F159" s="2">
        <v>-0.11999999999999744</v>
      </c>
      <c r="G159" s="2">
        <v>0.33132056092570261</v>
      </c>
      <c r="H159" s="2"/>
      <c r="I159" s="25">
        <v>1.2E-5</v>
      </c>
      <c r="J159" s="2">
        <v>-2.1851526103892027</v>
      </c>
      <c r="K159" s="2">
        <v>6.4363847139593586</v>
      </c>
      <c r="L159" s="5"/>
    </row>
    <row r="160" spans="1:12" ht="15.4" x14ac:dyDescent="0.4">
      <c r="A160" s="1">
        <v>1.68</v>
      </c>
      <c r="B160" s="2">
        <v>1.1109</v>
      </c>
      <c r="C160" s="2">
        <v>21.654970760233919</v>
      </c>
      <c r="D160" s="5"/>
      <c r="E160" s="40">
        <v>200</v>
      </c>
      <c r="F160" s="2">
        <v>0.53569999999999851</v>
      </c>
      <c r="G160" s="2">
        <v>1.6170074043665494</v>
      </c>
      <c r="H160" s="2"/>
      <c r="I160" s="25">
        <v>1.2E-5</v>
      </c>
      <c r="J160" s="2">
        <v>-0.64384815224550351</v>
      </c>
      <c r="K160" s="2">
        <v>1.8517346915315025</v>
      </c>
      <c r="L160" s="5"/>
    </row>
    <row r="161" spans="1:12" ht="15.4" x14ac:dyDescent="0.4">
      <c r="A161" s="1">
        <v>1.68</v>
      </c>
      <c r="B161" s="2">
        <v>-0.17609999999999992</v>
      </c>
      <c r="C161" s="2">
        <v>2.6521084337349388</v>
      </c>
      <c r="D161" s="5"/>
      <c r="E161" s="40">
        <v>200</v>
      </c>
      <c r="F161" s="2">
        <v>-4.0500000000001535E-2</v>
      </c>
      <c r="G161" s="2">
        <v>0.10417926035297871</v>
      </c>
      <c r="H161" s="2"/>
      <c r="I161" s="25">
        <v>1.2E-5</v>
      </c>
      <c r="J161" s="2">
        <v>-1.2606447159246983</v>
      </c>
      <c r="K161" s="2">
        <v>3.3306333313730465</v>
      </c>
      <c r="L161" s="5"/>
    </row>
    <row r="162" spans="1:12" ht="15.4" x14ac:dyDescent="0.4">
      <c r="A162" s="1">
        <v>1.68</v>
      </c>
      <c r="B162" s="2">
        <v>-0.40300000000000047</v>
      </c>
      <c r="C162" s="2">
        <v>5.692090395480232</v>
      </c>
      <c r="D162" s="5"/>
      <c r="E162" s="40">
        <v>200</v>
      </c>
      <c r="F162" s="2">
        <v>-0.81270000000000664</v>
      </c>
      <c r="G162" s="2">
        <v>1.9169035179790941</v>
      </c>
      <c r="H162" s="2"/>
      <c r="I162" s="25">
        <v>1.2E-5</v>
      </c>
      <c r="J162" s="2">
        <v>-4.4408083649873973</v>
      </c>
      <c r="K162" s="2">
        <v>10.197034133151314</v>
      </c>
      <c r="L162" s="5"/>
    </row>
    <row r="163" spans="1:12" ht="15.4" x14ac:dyDescent="0.4">
      <c r="A163" s="1">
        <v>1.68</v>
      </c>
      <c r="B163" s="2">
        <v>-1.5186000000000002</v>
      </c>
      <c r="C163" s="2">
        <v>18.078571428571429</v>
      </c>
      <c r="D163" s="5"/>
      <c r="E163" s="40">
        <v>200</v>
      </c>
      <c r="F163" s="2">
        <v>-1.9039000000000001</v>
      </c>
      <c r="G163" s="2">
        <v>4.1185352473414145</v>
      </c>
      <c r="H163" s="2"/>
      <c r="I163" s="25">
        <v>1.2E-5</v>
      </c>
      <c r="J163" s="2">
        <v>-6.5408455473026947</v>
      </c>
      <c r="K163" s="2">
        <v>13.573034960163302</v>
      </c>
      <c r="L163" s="5"/>
    </row>
    <row r="164" spans="1:12" ht="15.4" x14ac:dyDescent="0.4">
      <c r="A164" s="1">
        <v>1.68</v>
      </c>
      <c r="B164" s="2">
        <v>-2.9217000000000004</v>
      </c>
      <c r="C164" s="2">
        <v>29.217000000000006</v>
      </c>
      <c r="D164" s="5"/>
      <c r="E164" s="40">
        <v>200</v>
      </c>
      <c r="F164" s="2">
        <v>-0.51039999999999708</v>
      </c>
      <c r="G164" s="2">
        <v>0.89344636783592557</v>
      </c>
      <c r="H164" s="2"/>
      <c r="I164" s="25">
        <v>1.2E-5</v>
      </c>
      <c r="J164" s="2">
        <v>-12.707956754775104</v>
      </c>
      <c r="K164" s="2">
        <v>22.337768948453338</v>
      </c>
      <c r="L164" s="5"/>
    </row>
    <row r="165" spans="1:12" ht="15.4" x14ac:dyDescent="0.4">
      <c r="A165" s="1">
        <v>1.68</v>
      </c>
      <c r="B165" s="2">
        <v>-4.6304000000000007</v>
      </c>
      <c r="C165" s="2">
        <v>38.91092436974791</v>
      </c>
      <c r="D165" s="5"/>
      <c r="E165" s="40">
        <v>200</v>
      </c>
      <c r="F165" s="2">
        <v>-1.9307000000000016</v>
      </c>
      <c r="G165" s="2">
        <v>3.1897159869087357</v>
      </c>
      <c r="H165" s="2"/>
      <c r="I165" s="25">
        <v>1.4E-5</v>
      </c>
      <c r="J165" s="2">
        <v>6.0099999999999987E-2</v>
      </c>
      <c r="K165" s="2">
        <v>31.815775542615132</v>
      </c>
      <c r="L165" s="5"/>
    </row>
    <row r="166" spans="1:12" ht="15.4" x14ac:dyDescent="0.4">
      <c r="A166" s="1">
        <v>2</v>
      </c>
      <c r="B166" s="2">
        <v>-1.9057333333333304</v>
      </c>
      <c r="C166" s="2">
        <v>36.837628865979347</v>
      </c>
      <c r="D166" s="5"/>
      <c r="E166" s="40">
        <v>200</v>
      </c>
      <c r="F166" s="2">
        <v>-3.9883999999999986</v>
      </c>
      <c r="G166" s="2">
        <v>6.2166539114387094</v>
      </c>
      <c r="H166" s="2"/>
      <c r="I166" s="25">
        <v>1.4E-5</v>
      </c>
      <c r="J166" s="2">
        <v>0.26029999999999998</v>
      </c>
      <c r="K166" s="2">
        <v>46.316725978647675</v>
      </c>
      <c r="L166" s="5"/>
    </row>
    <row r="167" spans="1:12" ht="15.4" x14ac:dyDescent="0.4">
      <c r="A167" s="1">
        <v>2</v>
      </c>
      <c r="B167" s="2">
        <v>-0.57870000000000044</v>
      </c>
      <c r="C167" s="2">
        <v>9.7753378378378439</v>
      </c>
      <c r="D167" s="5"/>
      <c r="E167" s="40">
        <v>200</v>
      </c>
      <c r="F167" s="2">
        <v>-0.52309999999999945</v>
      </c>
      <c r="G167" s="2">
        <v>0.78804925044177987</v>
      </c>
      <c r="H167" s="2"/>
      <c r="I167" s="25">
        <v>1.4E-5</v>
      </c>
      <c r="J167" s="2">
        <v>-0.13570000000000004</v>
      </c>
      <c r="K167" s="2">
        <v>12.313974591651546</v>
      </c>
      <c r="L167" s="5"/>
    </row>
    <row r="168" spans="1:12" ht="15.4" x14ac:dyDescent="0.4">
      <c r="A168" s="1">
        <v>2</v>
      </c>
      <c r="B168" s="2">
        <v>2.3136666666666672</v>
      </c>
      <c r="C168" s="2">
        <v>31.209532374100728</v>
      </c>
      <c r="D168" s="5"/>
      <c r="E168" s="40">
        <v>200</v>
      </c>
      <c r="F168" s="2">
        <v>-5.7203000000000017</v>
      </c>
      <c r="G168" s="2">
        <v>8.3853358136207667</v>
      </c>
      <c r="H168" s="2"/>
      <c r="I168" s="25">
        <v>1.4E-5</v>
      </c>
      <c r="J168" s="2">
        <v>7.9600000000000004E-2</v>
      </c>
      <c r="K168" s="2">
        <v>33.872340425531917</v>
      </c>
      <c r="L168" s="5"/>
    </row>
    <row r="169" spans="1:12" ht="15.4" x14ac:dyDescent="0.4">
      <c r="A169" s="1">
        <v>2</v>
      </c>
      <c r="B169" s="2">
        <v>3.483533333333332</v>
      </c>
      <c r="C169" s="2">
        <v>42.971217105263136</v>
      </c>
      <c r="D169" s="5"/>
      <c r="E169" s="40">
        <v>200</v>
      </c>
      <c r="F169" s="2">
        <v>-1.88900000000001</v>
      </c>
      <c r="G169" s="2">
        <v>2.6994738241069296</v>
      </c>
      <c r="H169" s="2"/>
      <c r="I169" s="25">
        <v>1.4E-5</v>
      </c>
      <c r="J169" s="2">
        <v>-3.2200000000000006E-2</v>
      </c>
      <c r="K169" s="2">
        <v>3.0813397129186613</v>
      </c>
      <c r="L169" s="5"/>
    </row>
    <row r="170" spans="1:12" ht="15.4" x14ac:dyDescent="0.4">
      <c r="A170" s="1">
        <v>2</v>
      </c>
      <c r="B170" s="2">
        <v>0.13223333333333365</v>
      </c>
      <c r="C170" s="2">
        <v>1.0245351239669445</v>
      </c>
      <c r="D170" s="5"/>
      <c r="E170" s="40">
        <v>200</v>
      </c>
      <c r="F170" s="2">
        <v>-3.992999999999995</v>
      </c>
      <c r="G170" s="2">
        <v>5.375034157648817</v>
      </c>
      <c r="H170" s="2"/>
      <c r="I170" s="25">
        <v>1.4E-5</v>
      </c>
      <c r="J170" s="2">
        <v>-0.63760000000000017</v>
      </c>
      <c r="K170" s="2">
        <v>34.879649890590819</v>
      </c>
      <c r="L170" s="5"/>
    </row>
    <row r="171" spans="1:12" ht="15.4" x14ac:dyDescent="0.4">
      <c r="A171" s="1">
        <v>3.2</v>
      </c>
      <c r="B171" s="2">
        <v>1.4489067273143004</v>
      </c>
      <c r="C171" s="2">
        <v>14.937182755817529</v>
      </c>
      <c r="D171" s="5"/>
      <c r="E171" s="40">
        <v>200</v>
      </c>
      <c r="F171" s="2">
        <v>-5.9846000000000004</v>
      </c>
      <c r="G171" s="2">
        <v>7.6273087373889288</v>
      </c>
      <c r="H171" s="2"/>
      <c r="I171" s="25">
        <v>1.5E-5</v>
      </c>
      <c r="J171" s="2">
        <v>-8.1956240720404416E-4</v>
      </c>
      <c r="K171" s="2">
        <v>9.2085663730791467E-2</v>
      </c>
      <c r="L171" s="5"/>
    </row>
    <row r="172" spans="1:12" ht="15.4" x14ac:dyDescent="0.4">
      <c r="A172" s="1">
        <v>3.2</v>
      </c>
      <c r="B172" s="2">
        <v>0.52524022845840079</v>
      </c>
      <c r="C172" s="2">
        <v>4.3660866871022508</v>
      </c>
      <c r="D172" s="5"/>
      <c r="E172" s="40">
        <v>230</v>
      </c>
      <c r="F172" s="2">
        <v>6.0099999999999987E-2</v>
      </c>
      <c r="G172" s="2">
        <v>31.815775542615132</v>
      </c>
      <c r="H172" s="2"/>
      <c r="I172" s="25">
        <v>1.5E-5</v>
      </c>
      <c r="J172" s="2">
        <v>-0.31079332708699781</v>
      </c>
      <c r="K172" s="2">
        <v>0.73928003588724511</v>
      </c>
      <c r="L172" s="5"/>
    </row>
    <row r="173" spans="1:12" ht="15.4" x14ac:dyDescent="0.4">
      <c r="A173" s="1">
        <v>3.2</v>
      </c>
      <c r="B173" s="2">
        <v>-0.11422630637149922</v>
      </c>
      <c r="C173" s="2">
        <v>0.85116472706035196</v>
      </c>
      <c r="D173" s="5"/>
      <c r="E173" s="40">
        <v>230</v>
      </c>
      <c r="F173" s="2">
        <v>0.26029999999999998</v>
      </c>
      <c r="G173" s="2">
        <v>46.316725978647675</v>
      </c>
      <c r="H173" s="2"/>
      <c r="I173" s="25">
        <v>1.8E-5</v>
      </c>
      <c r="J173" s="2">
        <v>-19.3026029519459</v>
      </c>
      <c r="K173" s="2">
        <v>61.453686570983443</v>
      </c>
      <c r="L173" s="5"/>
    </row>
    <row r="174" spans="1:12" ht="15.4" x14ac:dyDescent="0.4">
      <c r="A174" s="1">
        <v>3.2</v>
      </c>
      <c r="B174" s="2">
        <v>-0.60329284431210084</v>
      </c>
      <c r="C174" s="2">
        <v>4.195360530682203</v>
      </c>
      <c r="D174" s="5"/>
      <c r="E174" s="40">
        <v>230</v>
      </c>
      <c r="F174" s="2">
        <v>-0.13570000000000004</v>
      </c>
      <c r="G174" s="2">
        <v>12.313974591651546</v>
      </c>
      <c r="H174" s="2"/>
      <c r="I174" s="25">
        <v>3.0000000000000001E-5</v>
      </c>
      <c r="J174" s="2">
        <v>9.5108994708994643E-2</v>
      </c>
      <c r="K174" s="2">
        <v>38.773943054357169</v>
      </c>
      <c r="L174" s="5"/>
    </row>
    <row r="175" spans="1:12" ht="15.4" x14ac:dyDescent="0.4">
      <c r="A175" s="1">
        <v>3.2</v>
      </c>
      <c r="B175" s="2">
        <v>-2.6874447538762993</v>
      </c>
      <c r="C175" s="2">
        <v>16.006222476928524</v>
      </c>
      <c r="D175" s="5"/>
      <c r="E175" s="40">
        <v>230</v>
      </c>
      <c r="F175" s="2">
        <v>7.9600000000000004E-2</v>
      </c>
      <c r="G175" s="2">
        <v>33.872340425531917</v>
      </c>
      <c r="H175" s="2"/>
      <c r="I175" s="25">
        <v>3.0000000000000001E-5</v>
      </c>
      <c r="J175" s="2">
        <v>0.13299327213131362</v>
      </c>
      <c r="K175" s="2">
        <v>38.251309416933417</v>
      </c>
      <c r="L175" s="5"/>
    </row>
    <row r="176" spans="1:12" ht="15.4" x14ac:dyDescent="0.4">
      <c r="A176" s="1">
        <v>3.2</v>
      </c>
      <c r="B176" s="2">
        <v>-4.6218358523322003</v>
      </c>
      <c r="C176" s="2">
        <v>24.376771373060127</v>
      </c>
      <c r="D176" s="5"/>
      <c r="E176" s="40">
        <v>230</v>
      </c>
      <c r="F176" s="2">
        <v>-3.2200000000000006E-2</v>
      </c>
      <c r="G176" s="2">
        <v>3.0813397129186613</v>
      </c>
      <c r="H176" s="2"/>
      <c r="I176" s="25">
        <v>3.0000000000000001E-5</v>
      </c>
      <c r="J176" s="2">
        <v>0.11503041825095051</v>
      </c>
      <c r="K176" s="2">
        <v>18.674691358024678</v>
      </c>
      <c r="L176" s="5"/>
    </row>
    <row r="177" spans="1:12" ht="15.4" x14ac:dyDescent="0.4">
      <c r="A177" s="1">
        <v>7.51</v>
      </c>
      <c r="B177" s="2">
        <v>-1.1275670109400338E-2</v>
      </c>
      <c r="C177" s="2">
        <v>0.14273000138481437</v>
      </c>
      <c r="D177" s="5"/>
      <c r="E177" s="40">
        <v>230</v>
      </c>
      <c r="F177" s="2">
        <v>-0.63760000000000017</v>
      </c>
      <c r="G177" s="2">
        <v>34.879649890590819</v>
      </c>
      <c r="H177" s="2"/>
      <c r="I177" s="25">
        <v>3.0000000000000001E-5</v>
      </c>
      <c r="J177" s="2">
        <v>-7.5627272727272765E-2</v>
      </c>
      <c r="K177" s="2">
        <v>8.6656250000000039</v>
      </c>
      <c r="L177" s="5"/>
    </row>
    <row r="178" spans="1:12" ht="15.4" x14ac:dyDescent="0.4">
      <c r="A178" s="1">
        <v>13</v>
      </c>
      <c r="B178" s="2">
        <v>-3.6017543522080597</v>
      </c>
      <c r="C178" s="2">
        <v>30.497496631736322</v>
      </c>
      <c r="D178" s="5"/>
      <c r="E178" s="40">
        <v>230</v>
      </c>
      <c r="F178" s="2">
        <v>-2.3738103696754775E-2</v>
      </c>
      <c r="G178" s="2">
        <v>7.9391651159714973</v>
      </c>
      <c r="H178" s="2"/>
      <c r="I178" s="25">
        <v>3.0000000000000001E-5</v>
      </c>
      <c r="J178" s="2">
        <v>-0.25007022900763354</v>
      </c>
      <c r="K178" s="2">
        <v>22.592551724137927</v>
      </c>
      <c r="L178" s="5"/>
    </row>
    <row r="179" spans="1:12" ht="15.4" x14ac:dyDescent="0.4">
      <c r="A179" s="1">
        <v>13</v>
      </c>
      <c r="B179" s="2">
        <v>-19.3026029519459</v>
      </c>
      <c r="C179" s="2">
        <v>61.453686570983443</v>
      </c>
      <c r="D179" s="5"/>
      <c r="E179" s="40">
        <v>230</v>
      </c>
      <c r="F179" s="2">
        <v>-2.8170022225944835E-2</v>
      </c>
      <c r="G179" s="2">
        <v>8.2315534527335732</v>
      </c>
      <c r="H179" s="2"/>
      <c r="I179" s="25">
        <v>3.0000000000000001E-5</v>
      </c>
      <c r="J179" s="2">
        <v>1.4489067273143004</v>
      </c>
      <c r="K179" s="2">
        <v>14.937182755817529</v>
      </c>
      <c r="L179" s="5"/>
    </row>
    <row r="180" spans="1:12" ht="15.4" x14ac:dyDescent="0.4">
      <c r="A180" s="1">
        <v>13</v>
      </c>
      <c r="B180" s="2">
        <v>-0.30813168668880309</v>
      </c>
      <c r="C180" s="2">
        <v>0.94028589163504139</v>
      </c>
      <c r="D180" s="5"/>
      <c r="E180" s="40">
        <v>230</v>
      </c>
      <c r="F180" s="2">
        <v>0.20338435200120758</v>
      </c>
      <c r="G180" s="2">
        <v>44.504234573568397</v>
      </c>
      <c r="H180" s="2"/>
      <c r="I180" s="25">
        <v>3.0000000000000001E-5</v>
      </c>
      <c r="J180" s="2">
        <v>0.52524022845840079</v>
      </c>
      <c r="K180" s="2">
        <v>4.3660866871022508</v>
      </c>
      <c r="L180" s="5"/>
    </row>
    <row r="181" spans="1:12" ht="15.4" x14ac:dyDescent="0.4">
      <c r="A181" s="1">
        <v>13</v>
      </c>
      <c r="B181" s="2">
        <v>-10.265198059226194</v>
      </c>
      <c r="C181" s="2">
        <v>16.784169488597438</v>
      </c>
      <c r="D181" s="5"/>
      <c r="E181" s="40">
        <v>230</v>
      </c>
      <c r="F181" s="2">
        <v>0.26457635911615984</v>
      </c>
      <c r="G181" s="2">
        <v>35.657191255547147</v>
      </c>
      <c r="H181" s="2"/>
      <c r="I181" s="25">
        <v>3.0000000000000001E-5</v>
      </c>
      <c r="J181" s="2">
        <v>-0.11422630637149922</v>
      </c>
      <c r="K181" s="2">
        <v>0.85116472706035196</v>
      </c>
      <c r="L181" s="5"/>
    </row>
    <row r="182" spans="1:12" ht="15.4" x14ac:dyDescent="0.4">
      <c r="A182" s="1">
        <v>13</v>
      </c>
      <c r="B182" s="2">
        <v>17.931580904429097</v>
      </c>
      <c r="C182" s="2">
        <v>24.330503262454677</v>
      </c>
      <c r="D182" s="5"/>
      <c r="E182" s="40">
        <v>230</v>
      </c>
      <c r="F182" s="2">
        <v>0.45219999999999994</v>
      </c>
      <c r="G182" s="2">
        <v>42.821969696969688</v>
      </c>
      <c r="H182" s="2"/>
      <c r="I182" s="25">
        <v>3.0000000000000001E-5</v>
      </c>
      <c r="J182" s="2">
        <v>-0.60329284431210084</v>
      </c>
      <c r="K182" s="2">
        <v>4.195360530682203</v>
      </c>
      <c r="L182" s="5"/>
    </row>
    <row r="183" spans="1:12" ht="15.4" x14ac:dyDescent="0.4">
      <c r="A183" s="1">
        <v>15</v>
      </c>
      <c r="B183" s="2">
        <v>-0.10429266883030053</v>
      </c>
      <c r="C183" s="2">
        <v>0.66008018247025646</v>
      </c>
      <c r="D183" s="5"/>
      <c r="E183" s="40">
        <v>230</v>
      </c>
      <c r="F183" s="2">
        <v>0.15809999999999991</v>
      </c>
      <c r="G183" s="2">
        <v>10.821355236139624</v>
      </c>
      <c r="H183" s="2"/>
      <c r="I183" s="25">
        <v>3.0000000000000001E-5</v>
      </c>
      <c r="J183" s="2">
        <v>-2.6874447538762993</v>
      </c>
      <c r="K183" s="2">
        <v>16.006222476928524</v>
      </c>
      <c r="L183" s="5"/>
    </row>
    <row r="184" spans="1:12" ht="15.4" x14ac:dyDescent="0.4">
      <c r="A184" s="1">
        <v>15</v>
      </c>
      <c r="B184" s="2">
        <v>-0.13322458099479917</v>
      </c>
      <c r="C184" s="2">
        <v>0.79775198200478548</v>
      </c>
      <c r="D184" s="5"/>
      <c r="E184" s="40">
        <v>230</v>
      </c>
      <c r="F184" s="2">
        <v>0.13390000000000013</v>
      </c>
      <c r="G184" s="2">
        <v>8.447949526813888</v>
      </c>
      <c r="H184" s="2"/>
      <c r="I184" s="25">
        <v>3.0000000000000001E-5</v>
      </c>
      <c r="J184" s="2">
        <v>-4.6218358523322003</v>
      </c>
      <c r="K184" s="2">
        <v>24.376771373060127</v>
      </c>
      <c r="L184" s="5"/>
    </row>
    <row r="185" spans="1:12" ht="15.4" x14ac:dyDescent="0.4">
      <c r="A185" s="1">
        <v>15</v>
      </c>
      <c r="B185" s="2">
        <v>-2.8995175182497981</v>
      </c>
      <c r="C185" s="2">
        <v>14.304477149727667</v>
      </c>
      <c r="D185" s="5"/>
      <c r="E185" s="40">
        <v>285</v>
      </c>
      <c r="F185" s="2">
        <v>0.43583442384654913</v>
      </c>
      <c r="G185" s="2">
        <v>56.528459642872775</v>
      </c>
      <c r="H185" s="2"/>
      <c r="I185" s="25">
        <v>3.0000000000000001E-5</v>
      </c>
      <c r="J185" s="2">
        <v>-0.51039999999999708</v>
      </c>
      <c r="K185" s="2">
        <v>0.89344636783592557</v>
      </c>
      <c r="L185" s="5"/>
    </row>
    <row r="186" spans="1:12" ht="15.4" x14ac:dyDescent="0.4">
      <c r="A186" s="1">
        <v>15</v>
      </c>
      <c r="B186" s="2">
        <v>-2.1566066339280994</v>
      </c>
      <c r="C186" s="2">
        <v>10.602785810855945</v>
      </c>
      <c r="D186" s="5"/>
      <c r="E186" s="40">
        <v>285</v>
      </c>
      <c r="F186" s="2">
        <v>0.10472000000000015</v>
      </c>
      <c r="G186" s="2">
        <v>9.9009152106497389</v>
      </c>
      <c r="H186" s="2"/>
      <c r="I186" s="25">
        <v>3.0000000000000001E-5</v>
      </c>
      <c r="J186" s="2">
        <v>-1.9307000000000016</v>
      </c>
      <c r="K186" s="2">
        <v>3.1897159869087357</v>
      </c>
      <c r="L186" s="5"/>
    </row>
    <row r="187" spans="1:12" ht="15.4" x14ac:dyDescent="0.4">
      <c r="A187" s="1">
        <v>15</v>
      </c>
      <c r="B187" s="2">
        <v>-0.67542737830629918</v>
      </c>
      <c r="C187" s="2">
        <v>3.4320496865157479</v>
      </c>
      <c r="D187" s="5"/>
      <c r="E187" s="40">
        <v>285</v>
      </c>
      <c r="F187" s="2">
        <v>3.3300000000000107E-2</v>
      </c>
      <c r="G187" s="2">
        <v>2.1864740643466911</v>
      </c>
      <c r="H187" s="2"/>
      <c r="I187" s="25">
        <v>3.0000000000000001E-5</v>
      </c>
      <c r="J187" s="2">
        <v>-3.9883999999999986</v>
      </c>
      <c r="K187" s="2">
        <v>6.2166539114387094</v>
      </c>
      <c r="L187" s="5"/>
    </row>
    <row r="188" spans="1:12" ht="15.4" x14ac:dyDescent="0.4">
      <c r="A188" s="1">
        <v>15</v>
      </c>
      <c r="B188" s="2">
        <v>-2.7664003781312019</v>
      </c>
      <c r="C188" s="2">
        <v>12.240709637748679</v>
      </c>
      <c r="D188" s="5"/>
      <c r="E188" s="40">
        <v>285</v>
      </c>
      <c r="F188" s="2">
        <v>-0.48827999999999983</v>
      </c>
      <c r="G188" s="2">
        <v>28.039830479275047</v>
      </c>
      <c r="H188" s="2"/>
      <c r="I188" s="25">
        <v>3.0000000000000001E-5</v>
      </c>
      <c r="J188" s="2">
        <v>-5.7203000000000017</v>
      </c>
      <c r="K188" s="2">
        <v>8.3853358136207667</v>
      </c>
      <c r="L188" s="5"/>
    </row>
    <row r="189" spans="1:12" ht="15.4" x14ac:dyDescent="0.4">
      <c r="A189" s="1">
        <v>20</v>
      </c>
      <c r="B189" s="2">
        <v>21.4213187693884</v>
      </c>
      <c r="C189" s="2">
        <v>58.544189039050011</v>
      </c>
      <c r="D189" s="5"/>
      <c r="E189" s="40">
        <v>285</v>
      </c>
      <c r="F189" s="2">
        <v>-0.23420000000000019</v>
      </c>
      <c r="G189" s="2">
        <v>12.755991285403059</v>
      </c>
      <c r="H189" s="2"/>
      <c r="I189" s="25">
        <v>3.0000000000000001E-5</v>
      </c>
      <c r="J189" s="2">
        <v>-22.56684182363901</v>
      </c>
      <c r="K189" s="2">
        <v>21.837470315114192</v>
      </c>
      <c r="L189" s="5"/>
    </row>
    <row r="190" spans="1:12" ht="15.4" x14ac:dyDescent="0.4">
      <c r="A190" s="1">
        <v>20</v>
      </c>
      <c r="B190" s="2">
        <v>19.2721132314256</v>
      </c>
      <c r="C190" s="2">
        <v>45.314162312310366</v>
      </c>
      <c r="D190" s="5"/>
      <c r="E190" s="40">
        <v>285</v>
      </c>
      <c r="F190" s="2">
        <v>-0.8913000000000002</v>
      </c>
      <c r="G190" s="2">
        <v>40.874071356507393</v>
      </c>
      <c r="H190" s="2"/>
      <c r="I190" s="25">
        <v>4.5000000000000003E-5</v>
      </c>
      <c r="J190" s="2">
        <v>-6.4197009915750169E-3</v>
      </c>
      <c r="K190" s="2">
        <v>1.5034428551697934</v>
      </c>
      <c r="L190" s="5"/>
    </row>
    <row r="191" spans="1:12" ht="15.4" x14ac:dyDescent="0.4">
      <c r="A191" s="1">
        <v>20</v>
      </c>
      <c r="B191" s="2">
        <v>11.827316796434197</v>
      </c>
      <c r="C191" s="2">
        <v>22.078246773257789</v>
      </c>
      <c r="D191" s="5"/>
      <c r="E191" s="40">
        <v>401</v>
      </c>
      <c r="F191" s="2">
        <v>-7.1391900000000064E-2</v>
      </c>
      <c r="G191" s="2">
        <v>11.567212725896121</v>
      </c>
      <c r="H191" s="2"/>
      <c r="I191" s="25">
        <v>4.5000000000000003E-5</v>
      </c>
      <c r="J191" s="2">
        <v>-1.0248574787910025E-2</v>
      </c>
      <c r="K191" s="2">
        <v>2.2724112611773895</v>
      </c>
      <c r="L191" s="5"/>
    </row>
    <row r="192" spans="1:12" ht="15.4" x14ac:dyDescent="0.4">
      <c r="A192" s="1">
        <v>20</v>
      </c>
      <c r="B192" s="2">
        <v>2.6957349307865996</v>
      </c>
      <c r="C192" s="2">
        <v>4.0764175575179191</v>
      </c>
      <c r="D192" s="5"/>
      <c r="E192" s="40">
        <v>401</v>
      </c>
      <c r="F192" s="2">
        <v>-9.4683400000000084E-2</v>
      </c>
      <c r="G192" s="2">
        <v>15.188630303598089</v>
      </c>
      <c r="H192" s="2"/>
      <c r="I192" s="25">
        <v>4.5000000000000003E-5</v>
      </c>
      <c r="J192" s="2">
        <v>6.5075487910803975E-2</v>
      </c>
      <c r="K192" s="2">
        <v>12.278393945434711</v>
      </c>
      <c r="L192" s="5"/>
    </row>
    <row r="193" spans="1:12" ht="15.4" x14ac:dyDescent="0.4">
      <c r="A193" s="1">
        <v>23.2</v>
      </c>
      <c r="B193" s="2">
        <v>-0.18712200004970114</v>
      </c>
      <c r="C193" s="2">
        <v>0.75880778608962351</v>
      </c>
      <c r="D193" s="5"/>
      <c r="E193" s="40">
        <v>401</v>
      </c>
      <c r="F193" s="2">
        <v>-0.11109809999999998</v>
      </c>
      <c r="G193" s="2">
        <v>17.730360178238648</v>
      </c>
      <c r="H193" s="2"/>
      <c r="I193" s="25">
        <v>4.5000000000000003E-5</v>
      </c>
      <c r="J193" s="2">
        <v>-4.2374878835418905E-2</v>
      </c>
      <c r="K193" s="2">
        <v>7.356749797815783</v>
      </c>
      <c r="L193" s="5"/>
    </row>
    <row r="194" spans="1:12" ht="15.4" x14ac:dyDescent="0.4">
      <c r="A194" s="1">
        <v>23.2</v>
      </c>
      <c r="B194" s="2">
        <v>-0.51080781763679894</v>
      </c>
      <c r="C194" s="2">
        <v>1.9422350480486652</v>
      </c>
      <c r="D194" s="5"/>
      <c r="E194" s="40">
        <v>401</v>
      </c>
      <c r="F194" s="2">
        <v>-0.15732420000000003</v>
      </c>
      <c r="G194" s="2">
        <v>24.580976781815441</v>
      </c>
      <c r="H194" s="2"/>
      <c r="I194" s="25">
        <v>4.5000000000000003E-5</v>
      </c>
      <c r="J194" s="2">
        <v>-4.0693847555498985E-2</v>
      </c>
      <c r="K194" s="2">
        <v>5.6052131619144605</v>
      </c>
      <c r="L194" s="5"/>
    </row>
    <row r="195" spans="1:12" ht="15.4" x14ac:dyDescent="0.4">
      <c r="A195" s="1">
        <v>23.2</v>
      </c>
      <c r="B195" s="2">
        <v>-1.5268949481511989</v>
      </c>
      <c r="C195" s="2">
        <v>5.3276167067383069</v>
      </c>
      <c r="D195" s="5"/>
      <c r="E195" s="40">
        <v>401</v>
      </c>
      <c r="F195" s="2">
        <v>-0.10429266883030053</v>
      </c>
      <c r="G195" s="2">
        <v>0.66008018247025646</v>
      </c>
      <c r="H195" s="2"/>
      <c r="I195" s="25">
        <v>4.5000000000000003E-5</v>
      </c>
      <c r="J195" s="2">
        <v>8.310222302259973E-3</v>
      </c>
      <c r="K195" s="2">
        <v>1.0234263919039375</v>
      </c>
      <c r="L195" s="5"/>
    </row>
    <row r="196" spans="1:12" ht="15.4" x14ac:dyDescent="0.4">
      <c r="A196" s="1">
        <v>23.2</v>
      </c>
      <c r="B196" s="2">
        <v>1.2402065403994982</v>
      </c>
      <c r="C196" s="2">
        <v>4.549547103446435</v>
      </c>
      <c r="D196" s="5"/>
      <c r="E196" s="40">
        <v>401</v>
      </c>
      <c r="F196" s="2">
        <v>-0.13322458099479917</v>
      </c>
      <c r="G196" s="2">
        <v>0.79775198200478548</v>
      </c>
      <c r="H196" s="2"/>
      <c r="I196" s="25">
        <v>4.5000000000000003E-5</v>
      </c>
      <c r="J196" s="2">
        <v>-0.10535657840233703</v>
      </c>
      <c r="K196" s="2">
        <v>11.501809869250767</v>
      </c>
      <c r="L196" s="5"/>
    </row>
    <row r="197" spans="1:12" ht="15.4" x14ac:dyDescent="0.4">
      <c r="A197" s="1">
        <v>23.2</v>
      </c>
      <c r="B197" s="2">
        <v>-3.9016882219386986</v>
      </c>
      <c r="C197" s="2">
        <v>11.546872512396266</v>
      </c>
      <c r="D197" s="5"/>
      <c r="E197" s="40">
        <v>401</v>
      </c>
      <c r="F197" s="2">
        <v>-2.8995175182497981</v>
      </c>
      <c r="G197" s="2">
        <v>14.304477149727667</v>
      </c>
      <c r="H197" s="2"/>
      <c r="I197" s="25">
        <v>4.5000000000000003E-5</v>
      </c>
      <c r="J197" s="2">
        <v>-2.9127053479169884E-2</v>
      </c>
      <c r="K197" s="2">
        <v>2.7713656973520346</v>
      </c>
      <c r="L197" s="5"/>
    </row>
    <row r="198" spans="1:12" ht="15.4" x14ac:dyDescent="0.4">
      <c r="A198" s="1">
        <v>23.2</v>
      </c>
      <c r="B198" s="2">
        <v>-4.4236751096966991</v>
      </c>
      <c r="C198" s="2">
        <v>12.384308817739919</v>
      </c>
      <c r="D198" s="5"/>
      <c r="E198" s="40">
        <v>401</v>
      </c>
      <c r="F198" s="2">
        <v>-2.1566066339280994</v>
      </c>
      <c r="G198" s="2">
        <v>10.602785810855945</v>
      </c>
      <c r="H198" s="2"/>
      <c r="I198" s="25">
        <v>4.5000000000000003E-5</v>
      </c>
      <c r="J198" s="2">
        <v>-0.18391435034568993</v>
      </c>
      <c r="K198" s="2">
        <v>13.838551568524448</v>
      </c>
      <c r="L198" s="5"/>
    </row>
    <row r="199" spans="1:12" ht="15.4" x14ac:dyDescent="0.4">
      <c r="A199" s="1">
        <v>23.2</v>
      </c>
      <c r="B199" s="2">
        <v>-3.5859418886964036</v>
      </c>
      <c r="C199" s="2">
        <v>9.8759071569716426</v>
      </c>
      <c r="D199" s="5"/>
      <c r="E199" s="40">
        <v>401</v>
      </c>
      <c r="F199" s="2">
        <v>-0.67542737830629918</v>
      </c>
      <c r="G199" s="2">
        <v>3.4320496865157479</v>
      </c>
      <c r="H199" s="2"/>
      <c r="I199" s="25">
        <v>4.5000000000000003E-5</v>
      </c>
      <c r="J199" s="2">
        <v>-0.43963390519038592</v>
      </c>
      <c r="K199" s="2">
        <v>33.080053061729565</v>
      </c>
      <c r="L199" s="5"/>
    </row>
    <row r="200" spans="1:12" ht="15.4" x14ac:dyDescent="0.4">
      <c r="A200" s="1">
        <v>25.6</v>
      </c>
      <c r="B200" s="2">
        <v>-0.9867843688349005</v>
      </c>
      <c r="C200" s="2">
        <v>3.1811230458894277</v>
      </c>
      <c r="D200" s="5"/>
      <c r="E200" s="40">
        <v>401</v>
      </c>
      <c r="F200" s="2">
        <v>-2.7664003781312019</v>
      </c>
      <c r="G200" s="2">
        <v>12.240709637748679</v>
      </c>
      <c r="H200" s="2"/>
      <c r="I200" s="25">
        <v>5.0000000000000002E-5</v>
      </c>
      <c r="J200" s="2">
        <v>-0.30813168668880309</v>
      </c>
      <c r="K200" s="2">
        <v>0.94028589163504139</v>
      </c>
      <c r="L200" s="5"/>
    </row>
    <row r="201" spans="1:12" ht="15.4" x14ac:dyDescent="0.4">
      <c r="A201" s="1">
        <v>25.6</v>
      </c>
      <c r="B201" s="2">
        <v>-2.1851526103892027</v>
      </c>
      <c r="C201" s="2">
        <v>6.4363847139593586</v>
      </c>
      <c r="D201" s="5"/>
      <c r="E201" s="40">
        <v>401</v>
      </c>
      <c r="F201" s="2">
        <v>21.4213187693884</v>
      </c>
      <c r="G201" s="2">
        <v>58.544189039050011</v>
      </c>
      <c r="H201" s="2"/>
      <c r="I201" s="25">
        <v>5.0000000000000002E-5</v>
      </c>
      <c r="J201" s="2">
        <v>0.75072220284739899</v>
      </c>
      <c r="K201" s="2">
        <v>2.1603516628702129</v>
      </c>
      <c r="L201" s="5"/>
    </row>
    <row r="202" spans="1:12" ht="15.4" x14ac:dyDescent="0.4">
      <c r="A202" s="1">
        <v>25.6</v>
      </c>
      <c r="B202" s="2">
        <v>-0.64384815224550351</v>
      </c>
      <c r="C202" s="2">
        <v>1.8517346915315025</v>
      </c>
      <c r="D202" s="5"/>
      <c r="E202" s="40">
        <v>401</v>
      </c>
      <c r="F202" s="2">
        <v>19.2721132314256</v>
      </c>
      <c r="G202" s="2">
        <v>45.314162312310366</v>
      </c>
      <c r="H202" s="2"/>
      <c r="I202" s="25">
        <v>5.0000000000000002E-5</v>
      </c>
      <c r="J202" s="2">
        <v>13.460861792800202</v>
      </c>
      <c r="K202" s="2">
        <v>16.403682418718258</v>
      </c>
      <c r="L202" s="5"/>
    </row>
    <row r="203" spans="1:12" ht="15.4" x14ac:dyDescent="0.4">
      <c r="A203" s="1">
        <v>25.6</v>
      </c>
      <c r="B203" s="2">
        <v>-1.2606447159246983</v>
      </c>
      <c r="C203" s="2">
        <v>3.3306333313730465</v>
      </c>
      <c r="D203" s="5"/>
      <c r="E203" s="40">
        <v>401</v>
      </c>
      <c r="F203" s="2">
        <v>11.827316796434197</v>
      </c>
      <c r="G203" s="2">
        <v>22.078246773257789</v>
      </c>
      <c r="H203" s="2"/>
      <c r="I203" s="25">
        <v>5.0000000000000002E-5</v>
      </c>
      <c r="J203" s="2">
        <v>16.402511885435999</v>
      </c>
      <c r="K203" s="2">
        <v>18.849128804224318</v>
      </c>
      <c r="L203" s="5"/>
    </row>
    <row r="204" spans="1:12" ht="15.4" x14ac:dyDescent="0.4">
      <c r="A204" s="1">
        <v>25.6</v>
      </c>
      <c r="B204" s="2">
        <v>-4.4408083649873973</v>
      </c>
      <c r="C204" s="2">
        <v>10.197034133151314</v>
      </c>
      <c r="D204" s="5"/>
      <c r="E204" s="40">
        <v>401</v>
      </c>
      <c r="F204" s="2">
        <v>2.6957349307865996</v>
      </c>
      <c r="G204" s="2">
        <v>4.0764175575179191</v>
      </c>
      <c r="H204" s="2"/>
      <c r="I204" s="25">
        <v>5.0000000000000002E-5</v>
      </c>
      <c r="J204" s="2">
        <v>-0.67910140380499229</v>
      </c>
      <c r="K204" s="2">
        <v>0.52311000139038077</v>
      </c>
      <c r="L204" s="5"/>
    </row>
    <row r="205" spans="1:12" ht="15.4" x14ac:dyDescent="0.4">
      <c r="A205" s="1">
        <v>25.6</v>
      </c>
      <c r="B205" s="2">
        <v>-6.5408455473026947</v>
      </c>
      <c r="C205" s="2">
        <v>13.573034960163302</v>
      </c>
      <c r="D205" s="5"/>
      <c r="E205" s="40">
        <v>401</v>
      </c>
      <c r="F205" s="2">
        <v>-0.18712200004970114</v>
      </c>
      <c r="G205" s="2">
        <v>0.75880778608962351</v>
      </c>
      <c r="H205" s="2"/>
      <c r="I205" s="25">
        <v>5.0000000000000002E-5</v>
      </c>
      <c r="J205" s="2">
        <v>0.74050101059697226</v>
      </c>
      <c r="K205" s="2">
        <v>0.13769589992133816</v>
      </c>
      <c r="L205" s="5"/>
    </row>
    <row r="206" spans="1:12" ht="15.4" x14ac:dyDescent="0.4">
      <c r="A206" s="1">
        <v>25.6</v>
      </c>
      <c r="B206" s="2">
        <v>-12.707956754775104</v>
      </c>
      <c r="C206" s="2">
        <v>22.337768948453338</v>
      </c>
      <c r="D206" s="5"/>
      <c r="E206" s="40">
        <v>401</v>
      </c>
      <c r="F206" s="2">
        <v>-0.51080781763679894</v>
      </c>
      <c r="G206" s="2">
        <v>1.9422350480486652</v>
      </c>
      <c r="H206" s="2"/>
      <c r="I206" s="25">
        <v>5.0000000000000002E-5</v>
      </c>
      <c r="J206" s="2">
        <v>-25.154364551450954</v>
      </c>
      <c r="K206" s="2">
        <v>4.3545276722381603</v>
      </c>
      <c r="L206" s="5"/>
    </row>
    <row r="207" spans="1:12" ht="15.4" x14ac:dyDescent="0.4">
      <c r="A207" s="1">
        <v>26</v>
      </c>
      <c r="B207" s="2">
        <v>0.57010000000000005</v>
      </c>
      <c r="C207" s="2">
        <v>1.9820533948009775</v>
      </c>
      <c r="D207" s="5"/>
      <c r="E207" s="40">
        <v>401</v>
      </c>
      <c r="F207" s="2">
        <v>-1.5268949481511989</v>
      </c>
      <c r="G207" s="2">
        <v>5.3276167067383069</v>
      </c>
      <c r="H207" s="2"/>
      <c r="I207" s="25">
        <v>5.0000000000000002E-5</v>
      </c>
      <c r="J207" s="2">
        <v>-171.02256442384999</v>
      </c>
      <c r="K207" s="2">
        <v>22.967455571740324</v>
      </c>
      <c r="L207" s="5"/>
    </row>
    <row r="208" spans="1:12" ht="15.4" x14ac:dyDescent="0.4">
      <c r="A208" s="1">
        <v>26</v>
      </c>
      <c r="B208" s="2">
        <v>-1.2499999999999289E-2</v>
      </c>
      <c r="C208" s="2">
        <v>4.1495428863554035E-2</v>
      </c>
      <c r="D208" s="5"/>
      <c r="E208" s="40">
        <v>401</v>
      </c>
      <c r="F208" s="2">
        <v>1.2402065403994982</v>
      </c>
      <c r="G208" s="2">
        <v>4.549547103446435</v>
      </c>
      <c r="H208" s="2"/>
      <c r="I208" s="25">
        <v>5.5000000000000002E-5</v>
      </c>
      <c r="J208" s="2">
        <v>-9.0899999999999981E-2</v>
      </c>
      <c r="K208" s="2">
        <v>19.217758985200842</v>
      </c>
      <c r="L208" s="5"/>
    </row>
    <row r="209" spans="1:12" ht="15.4" x14ac:dyDescent="0.4">
      <c r="A209" s="1">
        <v>26</v>
      </c>
      <c r="B209" s="2">
        <v>0.5517000000000003</v>
      </c>
      <c r="C209" s="2">
        <v>1.7638539425348738</v>
      </c>
      <c r="D209" s="5"/>
      <c r="E209" s="40">
        <v>401</v>
      </c>
      <c r="F209" s="2">
        <v>-3.9016882219386986</v>
      </c>
      <c r="G209" s="2">
        <v>11.546872512396266</v>
      </c>
      <c r="H209" s="2"/>
      <c r="I209" s="25">
        <v>5.5000000000000002E-5</v>
      </c>
      <c r="J209" s="2">
        <v>0.32209999999999994</v>
      </c>
      <c r="K209" s="2">
        <v>62.665369649805434</v>
      </c>
      <c r="L209" s="5"/>
    </row>
    <row r="210" spans="1:12" ht="15.4" x14ac:dyDescent="0.4">
      <c r="A210" s="1">
        <v>26</v>
      </c>
      <c r="B210" s="2">
        <v>-0.11999999999999744</v>
      </c>
      <c r="C210" s="2">
        <v>0.33132056092570261</v>
      </c>
      <c r="D210" s="5"/>
      <c r="E210" s="40">
        <v>401</v>
      </c>
      <c r="F210" s="2">
        <v>-4.4236751096966991</v>
      </c>
      <c r="G210" s="2">
        <v>12.384308817739919</v>
      </c>
      <c r="H210" s="2"/>
      <c r="I210" s="25">
        <v>5.5000000000000002E-5</v>
      </c>
      <c r="J210" s="2">
        <v>-0.82179611324262747</v>
      </c>
      <c r="K210" s="2">
        <v>42.404340208597908</v>
      </c>
      <c r="L210" s="5"/>
    </row>
    <row r="211" spans="1:12" ht="15.4" x14ac:dyDescent="0.4">
      <c r="A211" s="1">
        <v>26</v>
      </c>
      <c r="B211" s="2">
        <v>0.53569999999999851</v>
      </c>
      <c r="C211" s="2">
        <v>1.6170074043665494</v>
      </c>
      <c r="D211" s="5"/>
      <c r="E211" s="40">
        <v>401</v>
      </c>
      <c r="F211" s="2">
        <v>-3.5859418886964036</v>
      </c>
      <c r="G211" s="2">
        <v>9.8759071569716426</v>
      </c>
      <c r="H211" s="2"/>
      <c r="I211" s="25">
        <v>5.5000000000000002E-5</v>
      </c>
      <c r="J211" s="2">
        <v>0.76829999999999998</v>
      </c>
      <c r="K211" s="2">
        <v>22.071243895432346</v>
      </c>
      <c r="L211" s="5"/>
    </row>
    <row r="212" spans="1:12" ht="15.4" x14ac:dyDescent="0.4">
      <c r="A212" s="1">
        <v>26</v>
      </c>
      <c r="B212" s="2">
        <v>-4.0500000000001535E-2</v>
      </c>
      <c r="C212" s="2">
        <v>0.10417926035297871</v>
      </c>
      <c r="D212" s="5"/>
      <c r="E212" s="40">
        <v>401</v>
      </c>
      <c r="F212" s="2">
        <v>-1.7787321193800665E-2</v>
      </c>
      <c r="G212" s="2">
        <v>5.2500948033650123E-2</v>
      </c>
      <c r="H212" s="2"/>
      <c r="I212" s="25">
        <v>5.5000000000000002E-5</v>
      </c>
      <c r="J212" s="2">
        <v>0.39169999999999927</v>
      </c>
      <c r="K212" s="2">
        <v>9.0336715867158492</v>
      </c>
      <c r="L212" s="5"/>
    </row>
    <row r="213" spans="1:12" ht="15.4" x14ac:dyDescent="0.4">
      <c r="A213" s="1">
        <v>26</v>
      </c>
      <c r="B213" s="2">
        <v>-0.81270000000000664</v>
      </c>
      <c r="C213" s="2">
        <v>1.9169035179790941</v>
      </c>
      <c r="D213" s="5"/>
      <c r="E213" s="40">
        <v>401</v>
      </c>
      <c r="F213" s="2">
        <v>-3.11091541010029E-2</v>
      </c>
      <c r="G213" s="2">
        <v>7.5489332931334377E-2</v>
      </c>
      <c r="H213" s="2"/>
      <c r="I213" s="25">
        <v>5.5000000000000002E-5</v>
      </c>
      <c r="J213" s="2">
        <v>-0.3052999999999999</v>
      </c>
      <c r="K213" s="2">
        <v>5.5358114233907507</v>
      </c>
      <c r="L213" s="5"/>
    </row>
    <row r="214" spans="1:12" ht="15.4" x14ac:dyDescent="0.4">
      <c r="A214" s="1">
        <v>26</v>
      </c>
      <c r="B214" s="2">
        <v>-1.9039000000000001</v>
      </c>
      <c r="C214" s="2">
        <v>4.1185352473414145</v>
      </c>
      <c r="D214" s="5"/>
      <c r="E214" s="40">
        <v>401</v>
      </c>
      <c r="F214" s="2">
        <v>-3.5302687615139945</v>
      </c>
      <c r="G214" s="2">
        <v>8.367548617004017</v>
      </c>
      <c r="H214" s="2"/>
      <c r="I214" s="25">
        <v>5.5000000000000002E-5</v>
      </c>
      <c r="J214" s="2">
        <v>-1.1334</v>
      </c>
      <c r="K214" s="2">
        <v>16.531505250875146</v>
      </c>
      <c r="L214" s="5"/>
    </row>
    <row r="215" spans="1:12" ht="15.4" x14ac:dyDescent="0.4">
      <c r="A215" s="1">
        <v>26</v>
      </c>
      <c r="B215" s="2">
        <v>-0.51039999999999708</v>
      </c>
      <c r="C215" s="2">
        <v>0.89344636783592557</v>
      </c>
      <c r="D215" s="5"/>
      <c r="E215" s="40">
        <v>401</v>
      </c>
      <c r="F215" s="2">
        <v>-6.5944352783107973</v>
      </c>
      <c r="G215" s="2">
        <v>12.894867575891272</v>
      </c>
      <c r="H215" s="2"/>
      <c r="I215" s="25">
        <v>6.6000000000000005E-5</v>
      </c>
      <c r="J215" s="2">
        <v>-12.325850818877029</v>
      </c>
      <c r="K215" s="2">
        <v>2.7843703846744896</v>
      </c>
      <c r="L215" s="5"/>
    </row>
    <row r="216" spans="1:12" ht="15.4" x14ac:dyDescent="0.4">
      <c r="A216" s="1">
        <v>26</v>
      </c>
      <c r="B216" s="2">
        <v>-1.9307000000000016</v>
      </c>
      <c r="C216" s="2">
        <v>3.1897159869087357</v>
      </c>
      <c r="D216" s="5"/>
      <c r="E216" s="40">
        <v>401</v>
      </c>
      <c r="F216" s="2">
        <v>-22.914268620332599</v>
      </c>
      <c r="G216" s="2">
        <v>35.465514038589383</v>
      </c>
      <c r="H216" s="2"/>
      <c r="I216" s="25">
        <v>6.9999999999999994E-5</v>
      </c>
      <c r="J216" s="2">
        <v>-1.9365312948993463E-4</v>
      </c>
      <c r="K216" s="2">
        <v>9.4006373538803208E-3</v>
      </c>
      <c r="L216" s="5"/>
    </row>
    <row r="217" spans="1:12" ht="15.4" x14ac:dyDescent="0.4">
      <c r="A217" s="1">
        <v>26</v>
      </c>
      <c r="B217" s="2">
        <v>-3.9883999999999986</v>
      </c>
      <c r="C217" s="2">
        <v>6.2166539114387094</v>
      </c>
      <c r="D217" s="5"/>
      <c r="E217" s="40">
        <v>1481</v>
      </c>
      <c r="F217" s="2">
        <v>-12.325850818877029</v>
      </c>
      <c r="G217" s="2">
        <v>2.7843703846744896</v>
      </c>
      <c r="H217" s="2"/>
      <c r="I217" s="25">
        <v>6.9999999999999994E-5</v>
      </c>
      <c r="J217" s="2">
        <v>-1.7446392370787989E-2</v>
      </c>
      <c r="K217" s="2">
        <v>3.8428177028167374</v>
      </c>
      <c r="L217" s="5"/>
    </row>
    <row r="218" spans="1:12" ht="15.4" x14ac:dyDescent="0.4">
      <c r="A218" s="1">
        <v>26</v>
      </c>
      <c r="B218" s="2">
        <v>-0.52309999999999945</v>
      </c>
      <c r="C218" s="2">
        <v>0.78804925044177987</v>
      </c>
      <c r="D218" s="5"/>
      <c r="E218" s="40">
        <v>1481</v>
      </c>
      <c r="F218" s="2">
        <v>-83.324922743782963</v>
      </c>
      <c r="G218" s="2">
        <v>12.398988548693209</v>
      </c>
      <c r="H218" s="2"/>
      <c r="I218" s="25">
        <v>6.9999999999999994E-5</v>
      </c>
      <c r="J218" s="2">
        <v>4.5715401548453993E-2</v>
      </c>
      <c r="K218" s="2">
        <v>8.528992826204103</v>
      </c>
      <c r="L218" s="5"/>
    </row>
    <row r="219" spans="1:12" ht="15.4" x14ac:dyDescent="0.4">
      <c r="A219" s="1">
        <v>26</v>
      </c>
      <c r="B219" s="2">
        <v>-5.7203000000000017</v>
      </c>
      <c r="C219" s="2">
        <v>8.3853358136207667</v>
      </c>
      <c r="D219" s="5"/>
      <c r="E219" s="40">
        <v>1481</v>
      </c>
      <c r="F219" s="2">
        <v>52.807940341966059</v>
      </c>
      <c r="G219" s="2">
        <v>5.9457018748624764</v>
      </c>
      <c r="H219" s="2"/>
      <c r="I219" s="25">
        <v>6.9999999999999994E-5</v>
      </c>
      <c r="J219" s="2">
        <v>-2.6409378718818988E-2</v>
      </c>
      <c r="K219" s="2">
        <v>3.2364434704435037</v>
      </c>
      <c r="L219" s="5"/>
    </row>
    <row r="220" spans="1:12" ht="15.4" x14ac:dyDescent="0.4">
      <c r="A220" s="1">
        <v>26</v>
      </c>
      <c r="B220" s="2">
        <v>-1.88900000000001</v>
      </c>
      <c r="C220" s="2">
        <v>2.6994738241069296</v>
      </c>
      <c r="D220" s="5"/>
      <c r="E220" s="40">
        <v>1481</v>
      </c>
      <c r="F220" s="2">
        <v>-32.869484720347032</v>
      </c>
      <c r="G220" s="2">
        <v>3.8618641946996388</v>
      </c>
      <c r="H220" s="2"/>
      <c r="I220" s="25">
        <v>6.9999999999999994E-5</v>
      </c>
      <c r="J220" s="2">
        <v>-0.10661787999537597</v>
      </c>
      <c r="K220" s="2">
        <v>9.8811751617586641</v>
      </c>
      <c r="L220" s="5"/>
    </row>
    <row r="221" spans="1:12" ht="15.4" x14ac:dyDescent="0.4">
      <c r="A221" s="1">
        <v>26</v>
      </c>
      <c r="B221" s="2">
        <v>-3.992999999999995</v>
      </c>
      <c r="C221" s="2">
        <v>5.375034157648817</v>
      </c>
      <c r="D221" s="5"/>
      <c r="E221" s="40">
        <v>1481</v>
      </c>
      <c r="F221" s="2">
        <v>82.605758474238996</v>
      </c>
      <c r="G221" s="2">
        <v>9.137805140955642</v>
      </c>
      <c r="H221" s="2"/>
      <c r="I221" s="25">
        <v>6.9999999999999994E-5</v>
      </c>
      <c r="J221" s="2">
        <v>-0.54533101058824984</v>
      </c>
      <c r="K221" s="2">
        <v>33.455890220138031</v>
      </c>
      <c r="L221" s="5"/>
    </row>
    <row r="222" spans="1:12" ht="15.4" x14ac:dyDescent="0.4">
      <c r="A222" s="1">
        <v>26</v>
      </c>
      <c r="B222" s="2">
        <v>-5.9846000000000004</v>
      </c>
      <c r="C222" s="2">
        <v>7.6273087373889288</v>
      </c>
      <c r="D222" s="5"/>
      <c r="E222" s="40">
        <v>2000</v>
      </c>
      <c r="F222" s="2">
        <v>1.4489067273143004</v>
      </c>
      <c r="G222" s="2">
        <v>14.937182755817529</v>
      </c>
      <c r="H222" s="2"/>
      <c r="I222" s="25">
        <v>6.9999999999999994E-5</v>
      </c>
      <c r="J222" s="2">
        <v>-1.1275670109400338E-2</v>
      </c>
      <c r="K222" s="2">
        <v>0.14273000138481437</v>
      </c>
      <c r="L222" s="5"/>
    </row>
    <row r="223" spans="1:12" ht="15.4" x14ac:dyDescent="0.4">
      <c r="A223" s="4">
        <v>26.4</v>
      </c>
      <c r="B223" s="3">
        <v>-1.7787321193800665E-2</v>
      </c>
      <c r="C223" s="3">
        <v>5.2500948033650123E-2</v>
      </c>
      <c r="D223" s="5"/>
      <c r="E223" s="40">
        <v>2000</v>
      </c>
      <c r="F223" s="3">
        <v>0.52524022845840079</v>
      </c>
      <c r="G223" s="3">
        <v>4.3660866871022508</v>
      </c>
      <c r="H223" s="2"/>
      <c r="I223" s="26">
        <v>8.0000000000000007E-5</v>
      </c>
      <c r="J223" s="3">
        <v>-10.265198059226194</v>
      </c>
      <c r="K223" s="3">
        <v>16.784169488597438</v>
      </c>
      <c r="L223" s="5"/>
    </row>
    <row r="224" spans="1:12" ht="15.4" x14ac:dyDescent="0.4">
      <c r="A224" s="4">
        <v>26.4</v>
      </c>
      <c r="B224" s="3">
        <v>-3.11091541010029E-2</v>
      </c>
      <c r="C224" s="3">
        <v>7.5489332931334377E-2</v>
      </c>
      <c r="D224" s="5"/>
      <c r="E224" s="40">
        <v>2000</v>
      </c>
      <c r="F224" s="3">
        <v>-0.11422630637149922</v>
      </c>
      <c r="G224" s="3">
        <v>0.85116472706035196</v>
      </c>
      <c r="H224" s="2"/>
      <c r="I224" s="26">
        <v>8.0000000000000007E-5</v>
      </c>
      <c r="J224" s="3">
        <v>-0.52309999999999945</v>
      </c>
      <c r="K224" s="3">
        <v>0.78804925044177987</v>
      </c>
      <c r="L224" s="5"/>
    </row>
    <row r="225" spans="1:12" ht="15.4" x14ac:dyDescent="0.4">
      <c r="A225" s="4">
        <v>26.4</v>
      </c>
      <c r="B225" s="3">
        <v>-3.5302687615139945</v>
      </c>
      <c r="C225" s="3">
        <v>8.367548617004017</v>
      </c>
      <c r="D225" s="5"/>
      <c r="E225" s="40">
        <v>2000</v>
      </c>
      <c r="F225" s="3">
        <v>-0.60329284431210084</v>
      </c>
      <c r="G225" s="3">
        <v>4.195360530682203</v>
      </c>
      <c r="H225" s="2"/>
      <c r="I225" s="26">
        <v>8.0000000000000007E-5</v>
      </c>
      <c r="J225" s="3">
        <v>-1.88900000000001</v>
      </c>
      <c r="K225" s="3">
        <v>2.6994738241069296</v>
      </c>
      <c r="L225" s="5"/>
    </row>
    <row r="226" spans="1:12" ht="15.4" x14ac:dyDescent="0.4">
      <c r="A226" s="4">
        <v>26.4</v>
      </c>
      <c r="B226" s="3">
        <v>-6.5944352783107973</v>
      </c>
      <c r="C226" s="3">
        <v>12.894867575891272</v>
      </c>
      <c r="D226" s="5"/>
      <c r="E226" s="40">
        <v>2000</v>
      </c>
      <c r="F226" s="3">
        <v>-2.6874447538762993</v>
      </c>
      <c r="G226" s="3">
        <v>16.006222476928524</v>
      </c>
      <c r="H226" s="2"/>
      <c r="I226" s="26">
        <v>8.0000000000000007E-5</v>
      </c>
      <c r="J226" s="3">
        <v>-3.992999999999995</v>
      </c>
      <c r="K226" s="3">
        <v>5.375034157648817</v>
      </c>
      <c r="L226" s="5"/>
    </row>
    <row r="227" spans="1:12" ht="15.4" x14ac:dyDescent="0.4">
      <c r="A227" s="4">
        <v>26.4</v>
      </c>
      <c r="B227" s="3">
        <v>-22.914268620332599</v>
      </c>
      <c r="C227" s="3">
        <v>35.465514038589383</v>
      </c>
      <c r="D227" s="5"/>
      <c r="E227" s="40">
        <v>2000</v>
      </c>
      <c r="F227" s="3">
        <v>-4.6218358523322003</v>
      </c>
      <c r="G227" s="3">
        <v>24.376771373060127</v>
      </c>
      <c r="H227" s="2"/>
      <c r="I227" s="26">
        <v>8.0000000000000007E-5</v>
      </c>
      <c r="J227" s="3">
        <v>-5.9846000000000004</v>
      </c>
      <c r="K227" s="3">
        <v>7.6273087373889288</v>
      </c>
      <c r="L227" s="5"/>
    </row>
    <row r="228" spans="1:12" ht="15.4" x14ac:dyDescent="0.4">
      <c r="A228" s="4">
        <v>29</v>
      </c>
      <c r="B228" s="3">
        <v>0.75072220284739899</v>
      </c>
      <c r="C228" s="3">
        <v>2.1603516628702129</v>
      </c>
      <c r="D228" s="5"/>
      <c r="E228" s="40">
        <v>2000</v>
      </c>
      <c r="F228" s="3">
        <v>0.75072220284739899</v>
      </c>
      <c r="G228" s="3">
        <v>2.1603516628702129</v>
      </c>
      <c r="H228" s="2"/>
      <c r="I228" s="26">
        <v>8.5000000000000006E-5</v>
      </c>
      <c r="J228" s="3">
        <v>21.4213187693884</v>
      </c>
      <c r="K228" s="3">
        <v>58.544189039050011</v>
      </c>
      <c r="L228" s="5"/>
    </row>
    <row r="229" spans="1:12" ht="15.4" x14ac:dyDescent="0.4">
      <c r="A229" s="4">
        <v>29</v>
      </c>
      <c r="B229" s="3">
        <v>13.460861792800202</v>
      </c>
      <c r="C229" s="3">
        <v>16.403682418718258</v>
      </c>
      <c r="D229" s="5"/>
      <c r="E229" s="40">
        <v>2000</v>
      </c>
      <c r="F229" s="3">
        <v>13.460861792800202</v>
      </c>
      <c r="G229" s="3">
        <v>16.403682418718258</v>
      </c>
      <c r="H229" s="2"/>
      <c r="I229" s="26">
        <v>8.5000000000000006E-5</v>
      </c>
      <c r="J229" s="3">
        <v>19.2721132314256</v>
      </c>
      <c r="K229" s="3">
        <v>45.314162312310366</v>
      </c>
      <c r="L229" s="5"/>
    </row>
    <row r="230" spans="1:12" ht="15.4" x14ac:dyDescent="0.4">
      <c r="A230" s="4">
        <v>29</v>
      </c>
      <c r="B230" s="3">
        <v>16.402511885435999</v>
      </c>
      <c r="C230" s="3">
        <v>18.849128804224318</v>
      </c>
      <c r="D230" s="5"/>
      <c r="E230" s="40">
        <v>2000</v>
      </c>
      <c r="F230" s="3">
        <v>16.402511885435999</v>
      </c>
      <c r="G230" s="3">
        <v>18.849128804224318</v>
      </c>
      <c r="H230" s="2"/>
      <c r="I230" s="26">
        <v>8.5000000000000006E-5</v>
      </c>
      <c r="J230" s="3">
        <v>11.827316796434197</v>
      </c>
      <c r="K230" s="3">
        <v>22.078246773257789</v>
      </c>
      <c r="L230" s="5"/>
    </row>
    <row r="231" spans="1:12" ht="15.4" x14ac:dyDescent="0.4">
      <c r="A231" s="4">
        <v>29</v>
      </c>
      <c r="B231" s="3">
        <v>-0.31079332708699781</v>
      </c>
      <c r="C231" s="3">
        <v>0.73928003588724511</v>
      </c>
      <c r="D231" s="5"/>
      <c r="E231" s="40">
        <v>2000</v>
      </c>
      <c r="F231" s="3">
        <v>-0.31079332708699781</v>
      </c>
      <c r="G231" s="3">
        <v>0.73928003588724511</v>
      </c>
      <c r="H231" s="2"/>
      <c r="I231" s="26">
        <v>8.5000000000000006E-5</v>
      </c>
      <c r="J231" s="3">
        <v>2.6957349307865996</v>
      </c>
      <c r="K231" s="3">
        <v>4.0764175575179191</v>
      </c>
      <c r="L231" s="5"/>
    </row>
    <row r="232" spans="1:12" ht="15.4" x14ac:dyDescent="0.4">
      <c r="A232" s="4">
        <v>29</v>
      </c>
      <c r="B232" s="3">
        <v>-22.56684182363901</v>
      </c>
      <c r="C232" s="3">
        <v>21.837470315114192</v>
      </c>
      <c r="D232" s="5"/>
      <c r="E232" s="40">
        <v>2000</v>
      </c>
      <c r="F232" s="3">
        <v>-22.56684182363901</v>
      </c>
      <c r="G232" s="3">
        <v>21.837470315114192</v>
      </c>
      <c r="H232" s="2"/>
      <c r="I232" s="26">
        <v>8.6000000000000003E-5</v>
      </c>
      <c r="J232" s="3">
        <v>-1.7787321193800665E-2</v>
      </c>
      <c r="K232" s="3">
        <v>5.2500948033650123E-2</v>
      </c>
      <c r="L232" s="5"/>
    </row>
    <row r="233" spans="1:12" ht="15.4" x14ac:dyDescent="0.4">
      <c r="A233" s="4">
        <v>29</v>
      </c>
      <c r="B233" s="3">
        <v>-0.67910140380499229</v>
      </c>
      <c r="C233" s="3">
        <v>0.52311000139038077</v>
      </c>
      <c r="D233" s="5"/>
      <c r="E233" s="40">
        <v>2000</v>
      </c>
      <c r="F233" s="3">
        <v>-0.67910140380499229</v>
      </c>
      <c r="G233" s="3">
        <v>0.52311000139038077</v>
      </c>
      <c r="H233" s="2"/>
      <c r="I233" s="26">
        <v>8.6000000000000003E-5</v>
      </c>
      <c r="J233" s="3">
        <v>-3.11091541010029E-2</v>
      </c>
      <c r="K233" s="3">
        <v>7.5489332931334377E-2</v>
      </c>
      <c r="L233" s="5"/>
    </row>
    <row r="234" spans="1:12" ht="15.4" x14ac:dyDescent="0.4">
      <c r="A234" s="4">
        <v>29</v>
      </c>
      <c r="B234" s="3">
        <v>79.241201390573991</v>
      </c>
      <c r="C234" s="3">
        <v>51.041031491513031</v>
      </c>
      <c r="D234" s="5"/>
      <c r="E234" s="40">
        <v>2000</v>
      </c>
      <c r="F234" s="3">
        <v>79.241201390573991</v>
      </c>
      <c r="G234" s="3">
        <v>51.041031491513031</v>
      </c>
      <c r="H234" s="2"/>
      <c r="I234" s="26">
        <v>8.6000000000000003E-5</v>
      </c>
      <c r="J234" s="3">
        <v>-3.5302687615139945</v>
      </c>
      <c r="K234" s="3">
        <v>8.367548617004017</v>
      </c>
      <c r="L234" s="5"/>
    </row>
    <row r="235" spans="1:12" ht="15.4" x14ac:dyDescent="0.4">
      <c r="A235" s="4">
        <v>29</v>
      </c>
      <c r="B235" s="3">
        <v>84.19577012511499</v>
      </c>
      <c r="C235" s="3">
        <v>35.391244272852035</v>
      </c>
      <c r="D235" s="5"/>
      <c r="E235" s="40">
        <v>2000</v>
      </c>
      <c r="F235" s="3">
        <v>84.19577012511499</v>
      </c>
      <c r="G235" s="3">
        <v>35.391244272852035</v>
      </c>
      <c r="H235" s="2"/>
      <c r="I235" s="26">
        <v>8.6000000000000003E-5</v>
      </c>
      <c r="J235" s="3">
        <v>-6.5944352783107973</v>
      </c>
      <c r="K235" s="3">
        <v>12.894867575891272</v>
      </c>
      <c r="L235" s="5"/>
    </row>
    <row r="236" spans="1:12" ht="15.4" x14ac:dyDescent="0.4">
      <c r="A236" s="4">
        <v>401</v>
      </c>
      <c r="B236" s="3">
        <v>0.74050101059697226</v>
      </c>
      <c r="C236" s="3">
        <v>0.13769589992133816</v>
      </c>
      <c r="D236" s="5"/>
      <c r="E236" s="40">
        <v>2000</v>
      </c>
      <c r="F236" s="3">
        <v>0.74050101059697226</v>
      </c>
      <c r="G236" s="3">
        <v>0.13769589992133816</v>
      </c>
      <c r="H236" s="2"/>
      <c r="I236" s="26">
        <v>8.6000000000000003E-5</v>
      </c>
      <c r="J236" s="3">
        <v>-22.914268620332599</v>
      </c>
      <c r="K236" s="3">
        <v>35.465514038589383</v>
      </c>
      <c r="L236" s="5"/>
    </row>
    <row r="237" spans="1:12" ht="15.4" x14ac:dyDescent="0.4">
      <c r="A237" s="4">
        <v>401</v>
      </c>
      <c r="B237" s="3">
        <v>-12.325850818877029</v>
      </c>
      <c r="C237" s="3">
        <v>2.7843703846744896</v>
      </c>
      <c r="D237" s="5"/>
      <c r="E237" s="40">
        <v>2000</v>
      </c>
      <c r="F237" s="3">
        <v>-25.154364551450954</v>
      </c>
      <c r="G237" s="3">
        <v>4.3545276722381603</v>
      </c>
      <c r="H237" s="2"/>
      <c r="I237" s="26">
        <v>1E-4</v>
      </c>
      <c r="J237" s="3">
        <v>79.241201390573991</v>
      </c>
      <c r="K237" s="3">
        <v>51.041031491513031</v>
      </c>
      <c r="L237" s="5"/>
    </row>
    <row r="238" spans="1:12" ht="15.4" x14ac:dyDescent="0.4">
      <c r="A238" s="4">
        <v>401</v>
      </c>
      <c r="B238" s="3">
        <v>-25.154364551450954</v>
      </c>
      <c r="C238" s="3">
        <v>4.3545276722381603</v>
      </c>
      <c r="D238" s="5"/>
      <c r="E238" s="40">
        <v>2000</v>
      </c>
      <c r="F238" s="3">
        <v>-171.02256442384999</v>
      </c>
      <c r="G238" s="3">
        <v>22.967455571740324</v>
      </c>
      <c r="H238" s="2"/>
      <c r="I238" s="26">
        <v>1.16E-4</v>
      </c>
      <c r="J238" s="3">
        <v>-83.324922743782963</v>
      </c>
      <c r="K238" s="3">
        <v>12.398988548693209</v>
      </c>
      <c r="L238" s="5"/>
    </row>
    <row r="239" spans="1:12" ht="15.4" x14ac:dyDescent="0.4">
      <c r="A239" s="4">
        <v>401</v>
      </c>
      <c r="B239" s="3">
        <v>-83.324922743782963</v>
      </c>
      <c r="C239" s="3">
        <v>12.398988548693209</v>
      </c>
      <c r="D239" s="5"/>
      <c r="E239" s="40">
        <v>2400</v>
      </c>
      <c r="F239" s="3">
        <v>-3.6017543522080597</v>
      </c>
      <c r="G239" s="3">
        <v>30.497496631736322</v>
      </c>
      <c r="H239" s="2"/>
      <c r="I239" s="26">
        <v>1.4999999999999999E-4</v>
      </c>
      <c r="J239" s="3">
        <v>17.931580904429097</v>
      </c>
      <c r="K239" s="3">
        <v>24.330503262454677</v>
      </c>
      <c r="L239" s="5"/>
    </row>
    <row r="240" spans="1:12" ht="15.4" x14ac:dyDescent="0.4">
      <c r="A240" s="4">
        <v>401</v>
      </c>
      <c r="B240" s="3">
        <v>52.807940341966059</v>
      </c>
      <c r="C240" s="3">
        <v>5.9457018748624764</v>
      </c>
      <c r="D240" s="5"/>
      <c r="E240" s="40">
        <v>2400</v>
      </c>
      <c r="F240" s="3">
        <v>-19.3026029519459</v>
      </c>
      <c r="G240" s="3">
        <v>61.453686570983443</v>
      </c>
      <c r="H240" s="2"/>
      <c r="I240" s="26">
        <v>1.4999999999999999E-4</v>
      </c>
      <c r="J240" s="3">
        <v>84.19577012511499</v>
      </c>
      <c r="K240" s="3">
        <v>35.391244272852035</v>
      </c>
      <c r="L240" s="5"/>
    </row>
    <row r="241" spans="1:12" ht="15.4" x14ac:dyDescent="0.4">
      <c r="A241" s="4">
        <v>401</v>
      </c>
      <c r="B241" s="3">
        <v>-32.869484720347032</v>
      </c>
      <c r="C241" s="3">
        <v>3.8618641946996388</v>
      </c>
      <c r="D241" s="5"/>
      <c r="E241" s="40">
        <v>2400</v>
      </c>
      <c r="F241" s="3">
        <v>-0.30813168668880309</v>
      </c>
      <c r="G241" s="3">
        <v>0.94028589163504139</v>
      </c>
      <c r="H241" s="2"/>
      <c r="I241" s="26">
        <v>2.72E-4</v>
      </c>
      <c r="J241" s="3">
        <v>-32.869484720347032</v>
      </c>
      <c r="K241" s="3">
        <v>3.8618641946996388</v>
      </c>
      <c r="L241" s="5"/>
    </row>
    <row r="242" spans="1:12" ht="15.4" x14ac:dyDescent="0.4">
      <c r="A242" s="4">
        <v>401</v>
      </c>
      <c r="B242" s="3">
        <v>82.605758474238996</v>
      </c>
      <c r="C242" s="3">
        <v>9.137805140955642</v>
      </c>
      <c r="D242" s="5"/>
      <c r="E242" s="40">
        <v>2400</v>
      </c>
      <c r="F242" s="3">
        <v>-10.265198059226194</v>
      </c>
      <c r="G242" s="3">
        <v>16.784169488597438</v>
      </c>
      <c r="H242" s="2"/>
      <c r="I242" s="26">
        <v>5.2800000000000004E-4</v>
      </c>
      <c r="J242" s="3">
        <v>52.807940341966059</v>
      </c>
      <c r="K242" s="3">
        <v>5.9457018748624764</v>
      </c>
      <c r="L242" s="5"/>
    </row>
    <row r="243" spans="1:12" ht="15.4" x14ac:dyDescent="0.4">
      <c r="A243" s="4">
        <v>401</v>
      </c>
      <c r="B243" s="3">
        <v>-171.02256442384999</v>
      </c>
      <c r="C243" s="3">
        <v>22.967455571740324</v>
      </c>
      <c r="D243" s="5"/>
      <c r="E243" s="40">
        <v>2400</v>
      </c>
      <c r="F243" s="3">
        <v>17.931580904429097</v>
      </c>
      <c r="G243" s="3">
        <v>24.330503262454677</v>
      </c>
      <c r="H243" s="2"/>
      <c r="I243" s="26">
        <v>7.0100000000000002E-4</v>
      </c>
      <c r="J243" s="3">
        <v>82.605758474238996</v>
      </c>
      <c r="K243" s="3">
        <v>9.137805140955642</v>
      </c>
      <c r="L243" s="5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72255-9227-4F07-9E44-67ACF0DBE6DC}">
  <dimension ref="A1:L251"/>
  <sheetViews>
    <sheetView zoomScale="70" zoomScaleNormal="70" workbookViewId="0">
      <pane ySplit="1" topLeftCell="A2" activePane="bottomLeft" state="frozen"/>
      <selection pane="bottomLeft" activeCell="L1" sqref="L1:L1048576"/>
    </sheetView>
  </sheetViews>
  <sheetFormatPr defaultRowHeight="13.9" x14ac:dyDescent="0.4"/>
  <cols>
    <col min="1" max="1" width="10.73046875" style="6" customWidth="1"/>
    <col min="2" max="3" width="11.59765625" style="5" customWidth="1"/>
    <col min="4" max="4" width="10.73046875" style="5" customWidth="1"/>
    <col min="5" max="7" width="12.73046875" style="5" customWidth="1"/>
    <col min="9" max="9" width="11.3984375" style="32" bestFit="1" customWidth="1"/>
    <col min="10" max="11" width="12.73046875" style="5" customWidth="1"/>
  </cols>
  <sheetData>
    <row r="1" spans="1:12" s="36" customFormat="1" ht="35.25" x14ac:dyDescent="0.4">
      <c r="A1" s="15" t="s">
        <v>79</v>
      </c>
      <c r="B1" s="35" t="s">
        <v>36</v>
      </c>
      <c r="C1" s="35" t="s">
        <v>7</v>
      </c>
      <c r="D1" s="35"/>
      <c r="E1" s="10" t="s">
        <v>80</v>
      </c>
      <c r="F1" s="35" t="s">
        <v>36</v>
      </c>
      <c r="G1" s="35" t="s">
        <v>7</v>
      </c>
      <c r="I1" s="10" t="s">
        <v>81</v>
      </c>
      <c r="J1" s="35" t="s">
        <v>36</v>
      </c>
      <c r="K1" s="35" t="s">
        <v>7</v>
      </c>
    </row>
    <row r="2" spans="1:12" ht="15.4" x14ac:dyDescent="0.4">
      <c r="A2" s="43">
        <v>0.89999999999999991</v>
      </c>
      <c r="B2" s="2">
        <v>-0.10429266883030053</v>
      </c>
      <c r="C2" s="2">
        <v>0.66008018247025646</v>
      </c>
      <c r="D2" s="2"/>
      <c r="E2" s="2">
        <v>0.17</v>
      </c>
      <c r="F2" s="2">
        <v>3.1199999999999978E-2</v>
      </c>
      <c r="G2" s="2">
        <v>18.352941176470576</v>
      </c>
      <c r="H2" s="5"/>
      <c r="I2" s="30">
        <v>4.38647541190105E-9</v>
      </c>
      <c r="J2" s="2">
        <v>0.57010000000000005</v>
      </c>
      <c r="K2" s="2">
        <v>1.9820533948009775</v>
      </c>
      <c r="L2" s="5"/>
    </row>
    <row r="3" spans="1:12" ht="15.4" x14ac:dyDescent="0.4">
      <c r="A3" s="43">
        <v>1</v>
      </c>
      <c r="B3" s="2">
        <v>-0.18712200004970114</v>
      </c>
      <c r="C3" s="2">
        <v>0.75880778608962351</v>
      </c>
      <c r="D3" s="2"/>
      <c r="E3" s="2">
        <v>0.18890000000000001</v>
      </c>
      <c r="F3" s="2">
        <v>6.0099999999999987E-2</v>
      </c>
      <c r="G3" s="2">
        <v>31.815775542615132</v>
      </c>
      <c r="H3" s="5"/>
      <c r="I3" s="30">
        <v>4.38647541190105E-9</v>
      </c>
      <c r="J3" s="2">
        <v>-1.2499999999999289E-2</v>
      </c>
      <c r="K3" s="2">
        <v>4.1495428863554035E-2</v>
      </c>
      <c r="L3" s="5"/>
    </row>
    <row r="4" spans="1:12" ht="15.4" x14ac:dyDescent="0.4">
      <c r="A4" s="43">
        <v>1.5817223198594026</v>
      </c>
      <c r="B4" s="2">
        <v>7.9950971956306849E-3</v>
      </c>
      <c r="C4" s="2">
        <v>4.2302101564183525</v>
      </c>
      <c r="D4" s="2"/>
      <c r="E4" s="2">
        <v>0.189</v>
      </c>
      <c r="F4" s="2">
        <v>7.9950971956306849E-3</v>
      </c>
      <c r="G4" s="2">
        <v>4.2302101564183525</v>
      </c>
      <c r="H4" s="5"/>
      <c r="I4" s="30">
        <v>4.38647541190105E-9</v>
      </c>
      <c r="J4" s="2">
        <v>0.5517000000000003</v>
      </c>
      <c r="K4" s="2">
        <v>1.7638539425348738</v>
      </c>
      <c r="L4" s="5"/>
    </row>
    <row r="5" spans="1:12" ht="15.4" x14ac:dyDescent="0.4">
      <c r="A5" s="43">
        <v>2</v>
      </c>
      <c r="B5" s="2">
        <v>-0.13322458099479917</v>
      </c>
      <c r="C5" s="2">
        <v>0.79775198200478548</v>
      </c>
      <c r="D5" s="2"/>
      <c r="E5" s="2">
        <v>0.19</v>
      </c>
      <c r="F5" s="2">
        <v>4.3999999999999873E-3</v>
      </c>
      <c r="G5" s="2">
        <v>2.3157894736842035</v>
      </c>
      <c r="H5" s="5"/>
      <c r="I5" s="30">
        <v>4.38647541190105E-9</v>
      </c>
      <c r="J5" s="2">
        <v>0.53569999999999851</v>
      </c>
      <c r="K5" s="2">
        <v>1.6170074043665494</v>
      </c>
      <c r="L5" s="5"/>
    </row>
    <row r="6" spans="1:12" ht="15.4" x14ac:dyDescent="0.4">
      <c r="A6" s="43">
        <v>2</v>
      </c>
      <c r="B6" s="2">
        <v>-0.51080781763679894</v>
      </c>
      <c r="C6" s="2">
        <v>1.9422350480486652</v>
      </c>
      <c r="D6" s="2"/>
      <c r="E6" s="2">
        <v>0.20399999999999999</v>
      </c>
      <c r="F6" s="2">
        <v>1.4939475408104752E-3</v>
      </c>
      <c r="G6" s="2">
        <v>0.73232722588748789</v>
      </c>
      <c r="H6" s="5"/>
      <c r="I6" s="31">
        <v>7.30141843971631E-9</v>
      </c>
      <c r="J6" s="2">
        <v>4.3999999999999873E-3</v>
      </c>
      <c r="K6" s="2">
        <v>2.3157894736842035</v>
      </c>
      <c r="L6" s="5"/>
    </row>
    <row r="7" spans="1:12" ht="15.4" x14ac:dyDescent="0.4">
      <c r="A7" s="43">
        <v>2.4</v>
      </c>
      <c r="B7" s="2">
        <v>-0.34476863960298032</v>
      </c>
      <c r="C7" s="2">
        <v>15.391457125133048</v>
      </c>
      <c r="D7" s="2"/>
      <c r="E7" s="2">
        <v>0.21</v>
      </c>
      <c r="F7" s="2">
        <v>6.2200000000000005E-2</v>
      </c>
      <c r="G7" s="2">
        <v>29.619047619047624</v>
      </c>
      <c r="H7" s="5"/>
      <c r="I7" s="31">
        <v>7.30141843971631E-9</v>
      </c>
      <c r="J7" s="2">
        <v>-1.8400000000000027E-2</v>
      </c>
      <c r="K7" s="2">
        <v>6.6909090909091002</v>
      </c>
      <c r="L7" s="5"/>
    </row>
    <row r="8" spans="1:12" ht="15.4" x14ac:dyDescent="0.4">
      <c r="A8" s="43">
        <v>2.5</v>
      </c>
      <c r="B8" s="2">
        <v>4.3999999999999873E-3</v>
      </c>
      <c r="C8" s="2">
        <v>2.3157894736842035</v>
      </c>
      <c r="D8" s="2"/>
      <c r="E8" s="2">
        <v>0.215</v>
      </c>
      <c r="F8" s="2">
        <v>2.320089640900358E-5</v>
      </c>
      <c r="G8" s="2">
        <v>1.0791114608838874E-2</v>
      </c>
      <c r="H8" s="5"/>
      <c r="I8" s="31">
        <v>7.30141843971631E-9</v>
      </c>
      <c r="J8" s="2">
        <v>-3.4999999999999976E-2</v>
      </c>
      <c r="K8" s="2">
        <v>9.3582887700534698</v>
      </c>
      <c r="L8" s="5"/>
    </row>
    <row r="9" spans="1:12" ht="15.4" x14ac:dyDescent="0.4">
      <c r="A9" s="43">
        <v>2.5</v>
      </c>
      <c r="B9" s="2">
        <v>1.2500000000000011E-2</v>
      </c>
      <c r="C9" s="2">
        <v>4.2229729729729772</v>
      </c>
      <c r="D9" s="2"/>
      <c r="E9" s="2">
        <v>0.22</v>
      </c>
      <c r="F9" s="2">
        <v>1.7199999999999993E-2</v>
      </c>
      <c r="G9" s="2">
        <v>7.8181818181818148</v>
      </c>
      <c r="H9" s="5"/>
      <c r="I9" s="30">
        <v>1.4992197308456265E-8</v>
      </c>
      <c r="J9" s="2">
        <v>-2.3738103696754775E-2</v>
      </c>
      <c r="K9" s="2">
        <v>7.9391651159714973</v>
      </c>
      <c r="L9" s="5"/>
    </row>
    <row r="10" spans="1:12" ht="15.4" x14ac:dyDescent="0.4">
      <c r="A10" s="43">
        <v>2.7027027027027026</v>
      </c>
      <c r="B10" s="2">
        <v>1.1300000000000032E-2</v>
      </c>
      <c r="C10" s="2">
        <v>3.1215469613259756</v>
      </c>
      <c r="D10" s="2"/>
      <c r="E10" s="2">
        <v>0.22700000000000001</v>
      </c>
      <c r="F10" s="2">
        <v>2.2292703562212801E-4</v>
      </c>
      <c r="G10" s="2">
        <v>9.8205742564814097E-2</v>
      </c>
      <c r="H10" s="5"/>
      <c r="I10" s="30">
        <v>1.4992197308456265E-8</v>
      </c>
      <c r="J10" s="2">
        <v>-2.8170022225944835E-2</v>
      </c>
      <c r="K10" s="2">
        <v>8.2315534527335732</v>
      </c>
      <c r="L10" s="5"/>
    </row>
    <row r="11" spans="1:12" ht="15.4" x14ac:dyDescent="0.4">
      <c r="A11" s="43">
        <v>3</v>
      </c>
      <c r="B11" s="2">
        <v>-2.3738103696754775E-2</v>
      </c>
      <c r="C11" s="2">
        <v>7.9391651159714973</v>
      </c>
      <c r="D11" s="2"/>
      <c r="E11" s="2">
        <v>0.22700000000000001</v>
      </c>
      <c r="F11" s="2">
        <v>-5.4397110815090632E-3</v>
      </c>
      <c r="G11" s="2">
        <v>2.396348494056856</v>
      </c>
      <c r="H11" s="5"/>
      <c r="I11" s="30">
        <v>1.4992197308456265E-8</v>
      </c>
      <c r="J11" s="2">
        <v>0.20338435200120758</v>
      </c>
      <c r="K11" s="2">
        <v>44.504234573568397</v>
      </c>
      <c r="L11" s="5"/>
    </row>
    <row r="12" spans="1:12" ht="15.4" x14ac:dyDescent="0.4">
      <c r="A12" s="43">
        <v>3</v>
      </c>
      <c r="B12" s="2">
        <v>-2.8995175182497981</v>
      </c>
      <c r="C12" s="2">
        <v>14.304477149727667</v>
      </c>
      <c r="D12" s="2"/>
      <c r="E12" s="2">
        <v>0.23</v>
      </c>
      <c r="F12" s="2">
        <v>1.21E-2</v>
      </c>
      <c r="G12" s="2">
        <v>5.2608695652173907</v>
      </c>
      <c r="H12" s="5"/>
      <c r="I12" s="30">
        <v>1.4992197308456265E-8</v>
      </c>
      <c r="J12" s="2">
        <v>0.26457635911615984</v>
      </c>
      <c r="K12" s="2">
        <v>35.657191255547147</v>
      </c>
      <c r="L12" s="5"/>
    </row>
    <row r="13" spans="1:12" ht="15.4" x14ac:dyDescent="0.4">
      <c r="A13" s="43">
        <v>3</v>
      </c>
      <c r="B13" s="2">
        <v>-1.5268949481511989</v>
      </c>
      <c r="C13" s="2">
        <v>5.3276167067383069</v>
      </c>
      <c r="D13" s="2"/>
      <c r="E13" s="2">
        <v>0.23400000000000001</v>
      </c>
      <c r="F13" s="2">
        <v>8.548251813557145E-3</v>
      </c>
      <c r="G13" s="2">
        <v>3.6530990656227114</v>
      </c>
      <c r="H13" s="5"/>
      <c r="I13" s="30">
        <v>1.4992197308456265E-8</v>
      </c>
      <c r="J13" s="2">
        <v>0.45219999999999994</v>
      </c>
      <c r="K13" s="2">
        <v>42.821969696969688</v>
      </c>
      <c r="L13" s="5"/>
    </row>
    <row r="14" spans="1:12" ht="15.4" x14ac:dyDescent="0.4">
      <c r="A14" s="43">
        <v>3.0674846625766872</v>
      </c>
      <c r="B14" s="2">
        <v>1.21E-2</v>
      </c>
      <c r="C14" s="2">
        <v>5.2608695652173907</v>
      </c>
      <c r="D14" s="2"/>
      <c r="E14" s="2">
        <v>0.23499999999999999</v>
      </c>
      <c r="F14" s="2">
        <v>7.9600000000000004E-2</v>
      </c>
      <c r="G14" s="2">
        <v>33.872340425531917</v>
      </c>
      <c r="H14" s="5"/>
      <c r="I14" s="30">
        <v>1.4992197308456265E-8</v>
      </c>
      <c r="J14" s="2">
        <v>0.15809999999999991</v>
      </c>
      <c r="K14" s="2">
        <v>10.821355236139624</v>
      </c>
      <c r="L14" s="5"/>
    </row>
    <row r="15" spans="1:12" ht="15.4" x14ac:dyDescent="0.4">
      <c r="A15" s="43">
        <v>3.2211047952193561</v>
      </c>
      <c r="B15" s="2">
        <v>1.4939475408104752E-3</v>
      </c>
      <c r="C15" s="2">
        <v>0.73232722588748789</v>
      </c>
      <c r="D15" s="2"/>
      <c r="E15" s="2">
        <v>0.24199999999999999</v>
      </c>
      <c r="F15" s="2">
        <v>1.3300000000000034E-2</v>
      </c>
      <c r="G15" s="2">
        <v>5.4958677685950557</v>
      </c>
      <c r="H15" s="5"/>
      <c r="I15" s="30">
        <v>1.4992197308456265E-8</v>
      </c>
      <c r="J15" s="2">
        <v>0.13390000000000013</v>
      </c>
      <c r="K15" s="2">
        <v>8.447949526813888</v>
      </c>
      <c r="L15" s="5"/>
    </row>
    <row r="16" spans="1:12" ht="15.4" x14ac:dyDescent="0.4">
      <c r="A16" s="43">
        <v>3.5106670267350801</v>
      </c>
      <c r="B16" s="2">
        <v>-6.4197009915750169E-3</v>
      </c>
      <c r="C16" s="2">
        <v>1.5034428551697934</v>
      </c>
      <c r="D16" s="2"/>
      <c r="E16" s="2">
        <v>0.24529100529100534</v>
      </c>
      <c r="F16" s="2">
        <v>9.5108994708994643E-2</v>
      </c>
      <c r="G16" s="2">
        <v>38.773943054357169</v>
      </c>
      <c r="H16" s="5"/>
      <c r="I16" s="30">
        <v>1.57578760320004E-8</v>
      </c>
      <c r="J16" s="2">
        <v>-0.11999999999999744</v>
      </c>
      <c r="K16" s="2">
        <v>0.33132056092570261</v>
      </c>
      <c r="L16" s="5"/>
    </row>
    <row r="17" spans="1:12" ht="15.4" x14ac:dyDescent="0.4">
      <c r="A17" s="43">
        <v>3.5106670267350801</v>
      </c>
      <c r="B17" s="2">
        <v>-1.0248574787910025E-2</v>
      </c>
      <c r="C17" s="2">
        <v>2.2724112611773895</v>
      </c>
      <c r="D17" s="2"/>
      <c r="E17" s="2">
        <v>0.25738303876429502</v>
      </c>
      <c r="F17" s="2">
        <v>5.5816961235704954E-2</v>
      </c>
      <c r="G17" s="2">
        <v>21.686340134798368</v>
      </c>
      <c r="H17" s="5"/>
      <c r="I17" s="30">
        <v>1.57578760320004E-8</v>
      </c>
      <c r="J17" s="2">
        <v>-4.0500000000001535E-2</v>
      </c>
      <c r="K17" s="2">
        <v>0.10417926035297871</v>
      </c>
      <c r="L17" s="5"/>
    </row>
    <row r="18" spans="1:12" ht="15.4" x14ac:dyDescent="0.4">
      <c r="A18" s="43">
        <v>3.5106670267350801</v>
      </c>
      <c r="B18" s="2">
        <v>-1.7446392370787989E-2</v>
      </c>
      <c r="C18" s="2">
        <v>3.8428177028167374</v>
      </c>
      <c r="D18" s="2"/>
      <c r="E18" s="2">
        <v>0.25800000000000001</v>
      </c>
      <c r="F18" s="2">
        <v>4.3499999999999983E-2</v>
      </c>
      <c r="G18" s="2">
        <v>16.860465116279062</v>
      </c>
      <c r="H18" s="5"/>
      <c r="I18" s="30">
        <v>1.57578760320004E-8</v>
      </c>
      <c r="J18" s="2">
        <v>-0.81270000000000664</v>
      </c>
      <c r="K18" s="2">
        <v>1.9169035179790941</v>
      </c>
      <c r="L18" s="5"/>
    </row>
    <row r="19" spans="1:12" ht="15.4" x14ac:dyDescent="0.4">
      <c r="A19" s="43">
        <v>3.6144578313253009</v>
      </c>
      <c r="B19" s="2">
        <v>1.3300000000000034E-2</v>
      </c>
      <c r="C19" s="2">
        <v>5.4958677685950557</v>
      </c>
      <c r="D19" s="2"/>
      <c r="E19" s="2">
        <v>0.26400000000000001</v>
      </c>
      <c r="F19" s="2">
        <v>1.6699999999999993E-2</v>
      </c>
      <c r="G19" s="2">
        <v>6.3257575757575717</v>
      </c>
      <c r="H19" s="5"/>
      <c r="I19" s="30">
        <v>1.57578760320004E-8</v>
      </c>
      <c r="J19" s="2">
        <v>-1.9039000000000001</v>
      </c>
      <c r="K19" s="2">
        <v>4.1185352473414145</v>
      </c>
      <c r="L19" s="5"/>
    </row>
    <row r="20" spans="1:12" ht="15.4" x14ac:dyDescent="0.4">
      <c r="A20" s="43">
        <v>3.9292730844793713</v>
      </c>
      <c r="B20" s="2">
        <v>-9.0899999999999981E-2</v>
      </c>
      <c r="C20" s="2">
        <v>19.217758985200842</v>
      </c>
      <c r="D20" s="2"/>
      <c r="E20" s="2">
        <v>0.27</v>
      </c>
      <c r="F20" s="2">
        <v>1.7699999999999994E-2</v>
      </c>
      <c r="G20" s="2">
        <v>6.5555555555555536</v>
      </c>
      <c r="H20" s="5"/>
      <c r="I20" s="30">
        <v>1.71393173890467E-8</v>
      </c>
      <c r="J20" s="2">
        <v>-0.34476863960298032</v>
      </c>
      <c r="K20" s="2">
        <v>15.391457125133048</v>
      </c>
      <c r="L20" s="5"/>
    </row>
    <row r="21" spans="1:12" ht="15.4" x14ac:dyDescent="0.4">
      <c r="A21" s="43">
        <v>3.9525691699604737</v>
      </c>
      <c r="B21" s="2">
        <v>6.0099999999999987E-2</v>
      </c>
      <c r="C21" s="2">
        <v>31.815775542615132</v>
      </c>
      <c r="D21" s="2"/>
      <c r="E21" s="2">
        <v>0.27500000000000002</v>
      </c>
      <c r="F21" s="2">
        <v>-1.8400000000000027E-2</v>
      </c>
      <c r="G21" s="2">
        <v>6.6909090909091002</v>
      </c>
      <c r="H21" s="5"/>
      <c r="I21" s="30">
        <v>1.71393173890467E-8</v>
      </c>
      <c r="J21" s="2">
        <v>-6.7532643292089745E-2</v>
      </c>
      <c r="K21" s="2">
        <v>2.312761756578416</v>
      </c>
      <c r="L21" s="5"/>
    </row>
    <row r="22" spans="1:12" ht="15.4" x14ac:dyDescent="0.4">
      <c r="A22" s="43">
        <v>3.9525691699604737</v>
      </c>
      <c r="B22" s="2">
        <v>7.9600000000000004E-2</v>
      </c>
      <c r="C22" s="2">
        <v>33.872340425531917</v>
      </c>
      <c r="D22" s="2"/>
      <c r="E22" s="2">
        <v>0.27590116279069798</v>
      </c>
      <c r="F22" s="2">
        <v>0.12149883720930199</v>
      </c>
      <c r="G22" s="2">
        <v>44.037087767358379</v>
      </c>
      <c r="H22" s="5"/>
      <c r="I22" s="30">
        <v>1.71393173890467E-8</v>
      </c>
      <c r="J22" s="2">
        <v>0.79350350391711988</v>
      </c>
      <c r="K22" s="2">
        <v>25.031656274988006</v>
      </c>
      <c r="L22" s="5"/>
    </row>
    <row r="23" spans="1:12" ht="15.4" x14ac:dyDescent="0.4">
      <c r="A23" s="43">
        <v>4</v>
      </c>
      <c r="B23" s="2">
        <v>-2.1566066339280994</v>
      </c>
      <c r="C23" s="2">
        <v>10.602785810855945</v>
      </c>
      <c r="D23" s="2"/>
      <c r="E23" s="2">
        <v>0.28299999999999997</v>
      </c>
      <c r="F23" s="2">
        <v>-2.3519168875578977E-2</v>
      </c>
      <c r="G23" s="2">
        <v>8.3106603800632435</v>
      </c>
      <c r="H23" s="5"/>
      <c r="I23" s="30">
        <v>1.71393173890467E-8</v>
      </c>
      <c r="J23" s="2">
        <v>-9.7254126469437097E-5</v>
      </c>
      <c r="K23" s="2">
        <v>1.7122205364337518E-3</v>
      </c>
      <c r="L23" s="5"/>
    </row>
    <row r="24" spans="1:12" ht="15.4" x14ac:dyDescent="0.4">
      <c r="A24" s="43">
        <v>4</v>
      </c>
      <c r="B24" s="2">
        <v>1.2402065403994982</v>
      </c>
      <c r="C24" s="2">
        <v>4.549547103446435</v>
      </c>
      <c r="D24" s="2"/>
      <c r="E24" s="2">
        <v>0.29399999999999998</v>
      </c>
      <c r="F24" s="2">
        <v>5.2200000000000024E-2</v>
      </c>
      <c r="G24" s="2">
        <v>17.755102040816336</v>
      </c>
      <c r="H24" s="5"/>
      <c r="I24" s="31">
        <v>1.79574567554932E-8</v>
      </c>
      <c r="J24" s="2">
        <v>0.33171128766706337</v>
      </c>
      <c r="K24" s="2">
        <v>18.740750715653299</v>
      </c>
      <c r="L24" s="5"/>
    </row>
    <row r="25" spans="1:12" ht="15.4" x14ac:dyDescent="0.4">
      <c r="A25" s="43">
        <v>4.8811013767209008</v>
      </c>
      <c r="B25" s="2">
        <v>2.320089640900358E-5</v>
      </c>
      <c r="C25" s="2">
        <v>1.0791114608838874E-2</v>
      </c>
      <c r="D25" s="2"/>
      <c r="E25" s="2">
        <v>0.29599999999999999</v>
      </c>
      <c r="F25" s="2">
        <v>1.2500000000000011E-2</v>
      </c>
      <c r="G25" s="2">
        <v>4.2229729729729772</v>
      </c>
      <c r="H25" s="5"/>
      <c r="I25" s="31">
        <v>1.79574567554932E-8</v>
      </c>
      <c r="J25" s="2">
        <v>0.32064474430343815</v>
      </c>
      <c r="K25" s="2">
        <v>13.586641707772804</v>
      </c>
      <c r="L25" s="5"/>
    </row>
    <row r="26" spans="1:12" ht="15.4" x14ac:dyDescent="0.4">
      <c r="A26" s="43">
        <v>5</v>
      </c>
      <c r="B26" s="2">
        <v>-1.8400000000000027E-2</v>
      </c>
      <c r="C26" s="2">
        <v>6.6909090909091002</v>
      </c>
      <c r="D26" s="2"/>
      <c r="E26" s="2">
        <v>0.29899999999999999</v>
      </c>
      <c r="F26" s="2">
        <v>-2.3738103696754775E-2</v>
      </c>
      <c r="G26" s="2">
        <v>7.9391651159714973</v>
      </c>
      <c r="H26" s="5"/>
      <c r="I26" s="31">
        <v>1.79574567554932E-8</v>
      </c>
      <c r="J26" s="2">
        <v>1.0623807091287838</v>
      </c>
      <c r="K26" s="2">
        <v>34.605234825041819</v>
      </c>
      <c r="L26" s="5"/>
    </row>
    <row r="27" spans="1:12" ht="15.4" x14ac:dyDescent="0.4">
      <c r="A27" s="43">
        <v>5</v>
      </c>
      <c r="B27" s="2">
        <v>2.2292703562212801E-4</v>
      </c>
      <c r="C27" s="2">
        <v>9.8205742564814097E-2</v>
      </c>
      <c r="D27" s="2"/>
      <c r="E27" s="2">
        <v>0.3</v>
      </c>
      <c r="F27" s="2">
        <v>-4.6599999999999975E-2</v>
      </c>
      <c r="G27" s="2">
        <v>15.533333333333326</v>
      </c>
      <c r="H27" s="5"/>
      <c r="I27" s="31">
        <v>1.79574567554932E-8</v>
      </c>
      <c r="J27" s="2">
        <v>1.6590000000000007</v>
      </c>
      <c r="K27" s="2">
        <v>40.463414634146361</v>
      </c>
      <c r="L27" s="5"/>
    </row>
    <row r="28" spans="1:12" ht="15.4" x14ac:dyDescent="0.4">
      <c r="A28" s="43">
        <v>5</v>
      </c>
      <c r="B28" s="2">
        <v>3.5600000000000021E-2</v>
      </c>
      <c r="C28" s="2">
        <v>11.446945337620585</v>
      </c>
      <c r="D28" s="2"/>
      <c r="E28" s="2">
        <v>0.309</v>
      </c>
      <c r="F28" s="2">
        <v>-4.8447338883500612E-2</v>
      </c>
      <c r="G28" s="2">
        <v>15.678750447734826</v>
      </c>
      <c r="H28" s="5"/>
      <c r="I28" s="31">
        <v>1.79574567554932E-8</v>
      </c>
      <c r="J28" s="2">
        <v>1.1109</v>
      </c>
      <c r="K28" s="2">
        <v>21.654970760233919</v>
      </c>
      <c r="L28" s="5"/>
    </row>
    <row r="29" spans="1:12" ht="15.4" x14ac:dyDescent="0.4">
      <c r="A29" s="43">
        <v>5</v>
      </c>
      <c r="B29" s="2">
        <v>-1.9057333333333304</v>
      </c>
      <c r="C29" s="2">
        <v>36.837628865979347</v>
      </c>
      <c r="D29" s="2"/>
      <c r="E29" s="2">
        <v>0.31</v>
      </c>
      <c r="F29" s="2">
        <v>2.9000000000000026E-2</v>
      </c>
      <c r="G29" s="2">
        <v>9.3548387096774288</v>
      </c>
      <c r="H29" s="5"/>
      <c r="I29" s="31">
        <v>1.79574567554932E-8</v>
      </c>
      <c r="J29" s="2">
        <v>-0.17609999999999992</v>
      </c>
      <c r="K29" s="2">
        <v>2.6521084337349388</v>
      </c>
      <c r="L29" s="5"/>
    </row>
    <row r="30" spans="1:12" ht="15.4" x14ac:dyDescent="0.4">
      <c r="A30" s="43">
        <v>5</v>
      </c>
      <c r="B30" s="2">
        <v>-0.67542737830629918</v>
      </c>
      <c r="C30" s="2">
        <v>3.4320496865157479</v>
      </c>
      <c r="D30" s="2"/>
      <c r="E30" s="2">
        <v>0.311</v>
      </c>
      <c r="F30" s="2">
        <v>3.5600000000000021E-2</v>
      </c>
      <c r="G30" s="2">
        <v>11.446945337620585</v>
      </c>
      <c r="H30" s="5"/>
      <c r="I30" s="31">
        <v>1.79574567554932E-8</v>
      </c>
      <c r="J30" s="2">
        <v>-0.40300000000000047</v>
      </c>
      <c r="K30" s="2">
        <v>5.692090395480232</v>
      </c>
      <c r="L30" s="5"/>
    </row>
    <row r="31" spans="1:12" ht="15.4" x14ac:dyDescent="0.4">
      <c r="A31" s="43">
        <v>5</v>
      </c>
      <c r="B31" s="2">
        <v>-3.9016882219386986</v>
      </c>
      <c r="C31" s="2">
        <v>11.546872512396266</v>
      </c>
      <c r="D31" s="2"/>
      <c r="E31" s="2">
        <v>0.32300000000000001</v>
      </c>
      <c r="F31" s="2">
        <v>1.8399999999999972E-2</v>
      </c>
      <c r="G31" s="2">
        <v>5.6965944272445732</v>
      </c>
      <c r="H31" s="5"/>
      <c r="I31" s="31">
        <v>1.79574567554932E-8</v>
      </c>
      <c r="J31" s="2">
        <v>-1.5186000000000002</v>
      </c>
      <c r="K31" s="2">
        <v>18.078571428571429</v>
      </c>
      <c r="L31" s="5"/>
    </row>
    <row r="32" spans="1:12" ht="15.4" x14ac:dyDescent="0.4">
      <c r="A32" s="43">
        <v>5.8139534883720927</v>
      </c>
      <c r="B32" s="2">
        <v>1.6699999999999993E-2</v>
      </c>
      <c r="C32" s="2">
        <v>6.3257575757575717</v>
      </c>
      <c r="D32" s="2"/>
      <c r="E32" s="2">
        <v>0.33659763313609464</v>
      </c>
      <c r="F32" s="2">
        <v>0.14450236686390538</v>
      </c>
      <c r="G32" s="2">
        <v>42.930297969587791</v>
      </c>
      <c r="H32" s="5"/>
      <c r="I32" s="31">
        <v>1.79574567554932E-8</v>
      </c>
      <c r="J32" s="2">
        <v>-2.9217000000000004</v>
      </c>
      <c r="K32" s="2">
        <v>29.217000000000006</v>
      </c>
      <c r="L32" s="5"/>
    </row>
    <row r="33" spans="1:12" ht="15.4" x14ac:dyDescent="0.4">
      <c r="A33" s="43">
        <v>5.8823529411764701</v>
      </c>
      <c r="B33" s="2">
        <v>-3.2000000000000361E-3</v>
      </c>
      <c r="C33" s="2">
        <v>0.68965517241380092</v>
      </c>
      <c r="D33" s="2"/>
      <c r="E33" s="2">
        <v>0.33857142857142858</v>
      </c>
      <c r="F33" s="2">
        <v>7.1285714285714286E-3</v>
      </c>
      <c r="G33" s="2">
        <v>2.1054852320675104</v>
      </c>
      <c r="H33" s="5"/>
      <c r="I33" s="31">
        <v>1.79574567554932E-8</v>
      </c>
      <c r="J33" s="2">
        <v>-4.6304000000000007</v>
      </c>
      <c r="K33" s="2">
        <v>38.91092436974791</v>
      </c>
      <c r="L33" s="5"/>
    </row>
    <row r="34" spans="1:12" ht="15.4" x14ac:dyDescent="0.4">
      <c r="A34" s="43">
        <v>5.9438275636838664</v>
      </c>
      <c r="B34" s="2">
        <v>-5.4397110815090632E-3</v>
      </c>
      <c r="C34" s="2">
        <v>2.396348494056856</v>
      </c>
      <c r="D34" s="2"/>
      <c r="E34" s="2">
        <v>0.34</v>
      </c>
      <c r="F34" s="2">
        <v>5.6899999999999951E-2</v>
      </c>
      <c r="G34" s="2">
        <v>16.735294117647044</v>
      </c>
      <c r="H34" s="5"/>
      <c r="I34" s="30">
        <v>1.9144429778400399E-8</v>
      </c>
      <c r="J34" s="2">
        <v>0.74050101059697226</v>
      </c>
      <c r="K34" s="2">
        <v>0.13769589992133816</v>
      </c>
      <c r="L34" s="5"/>
    </row>
    <row r="35" spans="1:12" ht="15.4" x14ac:dyDescent="0.4">
      <c r="A35" s="43">
        <v>6</v>
      </c>
      <c r="B35" s="2">
        <v>-2.7664003781312019</v>
      </c>
      <c r="C35" s="2">
        <v>12.240709637748679</v>
      </c>
      <c r="D35" s="2"/>
      <c r="E35" s="2">
        <v>0.34222000000000002</v>
      </c>
      <c r="F35" s="2">
        <v>-2.8170022225944835E-2</v>
      </c>
      <c r="G35" s="2">
        <v>8.2315534527335732</v>
      </c>
      <c r="H35" s="5"/>
      <c r="I35" s="30">
        <v>1.9144429778400399E-8</v>
      </c>
      <c r="J35" s="2">
        <v>-25.154364551450954</v>
      </c>
      <c r="K35" s="2">
        <v>4.3545276722381603</v>
      </c>
      <c r="L35" s="5"/>
    </row>
    <row r="36" spans="1:12" ht="15.4" x14ac:dyDescent="0.4">
      <c r="A36" s="43">
        <v>6</v>
      </c>
      <c r="B36" s="2">
        <v>-4.4236751096966991</v>
      </c>
      <c r="C36" s="2">
        <v>12.384308817739919</v>
      </c>
      <c r="D36" s="2"/>
      <c r="E36" s="2">
        <v>0.34768292682926832</v>
      </c>
      <c r="F36" s="2">
        <v>0.13299327213131362</v>
      </c>
      <c r="G36" s="2">
        <v>38.251309416933417</v>
      </c>
      <c r="H36" s="5"/>
      <c r="I36" s="30">
        <v>1.9144429778400399E-8</v>
      </c>
      <c r="J36" s="2">
        <v>-171.02256442384999</v>
      </c>
      <c r="K36" s="2">
        <v>22.967455571740324</v>
      </c>
      <c r="L36" s="5"/>
    </row>
    <row r="37" spans="1:12" ht="15.4" x14ac:dyDescent="0.4">
      <c r="A37" s="43">
        <v>6.1349693251533743</v>
      </c>
      <c r="B37" s="2">
        <v>1.7699999999999994E-2</v>
      </c>
      <c r="C37" s="2">
        <v>6.5555555555555536</v>
      </c>
      <c r="D37" s="2"/>
      <c r="E37" s="2">
        <v>0.35</v>
      </c>
      <c r="F37" s="2">
        <v>2.0022942817841116E-3</v>
      </c>
      <c r="G37" s="2">
        <v>0.57208408050974624</v>
      </c>
      <c r="H37" s="5"/>
      <c r="I37" s="30">
        <v>2.00141843971631E-8</v>
      </c>
      <c r="J37" s="2">
        <v>0.43583442384654913</v>
      </c>
      <c r="K37" s="2">
        <v>56.528459642872775</v>
      </c>
      <c r="L37" s="5"/>
    </row>
    <row r="38" spans="1:12" ht="15.4" x14ac:dyDescent="0.4">
      <c r="A38" s="43">
        <v>6.5250000000000004</v>
      </c>
      <c r="B38" s="2">
        <v>-7.1391900000000064E-2</v>
      </c>
      <c r="C38" s="2">
        <v>11.567212725896121</v>
      </c>
      <c r="D38" s="2"/>
      <c r="E38" s="2">
        <v>0.35</v>
      </c>
      <c r="F38" s="2">
        <v>7.6200000000000045E-2</v>
      </c>
      <c r="G38" s="2">
        <v>21.771428571428586</v>
      </c>
      <c r="H38" s="5"/>
      <c r="I38" s="30">
        <v>2.00141843971631E-8</v>
      </c>
      <c r="J38" s="2">
        <v>3.3300000000000107E-2</v>
      </c>
      <c r="K38" s="2">
        <v>2.1864740643466911</v>
      </c>
      <c r="L38" s="5"/>
    </row>
    <row r="39" spans="1:12" ht="15.4" x14ac:dyDescent="0.4">
      <c r="A39" s="43">
        <v>6.9767441860465116</v>
      </c>
      <c r="B39" s="2">
        <v>4.3499999999999983E-2</v>
      </c>
      <c r="C39" s="2">
        <v>16.860465116279062</v>
      </c>
      <c r="D39" s="2"/>
      <c r="E39" s="2">
        <v>0.36</v>
      </c>
      <c r="F39" s="2">
        <v>7.8600000000000003E-2</v>
      </c>
      <c r="G39" s="2">
        <v>21.833333333333336</v>
      </c>
      <c r="H39" s="5"/>
      <c r="I39" s="30">
        <v>2.00141843971631E-8</v>
      </c>
      <c r="J39" s="2">
        <v>-0.23420000000000019</v>
      </c>
      <c r="K39" s="2">
        <v>12.755991285403059</v>
      </c>
      <c r="L39" s="5"/>
    </row>
    <row r="40" spans="1:12" ht="15.4" x14ac:dyDescent="0.4">
      <c r="A40" s="43">
        <v>7.0000000000000009</v>
      </c>
      <c r="B40" s="2">
        <v>-3.5859418886964036</v>
      </c>
      <c r="C40" s="2">
        <v>9.8759071569716426</v>
      </c>
      <c r="D40" s="2"/>
      <c r="E40" s="2">
        <v>0.36199999999999999</v>
      </c>
      <c r="F40" s="2">
        <v>1.1300000000000032E-2</v>
      </c>
      <c r="G40" s="2">
        <v>3.1215469613259756</v>
      </c>
      <c r="H40" s="5"/>
      <c r="I40" s="30">
        <v>2.2405778835473E-8</v>
      </c>
      <c r="J40" s="2">
        <v>-0.18712200004970114</v>
      </c>
      <c r="K40" s="2">
        <v>0.75880778608962351</v>
      </c>
      <c r="L40" s="5"/>
    </row>
    <row r="41" spans="1:12" ht="15.4" x14ac:dyDescent="0.4">
      <c r="A41" s="43">
        <v>7.5</v>
      </c>
      <c r="B41" s="2">
        <v>-3.4999999999999976E-2</v>
      </c>
      <c r="C41" s="2">
        <v>9.3582887700534698</v>
      </c>
      <c r="D41" s="2"/>
      <c r="E41" s="2">
        <v>0.373</v>
      </c>
      <c r="F41" s="2">
        <v>5.3200000000000025E-2</v>
      </c>
      <c r="G41" s="2">
        <v>14.26273458445041</v>
      </c>
      <c r="H41" s="5"/>
      <c r="I41" s="30">
        <v>2.2405778835473E-8</v>
      </c>
      <c r="J41" s="2">
        <v>-0.51080781763679894</v>
      </c>
      <c r="K41" s="2">
        <v>1.9422350480486652</v>
      </c>
      <c r="L41" s="5"/>
    </row>
    <row r="42" spans="1:12" ht="15.4" x14ac:dyDescent="0.4">
      <c r="A42" s="43">
        <v>7.5669383003492436</v>
      </c>
      <c r="B42" s="2">
        <v>6.5075487910803975E-2</v>
      </c>
      <c r="C42" s="2">
        <v>12.278393945434711</v>
      </c>
      <c r="D42" s="2"/>
      <c r="E42" s="2">
        <v>0.374</v>
      </c>
      <c r="F42" s="2">
        <v>-3.4999999999999976E-2</v>
      </c>
      <c r="G42" s="2">
        <v>9.3582887700534698</v>
      </c>
      <c r="H42" s="5"/>
      <c r="I42" s="30">
        <v>2.2405778835473E-8</v>
      </c>
      <c r="J42" s="2">
        <v>1.2402065403994982</v>
      </c>
      <c r="K42" s="2">
        <v>4.549547103446435</v>
      </c>
      <c r="L42" s="5"/>
    </row>
    <row r="43" spans="1:12" ht="15.4" x14ac:dyDescent="0.4">
      <c r="A43" s="43">
        <v>7.5669383003492436</v>
      </c>
      <c r="B43" s="2">
        <v>-4.2374878835418905E-2</v>
      </c>
      <c r="C43" s="2">
        <v>7.356749797815783</v>
      </c>
      <c r="D43" s="2"/>
      <c r="E43" s="2">
        <v>0.40100000000000002</v>
      </c>
      <c r="F43" s="2">
        <v>-2.6200000000000001E-2</v>
      </c>
      <c r="G43" s="2">
        <v>6.5336658354114716</v>
      </c>
      <c r="H43" s="5"/>
      <c r="I43" s="30">
        <v>2.2405778835473E-8</v>
      </c>
      <c r="J43" s="2">
        <v>-1.5268949481511989</v>
      </c>
      <c r="K43" s="2">
        <v>5.3276167067383069</v>
      </c>
      <c r="L43" s="5"/>
    </row>
    <row r="44" spans="1:12" ht="15.4" x14ac:dyDescent="0.4">
      <c r="A44" s="43">
        <v>7.5669383003492436</v>
      </c>
      <c r="B44" s="2">
        <v>4.5715401548453993E-2</v>
      </c>
      <c r="C44" s="2">
        <v>8.528992826204103</v>
      </c>
      <c r="D44" s="2"/>
      <c r="E44" s="2">
        <v>0.41499999999999998</v>
      </c>
      <c r="F44" s="2">
        <v>-3.7773147276706831E-2</v>
      </c>
      <c r="G44" s="2">
        <v>9.101963199206466</v>
      </c>
      <c r="H44" s="5"/>
      <c r="I44" s="30">
        <v>2.2405778835473E-8</v>
      </c>
      <c r="J44" s="2">
        <v>-3.9016882219386986</v>
      </c>
      <c r="K44" s="2">
        <v>11.546872512396266</v>
      </c>
      <c r="L44" s="5"/>
    </row>
    <row r="45" spans="1:12" ht="15.4" x14ac:dyDescent="0.4">
      <c r="A45" s="43">
        <v>7.7</v>
      </c>
      <c r="B45" s="2">
        <v>-2.8170022225944835E-2</v>
      </c>
      <c r="C45" s="2">
        <v>8.2315534527335732</v>
      </c>
      <c r="D45" s="2"/>
      <c r="E45" s="2">
        <v>0.42699999999999999</v>
      </c>
      <c r="F45" s="2">
        <v>-6.4197009915750169E-3</v>
      </c>
      <c r="G45" s="2">
        <v>1.5034428551697934</v>
      </c>
      <c r="H45" s="5"/>
      <c r="I45" s="30">
        <v>2.2405778835473E-8</v>
      </c>
      <c r="J45" s="2">
        <v>-4.4236751096966991</v>
      </c>
      <c r="K45" s="2">
        <v>12.384308817739919</v>
      </c>
      <c r="L45" s="5"/>
    </row>
    <row r="46" spans="1:12" ht="15.4" x14ac:dyDescent="0.4">
      <c r="A46" s="43">
        <v>8.4269662921348321</v>
      </c>
      <c r="B46" s="2">
        <v>0.32209999999999994</v>
      </c>
      <c r="C46" s="2">
        <v>62.665369649805434</v>
      </c>
      <c r="D46" s="2"/>
      <c r="E46" s="2">
        <v>0.45</v>
      </c>
      <c r="F46" s="2">
        <v>0.12289999999999995</v>
      </c>
      <c r="G46" s="2">
        <v>27.311111111111103</v>
      </c>
      <c r="H46" s="5"/>
      <c r="I46" s="30">
        <v>2.2405778835473E-8</v>
      </c>
      <c r="J46" s="2">
        <v>-3.5859418886964036</v>
      </c>
      <c r="K46" s="2">
        <v>9.8759071569716426</v>
      </c>
      <c r="L46" s="5"/>
    </row>
    <row r="47" spans="1:12" ht="15.4" x14ac:dyDescent="0.4">
      <c r="A47" s="43">
        <v>8.6</v>
      </c>
      <c r="B47" s="2">
        <v>-6.7532643292089745E-2</v>
      </c>
      <c r="C47" s="2">
        <v>2.312761756578416</v>
      </c>
      <c r="D47" s="2"/>
      <c r="E47" s="2">
        <v>0.45</v>
      </c>
      <c r="F47" s="2">
        <v>-0.14690000000000003</v>
      </c>
      <c r="G47" s="2">
        <v>32.644444444444446</v>
      </c>
      <c r="H47" s="5"/>
      <c r="I47" s="30">
        <v>3.0976493754882599E-8</v>
      </c>
      <c r="J47" s="2">
        <v>-12.325850818877029</v>
      </c>
      <c r="K47" s="2">
        <v>2.7843703846744896</v>
      </c>
      <c r="L47" s="5"/>
    </row>
    <row r="48" spans="1:12" ht="15.4" x14ac:dyDescent="0.4">
      <c r="A48" s="43">
        <v>8.75</v>
      </c>
      <c r="B48" s="2">
        <v>-9.4683400000000084E-2</v>
      </c>
      <c r="C48" s="2">
        <v>15.188630303598089</v>
      </c>
      <c r="D48" s="2"/>
      <c r="E48" s="2">
        <v>0.45100000000000001</v>
      </c>
      <c r="F48" s="2">
        <v>-1.0248574787910025E-2</v>
      </c>
      <c r="G48" s="2">
        <v>2.2724112611773895</v>
      </c>
      <c r="H48" s="5"/>
      <c r="I48" s="30">
        <v>3.0976493754882599E-8</v>
      </c>
      <c r="J48" s="2">
        <v>-83.324922743782963</v>
      </c>
      <c r="K48" s="2">
        <v>12.398988548693209</v>
      </c>
      <c r="L48" s="5"/>
    </row>
    <row r="49" spans="1:12" ht="15.4" x14ac:dyDescent="0.4">
      <c r="A49" s="43">
        <v>9</v>
      </c>
      <c r="B49" s="2">
        <v>0.33171128766706337</v>
      </c>
      <c r="C49" s="2">
        <v>18.740750715653299</v>
      </c>
      <c r="D49" s="2"/>
      <c r="E49" s="2">
        <v>0.45400000000000001</v>
      </c>
      <c r="F49" s="2">
        <v>-1.7446392370787989E-2</v>
      </c>
      <c r="G49" s="2">
        <v>3.8428177028167374</v>
      </c>
      <c r="H49" s="5"/>
      <c r="I49" s="30">
        <v>3.0976493754882599E-8</v>
      </c>
      <c r="J49" s="2">
        <v>-32.869484720347032</v>
      </c>
      <c r="K49" s="2">
        <v>3.8618641946996388</v>
      </c>
      <c r="L49" s="5"/>
    </row>
    <row r="50" spans="1:12" ht="15.4" x14ac:dyDescent="0.4">
      <c r="A50" s="43">
        <v>9.0575724239090576</v>
      </c>
      <c r="B50" s="2">
        <v>8.548251813557145E-3</v>
      </c>
      <c r="C50" s="2">
        <v>3.6530990656227114</v>
      </c>
      <c r="D50" s="2"/>
      <c r="E50" s="2">
        <v>0.45500000000000002</v>
      </c>
      <c r="F50" s="2">
        <v>0.11959999999999998</v>
      </c>
      <c r="G50" s="2">
        <v>26.285714285714278</v>
      </c>
      <c r="H50" s="5"/>
      <c r="I50" s="30">
        <v>3.0976493754882599E-8</v>
      </c>
      <c r="J50" s="2">
        <v>52.807940341966059</v>
      </c>
      <c r="K50" s="2">
        <v>5.9457018748624764</v>
      </c>
      <c r="L50" s="5"/>
    </row>
    <row r="51" spans="1:12" ht="15.4" x14ac:dyDescent="0.4">
      <c r="A51" s="43">
        <v>9.2024539877300615</v>
      </c>
      <c r="B51" s="2">
        <v>2.9000000000000026E-2</v>
      </c>
      <c r="C51" s="2">
        <v>9.3548387096774288</v>
      </c>
      <c r="D51" s="2"/>
      <c r="E51" s="2">
        <v>0.45700000000000002</v>
      </c>
      <c r="F51" s="2">
        <v>0.20338435200120758</v>
      </c>
      <c r="G51" s="2">
        <v>44.504234573568397</v>
      </c>
      <c r="H51" s="5"/>
      <c r="I51" s="30">
        <v>3.0976493754882599E-8</v>
      </c>
      <c r="J51" s="2">
        <v>82.605758474238996</v>
      </c>
      <c r="K51" s="2">
        <v>9.137805140955642</v>
      </c>
      <c r="L51" s="5"/>
    </row>
    <row r="52" spans="1:12" ht="15.4" x14ac:dyDescent="0.4">
      <c r="A52" s="43">
        <v>9.67741935483871</v>
      </c>
      <c r="B52" s="2">
        <v>1.4000000000000012E-2</v>
      </c>
      <c r="C52" s="2">
        <v>2.4734982332155502</v>
      </c>
      <c r="D52" s="2"/>
      <c r="E52" s="2">
        <v>0.46400000000000002</v>
      </c>
      <c r="F52" s="2">
        <v>-3.2000000000000361E-3</v>
      </c>
      <c r="G52" s="2">
        <v>0.68965517241380092</v>
      </c>
      <c r="H52" s="5"/>
      <c r="I52" s="31">
        <v>3.2961781303002294E-8</v>
      </c>
      <c r="J52" s="2">
        <v>-7.1391900000000064E-2</v>
      </c>
      <c r="K52" s="2">
        <v>11.567212725896121</v>
      </c>
      <c r="L52" s="5"/>
    </row>
    <row r="53" spans="1:12" ht="15.4" x14ac:dyDescent="0.4">
      <c r="A53" s="43">
        <v>9.7000000000000011</v>
      </c>
      <c r="B53" s="2">
        <v>-4.8447338883500612E-2</v>
      </c>
      <c r="C53" s="2">
        <v>15.678750447734826</v>
      </c>
      <c r="D53" s="2"/>
      <c r="E53" s="2">
        <v>0.47</v>
      </c>
      <c r="F53" s="2">
        <v>-7.3899999999999966E-2</v>
      </c>
      <c r="G53" s="2">
        <v>15.723404255319142</v>
      </c>
      <c r="H53" s="5"/>
      <c r="I53" s="31">
        <v>3.2961781303002294E-8</v>
      </c>
      <c r="J53" s="2">
        <v>-9.4683400000000084E-2</v>
      </c>
      <c r="K53" s="2">
        <v>15.188630303598089</v>
      </c>
      <c r="L53" s="5"/>
    </row>
    <row r="54" spans="1:12" ht="15.4" x14ac:dyDescent="0.4">
      <c r="A54" s="43">
        <v>10</v>
      </c>
      <c r="B54" s="2">
        <v>3.1199999999999978E-2</v>
      </c>
      <c r="C54" s="2">
        <v>18.352941176470576</v>
      </c>
      <c r="D54" s="2"/>
      <c r="E54" s="2">
        <v>0.47020833333333334</v>
      </c>
      <c r="F54" s="2">
        <v>-0.10730833333333334</v>
      </c>
      <c r="G54" s="2">
        <v>22.821444395214886</v>
      </c>
      <c r="H54" s="5"/>
      <c r="I54" s="31">
        <v>3.2961781303002294E-8</v>
      </c>
      <c r="J54" s="2">
        <v>-0.11109809999999998</v>
      </c>
      <c r="K54" s="2">
        <v>17.730360178238648</v>
      </c>
      <c r="L54" s="5"/>
    </row>
    <row r="55" spans="1:12" ht="15.4" x14ac:dyDescent="0.4">
      <c r="A55" s="43">
        <v>10</v>
      </c>
      <c r="B55" s="2">
        <v>0.12149883720930199</v>
      </c>
      <c r="C55" s="2">
        <v>44.037087767358379</v>
      </c>
      <c r="D55" s="2"/>
      <c r="E55" s="2">
        <v>0.47299999999999998</v>
      </c>
      <c r="F55" s="2">
        <v>-9.0899999999999981E-2</v>
      </c>
      <c r="G55" s="2">
        <v>19.217758985200842</v>
      </c>
      <c r="H55" s="5"/>
      <c r="I55" s="31">
        <v>3.2961781303002294E-8</v>
      </c>
      <c r="J55" s="2">
        <v>-0.15732420000000003</v>
      </c>
      <c r="K55" s="2">
        <v>24.580976781815441</v>
      </c>
      <c r="L55" s="5"/>
    </row>
    <row r="56" spans="1:12" ht="15.4" x14ac:dyDescent="0.4">
      <c r="A56" s="43">
        <v>10</v>
      </c>
      <c r="B56" s="2">
        <v>5.3200000000000025E-2</v>
      </c>
      <c r="C56" s="2">
        <v>14.26273458445041</v>
      </c>
      <c r="D56" s="2"/>
      <c r="E56" s="2">
        <v>0.47399999999999998</v>
      </c>
      <c r="F56" s="2">
        <v>-6.6899999999999959E-2</v>
      </c>
      <c r="G56" s="2">
        <v>14.113924050632903</v>
      </c>
      <c r="H56" s="5"/>
      <c r="I56" s="31">
        <v>3.7862160769303602E-8</v>
      </c>
      <c r="J56" s="2">
        <v>-0.9867843688349005</v>
      </c>
      <c r="K56" s="2">
        <v>3.1811230458894277</v>
      </c>
      <c r="L56" s="5"/>
    </row>
    <row r="57" spans="1:12" ht="15.4" x14ac:dyDescent="0.4">
      <c r="A57" s="43">
        <v>10</v>
      </c>
      <c r="B57" s="2">
        <v>0.11959999999999998</v>
      </c>
      <c r="C57" s="2">
        <v>26.285714285714278</v>
      </c>
      <c r="D57" s="2"/>
      <c r="E57" s="2">
        <v>0.499</v>
      </c>
      <c r="F57" s="2">
        <v>2.4900000000000033E-2</v>
      </c>
      <c r="G57" s="2">
        <v>4.9899799599198467</v>
      </c>
      <c r="H57" s="5"/>
      <c r="I57" s="31">
        <v>3.7862160769303602E-8</v>
      </c>
      <c r="J57" s="2">
        <v>-2.1851526103892027</v>
      </c>
      <c r="K57" s="2">
        <v>6.4363847139593586</v>
      </c>
      <c r="L57" s="5"/>
    </row>
    <row r="58" spans="1:12" ht="15.4" x14ac:dyDescent="0.4">
      <c r="A58" s="43">
        <v>10</v>
      </c>
      <c r="B58" s="2">
        <v>-0.57870000000000044</v>
      </c>
      <c r="C58" s="2">
        <v>9.7753378378378439</v>
      </c>
      <c r="D58" s="2"/>
      <c r="E58" s="2">
        <v>0.51400000000000001</v>
      </c>
      <c r="F58" s="2">
        <v>0.32209999999999994</v>
      </c>
      <c r="G58" s="2">
        <v>62.665369649805434</v>
      </c>
      <c r="H58" s="5"/>
      <c r="I58" s="30">
        <v>3.7862160769303602E-8</v>
      </c>
      <c r="J58" s="2">
        <v>-0.64384815224550351</v>
      </c>
      <c r="K58" s="2">
        <v>1.8517346915315025</v>
      </c>
      <c r="L58" s="5"/>
    </row>
    <row r="59" spans="1:12" ht="15.4" x14ac:dyDescent="0.4">
      <c r="A59" s="43">
        <v>10</v>
      </c>
      <c r="B59" s="2">
        <v>0.12289999999999995</v>
      </c>
      <c r="C59" s="2">
        <v>27.311111111111103</v>
      </c>
      <c r="D59" s="2"/>
      <c r="E59" s="2">
        <v>0.51500000000000001</v>
      </c>
      <c r="F59" s="2">
        <v>-3.4867935891940038E-2</v>
      </c>
      <c r="G59" s="2">
        <v>6.7704729887262216</v>
      </c>
      <c r="H59" s="5"/>
      <c r="I59" s="30">
        <v>3.7862160769303602E-8</v>
      </c>
      <c r="J59" s="2">
        <v>-1.2606447159246983</v>
      </c>
      <c r="K59" s="2">
        <v>3.3306333313730465</v>
      </c>
      <c r="L59" s="5"/>
    </row>
    <row r="60" spans="1:12" ht="15.4" x14ac:dyDescent="0.4">
      <c r="A60" s="43">
        <v>10</v>
      </c>
      <c r="B60" s="2">
        <v>5.5816961235704954E-2</v>
      </c>
      <c r="C60" s="2">
        <v>21.686340134798368</v>
      </c>
      <c r="D60" s="2"/>
      <c r="E60" s="2">
        <v>0.53</v>
      </c>
      <c r="F60" s="2">
        <v>6.5075487910803975E-2</v>
      </c>
      <c r="G60" s="2">
        <v>12.278393945434711</v>
      </c>
      <c r="H60" s="5"/>
      <c r="I60" s="30">
        <v>3.7862160769303602E-8</v>
      </c>
      <c r="J60" s="2">
        <v>-4.4408083649873973</v>
      </c>
      <c r="K60" s="2">
        <v>10.197034133151314</v>
      </c>
      <c r="L60" s="5"/>
    </row>
    <row r="61" spans="1:12" ht="15.4" x14ac:dyDescent="0.4">
      <c r="A61" s="43">
        <v>10</v>
      </c>
      <c r="B61" s="2">
        <v>-0.9867843688349005</v>
      </c>
      <c r="C61" s="2">
        <v>3.1811230458894277</v>
      </c>
      <c r="D61" s="2"/>
      <c r="E61" s="2">
        <v>0.53300000000000003</v>
      </c>
      <c r="F61" s="2">
        <v>2.6601673538431014E-2</v>
      </c>
      <c r="G61" s="2">
        <v>4.9909331216568509</v>
      </c>
      <c r="H61" s="5"/>
      <c r="I61" s="30">
        <v>3.7862160769303602E-8</v>
      </c>
      <c r="J61" s="2">
        <v>-6.5408455473026947</v>
      </c>
      <c r="K61" s="2">
        <v>13.573034960163302</v>
      </c>
      <c r="L61" s="5"/>
    </row>
    <row r="62" spans="1:12" ht="15.4" x14ac:dyDescent="0.4">
      <c r="A62" s="43">
        <v>10</v>
      </c>
      <c r="B62" s="2">
        <v>9.5108994708994643E-2</v>
      </c>
      <c r="C62" s="2">
        <v>38.773943054357169</v>
      </c>
      <c r="D62" s="2"/>
      <c r="E62" s="2">
        <v>0.53600000000000003</v>
      </c>
      <c r="F62" s="2">
        <v>4.5715401548453993E-2</v>
      </c>
      <c r="G62" s="2">
        <v>8.528992826204103</v>
      </c>
      <c r="H62" s="5"/>
      <c r="I62" s="30">
        <v>3.7862160769303602E-8</v>
      </c>
      <c r="J62" s="2">
        <v>-12.707956754775104</v>
      </c>
      <c r="K62" s="2">
        <v>22.337768948453338</v>
      </c>
      <c r="L62" s="5"/>
    </row>
    <row r="63" spans="1:12" ht="15.4" x14ac:dyDescent="0.4">
      <c r="A63" s="43">
        <v>10</v>
      </c>
      <c r="B63" s="2">
        <v>0.75072220284739899</v>
      </c>
      <c r="C63" s="2">
        <v>2.1603516628702129</v>
      </c>
      <c r="D63" s="2"/>
      <c r="E63" s="2">
        <v>0.55000000000000004</v>
      </c>
      <c r="F63" s="2">
        <v>5.072503117531435E-2</v>
      </c>
      <c r="G63" s="2">
        <v>9.222732940966246</v>
      </c>
      <c r="H63" s="5"/>
      <c r="I63" s="30">
        <v>5.3957867425862199E-8</v>
      </c>
      <c r="J63" s="2">
        <v>-0.10429266883030053</v>
      </c>
      <c r="K63" s="2">
        <v>0.66008018247025646</v>
      </c>
      <c r="L63" s="5"/>
    </row>
    <row r="64" spans="1:12" ht="15.4" x14ac:dyDescent="0.4">
      <c r="A64" s="43">
        <v>10.112359550561797</v>
      </c>
      <c r="B64" s="2">
        <v>5.2200000000000024E-2</v>
      </c>
      <c r="C64" s="2">
        <v>17.755102040816336</v>
      </c>
      <c r="D64" s="2"/>
      <c r="E64" s="2">
        <v>0.56200000000000006</v>
      </c>
      <c r="F64" s="2">
        <v>0.26029999999999998</v>
      </c>
      <c r="G64" s="2">
        <v>46.316725978647675</v>
      </c>
      <c r="H64" s="5"/>
      <c r="I64" s="30">
        <v>5.3957867425862199E-8</v>
      </c>
      <c r="J64" s="2">
        <v>-0.13322458099479917</v>
      </c>
      <c r="K64" s="2">
        <v>0.79775198200478548</v>
      </c>
      <c r="L64" s="5"/>
    </row>
    <row r="65" spans="1:12" ht="15.4" x14ac:dyDescent="0.4">
      <c r="A65" s="43">
        <v>10.911</v>
      </c>
      <c r="B65" s="2">
        <v>-0.11109809999999998</v>
      </c>
      <c r="C65" s="2">
        <v>17.730360178238648</v>
      </c>
      <c r="D65" s="2"/>
      <c r="E65" s="2">
        <v>0.56599999999999995</v>
      </c>
      <c r="F65" s="2">
        <v>1.4000000000000012E-2</v>
      </c>
      <c r="G65" s="2">
        <v>2.4734982332155502</v>
      </c>
      <c r="H65" s="5"/>
      <c r="I65" s="30">
        <v>5.3957867425862199E-8</v>
      </c>
      <c r="J65" s="2">
        <v>-0.67542737830629918</v>
      </c>
      <c r="K65" s="2">
        <v>3.4320496865157479</v>
      </c>
      <c r="L65" s="5"/>
    </row>
    <row r="66" spans="1:12" ht="15.4" x14ac:dyDescent="0.4">
      <c r="A66" s="43">
        <v>11.322248614410135</v>
      </c>
      <c r="B66" s="2">
        <v>-2.3519168875578977E-2</v>
      </c>
      <c r="C66" s="2">
        <v>8.3106603800632435</v>
      </c>
      <c r="D66" s="2"/>
      <c r="E66" s="2">
        <v>0.57599999999999996</v>
      </c>
      <c r="F66" s="2">
        <v>-4.2374878835418905E-2</v>
      </c>
      <c r="G66" s="2">
        <v>7.356749797815783</v>
      </c>
      <c r="H66" s="5"/>
      <c r="I66" s="30">
        <v>5.3957867425862199E-8</v>
      </c>
      <c r="J66" s="2">
        <v>-2.8995175182497981</v>
      </c>
      <c r="K66" s="2">
        <v>14.304477149727667</v>
      </c>
      <c r="L66" s="5"/>
    </row>
    <row r="67" spans="1:12" ht="15.4" x14ac:dyDescent="0.4">
      <c r="A67" s="43">
        <v>12</v>
      </c>
      <c r="B67" s="2">
        <v>-3.4867935891940038E-2</v>
      </c>
      <c r="C67" s="2">
        <v>6.7704729887262216</v>
      </c>
      <c r="D67" s="2"/>
      <c r="E67" s="2">
        <v>0.61596958174904948</v>
      </c>
      <c r="F67" s="2">
        <v>0.11503041825095051</v>
      </c>
      <c r="G67" s="2">
        <v>18.674691358024678</v>
      </c>
      <c r="H67" s="5"/>
      <c r="I67" s="30">
        <v>5.3957867425862199E-8</v>
      </c>
      <c r="J67" s="2">
        <v>-2.1566066339280994</v>
      </c>
      <c r="K67" s="2">
        <v>10.602785810855945</v>
      </c>
      <c r="L67" s="5"/>
    </row>
    <row r="68" spans="1:12" ht="15.4" x14ac:dyDescent="0.4">
      <c r="A68" s="43">
        <v>12.195121951219512</v>
      </c>
      <c r="B68" s="2">
        <v>1.8399999999999972E-2</v>
      </c>
      <c r="C68" s="2">
        <v>5.6965944272445732</v>
      </c>
      <c r="D68" s="2"/>
      <c r="E68" s="2">
        <v>0.61719190000000002</v>
      </c>
      <c r="F68" s="2">
        <v>-7.1391900000000064E-2</v>
      </c>
      <c r="G68" s="2">
        <v>11.567212725896121</v>
      </c>
      <c r="H68" s="5"/>
      <c r="I68" s="30">
        <v>5.3957867425862199E-8</v>
      </c>
      <c r="J68" s="2">
        <v>-2.7664003781312019</v>
      </c>
      <c r="K68" s="2">
        <v>12.240709637748679</v>
      </c>
      <c r="L68" s="5"/>
    </row>
    <row r="69" spans="1:12" ht="15.4" x14ac:dyDescent="0.4">
      <c r="A69" s="43">
        <v>12.269938650306749</v>
      </c>
      <c r="B69" s="2">
        <v>5.6899999999999951E-2</v>
      </c>
      <c r="C69" s="2">
        <v>16.735294117647044</v>
      </c>
      <c r="D69" s="2"/>
      <c r="E69" s="2">
        <v>0.621</v>
      </c>
      <c r="F69" s="2">
        <v>-0.20090000000000002</v>
      </c>
      <c r="G69" s="2">
        <v>32.351046698872786</v>
      </c>
      <c r="H69" s="5"/>
      <c r="I69" s="30">
        <v>5.7024127449739402E-8</v>
      </c>
      <c r="J69" s="2">
        <v>-0.51039999999999708</v>
      </c>
      <c r="K69" s="2">
        <v>0.89344636783592557</v>
      </c>
      <c r="L69" s="5"/>
    </row>
    <row r="70" spans="1:12" ht="15.4" x14ac:dyDescent="0.4">
      <c r="A70" s="43">
        <v>12.306721363206059</v>
      </c>
      <c r="B70" s="2">
        <v>-4.0693847555498985E-2</v>
      </c>
      <c r="C70" s="2">
        <v>5.6052131619144605</v>
      </c>
      <c r="D70" s="2"/>
      <c r="E70" s="2">
        <v>0.62338340000000003</v>
      </c>
      <c r="F70" s="2">
        <v>-9.4683400000000084E-2</v>
      </c>
      <c r="G70" s="2">
        <v>15.188630303598089</v>
      </c>
      <c r="H70" s="5"/>
      <c r="I70" s="30">
        <v>5.7024127449739402E-8</v>
      </c>
      <c r="J70" s="2">
        <v>-1.9307000000000016</v>
      </c>
      <c r="K70" s="2">
        <v>3.1897159869087357</v>
      </c>
      <c r="L70" s="5"/>
    </row>
    <row r="71" spans="1:12" ht="15.4" x14ac:dyDescent="0.4">
      <c r="A71" s="43">
        <v>12.306721363206059</v>
      </c>
      <c r="B71" s="2">
        <v>8.310222302259973E-3</v>
      </c>
      <c r="C71" s="2">
        <v>1.0234263919039375</v>
      </c>
      <c r="D71" s="2"/>
      <c r="E71" s="2">
        <v>0.62659809999999994</v>
      </c>
      <c r="F71" s="2">
        <v>-0.11109809999999998</v>
      </c>
      <c r="G71" s="2">
        <v>17.730360178238648</v>
      </c>
      <c r="H71" s="5"/>
      <c r="I71" s="30">
        <v>5.7024127449739402E-8</v>
      </c>
      <c r="J71" s="2">
        <v>-3.9883999999999986</v>
      </c>
      <c r="K71" s="2">
        <v>6.2166539114387094</v>
      </c>
      <c r="L71" s="5"/>
    </row>
    <row r="72" spans="1:12" ht="15.4" x14ac:dyDescent="0.4">
      <c r="A72" s="43">
        <v>12.306721363206059</v>
      </c>
      <c r="B72" s="2">
        <v>-2.6409378718818988E-2</v>
      </c>
      <c r="C72" s="2">
        <v>3.2364434704435037</v>
      </c>
      <c r="D72" s="2"/>
      <c r="E72" s="2">
        <v>0.63800000000000001</v>
      </c>
      <c r="F72" s="2">
        <v>0.14721543868686404</v>
      </c>
      <c r="G72" s="2">
        <v>23.074520170354866</v>
      </c>
      <c r="H72" s="5"/>
      <c r="I72" s="30">
        <v>5.7024127449739402E-8</v>
      </c>
      <c r="J72" s="2">
        <v>-5.7203000000000017</v>
      </c>
      <c r="K72" s="2">
        <v>8.3853358136207667</v>
      </c>
      <c r="L72" s="5"/>
    </row>
    <row r="73" spans="1:12" ht="15.4" x14ac:dyDescent="0.4">
      <c r="A73" s="43">
        <v>12.5</v>
      </c>
      <c r="B73" s="2">
        <v>0.57010000000000005</v>
      </c>
      <c r="C73" s="2">
        <v>1.9820533948009775</v>
      </c>
      <c r="D73" s="2"/>
      <c r="E73" s="2">
        <v>0.64002420000000004</v>
      </c>
      <c r="F73" s="2">
        <v>-0.15732420000000003</v>
      </c>
      <c r="G73" s="2">
        <v>24.580976781815441</v>
      </c>
      <c r="H73" s="5"/>
      <c r="I73" s="30">
        <v>7.5122441119165003E-8</v>
      </c>
      <c r="J73" s="2">
        <v>7.9950971956306849E-3</v>
      </c>
      <c r="K73" s="2">
        <v>4.2302101564183525</v>
      </c>
      <c r="L73" s="5"/>
    </row>
    <row r="74" spans="1:12" ht="15.4" x14ac:dyDescent="0.4">
      <c r="A74" s="43">
        <v>14.285714285714288</v>
      </c>
      <c r="B74" s="2">
        <v>4.7800000000000065E-2</v>
      </c>
      <c r="C74" s="2">
        <v>6.8481375358166288</v>
      </c>
      <c r="D74" s="2"/>
      <c r="E74" s="2">
        <v>0.67452830188679236</v>
      </c>
      <c r="F74" s="2">
        <v>-0.29092830188679236</v>
      </c>
      <c r="G74" s="2">
        <v>43.130629370629364</v>
      </c>
      <c r="H74" s="5"/>
      <c r="I74" s="30">
        <v>7.5122441119165003E-8</v>
      </c>
      <c r="J74" s="2">
        <v>1.4939475408104752E-3</v>
      </c>
      <c r="K74" s="2">
        <v>0.73232722588748789</v>
      </c>
      <c r="L74" s="5"/>
    </row>
    <row r="75" spans="1:12" ht="15.4" x14ac:dyDescent="0.4">
      <c r="A75" s="43">
        <v>15</v>
      </c>
      <c r="B75" s="2">
        <v>-1.2499999999999289E-2</v>
      </c>
      <c r="C75" s="2">
        <v>4.1495428863554035E-2</v>
      </c>
      <c r="D75" s="2"/>
      <c r="E75" s="2">
        <v>0.68100000000000005</v>
      </c>
      <c r="F75" s="2">
        <v>-0.1150000000000001</v>
      </c>
      <c r="G75" s="2">
        <v>16.886930983847297</v>
      </c>
      <c r="H75" s="5"/>
      <c r="I75" s="30">
        <v>7.5122441119165003E-8</v>
      </c>
      <c r="J75" s="2">
        <v>2.320089640900358E-5</v>
      </c>
      <c r="K75" s="2">
        <v>1.0791114608838874E-2</v>
      </c>
      <c r="L75" s="5"/>
    </row>
    <row r="76" spans="1:12" ht="15.4" x14ac:dyDescent="0.4">
      <c r="A76" s="43">
        <v>15</v>
      </c>
      <c r="B76" s="2">
        <v>2.0022942817841116E-3</v>
      </c>
      <c r="C76" s="2">
        <v>0.57208408050974624</v>
      </c>
      <c r="D76" s="2"/>
      <c r="E76" s="2">
        <v>0.69799999999999995</v>
      </c>
      <c r="F76" s="2">
        <v>4.7800000000000065E-2</v>
      </c>
      <c r="G76" s="2">
        <v>6.8481375358166288</v>
      </c>
      <c r="H76" s="5"/>
      <c r="I76" s="30">
        <v>7.5122441119165003E-8</v>
      </c>
      <c r="J76" s="2">
        <v>-5.4397110815090632E-3</v>
      </c>
      <c r="K76" s="2">
        <v>2.396348494056856</v>
      </c>
      <c r="L76" s="5"/>
    </row>
    <row r="77" spans="1:12" ht="15.4" x14ac:dyDescent="0.4">
      <c r="A77" s="43">
        <v>15</v>
      </c>
      <c r="B77" s="2">
        <v>-2.1851526103892027</v>
      </c>
      <c r="C77" s="2">
        <v>6.4363847139593586</v>
      </c>
      <c r="D77" s="2"/>
      <c r="E77" s="2">
        <v>0.72599999999999998</v>
      </c>
      <c r="F77" s="2">
        <v>-4.0693847555498985E-2</v>
      </c>
      <c r="G77" s="2">
        <v>5.6052131619144605</v>
      </c>
      <c r="H77" s="5"/>
      <c r="I77" s="30">
        <v>7.5122441119165003E-8</v>
      </c>
      <c r="J77" s="2">
        <v>8.548251813557145E-3</v>
      </c>
      <c r="K77" s="2">
        <v>3.6530990656227114</v>
      </c>
      <c r="L77" s="5"/>
    </row>
    <row r="78" spans="1:12" ht="15.4" x14ac:dyDescent="0.4">
      <c r="A78" s="43">
        <v>15.337423312883436</v>
      </c>
      <c r="B78" s="2">
        <v>7.6200000000000045E-2</v>
      </c>
      <c r="C78" s="2">
        <v>21.771428571428586</v>
      </c>
      <c r="D78" s="2"/>
      <c r="E78" s="2">
        <v>0.74199999999999999</v>
      </c>
      <c r="F78" s="2">
        <v>0.26457635911615984</v>
      </c>
      <c r="G78" s="2">
        <v>35.657191255547147</v>
      </c>
      <c r="H78" s="5"/>
      <c r="I78" s="30">
        <v>7.5122441119165003E-8</v>
      </c>
      <c r="J78" s="2">
        <v>-2.3519168875578977E-2</v>
      </c>
      <c r="K78" s="2">
        <v>8.3106603800632435</v>
      </c>
      <c r="L78" s="5"/>
    </row>
    <row r="79" spans="1:12" ht="15.4" x14ac:dyDescent="0.4">
      <c r="A79" s="43">
        <v>15.789473684210526</v>
      </c>
      <c r="B79" s="2">
        <v>-6.6899999999999959E-2</v>
      </c>
      <c r="C79" s="2">
        <v>14.113924050632903</v>
      </c>
      <c r="D79" s="2"/>
      <c r="E79" s="2">
        <v>0.749</v>
      </c>
      <c r="F79" s="2">
        <v>5.3999999999999604E-3</v>
      </c>
      <c r="G79" s="2">
        <v>0.72096128170893992</v>
      </c>
      <c r="H79" s="5"/>
      <c r="I79" s="30">
        <v>7.5122441119165003E-8</v>
      </c>
      <c r="J79" s="2">
        <v>-3.7773147276706831E-2</v>
      </c>
      <c r="K79" s="2">
        <v>9.101963199206466</v>
      </c>
      <c r="L79" s="5"/>
    </row>
    <row r="80" spans="1:12" ht="15.4" x14ac:dyDescent="0.4">
      <c r="A80" s="43">
        <v>16</v>
      </c>
      <c r="B80" s="2">
        <v>0.32064474430343815</v>
      </c>
      <c r="C80" s="2">
        <v>13.586641707772804</v>
      </c>
      <c r="D80" s="2"/>
      <c r="E80" s="2">
        <v>0.75</v>
      </c>
      <c r="F80" s="2">
        <v>0.36309999999999998</v>
      </c>
      <c r="G80" s="2">
        <v>48.413333333333327</v>
      </c>
      <c r="H80" s="5"/>
      <c r="I80" s="30">
        <v>7.5122441119165003E-8</v>
      </c>
      <c r="J80" s="2">
        <v>5.072503117531435E-2</v>
      </c>
      <c r="K80" s="2">
        <v>9.222732940966246</v>
      </c>
      <c r="L80" s="5"/>
    </row>
    <row r="81" spans="1:12" ht="15.4" x14ac:dyDescent="0.4">
      <c r="A81" s="43">
        <v>16.404</v>
      </c>
      <c r="B81" s="2">
        <v>-0.15732420000000003</v>
      </c>
      <c r="C81" s="2">
        <v>24.580976781815441</v>
      </c>
      <c r="D81" s="2"/>
      <c r="E81" s="2">
        <v>0.77100000000000002</v>
      </c>
      <c r="F81" s="2">
        <v>0.43583442384654913</v>
      </c>
      <c r="G81" s="2">
        <v>56.528459642872775</v>
      </c>
      <c r="H81" s="5"/>
      <c r="I81" s="30">
        <v>7.5122441119165003E-8</v>
      </c>
      <c r="J81" s="2">
        <v>0.14022069597864206</v>
      </c>
      <c r="K81" s="2">
        <v>16.914438598147417</v>
      </c>
      <c r="L81" s="5"/>
    </row>
    <row r="82" spans="1:12" ht="15.4" x14ac:dyDescent="0.4">
      <c r="A82" s="43">
        <v>17.7</v>
      </c>
      <c r="B82" s="2">
        <v>0.79350350391711988</v>
      </c>
      <c r="C82" s="2">
        <v>25.031656274988006</v>
      </c>
      <c r="D82" s="2"/>
      <c r="E82" s="2">
        <v>0.79755054814814796</v>
      </c>
      <c r="F82" s="2">
        <v>1.7494518518520463E-3</v>
      </c>
      <c r="G82" s="2">
        <v>0.21935310005292344</v>
      </c>
      <c r="H82" s="5"/>
      <c r="I82" s="30">
        <v>7.5122441119165003E-8</v>
      </c>
      <c r="J82" s="2">
        <v>0.40310829442201013</v>
      </c>
      <c r="K82" s="2">
        <v>42.975297912794261</v>
      </c>
      <c r="L82" s="5"/>
    </row>
    <row r="83" spans="1:12" ht="15.4" x14ac:dyDescent="0.4">
      <c r="A83" s="43">
        <v>17.723032767280557</v>
      </c>
      <c r="B83" s="2">
        <v>-3.7773147276706831E-2</v>
      </c>
      <c r="C83" s="2">
        <v>9.101963199206466</v>
      </c>
      <c r="D83" s="2"/>
      <c r="E83" s="2">
        <v>0.80104712041884818</v>
      </c>
      <c r="F83" s="2">
        <v>-0.2484471204188482</v>
      </c>
      <c r="G83" s="2">
        <v>31.015294117647063</v>
      </c>
      <c r="H83" s="5"/>
      <c r="I83" s="30">
        <v>7.5122441119165003E-8</v>
      </c>
      <c r="J83" s="2">
        <v>0.29510604417618014</v>
      </c>
      <c r="K83" s="2">
        <v>25.931989822159945</v>
      </c>
      <c r="L83" s="5"/>
    </row>
    <row r="84" spans="1:12" ht="15.4" x14ac:dyDescent="0.4">
      <c r="A84" s="43">
        <v>17.918676774638183</v>
      </c>
      <c r="B84" s="2">
        <v>-0.10535657840233703</v>
      </c>
      <c r="C84" s="2">
        <v>11.501809869250767</v>
      </c>
      <c r="D84" s="2"/>
      <c r="E84" s="2">
        <v>0.81200000000000006</v>
      </c>
      <c r="F84" s="2">
        <v>8.310222302259973E-3</v>
      </c>
      <c r="G84" s="2">
        <v>1.0234263919039375</v>
      </c>
      <c r="H84" s="5"/>
      <c r="I84" s="30">
        <v>7.5122441119165003E-8</v>
      </c>
      <c r="J84" s="2">
        <v>4.1179533981479999E-2</v>
      </c>
      <c r="K84" s="2">
        <v>2.8537445586611221</v>
      </c>
      <c r="L84" s="5"/>
    </row>
    <row r="85" spans="1:12" ht="15.4" x14ac:dyDescent="0.4">
      <c r="A85" s="43">
        <v>17.918676774638183</v>
      </c>
      <c r="B85" s="2">
        <v>-2.9127053479169884E-2</v>
      </c>
      <c r="C85" s="2">
        <v>2.7713656973520346</v>
      </c>
      <c r="D85" s="2"/>
      <c r="E85" s="2">
        <v>0.81599999999999995</v>
      </c>
      <c r="F85" s="2">
        <v>-2.6409378718818988E-2</v>
      </c>
      <c r="G85" s="2">
        <v>3.2364434704435037</v>
      </c>
      <c r="H85" s="5"/>
      <c r="I85" s="30">
        <v>7.5122441119165003E-8</v>
      </c>
      <c r="J85" s="2">
        <v>6.6383027862200183E-3</v>
      </c>
      <c r="K85" s="2">
        <v>0.4338759990993476</v>
      </c>
      <c r="L85" s="5"/>
    </row>
    <row r="86" spans="1:12" ht="15.4" x14ac:dyDescent="0.4">
      <c r="A86" s="43">
        <v>17.918676774638183</v>
      </c>
      <c r="B86" s="2">
        <v>-0.10661787999537597</v>
      </c>
      <c r="C86" s="2">
        <v>9.8811751617586641</v>
      </c>
      <c r="D86" s="2"/>
      <c r="E86" s="2">
        <v>0.82899999999999996</v>
      </c>
      <c r="F86" s="2">
        <v>0.14022069597864206</v>
      </c>
      <c r="G86" s="2">
        <v>16.914438598147417</v>
      </c>
      <c r="H86" s="5"/>
      <c r="I86" s="30">
        <v>9.2509870276379999E-8</v>
      </c>
      <c r="J86" s="2">
        <v>-1.9057333333333304</v>
      </c>
      <c r="K86" s="2">
        <v>36.837628865979347</v>
      </c>
      <c r="L86" s="5"/>
    </row>
    <row r="87" spans="1:12" ht="15.4" x14ac:dyDescent="0.4">
      <c r="A87" s="43">
        <v>18.404907975460123</v>
      </c>
      <c r="B87" s="2">
        <v>7.8600000000000003E-2</v>
      </c>
      <c r="C87" s="2">
        <v>21.833333333333336</v>
      </c>
      <c r="D87" s="2"/>
      <c r="E87" s="2">
        <v>0.83</v>
      </c>
      <c r="F87" s="2">
        <v>3.2895851896808104E-4</v>
      </c>
      <c r="G87" s="2">
        <v>3.9633556502178438E-2</v>
      </c>
      <c r="H87" s="5"/>
      <c r="I87" s="30">
        <v>9.2509870276379999E-8</v>
      </c>
      <c r="J87" s="2">
        <v>-0.57870000000000044</v>
      </c>
      <c r="K87" s="2">
        <v>9.7753378378378439</v>
      </c>
      <c r="L87" s="5"/>
    </row>
    <row r="88" spans="1:12" ht="15.4" x14ac:dyDescent="0.4">
      <c r="A88" s="43">
        <v>19.230769230769234</v>
      </c>
      <c r="B88" s="2">
        <v>-2.6200000000000001E-2</v>
      </c>
      <c r="C88" s="2">
        <v>6.5336658354114716</v>
      </c>
      <c r="D88" s="2"/>
      <c r="E88" s="2">
        <v>0.84</v>
      </c>
      <c r="F88" s="2">
        <v>0.32579999999999998</v>
      </c>
      <c r="G88" s="2">
        <v>38.785714285714285</v>
      </c>
      <c r="H88" s="5"/>
      <c r="I88" s="31">
        <v>9.2509870276379999E-8</v>
      </c>
      <c r="J88" s="2">
        <v>2.3136666666666672</v>
      </c>
      <c r="K88" s="2">
        <v>31.209532374100728</v>
      </c>
      <c r="L88" s="5"/>
    </row>
    <row r="89" spans="1:12" ht="15.4" x14ac:dyDescent="0.4">
      <c r="A89" s="43">
        <v>19.5</v>
      </c>
      <c r="B89" s="2">
        <v>6.2200000000000005E-2</v>
      </c>
      <c r="C89" s="2">
        <v>29.619047619047624</v>
      </c>
      <c r="D89" s="2"/>
      <c r="E89" s="2">
        <v>0.85</v>
      </c>
      <c r="F89" s="2">
        <v>-0.30671765703945997</v>
      </c>
      <c r="G89" s="2">
        <v>36.084430239936466</v>
      </c>
      <c r="H89" s="5"/>
      <c r="I89" s="31">
        <v>9.2509870276379999E-8</v>
      </c>
      <c r="J89" s="2">
        <v>3.483533333333332</v>
      </c>
      <c r="K89" s="2">
        <v>42.971217105263136</v>
      </c>
      <c r="L89" s="5"/>
    </row>
    <row r="90" spans="1:12" ht="15.4" x14ac:dyDescent="0.4">
      <c r="A90" s="43">
        <v>19.704433497536947</v>
      </c>
      <c r="B90" s="2">
        <v>-0.82179611324262747</v>
      </c>
      <c r="C90" s="2">
        <v>42.404340208597908</v>
      </c>
      <c r="D90" s="2"/>
      <c r="E90" s="2">
        <v>0.86274509803921573</v>
      </c>
      <c r="F90" s="2">
        <v>-0.45704509803921572</v>
      </c>
      <c r="G90" s="2">
        <v>52.975681818181819</v>
      </c>
      <c r="H90" s="5"/>
      <c r="I90" s="31">
        <v>9.2509870276379999E-8</v>
      </c>
      <c r="J90" s="2">
        <v>0.13223333333333365</v>
      </c>
      <c r="K90" s="2">
        <v>1.0245351239669445</v>
      </c>
      <c r="L90" s="5"/>
    </row>
    <row r="91" spans="1:12" ht="15.4" x14ac:dyDescent="0.4">
      <c r="A91" s="43">
        <v>20</v>
      </c>
      <c r="B91" s="2">
        <v>0.20338435200120758</v>
      </c>
      <c r="C91" s="2">
        <v>44.504234573568397</v>
      </c>
      <c r="D91" s="2"/>
      <c r="E91" s="2">
        <v>0.8727272727272728</v>
      </c>
      <c r="F91" s="2">
        <v>-7.5627272727272765E-2</v>
      </c>
      <c r="G91" s="2">
        <v>8.6656250000000039</v>
      </c>
      <c r="H91" s="5"/>
      <c r="I91" s="31">
        <v>1.16265344045781E-7</v>
      </c>
      <c r="J91" s="2">
        <v>-0.31079332708699781</v>
      </c>
      <c r="K91" s="2">
        <v>0.73928003588724511</v>
      </c>
      <c r="L91" s="5"/>
    </row>
    <row r="92" spans="1:12" ht="15.4" x14ac:dyDescent="0.4">
      <c r="A92" s="43">
        <v>20</v>
      </c>
      <c r="B92" s="2">
        <v>1.7199999999999993E-2</v>
      </c>
      <c r="C92" s="2">
        <v>7.8181818181818148</v>
      </c>
      <c r="D92" s="2"/>
      <c r="E92" s="2">
        <v>0.89</v>
      </c>
      <c r="F92" s="2">
        <v>7.0400266234693643E-4</v>
      </c>
      <c r="G92" s="2">
        <v>7.9101422735610841E-2</v>
      </c>
      <c r="H92" s="5"/>
      <c r="I92" s="31">
        <v>1.16265344045781E-7</v>
      </c>
      <c r="J92" s="2">
        <v>-22.56684182363901</v>
      </c>
      <c r="K92" s="2">
        <v>21.837470315114192</v>
      </c>
      <c r="L92" s="5"/>
    </row>
    <row r="93" spans="1:12" ht="15.4" x14ac:dyDescent="0.4">
      <c r="A93" s="43">
        <v>20</v>
      </c>
      <c r="B93" s="2">
        <v>0.5517000000000003</v>
      </c>
      <c r="C93" s="2">
        <v>1.7638539425348738</v>
      </c>
      <c r="D93" s="2"/>
      <c r="E93" s="2">
        <v>0.89</v>
      </c>
      <c r="F93" s="2">
        <v>-8.1956240720404416E-4</v>
      </c>
      <c r="G93" s="2">
        <v>9.2085663730791467E-2</v>
      </c>
      <c r="H93" s="5"/>
      <c r="I93" s="30">
        <v>1.16265344045781E-7</v>
      </c>
      <c r="J93" s="2">
        <v>-0.67910140380499229</v>
      </c>
      <c r="K93" s="2">
        <v>0.52311000139038077</v>
      </c>
      <c r="L93" s="5"/>
    </row>
    <row r="94" spans="1:12" ht="15.4" x14ac:dyDescent="0.4">
      <c r="A94" s="43">
        <v>20</v>
      </c>
      <c r="B94" s="2">
        <v>0.14450236686390538</v>
      </c>
      <c r="C94" s="2">
        <v>42.930297969587791</v>
      </c>
      <c r="D94" s="2"/>
      <c r="E94" s="2">
        <v>0.90529599999999999</v>
      </c>
      <c r="F94" s="2">
        <v>-7.6196000000000041E-2</v>
      </c>
      <c r="G94" s="2">
        <v>8.4166946501475817</v>
      </c>
      <c r="H94" s="5"/>
      <c r="I94" s="30">
        <v>1.16265344045781E-7</v>
      </c>
      <c r="J94" s="2">
        <v>79.241201390573991</v>
      </c>
      <c r="K94" s="2">
        <v>51.041031491513031</v>
      </c>
      <c r="L94" s="5"/>
    </row>
    <row r="95" spans="1:12" ht="15.4" x14ac:dyDescent="0.4">
      <c r="A95" s="43">
        <v>20</v>
      </c>
      <c r="B95" s="2">
        <v>2.4900000000000033E-2</v>
      </c>
      <c r="C95" s="2">
        <v>4.9899799599198467</v>
      </c>
      <c r="D95" s="2"/>
      <c r="E95" s="2">
        <v>0.91600000000000004</v>
      </c>
      <c r="F95" s="2">
        <v>-0.10535657840233703</v>
      </c>
      <c r="G95" s="2">
        <v>11.501809869250767</v>
      </c>
      <c r="H95" s="5"/>
      <c r="I95" s="30">
        <v>1.16265344045781E-7</v>
      </c>
      <c r="J95" s="2">
        <v>84.19577012511499</v>
      </c>
      <c r="K95" s="2">
        <v>35.391244272852035</v>
      </c>
      <c r="L95" s="5"/>
    </row>
    <row r="96" spans="1:12" ht="15.4" x14ac:dyDescent="0.4">
      <c r="A96" s="43">
        <v>20</v>
      </c>
      <c r="B96" s="2">
        <v>3.2895851896808104E-4</v>
      </c>
      <c r="C96" s="2">
        <v>3.9633556502178438E-2</v>
      </c>
      <c r="D96" s="2"/>
      <c r="E96" s="2">
        <v>0.93799999999999994</v>
      </c>
      <c r="F96" s="2">
        <v>0.40310829442201013</v>
      </c>
      <c r="G96" s="2">
        <v>42.975297912794261</v>
      </c>
      <c r="H96" s="5"/>
      <c r="I96" s="30">
        <v>1.2036325508974701E-7</v>
      </c>
      <c r="J96" s="2">
        <v>-0.52309999999999945</v>
      </c>
      <c r="K96" s="2">
        <v>0.78804925044177987</v>
      </c>
      <c r="L96" s="5"/>
    </row>
    <row r="97" spans="1:12" ht="15.4" x14ac:dyDescent="0.4">
      <c r="A97" s="43">
        <v>20</v>
      </c>
      <c r="B97" s="2">
        <v>7.0400266234693643E-4</v>
      </c>
      <c r="C97" s="2">
        <v>7.9101422735610841E-2</v>
      </c>
      <c r="D97" s="2"/>
      <c r="E97" s="2">
        <v>0.94</v>
      </c>
      <c r="F97" s="2">
        <v>-1.6155155672679111E-3</v>
      </c>
      <c r="G97" s="2">
        <v>0.17186335821999055</v>
      </c>
      <c r="H97" s="5"/>
      <c r="I97" s="30">
        <v>1.2036325508974701E-7</v>
      </c>
      <c r="J97" s="2">
        <v>-1.88900000000001</v>
      </c>
      <c r="K97" s="2">
        <v>2.6994738241069296</v>
      </c>
      <c r="L97" s="5"/>
    </row>
    <row r="98" spans="1:12" ht="15.4" x14ac:dyDescent="0.4">
      <c r="A98" s="43">
        <v>20</v>
      </c>
      <c r="B98" s="2">
        <v>-1.6155155672679111E-3</v>
      </c>
      <c r="C98" s="2">
        <v>0.17186335821999055</v>
      </c>
      <c r="D98" s="2"/>
      <c r="E98" s="2">
        <v>0.95</v>
      </c>
      <c r="F98" s="2">
        <v>-1.8199999999999994E-2</v>
      </c>
      <c r="G98" s="2">
        <v>1.91578947368421</v>
      </c>
      <c r="H98" s="5"/>
      <c r="I98" s="30">
        <v>1.2036325508974701E-7</v>
      </c>
      <c r="J98" s="2">
        <v>-3.992999999999995</v>
      </c>
      <c r="K98" s="2">
        <v>5.375034157648817</v>
      </c>
      <c r="L98" s="5"/>
    </row>
    <row r="99" spans="1:12" ht="15.4" x14ac:dyDescent="0.4">
      <c r="A99" s="43">
        <v>20</v>
      </c>
      <c r="B99" s="2">
        <v>2.3136666666666672</v>
      </c>
      <c r="C99" s="2">
        <v>31.209532374100728</v>
      </c>
      <c r="D99" s="2"/>
      <c r="E99" s="2">
        <v>1.0081315244239633</v>
      </c>
      <c r="F99" s="2">
        <v>-0.15093152442396329</v>
      </c>
      <c r="G99" s="2">
        <v>14.971412039734014</v>
      </c>
      <c r="H99" s="5"/>
      <c r="I99" s="30">
        <v>1.2036325508974701E-7</v>
      </c>
      <c r="J99" s="2">
        <v>-5.9846000000000004</v>
      </c>
      <c r="K99" s="2">
        <v>7.6273087373889288</v>
      </c>
      <c r="L99" s="5"/>
    </row>
    <row r="100" spans="1:12" ht="15.4" x14ac:dyDescent="0.4">
      <c r="A100" s="43">
        <v>20</v>
      </c>
      <c r="B100" s="2">
        <v>-0.11999999999999744</v>
      </c>
      <c r="C100" s="2">
        <v>0.33132056092570261</v>
      </c>
      <c r="D100" s="2"/>
      <c r="E100" s="2">
        <v>1.03</v>
      </c>
      <c r="F100" s="2">
        <v>0.18084344045800993</v>
      </c>
      <c r="G100" s="2">
        <v>17.557615578447567</v>
      </c>
      <c r="H100" s="5"/>
      <c r="I100" s="30">
        <v>1.6527691763413399E-7</v>
      </c>
      <c r="J100" s="2">
        <v>13.460861792800202</v>
      </c>
      <c r="K100" s="2">
        <v>16.403682418718258</v>
      </c>
      <c r="L100" s="5"/>
    </row>
    <row r="101" spans="1:12" ht="15.4" x14ac:dyDescent="0.4">
      <c r="A101" s="43">
        <v>20</v>
      </c>
      <c r="B101" s="2">
        <v>-1.8199999999999994E-2</v>
      </c>
      <c r="C101" s="2">
        <v>1.91578947368421</v>
      </c>
      <c r="D101" s="2"/>
      <c r="E101" s="2">
        <v>1.0449999999999999</v>
      </c>
      <c r="F101" s="2">
        <v>-3.2200000000000006E-2</v>
      </c>
      <c r="G101" s="2">
        <v>3.0813397129186613</v>
      </c>
      <c r="H101" s="5"/>
      <c r="I101" s="30">
        <v>1.6527691763413399E-7</v>
      </c>
      <c r="J101" s="2">
        <v>16.402511885435999</v>
      </c>
      <c r="K101" s="2">
        <v>18.849128804224318</v>
      </c>
      <c r="L101" s="5"/>
    </row>
    <row r="102" spans="1:12" ht="15.4" x14ac:dyDescent="0.4">
      <c r="A102" s="43">
        <v>20</v>
      </c>
      <c r="B102" s="2">
        <v>7.1285714285714286E-3</v>
      </c>
      <c r="C102" s="2">
        <v>2.1054852320675104</v>
      </c>
      <c r="D102" s="2"/>
      <c r="E102" s="2">
        <v>1.0509999999999999</v>
      </c>
      <c r="F102" s="2">
        <v>-2.9127053479169884E-2</v>
      </c>
      <c r="G102" s="2">
        <v>2.7713656973520346</v>
      </c>
      <c r="H102" s="5"/>
      <c r="I102" s="30">
        <v>2.1237541528239199E-7</v>
      </c>
      <c r="J102" s="2">
        <v>3.1199999999999978E-2</v>
      </c>
      <c r="K102" s="2">
        <v>18.352941176470576</v>
      </c>
      <c r="L102" s="5"/>
    </row>
    <row r="103" spans="1:12" ht="15.4" x14ac:dyDescent="0.4">
      <c r="A103" s="43">
        <v>20</v>
      </c>
      <c r="B103" s="2">
        <v>-0.64384815224550351</v>
      </c>
      <c r="C103" s="2">
        <v>1.8517346915315025</v>
      </c>
      <c r="D103" s="2"/>
      <c r="E103" s="2">
        <v>1.056</v>
      </c>
      <c r="F103" s="2">
        <v>0.45219999999999994</v>
      </c>
      <c r="G103" s="2">
        <v>42.821969696969688</v>
      </c>
      <c r="H103" s="5"/>
      <c r="I103" s="30">
        <v>2.1237541528239199E-7</v>
      </c>
      <c r="J103" s="2">
        <v>1.7199999999999993E-2</v>
      </c>
      <c r="K103" s="2">
        <v>7.8181818181818148</v>
      </c>
      <c r="L103" s="5"/>
    </row>
    <row r="104" spans="1:12" ht="15.4" x14ac:dyDescent="0.4">
      <c r="A104" s="43">
        <v>20</v>
      </c>
      <c r="B104" s="2">
        <v>0.13299327213131362</v>
      </c>
      <c r="C104" s="2">
        <v>38.251309416933417</v>
      </c>
      <c r="D104" s="2"/>
      <c r="E104" s="2">
        <v>1.05768</v>
      </c>
      <c r="F104" s="2">
        <v>0.10472000000000015</v>
      </c>
      <c r="G104" s="2">
        <v>9.9009152106497389</v>
      </c>
      <c r="H104" s="5"/>
      <c r="I104" s="30">
        <v>2.1237541528239199E-7</v>
      </c>
      <c r="J104" s="2">
        <v>-4.6599999999999975E-2</v>
      </c>
      <c r="K104" s="2">
        <v>15.533333333333326</v>
      </c>
      <c r="L104" s="5"/>
    </row>
    <row r="105" spans="1:12" ht="15.4" x14ac:dyDescent="0.4">
      <c r="A105" s="43">
        <v>21</v>
      </c>
      <c r="B105" s="2">
        <v>2.6601673538431014E-2</v>
      </c>
      <c r="C105" s="2">
        <v>4.9909331216568509</v>
      </c>
      <c r="D105" s="2"/>
      <c r="E105" s="2">
        <v>1.0769230769230769</v>
      </c>
      <c r="F105" s="2">
        <v>-0.48952307692307684</v>
      </c>
      <c r="G105" s="2">
        <v>45.455714285714279</v>
      </c>
      <c r="H105" s="5"/>
      <c r="I105" s="30">
        <v>2.2885568268191799E-7</v>
      </c>
      <c r="J105" s="2">
        <v>-3.4867935891940038E-2</v>
      </c>
      <c r="K105" s="2">
        <v>6.7704729887262216</v>
      </c>
      <c r="L105" s="5"/>
    </row>
    <row r="106" spans="1:12" ht="15.4" x14ac:dyDescent="0.4">
      <c r="A106" s="43">
        <v>23</v>
      </c>
      <c r="B106" s="2">
        <v>-0.30671765703945997</v>
      </c>
      <c r="C106" s="2">
        <v>36.084430239936466</v>
      </c>
      <c r="D106" s="2"/>
      <c r="E106" s="2">
        <v>1.079</v>
      </c>
      <c r="F106" s="2">
        <v>-0.10661787999537597</v>
      </c>
      <c r="G106" s="2">
        <v>9.8811751617586641</v>
      </c>
      <c r="H106" s="5"/>
      <c r="I106" s="30">
        <v>2.2885568268191799E-7</v>
      </c>
      <c r="J106" s="2">
        <v>-0.30671765703945997</v>
      </c>
      <c r="K106" s="2">
        <v>36.084430239936466</v>
      </c>
      <c r="L106" s="5"/>
    </row>
    <row r="107" spans="1:12" ht="15.4" x14ac:dyDescent="0.4">
      <c r="A107" s="43">
        <v>24.667931688804558</v>
      </c>
      <c r="B107" s="2">
        <v>-0.18391435034568993</v>
      </c>
      <c r="C107" s="2">
        <v>13.838551568524448</v>
      </c>
      <c r="D107" s="2"/>
      <c r="E107" s="2">
        <v>1.0900000000000001</v>
      </c>
      <c r="F107" s="2">
        <v>0.12490000000000001</v>
      </c>
      <c r="G107" s="2">
        <v>11.458715596330276</v>
      </c>
      <c r="H107" s="5"/>
      <c r="I107" s="31">
        <v>2.2885568268191799E-7</v>
      </c>
      <c r="J107" s="2">
        <v>-0.80869179950215897</v>
      </c>
      <c r="K107" s="2">
        <v>56.551874091060071</v>
      </c>
      <c r="L107" s="5"/>
    </row>
    <row r="108" spans="1:12" ht="15.4" x14ac:dyDescent="0.4">
      <c r="A108" s="43">
        <v>24.667931688804558</v>
      </c>
      <c r="B108" s="2">
        <v>-0.43963390519038592</v>
      </c>
      <c r="C108" s="2">
        <v>33.080053061729565</v>
      </c>
      <c r="D108" s="2"/>
      <c r="E108" s="2">
        <v>1.1020000000000001</v>
      </c>
      <c r="F108" s="2">
        <v>-0.13570000000000004</v>
      </c>
      <c r="G108" s="2">
        <v>12.313974591651546</v>
      </c>
      <c r="H108" s="5"/>
      <c r="I108" s="31">
        <v>2.3250987027638001E-7</v>
      </c>
      <c r="J108" s="2">
        <v>0.36309999999999998</v>
      </c>
      <c r="K108" s="2">
        <v>48.413333333333327</v>
      </c>
      <c r="L108" s="5"/>
    </row>
    <row r="109" spans="1:12" ht="15.4" x14ac:dyDescent="0.4">
      <c r="A109" s="43">
        <v>24.667931688804558</v>
      </c>
      <c r="B109" s="2">
        <v>-0.54533101058824984</v>
      </c>
      <c r="C109" s="2">
        <v>33.455890220138031</v>
      </c>
      <c r="D109" s="2"/>
      <c r="E109" s="2">
        <v>1.1068702290076335</v>
      </c>
      <c r="F109" s="2">
        <v>-0.25007022900763354</v>
      </c>
      <c r="G109" s="2">
        <v>22.592551724137927</v>
      </c>
      <c r="H109" s="5"/>
      <c r="I109" s="31">
        <v>2.3250987027638001E-7</v>
      </c>
      <c r="J109" s="2">
        <v>0.32579999999999998</v>
      </c>
      <c r="K109" s="2">
        <v>38.785714285714285</v>
      </c>
      <c r="L109" s="5"/>
    </row>
    <row r="110" spans="1:12" ht="15.4" x14ac:dyDescent="0.4">
      <c r="A110" s="43">
        <v>24.807747080603818</v>
      </c>
      <c r="B110" s="2">
        <v>5.072503117531435E-2</v>
      </c>
      <c r="C110" s="2">
        <v>9.222732940966246</v>
      </c>
      <c r="D110" s="2"/>
      <c r="E110" s="2">
        <v>1.1379999999999999</v>
      </c>
      <c r="F110" s="2">
        <v>0.29510604417618014</v>
      </c>
      <c r="G110" s="2">
        <v>25.931989822159945</v>
      </c>
      <c r="H110" s="5"/>
      <c r="I110" s="31">
        <v>2.3250987027638001E-7</v>
      </c>
      <c r="J110" s="2">
        <v>0.12490000000000001</v>
      </c>
      <c r="K110" s="2">
        <v>11.458715596330276</v>
      </c>
      <c r="L110" s="5"/>
    </row>
    <row r="111" spans="1:12" ht="15.4" x14ac:dyDescent="0.4">
      <c r="A111" s="43">
        <v>25</v>
      </c>
      <c r="B111" s="2">
        <v>0.53569999999999851</v>
      </c>
      <c r="C111" s="2">
        <v>1.6170074043665494</v>
      </c>
      <c r="D111" s="2"/>
      <c r="E111" s="2">
        <v>1.1599999999999999</v>
      </c>
      <c r="F111" s="2">
        <v>0.1008</v>
      </c>
      <c r="G111" s="2">
        <v>8.6896551724137936</v>
      </c>
      <c r="H111" s="5"/>
      <c r="I111" s="31">
        <v>2.3250987027638001E-7</v>
      </c>
      <c r="J111" s="2">
        <v>0.1008</v>
      </c>
      <c r="K111" s="2">
        <v>8.6896551724137936</v>
      </c>
      <c r="L111" s="5"/>
    </row>
    <row r="112" spans="1:12" ht="15.4" x14ac:dyDescent="0.4">
      <c r="A112" s="43">
        <v>25</v>
      </c>
      <c r="B112" s="2">
        <v>-4.0500000000001535E-2</v>
      </c>
      <c r="C112" s="2">
        <v>0.10417926035297871</v>
      </c>
      <c r="D112" s="2"/>
      <c r="E112" s="2">
        <v>1.2015676235294119</v>
      </c>
      <c r="F112" s="2">
        <v>-0.31756762352941192</v>
      </c>
      <c r="G112" s="2">
        <v>26.429442447575944</v>
      </c>
      <c r="H112" s="5"/>
      <c r="I112" s="31">
        <v>2.3250987027638001E-7</v>
      </c>
      <c r="J112" s="2">
        <v>-7.5799999999999867E-2</v>
      </c>
      <c r="K112" s="2">
        <v>5.4927536231883973</v>
      </c>
      <c r="L112" s="5"/>
    </row>
    <row r="113" spans="1:12" ht="15.4" x14ac:dyDescent="0.4">
      <c r="A113" s="43">
        <v>25</v>
      </c>
      <c r="B113" s="2">
        <v>-1.2606447159246983</v>
      </c>
      <c r="C113" s="2">
        <v>3.3306333313730465</v>
      </c>
      <c r="D113" s="2"/>
      <c r="E113" s="2">
        <v>1.329</v>
      </c>
      <c r="F113" s="2">
        <v>-0.18391435034568993</v>
      </c>
      <c r="G113" s="2">
        <v>13.838551568524448</v>
      </c>
      <c r="H113" s="5"/>
      <c r="I113" s="30">
        <v>2.3250987027638001E-7</v>
      </c>
      <c r="J113" s="2">
        <v>-0.28469999999999995</v>
      </c>
      <c r="K113" s="2">
        <v>17.466257668711656</v>
      </c>
      <c r="L113" s="5"/>
    </row>
    <row r="114" spans="1:12" ht="15.4" x14ac:dyDescent="0.4">
      <c r="A114" s="43">
        <v>25.8</v>
      </c>
      <c r="B114" s="2">
        <v>-1.7787321193800665E-2</v>
      </c>
      <c r="C114" s="2">
        <v>5.2500948033650123E-2</v>
      </c>
      <c r="D114" s="2"/>
      <c r="E114" s="2">
        <v>1.329</v>
      </c>
      <c r="F114" s="2">
        <v>-0.43963390519038592</v>
      </c>
      <c r="G114" s="2">
        <v>33.080053061729565</v>
      </c>
      <c r="H114" s="5"/>
      <c r="I114" s="30">
        <v>2.55930768649878E-7</v>
      </c>
      <c r="J114" s="2">
        <v>21.4213187693884</v>
      </c>
      <c r="K114" s="2">
        <v>58.544189039050011</v>
      </c>
      <c r="L114" s="5"/>
    </row>
    <row r="115" spans="1:12" ht="15.4" x14ac:dyDescent="0.4">
      <c r="A115" s="43">
        <v>26</v>
      </c>
      <c r="B115" s="2">
        <v>1.0623807091287838</v>
      </c>
      <c r="C115" s="2">
        <v>34.605234825041819</v>
      </c>
      <c r="D115" s="2"/>
      <c r="E115" s="2">
        <v>1.38</v>
      </c>
      <c r="F115" s="2">
        <v>-7.5799999999999867E-2</v>
      </c>
      <c r="G115" s="2">
        <v>5.4927536231883973</v>
      </c>
      <c r="H115" s="5"/>
      <c r="I115" s="30">
        <v>2.55930768649878E-7</v>
      </c>
      <c r="J115" s="2">
        <v>19.2721132314256</v>
      </c>
      <c r="K115" s="2">
        <v>45.314162312310366</v>
      </c>
      <c r="L115" s="5"/>
    </row>
    <row r="116" spans="1:12" ht="15.4" x14ac:dyDescent="0.4">
      <c r="A116" s="43">
        <v>26.905829596412556</v>
      </c>
      <c r="B116" s="2">
        <v>0.76829999999999998</v>
      </c>
      <c r="C116" s="2">
        <v>22.071243895432346</v>
      </c>
      <c r="D116" s="2"/>
      <c r="E116" s="2">
        <v>1.3980676439790578</v>
      </c>
      <c r="F116" s="2">
        <v>-0.48856764397905783</v>
      </c>
      <c r="G116" s="2">
        <v>34.945923116319278</v>
      </c>
      <c r="H116" s="5"/>
      <c r="I116" s="30">
        <v>2.55930768649878E-7</v>
      </c>
      <c r="J116" s="2">
        <v>11.827316796434197</v>
      </c>
      <c r="K116" s="2">
        <v>22.078246773257789</v>
      </c>
      <c r="L116" s="5"/>
    </row>
    <row r="117" spans="1:12" ht="15.4" x14ac:dyDescent="0.4">
      <c r="A117" s="43">
        <v>27.027027027027025</v>
      </c>
      <c r="B117" s="2">
        <v>-7.3899999999999966E-2</v>
      </c>
      <c r="C117" s="2">
        <v>15.723404255319142</v>
      </c>
      <c r="D117" s="2"/>
      <c r="E117" s="2">
        <v>1.4</v>
      </c>
      <c r="F117" s="2">
        <v>-0.46945627683546787</v>
      </c>
      <c r="G117" s="2">
        <v>33.532591202533425</v>
      </c>
      <c r="H117" s="5"/>
      <c r="I117" s="30">
        <v>2.55930768649878E-7</v>
      </c>
      <c r="J117" s="2">
        <v>2.6957349307865996</v>
      </c>
      <c r="K117" s="2">
        <v>4.0764175575179191</v>
      </c>
      <c r="L117" s="5"/>
    </row>
    <row r="118" spans="1:12" ht="15.4" x14ac:dyDescent="0.4">
      <c r="A118" s="43">
        <v>27.027027027027028</v>
      </c>
      <c r="B118" s="2">
        <v>0.26029999999999998</v>
      </c>
      <c r="C118" s="2">
        <v>46.316725978647675</v>
      </c>
      <c r="D118" s="2"/>
      <c r="E118" s="2">
        <v>1.43</v>
      </c>
      <c r="F118" s="2">
        <v>-0.80869179950215897</v>
      </c>
      <c r="G118" s="2">
        <v>56.551874091060071</v>
      </c>
      <c r="H118" s="5"/>
      <c r="I118" s="30">
        <v>2.6992197308456299E-7</v>
      </c>
      <c r="J118" s="2">
        <v>8.4499999999999797E-2</v>
      </c>
      <c r="K118" s="2">
        <v>3.0918404683497913</v>
      </c>
      <c r="L118" s="5"/>
    </row>
    <row r="119" spans="1:12" ht="15.4" x14ac:dyDescent="0.4">
      <c r="A119" s="43">
        <v>27.027027027027028</v>
      </c>
      <c r="B119" s="2">
        <v>-3.2200000000000006E-2</v>
      </c>
      <c r="C119" s="2">
        <v>3.0813397129186613</v>
      </c>
      <c r="D119" s="2"/>
      <c r="E119" s="2">
        <v>1.4430000000000001</v>
      </c>
      <c r="F119" s="2">
        <v>4.1179533981479999E-2</v>
      </c>
      <c r="G119" s="2">
        <v>2.8537445586611221</v>
      </c>
      <c r="H119" s="5"/>
      <c r="I119" s="30">
        <v>2.6992197308456299E-7</v>
      </c>
      <c r="J119" s="2">
        <v>1.1499999999999844E-2</v>
      </c>
      <c r="K119" s="2">
        <v>0.38500167392031615</v>
      </c>
      <c r="L119" s="5"/>
    </row>
    <row r="120" spans="1:12" ht="15.4" x14ac:dyDescent="0.4">
      <c r="A120" s="43">
        <v>28.999999999999996</v>
      </c>
      <c r="B120" s="2">
        <v>0.14721543868686404</v>
      </c>
      <c r="C120" s="2">
        <v>23.074520170354866</v>
      </c>
      <c r="D120" s="2"/>
      <c r="E120" s="2">
        <v>1.45</v>
      </c>
      <c r="F120" s="2">
        <v>-0.46255302655979091</v>
      </c>
      <c r="G120" s="2">
        <v>31.900208728261443</v>
      </c>
      <c r="H120" s="5"/>
      <c r="I120" s="30">
        <v>3.5471480621872E-7</v>
      </c>
      <c r="J120" s="2">
        <v>0.75072220284739899</v>
      </c>
      <c r="K120" s="2">
        <v>2.1603516628702129</v>
      </c>
      <c r="L120" s="5"/>
    </row>
    <row r="121" spans="1:12" ht="15.4" x14ac:dyDescent="0.4">
      <c r="A121" s="43">
        <v>30</v>
      </c>
      <c r="B121" s="2">
        <v>0.26457635911615984</v>
      </c>
      <c r="C121" s="2">
        <v>35.657191255547147</v>
      </c>
      <c r="D121" s="2"/>
      <c r="E121" s="2">
        <v>1.4610000000000001</v>
      </c>
      <c r="F121" s="2">
        <v>0.15809999999999991</v>
      </c>
      <c r="G121" s="2">
        <v>10.821355236139624</v>
      </c>
      <c r="H121" s="5"/>
      <c r="I121" s="30">
        <v>4.58069452643911E-7</v>
      </c>
      <c r="J121" s="2">
        <v>-3.6017543522080597</v>
      </c>
      <c r="K121" s="2">
        <v>30.497496631736322</v>
      </c>
      <c r="L121" s="5"/>
    </row>
    <row r="122" spans="1:12" ht="15.4" x14ac:dyDescent="0.4">
      <c r="A122" s="43">
        <v>30</v>
      </c>
      <c r="B122" s="2">
        <v>-4.6599999999999975E-2</v>
      </c>
      <c r="C122" s="2">
        <v>15.533333333333326</v>
      </c>
      <c r="D122" s="2"/>
      <c r="E122" s="2">
        <v>1.4630000000000001</v>
      </c>
      <c r="F122" s="2">
        <v>-0.45179999999999998</v>
      </c>
      <c r="G122" s="2">
        <v>30.881749829118249</v>
      </c>
      <c r="H122" s="5"/>
      <c r="I122" s="30">
        <v>4.58069452643911E-7</v>
      </c>
      <c r="J122" s="2">
        <v>-19.3026029519459</v>
      </c>
      <c r="K122" s="2">
        <v>61.453686570983443</v>
      </c>
      <c r="L122" s="5"/>
    </row>
    <row r="123" spans="1:12" ht="15.4" x14ac:dyDescent="0.4">
      <c r="A123" s="43">
        <v>30</v>
      </c>
      <c r="B123" s="2">
        <v>0.36309999999999998</v>
      </c>
      <c r="C123" s="2">
        <v>48.413333333333327</v>
      </c>
      <c r="D123" s="2"/>
      <c r="E123" s="2">
        <v>1.5229999999999999</v>
      </c>
      <c r="F123" s="2">
        <v>3.3300000000000107E-2</v>
      </c>
      <c r="G123" s="2">
        <v>2.1864740643466911</v>
      </c>
      <c r="H123" s="5"/>
      <c r="I123" s="30">
        <v>4.58069452643911E-7</v>
      </c>
      <c r="J123" s="2">
        <v>-0.30813168668880309</v>
      </c>
      <c r="K123" s="2">
        <v>0.94028589163504139</v>
      </c>
      <c r="L123" s="5"/>
    </row>
    <row r="124" spans="1:12" ht="15.4" x14ac:dyDescent="0.4">
      <c r="A124" s="43">
        <v>30</v>
      </c>
      <c r="B124" s="2">
        <v>-0.1150000000000001</v>
      </c>
      <c r="C124" s="2">
        <v>16.886930983847297</v>
      </c>
      <c r="D124" s="2"/>
      <c r="E124" s="2">
        <v>1.53</v>
      </c>
      <c r="F124" s="2">
        <v>-0.48898206471513994</v>
      </c>
      <c r="G124" s="2">
        <v>31.959612072884962</v>
      </c>
      <c r="H124" s="5"/>
      <c r="I124" s="30">
        <v>4.58069452643911E-7</v>
      </c>
      <c r="J124" s="2">
        <v>-10.265198059226194</v>
      </c>
      <c r="K124" s="2">
        <v>16.784169488597438</v>
      </c>
      <c r="L124" s="5"/>
    </row>
    <row r="125" spans="1:12" ht="15.4" x14ac:dyDescent="0.4">
      <c r="A125" s="43">
        <v>30</v>
      </c>
      <c r="B125" s="2">
        <v>5.3999999999999604E-3</v>
      </c>
      <c r="C125" s="2">
        <v>0.72096128170893992</v>
      </c>
      <c r="D125" s="2"/>
      <c r="E125" s="2">
        <v>1.53</v>
      </c>
      <c r="F125" s="2">
        <v>6.6383027862200183E-3</v>
      </c>
      <c r="G125" s="2">
        <v>0.4338759990993476</v>
      </c>
      <c r="H125" s="5"/>
      <c r="I125" s="30">
        <v>4.58069452643911E-7</v>
      </c>
      <c r="J125" s="2">
        <v>17.931580904429097</v>
      </c>
      <c r="K125" s="2">
        <v>24.330503262454677</v>
      </c>
      <c r="L125" s="5"/>
    </row>
    <row r="126" spans="1:12" ht="15.4" x14ac:dyDescent="0.4">
      <c r="A126" s="43">
        <v>30</v>
      </c>
      <c r="B126" s="2">
        <v>-0.46945627683546787</v>
      </c>
      <c r="C126" s="2">
        <v>33.532591202533425</v>
      </c>
      <c r="D126" s="2"/>
      <c r="E126" s="2">
        <v>1.585</v>
      </c>
      <c r="F126" s="2">
        <v>0.13390000000000013</v>
      </c>
      <c r="G126" s="2">
        <v>8.447949526813888</v>
      </c>
      <c r="H126" s="5"/>
      <c r="I126" s="31">
        <v>4.5983304042179199E-7</v>
      </c>
      <c r="J126" s="2">
        <v>2.2292703562212801E-4</v>
      </c>
      <c r="K126" s="2">
        <v>9.8205742564814097E-2</v>
      </c>
      <c r="L126" s="5"/>
    </row>
    <row r="127" spans="1:12" ht="15.4" x14ac:dyDescent="0.4">
      <c r="A127" s="43">
        <v>30</v>
      </c>
      <c r="B127" s="2">
        <v>-0.46255302655979091</v>
      </c>
      <c r="C127" s="2">
        <v>31.900208728261443</v>
      </c>
      <c r="D127" s="2"/>
      <c r="E127" s="2">
        <v>1.63</v>
      </c>
      <c r="F127" s="2">
        <v>-0.54533101058824984</v>
      </c>
      <c r="G127" s="2">
        <v>33.455890220138031</v>
      </c>
      <c r="H127" s="5"/>
      <c r="I127" s="31">
        <v>4.5983304042179199E-7</v>
      </c>
      <c r="J127" s="2">
        <v>-4.8447338883500612E-2</v>
      </c>
      <c r="K127" s="2">
        <v>15.678750447734826</v>
      </c>
      <c r="L127" s="5"/>
    </row>
    <row r="128" spans="1:12" ht="15.4" x14ac:dyDescent="0.4">
      <c r="A128" s="43">
        <v>30</v>
      </c>
      <c r="B128" s="2">
        <v>-0.48898206471513994</v>
      </c>
      <c r="C128" s="2">
        <v>31.959612072884962</v>
      </c>
      <c r="D128" s="2"/>
      <c r="E128" s="2">
        <v>1.63</v>
      </c>
      <c r="F128" s="2">
        <v>-0.28469999999999995</v>
      </c>
      <c r="G128" s="2">
        <v>17.466257668711656</v>
      </c>
      <c r="H128" s="5"/>
      <c r="I128" s="31">
        <v>4.5983304042179199E-7</v>
      </c>
      <c r="J128" s="2">
        <v>2.0022942817841116E-3</v>
      </c>
      <c r="K128" s="2">
        <v>0.57208408050974624</v>
      </c>
      <c r="L128" s="5"/>
    </row>
    <row r="129" spans="1:12" ht="15.4" x14ac:dyDescent="0.4">
      <c r="A129" s="43">
        <v>30</v>
      </c>
      <c r="B129" s="2">
        <v>3.483533333333332</v>
      </c>
      <c r="C129" s="2">
        <v>42.971217105263136</v>
      </c>
      <c r="D129" s="2"/>
      <c r="E129" s="2">
        <v>1.64</v>
      </c>
      <c r="F129" s="2">
        <v>-0.59579999999999989</v>
      </c>
      <c r="G129" s="2">
        <v>36.329268292682919</v>
      </c>
      <c r="H129" s="5"/>
      <c r="I129" s="31">
        <v>4.5983304042179199E-7</v>
      </c>
      <c r="J129" s="2">
        <v>2.6601673538431014E-2</v>
      </c>
      <c r="K129" s="2">
        <v>4.9909331216568509</v>
      </c>
      <c r="L129" s="5"/>
    </row>
    <row r="130" spans="1:12" ht="15.4" x14ac:dyDescent="0.4">
      <c r="A130" s="43">
        <v>30</v>
      </c>
      <c r="B130" s="2">
        <v>-0.81270000000000664</v>
      </c>
      <c r="C130" s="2">
        <v>1.9169035179790941</v>
      </c>
      <c r="D130" s="2"/>
      <c r="E130" s="2">
        <v>1.6850000000000001</v>
      </c>
      <c r="F130" s="2">
        <v>-0.37268114727307999</v>
      </c>
      <c r="G130" s="2">
        <v>22.117575505820771</v>
      </c>
      <c r="H130" s="5"/>
      <c r="I130" s="31">
        <v>4.5983304042179199E-7</v>
      </c>
      <c r="J130" s="2">
        <v>0.14721543868686404</v>
      </c>
      <c r="K130" s="2">
        <v>23.074520170354866</v>
      </c>
      <c r="L130" s="5"/>
    </row>
    <row r="131" spans="1:12" ht="15.4" x14ac:dyDescent="0.4">
      <c r="A131" s="43">
        <v>30</v>
      </c>
      <c r="B131" s="2">
        <v>-0.59579999999999989</v>
      </c>
      <c r="C131" s="2">
        <v>36.329268292682919</v>
      </c>
      <c r="D131" s="2"/>
      <c r="E131" s="2">
        <v>1.7413799999999999</v>
      </c>
      <c r="F131" s="2">
        <v>-0.48827999999999983</v>
      </c>
      <c r="G131" s="2">
        <v>28.039830479275047</v>
      </c>
      <c r="H131" s="5"/>
      <c r="I131" s="31">
        <v>4.5983304042179199E-7</v>
      </c>
      <c r="J131" s="2">
        <v>0.18084344045800993</v>
      </c>
      <c r="K131" s="2">
        <v>17.557615578447567</v>
      </c>
      <c r="L131" s="5"/>
    </row>
    <row r="132" spans="1:12" ht="15.4" x14ac:dyDescent="0.4">
      <c r="A132" s="43">
        <v>30</v>
      </c>
      <c r="B132" s="2">
        <v>-0.10730833333333334</v>
      </c>
      <c r="C132" s="2">
        <v>22.821444395214886</v>
      </c>
      <c r="D132" s="2"/>
      <c r="E132" s="2">
        <v>1.77</v>
      </c>
      <c r="F132" s="2">
        <v>0.33171128766706337</v>
      </c>
      <c r="G132" s="2">
        <v>18.740750715653299</v>
      </c>
      <c r="H132" s="5"/>
      <c r="I132" s="31">
        <v>4.5983304042179199E-7</v>
      </c>
      <c r="J132" s="2">
        <v>-0.37268114727307999</v>
      </c>
      <c r="K132" s="2">
        <v>22.117575505820771</v>
      </c>
      <c r="L132" s="5"/>
    </row>
    <row r="133" spans="1:12" ht="15.4" x14ac:dyDescent="0.4">
      <c r="A133" s="43">
        <v>30</v>
      </c>
      <c r="B133" s="2">
        <v>-4.4408083649873973</v>
      </c>
      <c r="C133" s="2">
        <v>10.197034133151314</v>
      </c>
      <c r="D133" s="2"/>
      <c r="E133" s="2">
        <v>1.8280000000000001</v>
      </c>
      <c r="F133" s="2">
        <v>-0.63760000000000017</v>
      </c>
      <c r="G133" s="2">
        <v>34.879649890590819</v>
      </c>
      <c r="H133" s="5"/>
      <c r="I133" s="30">
        <v>4.8882256830186603E-7</v>
      </c>
      <c r="J133" s="2">
        <v>-3.11091541010029E-2</v>
      </c>
      <c r="K133" s="2">
        <v>7.5489332931334377E-2</v>
      </c>
      <c r="L133" s="5"/>
    </row>
    <row r="134" spans="1:12" ht="15.4" x14ac:dyDescent="0.4">
      <c r="A134" s="43">
        <v>30</v>
      </c>
      <c r="B134" s="2">
        <v>0.11503041825095051</v>
      </c>
      <c r="C134" s="2">
        <v>18.674691358024678</v>
      </c>
      <c r="D134" s="2"/>
      <c r="E134" s="2">
        <v>1.8360000000000001</v>
      </c>
      <c r="F134" s="2">
        <v>-0.23420000000000019</v>
      </c>
      <c r="G134" s="2">
        <v>12.755991285403059</v>
      </c>
      <c r="H134" s="5"/>
      <c r="I134" s="30">
        <v>4.8882256830186603E-7</v>
      </c>
      <c r="J134" s="2">
        <v>-6.5944352783107973</v>
      </c>
      <c r="K134" s="2">
        <v>12.894867575891272</v>
      </c>
      <c r="L134" s="5"/>
    </row>
    <row r="135" spans="1:12" ht="15.4" x14ac:dyDescent="0.4">
      <c r="A135" s="43">
        <v>32.5</v>
      </c>
      <c r="B135" s="2">
        <v>-9.7254126469437097E-5</v>
      </c>
      <c r="C135" s="2">
        <v>1.7122205364337518E-3</v>
      </c>
      <c r="D135" s="2"/>
      <c r="E135" s="2">
        <v>1.8620000000000001</v>
      </c>
      <c r="F135" s="2">
        <v>-0.74120000000000008</v>
      </c>
      <c r="G135" s="2">
        <v>39.806659505907625</v>
      </c>
      <c r="H135" s="5"/>
      <c r="I135" s="30">
        <v>5.0983393018943301E-7</v>
      </c>
      <c r="J135" s="2">
        <v>1.1300000000000032E-2</v>
      </c>
      <c r="K135" s="2">
        <v>3.1215469613259756</v>
      </c>
      <c r="L135" s="5"/>
    </row>
    <row r="136" spans="1:12" ht="15.4" x14ac:dyDescent="0.4">
      <c r="A136" s="43">
        <v>33.333333333333329</v>
      </c>
      <c r="B136" s="2">
        <v>1.4489067273143004</v>
      </c>
      <c r="C136" s="2">
        <v>14.937182755817529</v>
      </c>
      <c r="D136" s="2"/>
      <c r="E136" s="2">
        <v>1.9379999999999999</v>
      </c>
      <c r="F136" s="2">
        <v>-0.82179611324262747</v>
      </c>
      <c r="G136" s="2">
        <v>42.404340208597908</v>
      </c>
      <c r="H136" s="5"/>
      <c r="I136" s="30">
        <v>5.0983393018943301E-7</v>
      </c>
      <c r="J136" s="2">
        <v>-3.2000000000000361E-3</v>
      </c>
      <c r="K136" s="2">
        <v>0.68965517241380092</v>
      </c>
      <c r="L136" s="5"/>
    </row>
    <row r="137" spans="1:12" ht="15.4" x14ac:dyDescent="0.4">
      <c r="A137" s="43">
        <v>35</v>
      </c>
      <c r="B137" s="2">
        <v>0.32579999999999998</v>
      </c>
      <c r="C137" s="2">
        <v>38.785714285714285</v>
      </c>
      <c r="D137" s="2"/>
      <c r="E137" s="2">
        <v>1.9970000000000001</v>
      </c>
      <c r="F137" s="2">
        <v>-1.0907</v>
      </c>
      <c r="G137" s="2">
        <v>54.616925388082116</v>
      </c>
      <c r="H137" s="5"/>
      <c r="I137" s="30">
        <v>5.0983393018943301E-7</v>
      </c>
      <c r="J137" s="2">
        <v>1.4000000000000012E-2</v>
      </c>
      <c r="K137" s="2">
        <v>2.4734982332155502</v>
      </c>
      <c r="L137" s="5"/>
    </row>
    <row r="138" spans="1:12" ht="15.4" x14ac:dyDescent="0.4">
      <c r="A138" s="43">
        <v>35</v>
      </c>
      <c r="B138" s="2">
        <v>-1.9039000000000001</v>
      </c>
      <c r="C138" s="2">
        <v>4.1185352473414145</v>
      </c>
      <c r="D138" s="2"/>
      <c r="E138" s="2">
        <v>2.06</v>
      </c>
      <c r="F138" s="2">
        <v>-1.9365312948993463E-4</v>
      </c>
      <c r="G138" s="2">
        <v>9.4006373538803208E-3</v>
      </c>
      <c r="H138" s="5"/>
      <c r="I138" s="30">
        <v>5.0983393018943301E-7</v>
      </c>
      <c r="J138" s="2">
        <v>4.7800000000000065E-2</v>
      </c>
      <c r="K138" s="2">
        <v>6.8481375358166288</v>
      </c>
      <c r="L138" s="5"/>
    </row>
    <row r="139" spans="1:12" ht="15.4" x14ac:dyDescent="0.4">
      <c r="A139" s="43">
        <v>35</v>
      </c>
      <c r="B139" s="2">
        <v>-6.5408455473026947</v>
      </c>
      <c r="C139" s="2">
        <v>13.573034960163302</v>
      </c>
      <c r="D139" s="2"/>
      <c r="E139" s="2">
        <v>2.1806000000000001</v>
      </c>
      <c r="F139" s="2">
        <v>-0.8913000000000002</v>
      </c>
      <c r="G139" s="2">
        <v>40.874071356507393</v>
      </c>
      <c r="H139" s="5"/>
      <c r="I139" s="30">
        <v>5.0983393018943301E-7</v>
      </c>
      <c r="J139" s="2">
        <v>-0.45179999999999998</v>
      </c>
      <c r="K139" s="2">
        <v>30.881749829118249</v>
      </c>
      <c r="L139" s="5"/>
    </row>
    <row r="140" spans="1:12" ht="15.4" x14ac:dyDescent="0.4">
      <c r="A140" s="43">
        <v>35</v>
      </c>
      <c r="B140" s="2">
        <v>21.4213187693884</v>
      </c>
      <c r="C140" s="2">
        <v>58.544189039050011</v>
      </c>
      <c r="D140" s="2"/>
      <c r="E140" s="2">
        <v>2.2400000000000002</v>
      </c>
      <c r="F140" s="2">
        <v>-0.34476863960298032</v>
      </c>
      <c r="G140" s="2">
        <v>15.391457125133048</v>
      </c>
      <c r="H140" s="5"/>
      <c r="I140" s="30">
        <v>5.0983393018943301E-7</v>
      </c>
      <c r="J140" s="2">
        <v>-0.74120000000000008</v>
      </c>
      <c r="K140" s="2">
        <v>39.806659505907625</v>
      </c>
      <c r="L140" s="5"/>
    </row>
    <row r="141" spans="1:12" ht="15.4" x14ac:dyDescent="0.4">
      <c r="A141" s="43">
        <v>35.573122529644266</v>
      </c>
      <c r="B141" s="2">
        <v>0.39169999999999927</v>
      </c>
      <c r="C141" s="2">
        <v>9.0336715867158492</v>
      </c>
      <c r="D141" s="2"/>
      <c r="E141" s="2">
        <v>2.36</v>
      </c>
      <c r="F141" s="2">
        <v>0.32064474430343815</v>
      </c>
      <c r="G141" s="2">
        <v>13.586641707772804</v>
      </c>
      <c r="H141" s="5"/>
      <c r="I141" s="30">
        <v>5.3157133469765097E-7</v>
      </c>
      <c r="J141" s="2">
        <v>-1.7787321193800665E-2</v>
      </c>
      <c r="K141" s="2">
        <v>5.2500948033650123E-2</v>
      </c>
      <c r="L141" s="5"/>
    </row>
    <row r="142" spans="1:12" ht="15.4" x14ac:dyDescent="0.4">
      <c r="A142" s="43">
        <v>35.714285714285722</v>
      </c>
      <c r="B142" s="2">
        <v>-0.20090000000000002</v>
      </c>
      <c r="C142" s="2">
        <v>32.351046698872786</v>
      </c>
      <c r="D142" s="2"/>
      <c r="E142" s="2">
        <v>2.57</v>
      </c>
      <c r="F142" s="2">
        <v>-1.4313999999999998</v>
      </c>
      <c r="G142" s="2">
        <v>55.696498054474709</v>
      </c>
      <c r="H142" s="5"/>
      <c r="I142" s="30">
        <v>5.3157133469765097E-7</v>
      </c>
      <c r="J142" s="2">
        <v>-3.5302687615139945</v>
      </c>
      <c r="K142" s="2">
        <v>8.367548617004017</v>
      </c>
      <c r="L142" s="5"/>
    </row>
    <row r="143" spans="1:12" ht="15.4" x14ac:dyDescent="0.4">
      <c r="A143" s="43">
        <v>36</v>
      </c>
      <c r="B143" s="2">
        <v>1.6590000000000007</v>
      </c>
      <c r="C143" s="2">
        <v>40.463414634146361</v>
      </c>
      <c r="D143" s="2"/>
      <c r="E143" s="2">
        <v>2.7330000000000001</v>
      </c>
      <c r="F143" s="2">
        <v>8.4499999999999797E-2</v>
      </c>
      <c r="G143" s="2">
        <v>3.0918404683497913</v>
      </c>
      <c r="H143" s="5"/>
      <c r="I143" s="30">
        <v>5.3157133469765097E-7</v>
      </c>
      <c r="J143" s="2">
        <v>-22.914268620332599</v>
      </c>
      <c r="K143" s="2">
        <v>35.465514038589383</v>
      </c>
      <c r="L143" s="5"/>
    </row>
    <row r="144" spans="1:12" ht="15.4" x14ac:dyDescent="0.4">
      <c r="A144" s="43">
        <v>36</v>
      </c>
      <c r="B144" s="2">
        <v>-0.14690000000000003</v>
      </c>
      <c r="C144" s="2">
        <v>32.644444444444446</v>
      </c>
      <c r="D144" s="2"/>
      <c r="E144" s="2">
        <v>2.8612805714285727</v>
      </c>
      <c r="F144" s="2">
        <v>-0.38878057142857259</v>
      </c>
      <c r="G144" s="2">
        <v>13.58764237631066</v>
      </c>
      <c r="H144" s="5"/>
      <c r="I144" s="30">
        <v>7.2039237783014036E-7</v>
      </c>
      <c r="J144" s="2">
        <v>1.6699999999999993E-2</v>
      </c>
      <c r="K144" s="2">
        <v>6.3257575757575717</v>
      </c>
      <c r="L144" s="5"/>
    </row>
    <row r="145" spans="1:12" ht="15.4" x14ac:dyDescent="0.4">
      <c r="A145" s="43">
        <v>36.84210526315789</v>
      </c>
      <c r="B145" s="2">
        <v>-0.45179999999999998</v>
      </c>
      <c r="C145" s="2">
        <v>30.881749829118249</v>
      </c>
      <c r="D145" s="2"/>
      <c r="E145" s="2">
        <v>2.92</v>
      </c>
      <c r="F145" s="2">
        <v>-6.7532643292089745E-2</v>
      </c>
      <c r="G145" s="2">
        <v>2.312761756578416</v>
      </c>
      <c r="H145" s="5"/>
      <c r="I145" s="30">
        <v>7.2039237783014036E-7</v>
      </c>
      <c r="J145" s="2">
        <v>1.8399999999999972E-2</v>
      </c>
      <c r="K145" s="2">
        <v>5.6965944272445732</v>
      </c>
      <c r="L145" s="5"/>
    </row>
    <row r="146" spans="1:12" ht="15.4" x14ac:dyDescent="0.4">
      <c r="A146" s="43">
        <v>37.5</v>
      </c>
      <c r="B146" s="2">
        <v>-0.51039999999999708</v>
      </c>
      <c r="C146" s="2">
        <v>0.89344636783592557</v>
      </c>
      <c r="D146" s="2"/>
      <c r="E146" s="2">
        <v>2.9870000000000001</v>
      </c>
      <c r="F146" s="2">
        <v>1.1499999999999844E-2</v>
      </c>
      <c r="G146" s="2">
        <v>0.38500167392031615</v>
      </c>
      <c r="H146" s="5"/>
      <c r="I146" s="30">
        <v>7.2039237783014036E-7</v>
      </c>
      <c r="J146" s="2">
        <v>-2.6200000000000001E-2</v>
      </c>
      <c r="K146" s="2">
        <v>6.5336658354114716</v>
      </c>
      <c r="L146" s="5"/>
    </row>
    <row r="147" spans="1:12" ht="15.4" x14ac:dyDescent="0.4">
      <c r="A147" s="43">
        <v>37.938677502770595</v>
      </c>
      <c r="B147" s="2">
        <v>0.14022069597864206</v>
      </c>
      <c r="C147" s="2">
        <v>16.914438598147417</v>
      </c>
      <c r="D147" s="2"/>
      <c r="E147" s="1">
        <v>3.0157259999999995</v>
      </c>
      <c r="F147" s="1">
        <v>-0.43032599999999954</v>
      </c>
      <c r="G147" s="1">
        <v>14.269399806215805</v>
      </c>
      <c r="H147" s="5"/>
      <c r="I147" s="30">
        <v>7.2039237783014036E-7</v>
      </c>
      <c r="J147" s="1">
        <v>-7.3899999999999966E-2</v>
      </c>
      <c r="K147" s="1">
        <v>15.723404255319142</v>
      </c>
      <c r="L147" s="5"/>
    </row>
    <row r="148" spans="1:12" ht="15.4" x14ac:dyDescent="0.4">
      <c r="A148" s="43">
        <v>38</v>
      </c>
      <c r="B148" s="2">
        <v>0.18084344045800993</v>
      </c>
      <c r="C148" s="2">
        <v>17.557615578447567</v>
      </c>
      <c r="D148" s="2"/>
      <c r="E148" s="2">
        <v>3.07</v>
      </c>
      <c r="F148" s="2">
        <v>1.0623807091287838</v>
      </c>
      <c r="G148" s="2">
        <v>34.605234825041819</v>
      </c>
      <c r="H148" s="5"/>
      <c r="I148" s="30">
        <v>7.2039237783014036E-7</v>
      </c>
      <c r="J148" s="2">
        <v>-0.20090000000000002</v>
      </c>
      <c r="K148" s="2">
        <v>32.351046698872786</v>
      </c>
      <c r="L148" s="5"/>
    </row>
    <row r="149" spans="1:12" ht="15.4" x14ac:dyDescent="0.4">
      <c r="A149" s="43">
        <v>40</v>
      </c>
      <c r="B149" s="2">
        <v>0.45219999999999994</v>
      </c>
      <c r="C149" s="2">
        <v>42.821969696969688</v>
      </c>
      <c r="D149" s="2"/>
      <c r="E149" s="2">
        <v>3.17</v>
      </c>
      <c r="F149" s="2">
        <v>0.79350350391711988</v>
      </c>
      <c r="G149" s="2">
        <v>25.031656274988006</v>
      </c>
      <c r="H149" s="5"/>
      <c r="I149" s="30">
        <v>7.2824991447643399E-7</v>
      </c>
      <c r="J149" s="2">
        <v>1.4489067273143004</v>
      </c>
      <c r="K149" s="2">
        <v>14.937182755817529</v>
      </c>
      <c r="L149" s="5"/>
    </row>
    <row r="150" spans="1:12" ht="15.4" x14ac:dyDescent="0.4">
      <c r="A150" s="43">
        <v>40</v>
      </c>
      <c r="B150" s="2">
        <v>0.12490000000000001</v>
      </c>
      <c r="C150" s="2">
        <v>11.458715596330276</v>
      </c>
      <c r="D150" s="2"/>
      <c r="E150" s="2">
        <v>3.1885493684210524</v>
      </c>
      <c r="F150" s="2">
        <v>-0.49684936842105243</v>
      </c>
      <c r="G150" s="2">
        <v>15.582301260309128</v>
      </c>
      <c r="H150" s="5"/>
      <c r="I150" s="30">
        <v>7.2824991447643399E-7</v>
      </c>
      <c r="J150" s="2">
        <v>0.52524022845840079</v>
      </c>
      <c r="K150" s="2">
        <v>4.3660866871022508</v>
      </c>
      <c r="L150" s="5"/>
    </row>
    <row r="151" spans="1:12" ht="15.4" x14ac:dyDescent="0.4">
      <c r="A151" s="43">
        <v>40</v>
      </c>
      <c r="B151" s="2">
        <v>-0.2484471204188482</v>
      </c>
      <c r="C151" s="2">
        <v>31.015294117647063</v>
      </c>
      <c r="D151" s="2"/>
      <c r="E151" s="1">
        <v>3.4298880000000009</v>
      </c>
      <c r="F151" s="1">
        <v>-0.63738800000000095</v>
      </c>
      <c r="G151" s="1">
        <v>18.583347327959419</v>
      </c>
      <c r="H151" s="5"/>
      <c r="I151" s="30">
        <v>7.2824991447643399E-7</v>
      </c>
      <c r="J151" s="1">
        <v>-0.11422630637149922</v>
      </c>
      <c r="K151" s="1">
        <v>0.85116472706035196</v>
      </c>
      <c r="L151" s="5"/>
    </row>
    <row r="152" spans="1:12" ht="15.4" x14ac:dyDescent="0.4">
      <c r="A152" s="43">
        <v>40</v>
      </c>
      <c r="B152" s="2">
        <v>0.13223333333333365</v>
      </c>
      <c r="C152" s="2">
        <v>1.0245351239669445</v>
      </c>
      <c r="D152" s="2"/>
      <c r="E152" s="2">
        <v>3.4809999999999999</v>
      </c>
      <c r="F152" s="2">
        <v>0.76829999999999998</v>
      </c>
      <c r="G152" s="2">
        <v>22.071243895432346</v>
      </c>
      <c r="H152" s="5"/>
      <c r="I152" s="30">
        <v>7.2824991447643399E-7</v>
      </c>
      <c r="J152" s="2">
        <v>-0.60329284431210084</v>
      </c>
      <c r="K152" s="2">
        <v>4.195360530682203</v>
      </c>
      <c r="L152" s="5"/>
    </row>
    <row r="153" spans="1:12" ht="15.4" x14ac:dyDescent="0.4">
      <c r="A153" s="43">
        <v>40</v>
      </c>
      <c r="B153" s="2">
        <v>-1.4313999999999998</v>
      </c>
      <c r="C153" s="2">
        <v>55.696498054474709</v>
      </c>
      <c r="D153" s="2"/>
      <c r="E153" s="1">
        <v>3.6082632705882354</v>
      </c>
      <c r="F153" s="1">
        <v>-0.71966327058823554</v>
      </c>
      <c r="G153" s="1">
        <v>19.944865898626983</v>
      </c>
      <c r="H153" s="5"/>
      <c r="I153" s="30">
        <v>7.2824991447643399E-7</v>
      </c>
      <c r="J153" s="1">
        <v>-2.6874447538762993</v>
      </c>
      <c r="K153" s="1">
        <v>16.006222476928524</v>
      </c>
      <c r="L153" s="5"/>
    </row>
    <row r="154" spans="1:12" ht="15.4" x14ac:dyDescent="0.4">
      <c r="A154" s="43">
        <v>40</v>
      </c>
      <c r="B154" s="2">
        <v>-0.29092830188679236</v>
      </c>
      <c r="C154" s="2">
        <v>43.130629370629364</v>
      </c>
      <c r="D154" s="2"/>
      <c r="E154" s="1">
        <v>4.0682268000000006</v>
      </c>
      <c r="F154" s="1">
        <v>-1.0875268000000005</v>
      </c>
      <c r="G154" s="1">
        <v>26.732206768806506</v>
      </c>
      <c r="H154" s="5"/>
      <c r="I154" s="30">
        <v>7.2824991447643399E-7</v>
      </c>
      <c r="J154" s="1">
        <v>-4.6218358523322003</v>
      </c>
      <c r="K154" s="1">
        <v>24.376771373060127</v>
      </c>
      <c r="L154" s="5"/>
    </row>
    <row r="155" spans="1:12" ht="15.4" x14ac:dyDescent="0.4">
      <c r="A155" s="43">
        <v>40</v>
      </c>
      <c r="B155" s="2">
        <v>-12.707956754775104</v>
      </c>
      <c r="C155" s="2">
        <v>22.337768948453338</v>
      </c>
      <c r="D155" s="2"/>
      <c r="E155" s="2">
        <v>4.0999999999999996</v>
      </c>
      <c r="F155" s="2">
        <v>1.6590000000000007</v>
      </c>
      <c r="G155" s="2">
        <v>40.463414634146361</v>
      </c>
      <c r="H155" s="5"/>
      <c r="I155" s="31">
        <v>9.3848503656742105E-7</v>
      </c>
      <c r="J155" s="2">
        <v>1.2500000000000011E-2</v>
      </c>
      <c r="K155" s="2">
        <v>4.2229729729729772</v>
      </c>
      <c r="L155" s="5"/>
    </row>
    <row r="156" spans="1:12" ht="15.4" x14ac:dyDescent="0.4">
      <c r="A156" s="43">
        <v>40</v>
      </c>
      <c r="B156" s="2">
        <v>-7.5627272727272765E-2</v>
      </c>
      <c r="C156" s="2">
        <v>8.6656250000000039</v>
      </c>
      <c r="D156" s="2"/>
      <c r="E156" s="2">
        <v>4.3360000000000003</v>
      </c>
      <c r="F156" s="2">
        <v>0.39169999999999927</v>
      </c>
      <c r="G156" s="2">
        <v>9.0336715867158492</v>
      </c>
      <c r="H156" s="5"/>
      <c r="I156" s="31">
        <v>9.3848503656742105E-7</v>
      </c>
      <c r="J156" s="2">
        <v>3.5600000000000021E-2</v>
      </c>
      <c r="K156" s="2">
        <v>11.446945337620585</v>
      </c>
      <c r="L156" s="5"/>
    </row>
    <row r="157" spans="1:12" ht="15.4" x14ac:dyDescent="0.4">
      <c r="A157" s="43">
        <v>40</v>
      </c>
      <c r="B157" s="2">
        <v>-1.9307000000000016</v>
      </c>
      <c r="C157" s="2">
        <v>3.1897159869087357</v>
      </c>
      <c r="D157" s="2"/>
      <c r="E157" s="1">
        <v>5.13</v>
      </c>
      <c r="F157" s="1">
        <v>1.1109</v>
      </c>
      <c r="G157" s="1">
        <v>21.654970760233919</v>
      </c>
      <c r="H157" s="5"/>
      <c r="I157" s="31">
        <v>9.3848503656742105E-7</v>
      </c>
      <c r="J157" s="1">
        <v>5.3200000000000025E-2</v>
      </c>
      <c r="K157" s="1">
        <v>14.26273458445041</v>
      </c>
      <c r="L157" s="5"/>
    </row>
    <row r="158" spans="1:12" ht="15.4" x14ac:dyDescent="0.4">
      <c r="A158" s="43">
        <v>40</v>
      </c>
      <c r="B158" s="2">
        <v>13.460861792800202</v>
      </c>
      <c r="C158" s="2">
        <v>16.403682418718258</v>
      </c>
      <c r="D158" s="2"/>
      <c r="E158" s="1">
        <v>5.1733333333333302</v>
      </c>
      <c r="F158" s="1">
        <v>-1.9057333333333304</v>
      </c>
      <c r="G158" s="1">
        <v>36.837628865979347</v>
      </c>
      <c r="H158" s="5"/>
      <c r="I158" s="31">
        <v>9.3848503656742105E-7</v>
      </c>
      <c r="J158" s="1">
        <v>2.4900000000000033E-2</v>
      </c>
      <c r="K158" s="1">
        <v>4.9899799599198467</v>
      </c>
      <c r="L158" s="5"/>
    </row>
    <row r="159" spans="1:12" ht="15.4" x14ac:dyDescent="0.4">
      <c r="A159" s="43">
        <v>40</v>
      </c>
      <c r="B159" s="2">
        <v>19.2721132314256</v>
      </c>
      <c r="C159" s="2">
        <v>45.314162312310366</v>
      </c>
      <c r="D159" s="2"/>
      <c r="E159" s="2">
        <v>5.5149999999999997</v>
      </c>
      <c r="F159" s="2">
        <v>-0.3052999999999999</v>
      </c>
      <c r="G159" s="2">
        <v>5.5358114233907507</v>
      </c>
      <c r="H159" s="5"/>
      <c r="I159" s="31">
        <v>9.3848503656742105E-7</v>
      </c>
      <c r="J159" s="2">
        <v>-0.1150000000000001</v>
      </c>
      <c r="K159" s="2">
        <v>16.886930983847297</v>
      </c>
      <c r="L159" s="5"/>
    </row>
    <row r="160" spans="1:12" ht="15.4" x14ac:dyDescent="0.4">
      <c r="A160" s="43">
        <v>41.099999999999994</v>
      </c>
      <c r="B160" s="2">
        <v>-3.11091541010029E-2</v>
      </c>
      <c r="C160" s="2">
        <v>7.5489332931334377E-2</v>
      </c>
      <c r="D160" s="2"/>
      <c r="E160" s="2">
        <v>5.68</v>
      </c>
      <c r="F160" s="2">
        <v>-9.7254126469437097E-5</v>
      </c>
      <c r="G160" s="2">
        <v>1.7122205364337518E-3</v>
      </c>
      <c r="H160" s="5"/>
      <c r="I160" s="30">
        <v>9.8667816752923075E-7</v>
      </c>
      <c r="J160" s="2">
        <v>-0.38878057142857259</v>
      </c>
      <c r="K160" s="2">
        <v>13.58764237631066</v>
      </c>
      <c r="L160" s="5"/>
    </row>
    <row r="161" spans="1:12" ht="15.4" x14ac:dyDescent="0.4">
      <c r="A161" s="43">
        <v>41.099999999999994</v>
      </c>
      <c r="B161" s="2">
        <v>-3.5302687615139945</v>
      </c>
      <c r="C161" s="2">
        <v>8.367548617004017</v>
      </c>
      <c r="D161" s="2"/>
      <c r="E161" s="2">
        <v>5.9200000000000008</v>
      </c>
      <c r="F161" s="2">
        <v>-0.57870000000000044</v>
      </c>
      <c r="G161" s="2">
        <v>9.7753378378378439</v>
      </c>
      <c r="H161" s="5"/>
      <c r="I161" s="30">
        <v>9.8667816752923075E-7</v>
      </c>
      <c r="J161" s="2">
        <v>-0.43032599999999954</v>
      </c>
      <c r="K161" s="2">
        <v>14.269399806215805</v>
      </c>
      <c r="L161" s="5"/>
    </row>
    <row r="162" spans="1:12" ht="15.4" x14ac:dyDescent="0.4">
      <c r="A162" s="43">
        <v>42</v>
      </c>
      <c r="B162" s="2">
        <v>-3.9883999999999986</v>
      </c>
      <c r="C162" s="2">
        <v>6.2166539114387094</v>
      </c>
      <c r="D162" s="2"/>
      <c r="E162" s="2">
        <v>6.64</v>
      </c>
      <c r="F162" s="2">
        <v>-0.17609999999999992</v>
      </c>
      <c r="G162" s="2">
        <v>2.6521084337349388</v>
      </c>
      <c r="H162" s="5"/>
      <c r="I162" s="30">
        <v>9.8667816752923075E-7</v>
      </c>
      <c r="J162" s="2">
        <v>-0.49684936842105243</v>
      </c>
      <c r="K162" s="2">
        <v>15.582301260309128</v>
      </c>
      <c r="L162" s="5"/>
    </row>
    <row r="163" spans="1:12" ht="15.4" x14ac:dyDescent="0.4">
      <c r="A163" s="43">
        <v>42.199999999999996</v>
      </c>
      <c r="B163" s="2">
        <v>0.43583442384654913</v>
      </c>
      <c r="C163" s="2">
        <v>56.528459642872775</v>
      </c>
      <c r="D163" s="2"/>
      <c r="E163" s="2">
        <v>6.8559999999999999</v>
      </c>
      <c r="F163" s="2">
        <v>-1.1334</v>
      </c>
      <c r="G163" s="2">
        <v>16.531505250875146</v>
      </c>
      <c r="H163" s="5"/>
      <c r="I163" s="30">
        <v>9.8667816752923075E-7</v>
      </c>
      <c r="J163" s="2">
        <v>-0.63738800000000095</v>
      </c>
      <c r="K163" s="2">
        <v>18.583347327959419</v>
      </c>
      <c r="L163" s="5"/>
    </row>
    <row r="164" spans="1:12" ht="15.4" x14ac:dyDescent="0.4">
      <c r="A164" s="43">
        <v>42.199999999999996</v>
      </c>
      <c r="B164" s="2">
        <v>0.10472000000000015</v>
      </c>
      <c r="C164" s="2">
        <v>9.9009152106497389</v>
      </c>
      <c r="D164" s="2"/>
      <c r="E164" s="2">
        <v>7.08</v>
      </c>
      <c r="F164" s="2">
        <v>-0.40300000000000047</v>
      </c>
      <c r="G164" s="2">
        <v>5.692090395480232</v>
      </c>
      <c r="H164" s="5"/>
      <c r="I164" s="30">
        <v>9.8667816752923075E-7</v>
      </c>
      <c r="J164" s="2">
        <v>-0.71966327058823554</v>
      </c>
      <c r="K164" s="2">
        <v>19.944865898626983</v>
      </c>
      <c r="L164" s="5"/>
    </row>
    <row r="165" spans="1:12" ht="15.4" x14ac:dyDescent="0.4">
      <c r="A165" s="43">
        <v>42.5</v>
      </c>
      <c r="B165" s="2">
        <v>-0.52309999999999945</v>
      </c>
      <c r="C165" s="2">
        <v>0.78804925044177987</v>
      </c>
      <c r="D165" s="2"/>
      <c r="E165" s="2">
        <v>7.4133333333333331</v>
      </c>
      <c r="F165" s="2">
        <v>2.3136666666666672</v>
      </c>
      <c r="G165" s="2">
        <v>31.209532374100728</v>
      </c>
      <c r="H165" s="5"/>
      <c r="I165" s="30">
        <v>9.8667816752923075E-7</v>
      </c>
      <c r="J165" s="2">
        <v>-1.0875268000000005</v>
      </c>
      <c r="K165" s="2">
        <v>26.732206768806506</v>
      </c>
      <c r="L165" s="5"/>
    </row>
    <row r="166" spans="1:12" ht="15.4" x14ac:dyDescent="0.4">
      <c r="A166" s="43">
        <v>43</v>
      </c>
      <c r="B166" s="2">
        <v>-0.80869179950215897</v>
      </c>
      <c r="C166" s="2">
        <v>56.551874091060071</v>
      </c>
      <c r="D166" s="2"/>
      <c r="E166" s="2">
        <v>7.9</v>
      </c>
      <c r="F166" s="2">
        <v>-1.1275670109400338E-2</v>
      </c>
      <c r="G166" s="2">
        <v>0.14273000138481437</v>
      </c>
      <c r="H166" s="5"/>
      <c r="I166" s="31">
        <v>1.040265617088219E-6</v>
      </c>
      <c r="J166" s="2">
        <v>0.12149883720930199</v>
      </c>
      <c r="K166" s="2">
        <v>44.037087767358379</v>
      </c>
      <c r="L166" s="5"/>
    </row>
    <row r="167" spans="1:12" ht="15.4" x14ac:dyDescent="0.4">
      <c r="A167" s="43">
        <v>44.239442394423946</v>
      </c>
      <c r="B167" s="2">
        <v>0.40310829442201013</v>
      </c>
      <c r="C167" s="2">
        <v>42.975297912794261</v>
      </c>
      <c r="D167" s="2"/>
      <c r="E167" s="2">
        <v>8.1066666666666674</v>
      </c>
      <c r="F167" s="2">
        <v>3.483533333333332</v>
      </c>
      <c r="G167" s="2">
        <v>42.971217105263136</v>
      </c>
      <c r="H167" s="5"/>
      <c r="I167" s="31">
        <v>1.040265617088219E-6</v>
      </c>
      <c r="J167" s="2">
        <v>0.14450236686390538</v>
      </c>
      <c r="K167" s="2">
        <v>42.930297969587791</v>
      </c>
      <c r="L167" s="5"/>
    </row>
    <row r="168" spans="1:12" ht="15.4" x14ac:dyDescent="0.4">
      <c r="A168" s="43">
        <v>45</v>
      </c>
      <c r="B168" s="2">
        <v>0.1008</v>
      </c>
      <c r="C168" s="2">
        <v>8.6896551724137936</v>
      </c>
      <c r="D168" s="2"/>
      <c r="E168" s="2">
        <v>8.4</v>
      </c>
      <c r="F168" s="2">
        <v>-1.5186000000000002</v>
      </c>
      <c r="G168" s="2">
        <v>18.078571428571429</v>
      </c>
      <c r="H168" s="5"/>
      <c r="I168" s="31">
        <v>1.040265617088219E-6</v>
      </c>
      <c r="J168" s="2">
        <v>-0.2484471204188482</v>
      </c>
      <c r="K168" s="2">
        <v>31.015294117647063</v>
      </c>
      <c r="L168" s="5"/>
    </row>
    <row r="169" spans="1:12" ht="15.4" x14ac:dyDescent="0.4">
      <c r="A169" s="43">
        <v>45</v>
      </c>
      <c r="B169" s="2">
        <v>1.7494518518520463E-3</v>
      </c>
      <c r="C169" s="2">
        <v>0.21935310005292344</v>
      </c>
      <c r="D169" s="2"/>
      <c r="E169" s="2">
        <v>9.6999999999999993</v>
      </c>
      <c r="F169" s="2">
        <v>1.4489067273143004</v>
      </c>
      <c r="G169" s="2">
        <v>14.937182755817529</v>
      </c>
      <c r="H169" s="5"/>
      <c r="I169" s="31">
        <v>1.040265617088219E-6</v>
      </c>
      <c r="J169" s="2">
        <v>-0.48952307692307684</v>
      </c>
      <c r="K169" s="2">
        <v>45.455714285714279</v>
      </c>
      <c r="L169" s="5"/>
    </row>
    <row r="170" spans="1:12" ht="15.4" x14ac:dyDescent="0.4">
      <c r="A170" s="43">
        <v>45</v>
      </c>
      <c r="B170" s="2">
        <v>-0.38878057142857259</v>
      </c>
      <c r="C170" s="2">
        <v>13.58764237631066</v>
      </c>
      <c r="D170" s="2"/>
      <c r="E170" s="2">
        <v>10</v>
      </c>
      <c r="F170" s="2">
        <v>-2.9217000000000004</v>
      </c>
      <c r="G170" s="2">
        <v>29.217000000000006</v>
      </c>
      <c r="H170" s="5"/>
      <c r="I170" s="31">
        <v>1.16999027454929E-6</v>
      </c>
      <c r="J170" s="2">
        <v>-1.6155155672679111E-3</v>
      </c>
      <c r="K170" s="2">
        <v>0.17186335821999055</v>
      </c>
      <c r="L170" s="5"/>
    </row>
    <row r="171" spans="1:12" ht="15.4" x14ac:dyDescent="0.4">
      <c r="A171" s="43">
        <v>45</v>
      </c>
      <c r="B171" s="2">
        <v>-5.7203000000000017</v>
      </c>
      <c r="C171" s="2">
        <v>8.3853358136207667</v>
      </c>
      <c r="D171" s="2"/>
      <c r="E171" s="2">
        <v>11.81</v>
      </c>
      <c r="F171" s="2">
        <v>-3.6017543522080597</v>
      </c>
      <c r="G171" s="2">
        <v>30.497496631736322</v>
      </c>
      <c r="H171" s="5"/>
      <c r="I171" s="31">
        <v>1.16999027454929E-6</v>
      </c>
      <c r="J171" s="2">
        <v>-0.48898206471513994</v>
      </c>
      <c r="K171" s="2">
        <v>31.959612072884962</v>
      </c>
      <c r="L171" s="5"/>
    </row>
    <row r="172" spans="1:12" ht="15.4" x14ac:dyDescent="0.4">
      <c r="A172" s="43">
        <v>45</v>
      </c>
      <c r="B172" s="2">
        <v>-1.88900000000001</v>
      </c>
      <c r="C172" s="2">
        <v>2.6994738241069296</v>
      </c>
      <c r="D172" s="2"/>
      <c r="E172" s="2">
        <v>11.9</v>
      </c>
      <c r="F172" s="2">
        <v>-4.6304000000000007</v>
      </c>
      <c r="G172" s="2">
        <v>38.91092436974791</v>
      </c>
      <c r="H172" s="5"/>
      <c r="I172" s="31">
        <v>1.24402936746453E-6</v>
      </c>
      <c r="J172" s="2">
        <v>7.0400266234693643E-4</v>
      </c>
      <c r="K172" s="2">
        <v>7.9101422735610841E-2</v>
      </c>
      <c r="L172" s="5"/>
    </row>
    <row r="173" spans="1:12" ht="15.4" x14ac:dyDescent="0.4">
      <c r="A173" s="43">
        <v>45</v>
      </c>
      <c r="B173" s="2">
        <v>11.827316796434197</v>
      </c>
      <c r="C173" s="2">
        <v>22.078246773257789</v>
      </c>
      <c r="D173" s="2"/>
      <c r="E173" s="2">
        <v>12.03</v>
      </c>
      <c r="F173" s="2">
        <v>0.52524022845840079</v>
      </c>
      <c r="G173" s="2">
        <v>4.3660866871022508</v>
      </c>
      <c r="H173" s="5"/>
      <c r="I173" s="30">
        <v>1.24402936746453E-6</v>
      </c>
      <c r="J173" s="2">
        <v>-0.46255302655979091</v>
      </c>
      <c r="K173" s="2">
        <v>31.900208728261443</v>
      </c>
      <c r="L173" s="5"/>
    </row>
    <row r="174" spans="1:12" ht="15.4" x14ac:dyDescent="0.4">
      <c r="A174" s="43">
        <v>46</v>
      </c>
      <c r="B174" s="2">
        <v>1.1109</v>
      </c>
      <c r="C174" s="2">
        <v>21.654970760233919</v>
      </c>
      <c r="D174" s="2"/>
      <c r="E174" s="2">
        <v>12.906666666666666</v>
      </c>
      <c r="F174" s="2">
        <v>0.13223333333333365</v>
      </c>
      <c r="G174" s="2">
        <v>1.0245351239669445</v>
      </c>
      <c r="H174" s="5"/>
      <c r="I174" s="31">
        <v>1.3130157777606399E-6</v>
      </c>
      <c r="J174" s="2">
        <v>3.2895851896808104E-4</v>
      </c>
      <c r="K174" s="2">
        <v>3.9633556502178438E-2</v>
      </c>
      <c r="L174" s="5"/>
    </row>
    <row r="175" spans="1:12" ht="15.4" x14ac:dyDescent="0.4">
      <c r="A175" s="43">
        <v>46.204620462046208</v>
      </c>
      <c r="B175" s="2">
        <v>-0.3052999999999999</v>
      </c>
      <c r="C175" s="2">
        <v>5.5358114233907507</v>
      </c>
      <c r="D175" s="2"/>
      <c r="E175" s="2">
        <v>13.42</v>
      </c>
      <c r="F175" s="2">
        <v>-0.11422630637149922</v>
      </c>
      <c r="G175" s="2">
        <v>0.85116472706035196</v>
      </c>
      <c r="H175" s="5"/>
      <c r="I175" s="31">
        <v>1.3130157777606399E-6</v>
      </c>
      <c r="J175" s="2">
        <v>-0.46945627683546787</v>
      </c>
      <c r="K175" s="2">
        <v>33.532591202533425</v>
      </c>
      <c r="L175" s="5"/>
    </row>
    <row r="176" spans="1:12" ht="15.4" x14ac:dyDescent="0.4">
      <c r="A176" s="43">
        <v>46.357615894039732</v>
      </c>
      <c r="B176" s="2">
        <v>-0.13570000000000004</v>
      </c>
      <c r="C176" s="2">
        <v>12.313974591651546</v>
      </c>
      <c r="D176" s="2"/>
      <c r="E176" s="2">
        <v>14.38</v>
      </c>
      <c r="F176" s="2">
        <v>-0.60329284431210084</v>
      </c>
      <c r="G176" s="2">
        <v>4.195360530682203</v>
      </c>
      <c r="H176" s="5"/>
      <c r="I176" s="31">
        <v>1.4300724366741656E-6</v>
      </c>
      <c r="J176" s="2">
        <v>0.11959999999999998</v>
      </c>
      <c r="K176" s="2">
        <v>26.285714285714278</v>
      </c>
      <c r="L176" s="5"/>
    </row>
    <row r="177" spans="1:12" ht="15.4" x14ac:dyDescent="0.4">
      <c r="A177" s="43">
        <v>46.357615894039732</v>
      </c>
      <c r="B177" s="2">
        <v>-0.63760000000000017</v>
      </c>
      <c r="C177" s="2">
        <v>34.879649890590819</v>
      </c>
      <c r="D177" s="2"/>
      <c r="E177" s="2">
        <v>15.8</v>
      </c>
      <c r="F177" s="2">
        <v>-0.10429266883030053</v>
      </c>
      <c r="G177" s="2">
        <v>0.66008018247025646</v>
      </c>
      <c r="H177" s="5"/>
      <c r="I177" s="31">
        <v>1.4300724366741656E-6</v>
      </c>
      <c r="J177" s="2">
        <v>5.3999999999999604E-3</v>
      </c>
      <c r="K177" s="2">
        <v>0.72096128170893992</v>
      </c>
      <c r="L177" s="5"/>
    </row>
    <row r="178" spans="1:12" ht="15.4" x14ac:dyDescent="0.4">
      <c r="A178" s="43">
        <v>47.5</v>
      </c>
      <c r="B178" s="2">
        <v>-3.992999999999995</v>
      </c>
      <c r="C178" s="2">
        <v>5.375034157648817</v>
      </c>
      <c r="D178" s="2"/>
      <c r="E178" s="2">
        <v>16.7</v>
      </c>
      <c r="F178" s="2">
        <v>-0.13322458099479917</v>
      </c>
      <c r="G178" s="2">
        <v>0.79775198200478548</v>
      </c>
      <c r="H178" s="5"/>
      <c r="I178" s="31">
        <v>1.4300724366741656E-6</v>
      </c>
      <c r="J178" s="2">
        <v>-1.0907</v>
      </c>
      <c r="K178" s="2">
        <v>54.616925388082116</v>
      </c>
      <c r="L178" s="5"/>
    </row>
    <row r="179" spans="1:12" ht="15.4" x14ac:dyDescent="0.4">
      <c r="A179" s="43">
        <v>48</v>
      </c>
      <c r="B179" s="2">
        <v>-3.6017543522080597</v>
      </c>
      <c r="C179" s="2">
        <v>30.497496631736322</v>
      </c>
      <c r="D179" s="2"/>
      <c r="E179" s="2">
        <v>16.79</v>
      </c>
      <c r="F179" s="2">
        <v>-2.6874447538762993</v>
      </c>
      <c r="G179" s="2">
        <v>16.006222476928524</v>
      </c>
      <c r="H179" s="5"/>
      <c r="I179" s="31">
        <v>1.64576737194344E-6</v>
      </c>
      <c r="J179" s="2">
        <v>-1.1275670109400338E-2</v>
      </c>
      <c r="K179" s="2">
        <v>0.14273000138481437</v>
      </c>
      <c r="L179" s="5"/>
    </row>
    <row r="180" spans="1:12" ht="15.4" x14ac:dyDescent="0.4">
      <c r="A180" s="43">
        <v>48</v>
      </c>
      <c r="B180" s="2">
        <v>-19.3026029519459</v>
      </c>
      <c r="C180" s="2">
        <v>61.453686570983443</v>
      </c>
      <c r="D180" s="2"/>
      <c r="E180" s="2">
        <v>18.96</v>
      </c>
      <c r="F180" s="2">
        <v>-4.6218358523322003</v>
      </c>
      <c r="G180" s="2">
        <v>24.376771373060127</v>
      </c>
      <c r="H180" s="5"/>
      <c r="I180" s="31">
        <v>2.2403961965134785E-6</v>
      </c>
      <c r="J180" s="2">
        <v>1.21E-2</v>
      </c>
      <c r="K180" s="2">
        <v>5.2608695652173907</v>
      </c>
      <c r="L180" s="5"/>
    </row>
    <row r="181" spans="1:12" ht="15.4" x14ac:dyDescent="0.4">
      <c r="A181" s="43">
        <v>48</v>
      </c>
      <c r="B181" s="2">
        <v>-0.30813168668880309</v>
      </c>
      <c r="C181" s="2">
        <v>0.94028589163504139</v>
      </c>
      <c r="D181" s="2"/>
      <c r="E181" s="2">
        <v>19.68</v>
      </c>
      <c r="F181" s="2">
        <v>-0.67542737830629918</v>
      </c>
      <c r="G181" s="2">
        <v>3.4320496865157479</v>
      </c>
      <c r="H181" s="5"/>
      <c r="I181" s="31">
        <v>2.2403961965134785E-6</v>
      </c>
      <c r="J181" s="2">
        <v>1.7699999999999994E-2</v>
      </c>
      <c r="K181" s="2">
        <v>6.5555555555555536</v>
      </c>
      <c r="L181" s="5"/>
    </row>
    <row r="182" spans="1:12" ht="15.4" x14ac:dyDescent="0.4">
      <c r="A182" s="43">
        <v>48</v>
      </c>
      <c r="B182" s="2">
        <v>-10.265198059226194</v>
      </c>
      <c r="C182" s="2">
        <v>16.784169488597438</v>
      </c>
      <c r="D182" s="2"/>
      <c r="E182" s="2">
        <v>20.27</v>
      </c>
      <c r="F182" s="2">
        <v>-2.8995175182497981</v>
      </c>
      <c r="G182" s="2">
        <v>14.304477149727667</v>
      </c>
      <c r="H182" s="5"/>
      <c r="I182" s="30">
        <v>2.2403961965134785E-6</v>
      </c>
      <c r="J182" s="2">
        <v>2.9000000000000026E-2</v>
      </c>
      <c r="K182" s="2">
        <v>9.3548387096774288</v>
      </c>
      <c r="L182" s="5"/>
    </row>
    <row r="183" spans="1:12" ht="15.4" x14ac:dyDescent="0.4">
      <c r="A183" s="43">
        <v>48</v>
      </c>
      <c r="B183" s="2">
        <v>17.931580904429097</v>
      </c>
      <c r="C183" s="2">
        <v>24.330503262454677</v>
      </c>
      <c r="D183" s="2"/>
      <c r="E183" s="2">
        <v>20.34</v>
      </c>
      <c r="F183" s="2">
        <v>-2.1566066339280994</v>
      </c>
      <c r="G183" s="2">
        <v>10.602785810855945</v>
      </c>
      <c r="H183" s="5"/>
      <c r="I183" s="31">
        <v>2.2403961965134785E-6</v>
      </c>
      <c r="J183" s="2">
        <v>5.6899999999999951E-2</v>
      </c>
      <c r="K183" s="2">
        <v>16.735294117647044</v>
      </c>
      <c r="L183" s="5"/>
    </row>
    <row r="184" spans="1:12" ht="15.4" x14ac:dyDescent="0.4">
      <c r="A184" s="43">
        <v>49</v>
      </c>
      <c r="B184" s="2">
        <v>-0.37268114727307999</v>
      </c>
      <c r="C184" s="2">
        <v>22.117575505820771</v>
      </c>
      <c r="D184" s="2"/>
      <c r="E184" s="2">
        <v>22.6</v>
      </c>
      <c r="F184" s="2">
        <v>-2.7664003781312019</v>
      </c>
      <c r="G184" s="2">
        <v>12.240709637748679</v>
      </c>
      <c r="H184" s="5"/>
      <c r="I184" s="30">
        <v>2.2403961965134785E-6</v>
      </c>
      <c r="J184" s="2">
        <v>7.6200000000000045E-2</v>
      </c>
      <c r="K184" s="2">
        <v>21.771428571428586</v>
      </c>
      <c r="L184" s="5"/>
    </row>
    <row r="185" spans="1:12" ht="15.4" x14ac:dyDescent="0.4">
      <c r="A185" s="43">
        <v>49.243098842386459</v>
      </c>
      <c r="B185" s="2">
        <v>-8.1956240720404416E-4</v>
      </c>
      <c r="C185" s="2">
        <v>9.2085663730791467E-2</v>
      </c>
      <c r="D185" s="2"/>
      <c r="E185" s="2">
        <v>24.66</v>
      </c>
      <c r="F185" s="2">
        <v>-0.18712200004970114</v>
      </c>
      <c r="G185" s="2">
        <v>0.75880778608962351</v>
      </c>
      <c r="H185" s="5"/>
      <c r="I185" s="30">
        <v>2.2403961965134785E-6</v>
      </c>
      <c r="J185" s="2">
        <v>7.8600000000000003E-2</v>
      </c>
      <c r="K185" s="2">
        <v>21.833333333333336</v>
      </c>
      <c r="L185" s="5"/>
    </row>
    <row r="186" spans="1:12" ht="15.4" x14ac:dyDescent="0.4">
      <c r="A186" s="43">
        <v>49.243098842386459</v>
      </c>
      <c r="B186" s="2">
        <v>-1.9365312948993463E-4</v>
      </c>
      <c r="C186" s="2">
        <v>9.4006373538803208E-3</v>
      </c>
      <c r="D186" s="2"/>
      <c r="E186" s="2">
        <v>26.3</v>
      </c>
      <c r="F186" s="2">
        <v>-0.51080781763679894</v>
      </c>
      <c r="G186" s="2">
        <v>1.9422350480486652</v>
      </c>
      <c r="H186" s="5"/>
      <c r="I186" s="31">
        <v>2.49067729978659E-6</v>
      </c>
      <c r="J186" s="2">
        <v>0.12289999999999995</v>
      </c>
      <c r="K186" s="2">
        <v>27.311111111111103</v>
      </c>
      <c r="L186" s="5"/>
    </row>
    <row r="187" spans="1:12" ht="15.4" x14ac:dyDescent="0.4">
      <c r="A187" s="43">
        <v>49.243098842386459</v>
      </c>
      <c r="B187" s="2">
        <v>-1.1275670109400338E-2</v>
      </c>
      <c r="C187" s="2">
        <v>0.14273000138481437</v>
      </c>
      <c r="D187" s="2"/>
      <c r="E187" s="2">
        <v>27.26</v>
      </c>
      <c r="F187" s="2">
        <v>1.2402065403994982</v>
      </c>
      <c r="G187" s="2">
        <v>4.549547103446435</v>
      </c>
      <c r="H187" s="5"/>
      <c r="I187" s="30">
        <v>2.49067729978659E-6</v>
      </c>
      <c r="J187" s="2">
        <v>-1.8199999999999994E-2</v>
      </c>
      <c r="K187" s="2">
        <v>1.91578947368421</v>
      </c>
      <c r="L187" s="5"/>
    </row>
    <row r="188" spans="1:12" ht="15.4" x14ac:dyDescent="0.4">
      <c r="A188" s="43">
        <v>50</v>
      </c>
      <c r="B188" s="2">
        <v>0.15809999999999991</v>
      </c>
      <c r="C188" s="2">
        <v>10.821355236139624</v>
      </c>
      <c r="D188" s="2"/>
      <c r="E188" s="2">
        <v>28.66</v>
      </c>
      <c r="F188" s="2">
        <v>-1.5268949481511989</v>
      </c>
      <c r="G188" s="2">
        <v>5.3276167067383069</v>
      </c>
      <c r="H188" s="5"/>
      <c r="I188" s="30">
        <v>2.49067729978659E-6</v>
      </c>
      <c r="J188" s="2">
        <v>0.10472000000000015</v>
      </c>
      <c r="K188" s="2">
        <v>9.9009152106497389</v>
      </c>
      <c r="L188" s="5"/>
    </row>
    <row r="189" spans="1:12" ht="15.4" x14ac:dyDescent="0.4">
      <c r="A189" s="43">
        <v>50</v>
      </c>
      <c r="B189" s="2">
        <v>-7.5799999999999867E-2</v>
      </c>
      <c r="C189" s="2">
        <v>5.4927536231883973</v>
      </c>
      <c r="D189" s="2"/>
      <c r="E189" s="2">
        <v>28.763100000000001</v>
      </c>
      <c r="F189" s="2">
        <v>0.57010000000000005</v>
      </c>
      <c r="G189" s="2">
        <v>1.9820533948009775</v>
      </c>
      <c r="H189" s="5"/>
      <c r="I189" s="30">
        <v>2.49067729978659E-6</v>
      </c>
      <c r="J189" s="2">
        <v>-0.59579999999999989</v>
      </c>
      <c r="K189" s="2">
        <v>36.329268292682919</v>
      </c>
      <c r="L189" s="5"/>
    </row>
    <row r="190" spans="1:12" ht="15.4" x14ac:dyDescent="0.4">
      <c r="A190" s="43">
        <v>50</v>
      </c>
      <c r="B190" s="2">
        <v>-0.48952307692307684</v>
      </c>
      <c r="C190" s="2">
        <v>45.455714285714279</v>
      </c>
      <c r="D190" s="2"/>
      <c r="E190" s="2">
        <v>30.123799999999999</v>
      </c>
      <c r="F190" s="2">
        <v>-1.2499999999999289E-2</v>
      </c>
      <c r="G190" s="2">
        <v>4.1495428863554035E-2</v>
      </c>
      <c r="H190" s="5"/>
      <c r="I190" s="30">
        <v>2.49067729978659E-6</v>
      </c>
      <c r="J190" s="2">
        <v>-0.48827999999999983</v>
      </c>
      <c r="K190" s="2">
        <v>28.039830479275047</v>
      </c>
      <c r="L190" s="5"/>
    </row>
    <row r="191" spans="1:12" ht="15.4" x14ac:dyDescent="0.4">
      <c r="A191" s="43">
        <v>50</v>
      </c>
      <c r="B191" s="2">
        <v>8.4499999999999797E-2</v>
      </c>
      <c r="C191" s="2">
        <v>3.0918404683497913</v>
      </c>
      <c r="D191" s="2"/>
      <c r="E191" s="2">
        <v>31.02</v>
      </c>
      <c r="F191" s="2">
        <v>-0.9867843688349005</v>
      </c>
      <c r="G191" s="2">
        <v>3.1811230458894277</v>
      </c>
      <c r="H191" s="5"/>
      <c r="I191" s="30">
        <v>2.49067729978659E-6</v>
      </c>
      <c r="J191" s="2">
        <v>-0.8913000000000002</v>
      </c>
      <c r="K191" s="2">
        <v>40.874071356507393</v>
      </c>
      <c r="L191" s="5"/>
    </row>
    <row r="192" spans="1:12" ht="15.4" x14ac:dyDescent="0.4">
      <c r="A192" s="43">
        <v>50</v>
      </c>
      <c r="B192" s="2">
        <v>-7.6196000000000041E-2</v>
      </c>
      <c r="C192" s="2">
        <v>8.4166946501475817</v>
      </c>
      <c r="D192" s="2"/>
      <c r="E192" s="2">
        <v>31.278099999999998</v>
      </c>
      <c r="F192" s="2">
        <v>0.5517000000000003</v>
      </c>
      <c r="G192" s="2">
        <v>1.7638539425348738</v>
      </c>
      <c r="H192" s="5"/>
      <c r="I192" s="30">
        <v>2.49067729978659E-6</v>
      </c>
      <c r="J192" s="2">
        <v>-1.4313999999999998</v>
      </c>
      <c r="K192" s="2">
        <v>55.696498054474709</v>
      </c>
      <c r="L192" s="5"/>
    </row>
    <row r="193" spans="1:12" ht="15.4" x14ac:dyDescent="0.4">
      <c r="A193" s="43">
        <v>50</v>
      </c>
      <c r="B193" s="2">
        <v>-0.45704509803921572</v>
      </c>
      <c r="C193" s="2">
        <v>52.975681818181819</v>
      </c>
      <c r="D193" s="2"/>
      <c r="E193" s="2">
        <v>31.41</v>
      </c>
      <c r="F193" s="2">
        <v>-19.3026029519459</v>
      </c>
      <c r="G193" s="2">
        <v>61.453686570983443</v>
      </c>
      <c r="H193" s="5"/>
      <c r="I193" s="30">
        <v>2.9497013035797098E-6</v>
      </c>
      <c r="J193" s="2">
        <v>-9.0899999999999981E-2</v>
      </c>
      <c r="K193" s="2">
        <v>19.217758985200842</v>
      </c>
      <c r="L193" s="5"/>
    </row>
    <row r="194" spans="1:12" ht="15.4" x14ac:dyDescent="0.4">
      <c r="A194" s="43">
        <v>50</v>
      </c>
      <c r="B194" s="2">
        <v>-0.43032599999999954</v>
      </c>
      <c r="C194" s="2">
        <v>14.269399806215805</v>
      </c>
      <c r="D194" s="2"/>
      <c r="E194" s="2">
        <v>32.770000000000003</v>
      </c>
      <c r="F194" s="2">
        <v>-0.30813168668880309</v>
      </c>
      <c r="G194" s="2">
        <v>0.94028589163504139</v>
      </c>
      <c r="H194" s="5"/>
      <c r="I194" s="31">
        <v>2.9497013035797098E-6</v>
      </c>
      <c r="J194" s="2">
        <v>0.32209999999999994</v>
      </c>
      <c r="K194" s="2">
        <v>62.665369649805434</v>
      </c>
      <c r="L194" s="5"/>
    </row>
    <row r="195" spans="1:12" ht="15.4" x14ac:dyDescent="0.4">
      <c r="A195" s="43">
        <v>50</v>
      </c>
      <c r="B195" s="2">
        <v>-0.25007022900763354</v>
      </c>
      <c r="C195" s="2">
        <v>22.592551724137927</v>
      </c>
      <c r="D195" s="2"/>
      <c r="E195" s="2">
        <v>33.129100000000001</v>
      </c>
      <c r="F195" s="2">
        <v>0.53569999999999851</v>
      </c>
      <c r="G195" s="2">
        <v>1.6170074043665494</v>
      </c>
      <c r="H195" s="5"/>
      <c r="I195" s="31">
        <v>2.9497013035797098E-6</v>
      </c>
      <c r="J195" s="2">
        <v>-0.82179611324262747</v>
      </c>
      <c r="K195" s="2">
        <v>42.404340208597908</v>
      </c>
      <c r="L195" s="5"/>
    </row>
    <row r="196" spans="1:12" ht="15.4" x14ac:dyDescent="0.4">
      <c r="A196" s="43">
        <v>50</v>
      </c>
      <c r="B196" s="2">
        <v>0.52524022845840079</v>
      </c>
      <c r="C196" s="2">
        <v>4.3660866871022508</v>
      </c>
      <c r="D196" s="2"/>
      <c r="E196" s="2">
        <v>33.79</v>
      </c>
      <c r="F196" s="2">
        <v>-3.9016882219386986</v>
      </c>
      <c r="G196" s="2">
        <v>11.546872512396266</v>
      </c>
      <c r="H196" s="5"/>
      <c r="I196" s="31">
        <v>2.9497013035797098E-6</v>
      </c>
      <c r="J196" s="2">
        <v>0.76829999999999998</v>
      </c>
      <c r="K196" s="2">
        <v>22.071243895432346</v>
      </c>
      <c r="L196" s="5"/>
    </row>
    <row r="197" spans="1:12" ht="15.4" x14ac:dyDescent="0.4">
      <c r="A197" s="43">
        <v>50</v>
      </c>
      <c r="B197" s="2">
        <v>16.402511885435999</v>
      </c>
      <c r="C197" s="2">
        <v>18.849128804224318</v>
      </c>
      <c r="D197" s="2"/>
      <c r="E197" s="2">
        <v>33.880000000000003</v>
      </c>
      <c r="F197" s="2">
        <v>-1.7787321193800665E-2</v>
      </c>
      <c r="G197" s="2">
        <v>5.2500948033650123E-2</v>
      </c>
      <c r="H197" s="5"/>
      <c r="I197" s="31">
        <v>2.9497013035797098E-6</v>
      </c>
      <c r="J197" s="2">
        <v>0.39169999999999927</v>
      </c>
      <c r="K197" s="2">
        <v>9.0336715867158492</v>
      </c>
      <c r="L197" s="5"/>
    </row>
    <row r="198" spans="1:12" ht="15.4" x14ac:dyDescent="0.4">
      <c r="A198" s="43">
        <v>50</v>
      </c>
      <c r="B198" s="2">
        <v>-5.9846000000000004</v>
      </c>
      <c r="C198" s="2">
        <v>7.6273087373889288</v>
      </c>
      <c r="D198" s="2"/>
      <c r="E198" s="2">
        <v>33.950000000000003</v>
      </c>
      <c r="F198" s="2">
        <v>-2.1851526103892027</v>
      </c>
      <c r="G198" s="2">
        <v>6.4363847139593586</v>
      </c>
      <c r="H198" s="5"/>
      <c r="I198" s="30">
        <v>2.9497013035797098E-6</v>
      </c>
      <c r="J198" s="2">
        <v>-0.3052999999999999</v>
      </c>
      <c r="K198" s="2">
        <v>5.5358114233907507</v>
      </c>
      <c r="L198" s="5"/>
    </row>
    <row r="199" spans="1:12" ht="15.4" x14ac:dyDescent="0.4">
      <c r="A199" s="43">
        <v>50</v>
      </c>
      <c r="B199" s="2">
        <v>2.6957349307865996</v>
      </c>
      <c r="C199" s="2">
        <v>4.0764175575179191</v>
      </c>
      <c r="D199" s="2"/>
      <c r="E199" s="2">
        <v>34.75</v>
      </c>
      <c r="F199" s="2">
        <v>0.75072220284739899</v>
      </c>
      <c r="G199" s="2">
        <v>2.1603516628702129</v>
      </c>
      <c r="H199" s="5"/>
      <c r="I199" s="30">
        <v>2.9497013035797098E-6</v>
      </c>
      <c r="J199" s="2">
        <v>-1.1334</v>
      </c>
      <c r="K199" s="2">
        <v>16.531505250875146</v>
      </c>
      <c r="L199" s="5"/>
    </row>
    <row r="200" spans="1:12" ht="15.4" x14ac:dyDescent="0.4">
      <c r="A200" s="43">
        <v>50.000000000000014</v>
      </c>
      <c r="B200" s="2">
        <v>-0.74120000000000008</v>
      </c>
      <c r="C200" s="2">
        <v>39.806659505907625</v>
      </c>
      <c r="D200" s="2"/>
      <c r="E200" s="2">
        <v>34.770000000000003</v>
      </c>
      <c r="F200" s="2">
        <v>-0.64384815224550351</v>
      </c>
      <c r="G200" s="2">
        <v>1.8517346915315025</v>
      </c>
      <c r="H200" s="5"/>
      <c r="I200" s="30">
        <v>2.9976798143851598E-6</v>
      </c>
      <c r="J200" s="2">
        <v>1.3300000000000034E-2</v>
      </c>
      <c r="K200" s="2">
        <v>5.4958677685950557</v>
      </c>
      <c r="L200" s="5"/>
    </row>
    <row r="201" spans="1:12" ht="15.4" x14ac:dyDescent="0.4">
      <c r="A201" s="43">
        <v>51</v>
      </c>
      <c r="B201" s="2">
        <v>-0.17609999999999992</v>
      </c>
      <c r="C201" s="2">
        <v>2.6521084337349388</v>
      </c>
      <c r="D201" s="2"/>
      <c r="E201" s="2">
        <v>35.72</v>
      </c>
      <c r="F201" s="2">
        <v>-4.4236751096966991</v>
      </c>
      <c r="G201" s="2">
        <v>12.384308817739919</v>
      </c>
      <c r="H201" s="5"/>
      <c r="I201" s="30">
        <v>2.9976798143851598E-6</v>
      </c>
      <c r="J201" s="2">
        <v>4.3499999999999983E-2</v>
      </c>
      <c r="K201" s="2">
        <v>16.860465116279062</v>
      </c>
      <c r="L201" s="5"/>
    </row>
    <row r="202" spans="1:12" ht="15.4" x14ac:dyDescent="0.4">
      <c r="A202" s="43">
        <v>51.2</v>
      </c>
      <c r="B202" s="2">
        <v>-6.5944352783107973</v>
      </c>
      <c r="C202" s="2">
        <v>12.894867575891272</v>
      </c>
      <c r="D202" s="2"/>
      <c r="E202" s="2">
        <v>36.218699999999998</v>
      </c>
      <c r="F202" s="2">
        <v>-0.11999999999999744</v>
      </c>
      <c r="G202" s="2">
        <v>0.33132056092570261</v>
      </c>
      <c r="H202" s="5"/>
      <c r="I202" s="30">
        <v>2.9976798143851598E-6</v>
      </c>
      <c r="J202" s="2">
        <v>5.2200000000000024E-2</v>
      </c>
      <c r="K202" s="2">
        <v>17.755102040816336</v>
      </c>
      <c r="L202" s="5"/>
    </row>
    <row r="203" spans="1:12" ht="15.4" x14ac:dyDescent="0.4">
      <c r="A203" s="43">
        <v>51.2</v>
      </c>
      <c r="B203" s="2">
        <v>-22.914268620332599</v>
      </c>
      <c r="C203" s="2">
        <v>35.465514038589383</v>
      </c>
      <c r="D203" s="2"/>
      <c r="E203" s="2">
        <v>36.31</v>
      </c>
      <c r="F203" s="2">
        <v>-3.5859418886964036</v>
      </c>
      <c r="G203" s="2">
        <v>9.8759071569716426</v>
      </c>
      <c r="H203" s="5"/>
      <c r="I203" s="30">
        <v>2.9976798143851598E-6</v>
      </c>
      <c r="J203" s="2">
        <v>-6.6899999999999959E-2</v>
      </c>
      <c r="K203" s="2">
        <v>14.113924050632903</v>
      </c>
      <c r="L203" s="5"/>
    </row>
    <row r="204" spans="1:12" ht="15.4" x14ac:dyDescent="0.4">
      <c r="A204" s="43">
        <v>52.095808383233546</v>
      </c>
      <c r="B204" s="2">
        <v>0.29510604417618014</v>
      </c>
      <c r="C204" s="2">
        <v>25.931989822159945</v>
      </c>
      <c r="D204" s="2"/>
      <c r="E204" s="2">
        <v>36.590000000000003</v>
      </c>
      <c r="F204" s="2">
        <v>21.4213187693884</v>
      </c>
      <c r="G204" s="2">
        <v>58.544189039050011</v>
      </c>
      <c r="H204" s="5"/>
      <c r="I204" s="30">
        <v>3.4981793719731287E-6</v>
      </c>
      <c r="J204" s="2">
        <v>7.9600000000000004E-2</v>
      </c>
      <c r="K204" s="2">
        <v>33.872340425531917</v>
      </c>
      <c r="L204" s="5"/>
    </row>
    <row r="205" spans="1:12" ht="15.4" x14ac:dyDescent="0.4">
      <c r="A205" s="43">
        <v>53.5</v>
      </c>
      <c r="B205" s="2">
        <v>3.3300000000000107E-2</v>
      </c>
      <c r="C205" s="2">
        <v>2.1864740643466911</v>
      </c>
      <c r="D205" s="2"/>
      <c r="E205" s="2">
        <v>37.85</v>
      </c>
      <c r="F205" s="2">
        <v>-1.2606447159246983</v>
      </c>
      <c r="G205" s="2">
        <v>3.3306333313730465</v>
      </c>
      <c r="H205" s="5"/>
      <c r="I205" s="30">
        <v>3.4981793719731287E-6</v>
      </c>
      <c r="J205" s="2">
        <v>-3.2200000000000006E-2</v>
      </c>
      <c r="K205" s="2">
        <v>3.0813397129186613</v>
      </c>
      <c r="L205" s="5"/>
    </row>
    <row r="206" spans="1:12" ht="15.4" x14ac:dyDescent="0.4">
      <c r="A206" s="43">
        <v>53.5</v>
      </c>
      <c r="B206" s="2">
        <v>-0.48827999999999983</v>
      </c>
      <c r="C206" s="2">
        <v>28.039830479275047</v>
      </c>
      <c r="D206" s="2"/>
      <c r="E206" s="2">
        <v>38.875300000000003</v>
      </c>
      <c r="F206" s="2">
        <v>-4.0500000000001535E-2</v>
      </c>
      <c r="G206" s="2">
        <v>0.10417926035297871</v>
      </c>
      <c r="H206" s="5"/>
      <c r="I206" s="30">
        <v>3.4981793719731287E-6</v>
      </c>
      <c r="J206" s="2">
        <v>-0.63760000000000017</v>
      </c>
      <c r="K206" s="2">
        <v>34.879649890590819</v>
      </c>
      <c r="L206" s="5"/>
    </row>
    <row r="207" spans="1:12" ht="15.4" x14ac:dyDescent="0.4">
      <c r="A207" s="43">
        <v>55.000000000000007</v>
      </c>
      <c r="B207" s="2">
        <v>-0.28469999999999995</v>
      </c>
      <c r="C207" s="2">
        <v>17.466257668711656</v>
      </c>
      <c r="D207" s="2"/>
      <c r="E207" s="2">
        <v>41.21</v>
      </c>
      <c r="F207" s="2">
        <v>-3.11091541010029E-2</v>
      </c>
      <c r="G207" s="2">
        <v>7.5489332931334377E-2</v>
      </c>
      <c r="H207" s="5"/>
      <c r="I207" s="30">
        <v>3.5115209493581004E-6</v>
      </c>
      <c r="J207" s="2">
        <v>1.7494518518520463E-3</v>
      </c>
      <c r="K207" s="2">
        <v>0.21935310005292344</v>
      </c>
      <c r="L207" s="5"/>
    </row>
    <row r="208" spans="1:12" ht="15.4" x14ac:dyDescent="0.4">
      <c r="A208" s="43">
        <v>55.000000000000007</v>
      </c>
      <c r="B208" s="2">
        <v>-0.15093152442396329</v>
      </c>
      <c r="C208" s="2">
        <v>14.971412039734014</v>
      </c>
      <c r="D208" s="2"/>
      <c r="E208" s="2">
        <v>42.04</v>
      </c>
      <c r="F208" s="2">
        <v>-0.31079332708699781</v>
      </c>
      <c r="G208" s="2">
        <v>0.73928003588724511</v>
      </c>
      <c r="H208" s="5"/>
      <c r="I208" s="30">
        <v>3.5115209493581004E-6</v>
      </c>
      <c r="J208" s="2">
        <v>-7.6196000000000041E-2</v>
      </c>
      <c r="K208" s="2">
        <v>8.4166946501475817</v>
      </c>
      <c r="L208" s="5"/>
    </row>
    <row r="209" spans="1:12" ht="15.4" x14ac:dyDescent="0.4">
      <c r="A209" s="43">
        <v>55.000000000000007</v>
      </c>
      <c r="B209" s="2">
        <v>-0.49684936842105243</v>
      </c>
      <c r="C209" s="2">
        <v>15.582301260309128</v>
      </c>
      <c r="D209" s="2"/>
      <c r="E209" s="2">
        <v>42.19</v>
      </c>
      <c r="F209" s="2">
        <v>-3.5302687615139945</v>
      </c>
      <c r="G209" s="2">
        <v>8.367548617004017</v>
      </c>
      <c r="H209" s="5"/>
      <c r="I209" s="30">
        <v>3.5115209493581004E-6</v>
      </c>
      <c r="J209" s="2">
        <v>-0.15093152442396329</v>
      </c>
      <c r="K209" s="2">
        <v>14.971412039734014</v>
      </c>
      <c r="L209" s="5"/>
    </row>
    <row r="210" spans="1:12" ht="15.4" x14ac:dyDescent="0.4">
      <c r="A210" s="43">
        <v>56.000000000000007</v>
      </c>
      <c r="B210" s="2">
        <v>-0.40300000000000047</v>
      </c>
      <c r="C210" s="2">
        <v>5.692090395480232</v>
      </c>
      <c r="D210" s="2"/>
      <c r="E210" s="2">
        <v>42.396500000000003</v>
      </c>
      <c r="F210" s="2">
        <v>-0.81270000000000664</v>
      </c>
      <c r="G210" s="2">
        <v>1.9169035179790941</v>
      </c>
      <c r="H210" s="5"/>
      <c r="I210" s="31">
        <v>3.5115209493581004E-6</v>
      </c>
      <c r="J210" s="2">
        <v>-0.31756762352941192</v>
      </c>
      <c r="K210" s="2">
        <v>26.429442447575944</v>
      </c>
      <c r="L210" s="5"/>
    </row>
    <row r="211" spans="1:12" ht="15.4" x14ac:dyDescent="0.4">
      <c r="A211" s="43">
        <v>56.799214531173291</v>
      </c>
      <c r="B211" s="2">
        <v>4.1179533981479999E-2</v>
      </c>
      <c r="C211" s="2">
        <v>2.8537445586611221</v>
      </c>
      <c r="D211" s="2"/>
      <c r="E211" s="2">
        <v>42.53</v>
      </c>
      <c r="F211" s="2">
        <v>19.2721132314256</v>
      </c>
      <c r="G211" s="2">
        <v>45.314162312310366</v>
      </c>
      <c r="H211" s="5"/>
      <c r="I211" s="31">
        <v>3.5115209493581004E-6</v>
      </c>
      <c r="J211" s="2">
        <v>-0.48856764397905783</v>
      </c>
      <c r="K211" s="2">
        <v>34.945923116319278</v>
      </c>
      <c r="L211" s="5"/>
    </row>
    <row r="212" spans="1:12" ht="15.4" x14ac:dyDescent="0.4">
      <c r="A212" s="43">
        <v>58.4</v>
      </c>
      <c r="B212" s="2">
        <v>-0.23420000000000019</v>
      </c>
      <c r="C212" s="2">
        <v>12.755991285403059</v>
      </c>
      <c r="D212" s="2"/>
      <c r="E212" s="2">
        <v>43.55</v>
      </c>
      <c r="F212" s="2">
        <v>-4.4408083649873973</v>
      </c>
      <c r="G212" s="2">
        <v>10.197034133151314</v>
      </c>
      <c r="H212" s="5"/>
      <c r="I212" s="31">
        <v>4.3212804006726878E-6</v>
      </c>
      <c r="J212" s="2">
        <v>6.0099999999999987E-2</v>
      </c>
      <c r="K212" s="2">
        <v>31.815775542615132</v>
      </c>
      <c r="L212" s="5"/>
    </row>
    <row r="213" spans="1:12" ht="15.4" x14ac:dyDescent="0.4">
      <c r="A213" s="43">
        <v>58.4</v>
      </c>
      <c r="B213" s="2">
        <v>-0.8913000000000002</v>
      </c>
      <c r="C213" s="2">
        <v>40.874071356507393</v>
      </c>
      <c r="D213" s="2"/>
      <c r="E213" s="2">
        <v>46.227600000000002</v>
      </c>
      <c r="F213" s="2">
        <v>-1.9039000000000001</v>
      </c>
      <c r="G213" s="2">
        <v>4.1185352473414145</v>
      </c>
      <c r="H213" s="5"/>
      <c r="I213" s="31">
        <v>4.3212804006726878E-6</v>
      </c>
      <c r="J213" s="2">
        <v>0.26029999999999998</v>
      </c>
      <c r="K213" s="2">
        <v>46.316725978647675</v>
      </c>
      <c r="L213" s="5"/>
    </row>
    <row r="214" spans="1:12" ht="15.4" x14ac:dyDescent="0.4">
      <c r="A214" s="43">
        <v>59.553349875930515</v>
      </c>
      <c r="B214" s="2">
        <v>-1.1334</v>
      </c>
      <c r="C214" s="2">
        <v>16.531505250875146</v>
      </c>
      <c r="D214" s="2"/>
      <c r="E214" s="2">
        <v>48.19</v>
      </c>
      <c r="F214" s="2">
        <v>-6.5408455473026947</v>
      </c>
      <c r="G214" s="2">
        <v>13.573034960163302</v>
      </c>
      <c r="H214" s="5"/>
      <c r="I214" s="31">
        <v>4.3212804006726878E-6</v>
      </c>
      <c r="J214" s="2">
        <v>-0.13570000000000004</v>
      </c>
      <c r="K214" s="2">
        <v>12.313974591651546</v>
      </c>
      <c r="L214" s="5"/>
    </row>
    <row r="215" spans="1:12" ht="15.4" x14ac:dyDescent="0.4">
      <c r="A215" s="43">
        <v>60</v>
      </c>
      <c r="B215" s="2">
        <v>0.13390000000000013</v>
      </c>
      <c r="C215" s="2">
        <v>8.447949526813888</v>
      </c>
      <c r="D215" s="2"/>
      <c r="E215" s="2">
        <v>51.14</v>
      </c>
      <c r="F215" s="2">
        <v>-6.5944352783107973</v>
      </c>
      <c r="G215" s="2">
        <v>12.894867575891272</v>
      </c>
      <c r="H215" s="5"/>
      <c r="I215" s="30">
        <v>4.87518234322751E-6</v>
      </c>
      <c r="J215" s="2">
        <v>-8.1956240720404416E-4</v>
      </c>
      <c r="K215" s="2">
        <v>9.2085663730791467E-2</v>
      </c>
      <c r="L215" s="5"/>
    </row>
    <row r="216" spans="1:12" ht="15.4" x14ac:dyDescent="0.4">
      <c r="A216" s="43">
        <v>60</v>
      </c>
      <c r="B216" s="2">
        <v>1.1499999999999844E-2</v>
      </c>
      <c r="C216" s="2">
        <v>0.38500167392031615</v>
      </c>
      <c r="D216" s="2"/>
      <c r="E216" s="2">
        <v>53.57</v>
      </c>
      <c r="F216" s="2">
        <v>11.827316796434197</v>
      </c>
      <c r="G216" s="2">
        <v>22.078246773257789</v>
      </c>
      <c r="H216" s="5"/>
      <c r="I216" s="31">
        <v>7.4555586114832146E-6</v>
      </c>
      <c r="J216" s="2">
        <v>5.5816961235704954E-2</v>
      </c>
      <c r="K216" s="2">
        <v>21.686340134798368</v>
      </c>
      <c r="L216" s="5"/>
    </row>
    <row r="217" spans="1:12" ht="15.4" x14ac:dyDescent="0.4">
      <c r="A217" s="43">
        <v>60</v>
      </c>
      <c r="B217" s="2">
        <v>-1.0907</v>
      </c>
      <c r="C217" s="2">
        <v>54.616925388082116</v>
      </c>
      <c r="D217" s="2"/>
      <c r="E217" s="2">
        <v>56.89</v>
      </c>
      <c r="F217" s="2">
        <v>-12.707956754775104</v>
      </c>
      <c r="G217" s="2">
        <v>22.337768948453338</v>
      </c>
      <c r="H217" s="5"/>
      <c r="I217" s="31">
        <v>7.4555586114832146E-6</v>
      </c>
      <c r="J217" s="2">
        <v>7.1285714285714286E-3</v>
      </c>
      <c r="K217" s="2">
        <v>2.1054852320675104</v>
      </c>
      <c r="L217" s="5"/>
    </row>
    <row r="218" spans="1:12" ht="15.4" x14ac:dyDescent="0.4">
      <c r="A218" s="43">
        <v>60</v>
      </c>
      <c r="B218" s="2">
        <v>-0.31756762352941192</v>
      </c>
      <c r="C218" s="2">
        <v>26.429442447575944</v>
      </c>
      <c r="D218" s="2"/>
      <c r="E218" s="2">
        <v>57.127099999999999</v>
      </c>
      <c r="F218" s="2">
        <v>-0.51039999999999708</v>
      </c>
      <c r="G218" s="2">
        <v>0.89344636783592557</v>
      </c>
      <c r="H218" s="5"/>
      <c r="I218" s="31">
        <v>7.4555586114832146E-6</v>
      </c>
      <c r="J218" s="2">
        <v>-0.10730833333333334</v>
      </c>
      <c r="K218" s="2">
        <v>22.821444395214886</v>
      </c>
      <c r="L218" s="5"/>
    </row>
    <row r="219" spans="1:12" ht="15.4" x14ac:dyDescent="0.4">
      <c r="A219" s="43">
        <v>60</v>
      </c>
      <c r="B219" s="2">
        <v>-0.63738800000000095</v>
      </c>
      <c r="C219" s="2">
        <v>18.583347327959419</v>
      </c>
      <c r="D219" s="2"/>
      <c r="E219" s="2">
        <v>60.5289</v>
      </c>
      <c r="F219" s="2">
        <v>-1.9307000000000016</v>
      </c>
      <c r="G219" s="2">
        <v>3.1897159869087357</v>
      </c>
      <c r="H219" s="5"/>
      <c r="I219" s="31">
        <v>7.4555586114832146E-6</v>
      </c>
      <c r="J219" s="2">
        <v>-0.29092830188679236</v>
      </c>
      <c r="K219" s="2">
        <v>43.130629370629364</v>
      </c>
      <c r="L219" s="5"/>
    </row>
    <row r="220" spans="1:12" ht="15.4" x14ac:dyDescent="0.4">
      <c r="A220" s="43">
        <v>60</v>
      </c>
      <c r="B220" s="2">
        <v>-0.11422630637149922</v>
      </c>
      <c r="C220" s="2">
        <v>0.85116472706035196</v>
      </c>
      <c r="D220" s="2"/>
      <c r="E220" s="2">
        <v>61.16</v>
      </c>
      <c r="F220" s="2">
        <v>-10.265198059226194</v>
      </c>
      <c r="G220" s="2">
        <v>16.784169488597438</v>
      </c>
      <c r="H220" s="5"/>
      <c r="I220" s="31">
        <v>7.4555586114832146E-6</v>
      </c>
      <c r="J220" s="2">
        <v>-0.45704509803921572</v>
      </c>
      <c r="K220" s="2">
        <v>52.975681818181819</v>
      </c>
      <c r="L220" s="5"/>
    </row>
    <row r="221" spans="1:12" ht="15.4" x14ac:dyDescent="0.4">
      <c r="A221" s="43">
        <v>60</v>
      </c>
      <c r="B221" s="2">
        <v>0.74050101059697226</v>
      </c>
      <c r="C221" s="2">
        <v>0.13769589992133816</v>
      </c>
      <c r="D221" s="2"/>
      <c r="E221" s="2">
        <v>64.156700000000001</v>
      </c>
      <c r="F221" s="2">
        <v>-3.9883999999999986</v>
      </c>
      <c r="G221" s="2">
        <v>6.2166539114387094</v>
      </c>
      <c r="H221" s="5"/>
      <c r="I221" s="31">
        <v>8.9590180703006897E-6</v>
      </c>
      <c r="J221" s="2">
        <v>-1.9365312948993463E-4</v>
      </c>
      <c r="K221" s="2">
        <v>9.4006373538803208E-3</v>
      </c>
      <c r="L221" s="5"/>
    </row>
    <row r="222" spans="1:12" ht="15.4" x14ac:dyDescent="0.4">
      <c r="A222" s="43">
        <v>61</v>
      </c>
      <c r="B222" s="2">
        <v>-1.5186000000000002</v>
      </c>
      <c r="C222" s="2">
        <v>18.078571428571429</v>
      </c>
      <c r="D222" s="2"/>
      <c r="E222" s="2">
        <v>64.61</v>
      </c>
      <c r="F222" s="2">
        <v>-22.914268620332599</v>
      </c>
      <c r="G222" s="2">
        <v>35.465514038589383</v>
      </c>
      <c r="H222" s="5"/>
      <c r="I222" s="31">
        <v>9.1895684960201138E-6</v>
      </c>
      <c r="J222" s="2">
        <v>6.2200000000000005E-2</v>
      </c>
      <c r="K222" s="2">
        <v>29.619047619047624</v>
      </c>
      <c r="L222" s="5"/>
    </row>
    <row r="223" spans="1:12" ht="15.4" x14ac:dyDescent="0.4">
      <c r="A223" s="43">
        <v>61.878829135466304</v>
      </c>
      <c r="B223" s="3">
        <v>6.6383027862200183E-3</v>
      </c>
      <c r="C223" s="3">
        <v>0.4338759990993476</v>
      </c>
      <c r="D223" s="2"/>
      <c r="E223" s="2">
        <v>66.13</v>
      </c>
      <c r="F223" s="2">
        <v>2.6957349307865996</v>
      </c>
      <c r="G223" s="2">
        <v>4.0764175575179191</v>
      </c>
      <c r="H223" s="5"/>
      <c r="I223" s="31">
        <v>9.1895684960201138E-6</v>
      </c>
      <c r="J223" s="2">
        <v>-0.14690000000000003</v>
      </c>
      <c r="K223" s="2">
        <v>32.644444444444446</v>
      </c>
      <c r="L223" s="5"/>
    </row>
    <row r="224" spans="1:12" ht="15.4" x14ac:dyDescent="0.4">
      <c r="A224" s="43">
        <v>64.004096262160772</v>
      </c>
      <c r="B224" s="2">
        <v>-0.31079332708699781</v>
      </c>
      <c r="C224" s="2">
        <v>0.73928003588724511</v>
      </c>
      <c r="D224" s="2"/>
      <c r="E224" s="2">
        <v>66.379099999999994</v>
      </c>
      <c r="F224" s="2">
        <v>-0.52309999999999945</v>
      </c>
      <c r="G224" s="2">
        <v>0.78804925044177987</v>
      </c>
      <c r="H224" s="5"/>
      <c r="I224" s="31">
        <v>9.4933714812137596E-6</v>
      </c>
      <c r="J224" s="2">
        <v>-1.0248574787910025E-2</v>
      </c>
      <c r="K224" s="2">
        <v>2.2724112611773895</v>
      </c>
      <c r="L224" s="5"/>
    </row>
    <row r="225" spans="1:12" ht="15.4" x14ac:dyDescent="0.4">
      <c r="A225" s="43">
        <v>64.004096262160772</v>
      </c>
      <c r="B225" s="2">
        <v>-22.56684182363901</v>
      </c>
      <c r="C225" s="2">
        <v>21.837470315114192</v>
      </c>
      <c r="D225" s="2"/>
      <c r="E225" s="2">
        <v>68.2179</v>
      </c>
      <c r="F225" s="2">
        <v>-5.7203000000000017</v>
      </c>
      <c r="G225" s="2">
        <v>8.3853358136207667</v>
      </c>
      <c r="H225" s="5"/>
      <c r="I225" s="31">
        <v>9.4933714812137596E-6</v>
      </c>
      <c r="J225" s="2">
        <v>6.5075487910803975E-2</v>
      </c>
      <c r="K225" s="2">
        <v>12.278393945434711</v>
      </c>
      <c r="L225" s="5"/>
    </row>
    <row r="226" spans="1:12" ht="15.4" x14ac:dyDescent="0.4">
      <c r="A226" s="43">
        <v>64.004096262160772</v>
      </c>
      <c r="B226" s="2">
        <v>-0.67910140380499229</v>
      </c>
      <c r="C226" s="2">
        <v>0.52311000139038077</v>
      </c>
      <c r="D226" s="2"/>
      <c r="E226" s="2">
        <v>69.976600000000005</v>
      </c>
      <c r="F226" s="2">
        <v>-1.88900000000001</v>
      </c>
      <c r="G226" s="2">
        <v>2.6994738241069296</v>
      </c>
      <c r="H226" s="5"/>
      <c r="I226" s="31">
        <v>9.4933714812137596E-6</v>
      </c>
      <c r="J226" s="2">
        <v>8.310222302259973E-3</v>
      </c>
      <c r="K226" s="2">
        <v>1.0234263919039375</v>
      </c>
      <c r="L226" s="5"/>
    </row>
    <row r="227" spans="1:12" ht="15.4" x14ac:dyDescent="0.4">
      <c r="A227" s="43">
        <v>64.004096262160772</v>
      </c>
      <c r="B227" s="2">
        <v>79.241201390573991</v>
      </c>
      <c r="C227" s="2">
        <v>51.041031491513031</v>
      </c>
      <c r="D227" s="2"/>
      <c r="E227" s="2">
        <v>73.7</v>
      </c>
      <c r="F227" s="2">
        <v>17.931580904429097</v>
      </c>
      <c r="G227" s="2">
        <v>24.330503262454677</v>
      </c>
      <c r="H227" s="5"/>
      <c r="I227" s="31">
        <v>9.4933714812137596E-6</v>
      </c>
      <c r="J227" s="2">
        <v>-2.9127053479169884E-2</v>
      </c>
      <c r="K227" s="2">
        <v>2.7713656973520346</v>
      </c>
      <c r="L227" s="5"/>
    </row>
    <row r="228" spans="1:12" ht="15.4" x14ac:dyDescent="0.4">
      <c r="A228" s="43">
        <v>64.004096262160772</v>
      </c>
      <c r="B228" s="2">
        <v>84.19577012511499</v>
      </c>
      <c r="C228" s="2">
        <v>35.391244272852035</v>
      </c>
      <c r="D228" s="2"/>
      <c r="E228" s="2">
        <v>74.287899999999993</v>
      </c>
      <c r="F228" s="2">
        <v>-3.992999999999995</v>
      </c>
      <c r="G228" s="2">
        <v>5.375034157648817</v>
      </c>
      <c r="H228" s="5"/>
      <c r="I228" s="31">
        <v>9.4933714812137596E-6</v>
      </c>
      <c r="J228" s="2">
        <v>-0.18391435034568993</v>
      </c>
      <c r="K228" s="2">
        <v>13.838551568524448</v>
      </c>
      <c r="L228" s="5"/>
    </row>
    <row r="229" spans="1:12" ht="15.4" x14ac:dyDescent="0.4">
      <c r="A229" s="43">
        <v>64.600000000000009</v>
      </c>
      <c r="B229" s="2">
        <v>-12.325850818877029</v>
      </c>
      <c r="C229" s="2">
        <v>2.7843703846744896</v>
      </c>
      <c r="D229" s="2"/>
      <c r="E229" s="2">
        <v>78.462800000000001</v>
      </c>
      <c r="F229" s="2">
        <v>-5.9846000000000004</v>
      </c>
      <c r="G229" s="2">
        <v>7.6273087373889288</v>
      </c>
      <c r="H229" s="5"/>
      <c r="I229" s="31">
        <v>1.01734817125911E-5</v>
      </c>
      <c r="J229" s="2">
        <v>9.5108994708994643E-2</v>
      </c>
      <c r="K229" s="2">
        <v>38.773943054357169</v>
      </c>
      <c r="L229" s="5"/>
    </row>
    <row r="230" spans="1:12" ht="15.4" x14ac:dyDescent="0.4">
      <c r="A230" s="43">
        <v>65</v>
      </c>
      <c r="B230" s="2">
        <v>-0.48856764397905783</v>
      </c>
      <c r="C230" s="2">
        <v>34.945923116319278</v>
      </c>
      <c r="D230" s="2"/>
      <c r="E230" s="2">
        <v>82.06</v>
      </c>
      <c r="F230" s="2">
        <v>13.460861792800202</v>
      </c>
      <c r="G230" s="2">
        <v>16.403682418718258</v>
      </c>
      <c r="H230" s="5"/>
      <c r="I230" s="31">
        <v>1.01734817125911E-5</v>
      </c>
      <c r="J230" s="2">
        <v>0.13299327213131362</v>
      </c>
      <c r="K230" s="2">
        <v>38.251309416933417</v>
      </c>
      <c r="L230" s="5"/>
    </row>
    <row r="231" spans="1:12" ht="15.4" x14ac:dyDescent="0.4">
      <c r="A231" s="43">
        <v>65</v>
      </c>
      <c r="B231" s="2">
        <v>-0.71966327058823554</v>
      </c>
      <c r="C231" s="2">
        <v>19.944865898626983</v>
      </c>
      <c r="D231" s="2"/>
      <c r="E231" s="2">
        <v>87.02</v>
      </c>
      <c r="F231" s="2">
        <v>16.402511885435999</v>
      </c>
      <c r="G231" s="2">
        <v>18.849128804224318</v>
      </c>
      <c r="H231" s="5"/>
      <c r="I231" s="31">
        <v>1.01734817125911E-5</v>
      </c>
      <c r="J231" s="2">
        <v>0.11503041825095051</v>
      </c>
      <c r="K231" s="2">
        <v>18.674691358024678</v>
      </c>
      <c r="L231" s="5"/>
    </row>
    <row r="232" spans="1:12" ht="15.4" x14ac:dyDescent="0.4">
      <c r="A232" s="43">
        <v>65</v>
      </c>
      <c r="B232" s="2">
        <v>-25.154364551450954</v>
      </c>
      <c r="C232" s="2">
        <v>4.3545276722381603</v>
      </c>
      <c r="D232" s="2"/>
      <c r="E232" s="2">
        <v>103.34</v>
      </c>
      <c r="F232" s="2">
        <v>-22.56684182363901</v>
      </c>
      <c r="G232" s="2">
        <v>21.837470315114192</v>
      </c>
      <c r="H232" s="5"/>
      <c r="I232" s="31">
        <v>1.01734817125911E-5</v>
      </c>
      <c r="J232" s="2">
        <v>-7.5627272727272765E-2</v>
      </c>
      <c r="K232" s="2">
        <v>8.6656250000000039</v>
      </c>
      <c r="L232" s="5"/>
    </row>
    <row r="233" spans="1:12" ht="15.4" x14ac:dyDescent="0.4">
      <c r="A233" s="43">
        <v>66</v>
      </c>
      <c r="B233" s="2">
        <v>-2.9217000000000004</v>
      </c>
      <c r="C233" s="2">
        <v>29.217000000000006</v>
      </c>
      <c r="D233" s="2"/>
      <c r="E233" s="2">
        <v>129.82</v>
      </c>
      <c r="F233" s="2">
        <v>-0.67910140380499229</v>
      </c>
      <c r="G233" s="2">
        <v>0.52311000139038077</v>
      </c>
      <c r="H233" s="5"/>
      <c r="I233" s="31">
        <v>1.01734817125911E-5</v>
      </c>
      <c r="J233" s="2">
        <v>-0.25007022900763354</v>
      </c>
      <c r="K233" s="2">
        <v>22.592551724137927</v>
      </c>
      <c r="L233" s="5"/>
    </row>
    <row r="234" spans="1:12" ht="15.4" x14ac:dyDescent="0.4">
      <c r="A234" s="43">
        <v>66.2</v>
      </c>
      <c r="B234" s="2">
        <v>-83.324922743782963</v>
      </c>
      <c r="C234" s="2">
        <v>12.398988548693209</v>
      </c>
      <c r="D234" s="2"/>
      <c r="E234" s="2">
        <v>155.25</v>
      </c>
      <c r="F234" s="2">
        <v>79.241201390573991</v>
      </c>
      <c r="G234" s="2">
        <v>51.041031491513031</v>
      </c>
      <c r="H234" s="5"/>
      <c r="I234" s="31">
        <v>1.28525963592315E-5</v>
      </c>
      <c r="J234" s="2">
        <v>-6.4197009915750169E-3</v>
      </c>
      <c r="K234" s="2">
        <v>1.5034428551697934</v>
      </c>
      <c r="L234" s="5"/>
    </row>
    <row r="235" spans="1:12" ht="15.4" x14ac:dyDescent="0.4">
      <c r="A235" s="43">
        <v>66.666666666666657</v>
      </c>
      <c r="B235" s="2">
        <v>-0.60329284431210084</v>
      </c>
      <c r="C235" s="2">
        <v>4.195360530682203</v>
      </c>
      <c r="D235" s="2"/>
      <c r="E235" s="2">
        <v>237.9</v>
      </c>
      <c r="F235" s="2">
        <v>84.19577012511499</v>
      </c>
      <c r="G235" s="2">
        <v>35.391244272852035</v>
      </c>
      <c r="H235" s="5"/>
      <c r="I235" s="31">
        <v>1.28525963592315E-5</v>
      </c>
      <c r="J235" s="2">
        <v>-4.2374878835418905E-2</v>
      </c>
      <c r="K235" s="2">
        <v>7.356749797815783</v>
      </c>
      <c r="L235" s="5"/>
    </row>
    <row r="236" spans="1:12" ht="15.4" x14ac:dyDescent="0.4">
      <c r="A236" s="43">
        <v>68</v>
      </c>
      <c r="B236" s="2">
        <v>52.807940341966059</v>
      </c>
      <c r="C236" s="2">
        <v>5.9457018748624764</v>
      </c>
      <c r="D236" s="2"/>
      <c r="E236" s="2">
        <v>442.68</v>
      </c>
      <c r="F236" s="2">
        <v>-12.325850818877029</v>
      </c>
      <c r="G236" s="2">
        <v>2.7843703846744896</v>
      </c>
      <c r="H236" s="5"/>
      <c r="I236" s="31">
        <v>1.28525963592315E-5</v>
      </c>
      <c r="J236" s="2">
        <v>-4.0693847555498985E-2</v>
      </c>
      <c r="K236" s="2">
        <v>5.6052131619144605</v>
      </c>
      <c r="L236" s="5"/>
    </row>
    <row r="237" spans="1:12" ht="15.4" x14ac:dyDescent="0.4">
      <c r="A237" s="43">
        <v>68.300000000000011</v>
      </c>
      <c r="B237" s="2">
        <v>-32.869484720347032</v>
      </c>
      <c r="C237" s="2">
        <v>3.8618641946996388</v>
      </c>
      <c r="D237" s="2"/>
      <c r="E237" s="2">
        <v>537.78</v>
      </c>
      <c r="F237" s="2">
        <v>0.74050101059697226</v>
      </c>
      <c r="G237" s="2">
        <v>0.13769589992133816</v>
      </c>
      <c r="H237" s="5"/>
      <c r="I237" s="31">
        <v>1.28525963592315E-5</v>
      </c>
      <c r="J237" s="2">
        <v>-0.10535657840233703</v>
      </c>
      <c r="K237" s="2">
        <v>11.501809869250767</v>
      </c>
      <c r="L237" s="5"/>
    </row>
    <row r="238" spans="1:12" ht="15.4" x14ac:dyDescent="0.4">
      <c r="A238" s="43">
        <v>68.7</v>
      </c>
      <c r="B238" s="2">
        <v>82.605758474238996</v>
      </c>
      <c r="C238" s="2">
        <v>9.137805140955642</v>
      </c>
      <c r="D238" s="2"/>
      <c r="E238" s="2">
        <v>577.66</v>
      </c>
      <c r="F238" s="2">
        <v>-25.154364551450954</v>
      </c>
      <c r="G238" s="2">
        <v>4.3545276722381603</v>
      </c>
      <c r="H238" s="5"/>
      <c r="I238" s="31">
        <v>1.28525963592315E-5</v>
      </c>
      <c r="J238" s="2">
        <v>-0.43963390519038592</v>
      </c>
      <c r="K238" s="2">
        <v>33.080053061729565</v>
      </c>
      <c r="L238" s="5"/>
    </row>
    <row r="239" spans="1:12" ht="15.4" x14ac:dyDescent="0.4">
      <c r="A239" s="43">
        <v>70</v>
      </c>
      <c r="B239" s="2">
        <v>-1.0875268000000005</v>
      </c>
      <c r="C239" s="2">
        <v>26.732206768806506</v>
      </c>
      <c r="D239" s="2"/>
      <c r="E239" s="2">
        <v>672.03</v>
      </c>
      <c r="F239" s="2">
        <v>-83.324922743782963</v>
      </c>
      <c r="G239" s="2">
        <v>12.398988548693209</v>
      </c>
      <c r="H239" s="5"/>
      <c r="I239" s="31">
        <v>1.41955478633333E-5</v>
      </c>
      <c r="J239" s="2">
        <v>-1.7446392370787989E-2</v>
      </c>
      <c r="K239" s="2">
        <v>3.8428177028167374</v>
      </c>
      <c r="L239" s="5"/>
    </row>
    <row r="240" spans="1:12" ht="15.4" x14ac:dyDescent="0.4">
      <c r="A240" s="43">
        <v>70</v>
      </c>
      <c r="B240" s="2">
        <v>-171.02256442384999</v>
      </c>
      <c r="C240" s="2">
        <v>22.967455571740324</v>
      </c>
      <c r="D240" s="2"/>
      <c r="E240" s="2">
        <v>744.63</v>
      </c>
      <c r="F240" s="2">
        <v>-171.02256442384999</v>
      </c>
      <c r="G240" s="2">
        <v>22.967455571740324</v>
      </c>
      <c r="H240" s="5"/>
      <c r="I240" s="31">
        <v>1.41955478633333E-5</v>
      </c>
      <c r="J240" s="2">
        <v>4.5715401548453993E-2</v>
      </c>
      <c r="K240" s="2">
        <v>8.528992826204103</v>
      </c>
      <c r="L240" s="5"/>
    </row>
    <row r="241" spans="1:12" ht="15.4" x14ac:dyDescent="0.4">
      <c r="A241" s="43">
        <v>71</v>
      </c>
      <c r="B241" s="2">
        <v>-4.6304000000000007</v>
      </c>
      <c r="C241" s="2">
        <v>38.91092436974791</v>
      </c>
      <c r="D241" s="2"/>
      <c r="E241" s="2">
        <v>851.13</v>
      </c>
      <c r="F241" s="2">
        <v>-32.869484720347032</v>
      </c>
      <c r="G241" s="2">
        <v>3.8618641946996388</v>
      </c>
      <c r="H241" s="5"/>
      <c r="I241" s="31">
        <v>1.41955478633333E-5</v>
      </c>
      <c r="J241" s="2">
        <v>-2.6409378718818988E-2</v>
      </c>
      <c r="K241" s="2">
        <v>3.2364434704435037</v>
      </c>
      <c r="L241" s="5"/>
    </row>
    <row r="242" spans="1:12" ht="15.4" x14ac:dyDescent="0.4">
      <c r="A242" s="43">
        <v>71.428571428571431</v>
      </c>
      <c r="B242" s="2">
        <v>-2.6874447538762993</v>
      </c>
      <c r="C242" s="2">
        <v>16.006222476928524</v>
      </c>
      <c r="D242" s="2"/>
      <c r="E242" s="2">
        <v>888.17</v>
      </c>
      <c r="F242" s="2">
        <v>52.807940341966059</v>
      </c>
      <c r="G242" s="2">
        <v>5.9457018748624764</v>
      </c>
      <c r="H242" s="5"/>
      <c r="I242" s="31">
        <v>1.41955478633333E-5</v>
      </c>
      <c r="J242" s="2">
        <v>-0.10661787999537597</v>
      </c>
      <c r="K242" s="2">
        <v>9.8811751617586641</v>
      </c>
      <c r="L242" s="5"/>
    </row>
    <row r="243" spans="1:12" ht="15.4" x14ac:dyDescent="0.4">
      <c r="A243" s="43">
        <v>75</v>
      </c>
      <c r="B243" s="2">
        <v>-4.6218358523322003</v>
      </c>
      <c r="C243" s="2">
        <v>24.376771373060127</v>
      </c>
      <c r="D243" s="2"/>
      <c r="E243" s="2">
        <v>904</v>
      </c>
      <c r="F243" s="2">
        <v>82.605758474238996</v>
      </c>
      <c r="G243" s="2">
        <v>9.137805140955642</v>
      </c>
      <c r="H243" s="5"/>
      <c r="I243" s="31">
        <v>1.41955478633333E-5</v>
      </c>
      <c r="J243" s="2">
        <v>-0.54533101058824984</v>
      </c>
      <c r="K243" s="2">
        <v>33.455890220138031</v>
      </c>
      <c r="L243" s="5"/>
    </row>
    <row r="244" spans="1:12" ht="15.4" x14ac:dyDescent="0.4">
      <c r="E244" s="4"/>
      <c r="I244" s="34"/>
    </row>
    <row r="245" spans="1:12" x14ac:dyDescent="0.4">
      <c r="I245" s="34"/>
    </row>
    <row r="246" spans="1:12" x14ac:dyDescent="0.4">
      <c r="I246" s="34"/>
    </row>
    <row r="247" spans="1:12" x14ac:dyDescent="0.4">
      <c r="I247" s="34"/>
    </row>
    <row r="248" spans="1:12" x14ac:dyDescent="0.4">
      <c r="I248" s="34"/>
    </row>
    <row r="249" spans="1:12" x14ac:dyDescent="0.4">
      <c r="I249" s="34"/>
    </row>
    <row r="250" spans="1:12" x14ac:dyDescent="0.4">
      <c r="I250" s="34"/>
    </row>
    <row r="251" spans="1:12" x14ac:dyDescent="0.4">
      <c r="I251" s="34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096A-1119-4CF7-865B-414699248A18}">
  <dimension ref="A1:D243"/>
  <sheetViews>
    <sheetView zoomScale="85" zoomScaleNormal="85" workbookViewId="0">
      <pane ySplit="1" topLeftCell="A2" activePane="bottomLeft" state="frozen"/>
      <selection pane="bottomLeft" activeCell="A2" sqref="A2:A1048576"/>
    </sheetView>
  </sheetViews>
  <sheetFormatPr defaultRowHeight="13.9" x14ac:dyDescent="0.4"/>
  <cols>
    <col min="1" max="1" width="11.265625" style="5" customWidth="1"/>
    <col min="2" max="2" width="16.265625" style="5" customWidth="1"/>
    <col min="3" max="3" width="14.73046875" style="5" customWidth="1"/>
    <col min="4" max="4" width="21.265625" style="5" customWidth="1"/>
  </cols>
  <sheetData>
    <row r="1" spans="1:4" ht="45" x14ac:dyDescent="0.4">
      <c r="A1" s="35" t="s">
        <v>0</v>
      </c>
      <c r="B1" s="35" t="s">
        <v>37</v>
      </c>
      <c r="C1" s="35" t="s">
        <v>38</v>
      </c>
      <c r="D1" s="35" t="s">
        <v>39</v>
      </c>
    </row>
    <row r="2" spans="1:4" ht="15.4" x14ac:dyDescent="0.4">
      <c r="A2" s="2">
        <v>0.17</v>
      </c>
      <c r="B2" s="2">
        <v>0.18594856012310401</v>
      </c>
      <c r="C2" s="2">
        <v>0.18870503029265945</v>
      </c>
      <c r="D2" s="2">
        <v>0.17451360621079626</v>
      </c>
    </row>
    <row r="3" spans="1:4" ht="15.4" x14ac:dyDescent="0.4">
      <c r="A3" s="2">
        <v>0.18890000000000001</v>
      </c>
      <c r="B3" s="2">
        <v>0.18532479507867242</v>
      </c>
      <c r="C3" s="2">
        <v>0.18191184142216771</v>
      </c>
      <c r="D3" s="2">
        <v>0.18047322897687376</v>
      </c>
    </row>
    <row r="4" spans="1:4" ht="15.4" x14ac:dyDescent="0.4">
      <c r="A4" s="2">
        <v>0.189</v>
      </c>
      <c r="B4" s="2">
        <v>0.19890050122920702</v>
      </c>
      <c r="C4" s="2">
        <v>0.19641226028213557</v>
      </c>
      <c r="D4" s="2">
        <v>0.19608321183456229</v>
      </c>
    </row>
    <row r="5" spans="1:4" ht="15.4" x14ac:dyDescent="0.4">
      <c r="A5" s="2">
        <v>0.19</v>
      </c>
      <c r="B5" s="2">
        <v>0.16136277122192613</v>
      </c>
      <c r="C5" s="2">
        <v>0.15872399367709653</v>
      </c>
      <c r="D5" s="2">
        <v>0.15823296154901847</v>
      </c>
    </row>
    <row r="6" spans="1:4" ht="15.4" x14ac:dyDescent="0.4">
      <c r="A6" s="2">
        <v>0.20399999999999999</v>
      </c>
      <c r="B6" s="2">
        <v>0.20842363227474928</v>
      </c>
      <c r="C6" s="2">
        <v>0.20481400439610936</v>
      </c>
      <c r="D6" s="2">
        <v>0.20395751549406388</v>
      </c>
    </row>
    <row r="7" spans="1:4" ht="15.4" x14ac:dyDescent="0.4">
      <c r="A7" s="2">
        <v>0.21</v>
      </c>
      <c r="B7" s="2">
        <v>0.28248542815967986</v>
      </c>
      <c r="C7" s="2">
        <v>0.33208512100571141</v>
      </c>
      <c r="D7" s="2">
        <v>0.26751119519114791</v>
      </c>
    </row>
    <row r="8" spans="1:4" ht="15.4" x14ac:dyDescent="0.4">
      <c r="A8" s="2">
        <v>0.215</v>
      </c>
      <c r="B8" s="2">
        <v>0.21839117067016181</v>
      </c>
      <c r="C8" s="2">
        <v>0.21479571237952033</v>
      </c>
      <c r="D8" s="2">
        <v>0.2132217317858201</v>
      </c>
    </row>
    <row r="9" spans="1:4" ht="15.4" x14ac:dyDescent="0.4">
      <c r="A9" s="2">
        <v>0.22</v>
      </c>
      <c r="B9" s="2">
        <v>0.24318578245844993</v>
      </c>
      <c r="C9" s="2">
        <v>0.28920971622765845</v>
      </c>
      <c r="D9" s="2">
        <v>0.2315487962035182</v>
      </c>
    </row>
    <row r="10" spans="1:4" ht="15.4" x14ac:dyDescent="0.4">
      <c r="A10" s="2">
        <v>0.22700000000000001</v>
      </c>
      <c r="B10" s="2">
        <v>0.22495160561201422</v>
      </c>
      <c r="C10" s="2">
        <v>0.22194650918296915</v>
      </c>
      <c r="D10" s="2">
        <v>0.21980880420411289</v>
      </c>
    </row>
    <row r="11" spans="1:4" ht="15.4" x14ac:dyDescent="0.4">
      <c r="A11" s="2">
        <v>0.22700000000000001</v>
      </c>
      <c r="B11" s="2">
        <v>0.23147943910508903</v>
      </c>
      <c r="C11" s="2">
        <v>0.22755204977065785</v>
      </c>
      <c r="D11" s="2">
        <v>0.22530486508251141</v>
      </c>
    </row>
    <row r="12" spans="1:4" ht="15.4" x14ac:dyDescent="0.4">
      <c r="A12" s="2">
        <v>0.23</v>
      </c>
      <c r="B12" s="2">
        <v>0.21892870000189477</v>
      </c>
      <c r="C12" s="2">
        <v>0.21500926286776995</v>
      </c>
      <c r="D12" s="2">
        <v>0.21244126478287984</v>
      </c>
    </row>
    <row r="13" spans="1:4" ht="15.4" x14ac:dyDescent="0.4">
      <c r="A13" s="2">
        <v>0.23400000000000001</v>
      </c>
      <c r="B13" s="2">
        <v>0.24502909149956817</v>
      </c>
      <c r="C13" s="2">
        <v>0.24645326801190495</v>
      </c>
      <c r="D13" s="2">
        <v>0.24211896691614149</v>
      </c>
    </row>
    <row r="14" spans="1:4" ht="15.4" x14ac:dyDescent="0.4">
      <c r="A14" s="2">
        <v>0.23499999999999999</v>
      </c>
      <c r="B14" s="2">
        <v>0.23585213209815428</v>
      </c>
      <c r="C14" s="2">
        <v>0.23151322022177176</v>
      </c>
      <c r="D14" s="2">
        <v>0.22962962760631894</v>
      </c>
    </row>
    <row r="15" spans="1:4" ht="15.4" x14ac:dyDescent="0.4">
      <c r="A15" s="2">
        <v>0.24199999999999999</v>
      </c>
      <c r="B15" s="2">
        <v>0.23354796142805734</v>
      </c>
      <c r="C15" s="2">
        <v>0.22925316985544245</v>
      </c>
      <c r="D15" s="2">
        <v>0.22547194394518605</v>
      </c>
    </row>
    <row r="16" spans="1:4" ht="15.4" x14ac:dyDescent="0.4">
      <c r="A16" s="2">
        <v>0.24529100529100534</v>
      </c>
      <c r="B16" s="2">
        <v>0.33895345999651388</v>
      </c>
      <c r="C16" s="2">
        <v>0.34385505010321726</v>
      </c>
      <c r="D16" s="2">
        <v>0.3278179920436417</v>
      </c>
    </row>
    <row r="17" spans="1:4" ht="15.4" x14ac:dyDescent="0.4">
      <c r="A17" s="2">
        <v>0.25738303876429502</v>
      </c>
      <c r="B17" s="2">
        <v>0.33895345999651388</v>
      </c>
      <c r="C17" s="2">
        <v>0.34385505010321726</v>
      </c>
      <c r="D17" s="2">
        <v>0.31248881995744082</v>
      </c>
    </row>
    <row r="18" spans="1:4" ht="15.4" x14ac:dyDescent="0.4">
      <c r="A18" s="2">
        <v>0.25800000000000001</v>
      </c>
      <c r="B18" s="2">
        <v>0.25709037261697359</v>
      </c>
      <c r="C18" s="2">
        <v>0.25477592394496923</v>
      </c>
      <c r="D18" s="2">
        <v>0.24459053354512295</v>
      </c>
    </row>
    <row r="19" spans="1:4" ht="15.4" x14ac:dyDescent="0.4">
      <c r="A19" s="2">
        <v>0.26400000000000001</v>
      </c>
      <c r="B19" s="2">
        <v>0.26804037197304326</v>
      </c>
      <c r="C19" s="2">
        <v>0.26429312402676863</v>
      </c>
      <c r="D19" s="2">
        <v>0.25489070635012812</v>
      </c>
    </row>
    <row r="20" spans="1:4" ht="15.4" x14ac:dyDescent="0.4">
      <c r="A20" s="2">
        <v>0.27</v>
      </c>
      <c r="B20" s="2">
        <v>0.23909062451087809</v>
      </c>
      <c r="C20" s="2">
        <v>0.23593521348489394</v>
      </c>
      <c r="D20" s="2">
        <v>0.22881517562256817</v>
      </c>
    </row>
    <row r="21" spans="1:4" ht="15.4" x14ac:dyDescent="0.4">
      <c r="A21" s="2">
        <v>0.27500000000000002</v>
      </c>
      <c r="B21" s="2">
        <v>0.1733142410830513</v>
      </c>
      <c r="C21" s="2">
        <v>0.17043676452824127</v>
      </c>
      <c r="D21" s="2">
        <v>0.16910230214804414</v>
      </c>
    </row>
    <row r="22" spans="1:4" ht="15.4" x14ac:dyDescent="0.4">
      <c r="A22" s="2">
        <v>0.27590116279069798</v>
      </c>
      <c r="B22" s="2">
        <v>0.34048263185769029</v>
      </c>
      <c r="C22" s="2">
        <v>0.34558237121609492</v>
      </c>
      <c r="D22" s="2">
        <v>0.32178050789284374</v>
      </c>
    </row>
    <row r="23" spans="1:4" ht="15.4" x14ac:dyDescent="0.4">
      <c r="A23" s="2">
        <v>0.28299999999999997</v>
      </c>
      <c r="B23" s="2">
        <v>0.26048960344626626</v>
      </c>
      <c r="C23" s="2">
        <v>0.26789884216073195</v>
      </c>
      <c r="D23" s="2">
        <v>0.26134898095926767</v>
      </c>
    </row>
    <row r="24" spans="1:4" ht="15.4" x14ac:dyDescent="0.4">
      <c r="A24" s="2">
        <v>0.29399999999999998</v>
      </c>
      <c r="B24" s="2">
        <v>0.28062723552879898</v>
      </c>
      <c r="C24" s="2">
        <v>0.28520768102687916</v>
      </c>
      <c r="D24" s="2">
        <v>0.26607395517801036</v>
      </c>
    </row>
    <row r="25" spans="1:4" ht="15.4" x14ac:dyDescent="0.4">
      <c r="A25" s="2">
        <v>0.29599999999999999</v>
      </c>
      <c r="B25" s="2">
        <v>0.29263394907435636</v>
      </c>
      <c r="C25" s="2">
        <v>0.28783695049052888</v>
      </c>
      <c r="D25" s="2">
        <v>0.2848705055587038</v>
      </c>
    </row>
    <row r="26" spans="1:4" ht="15.4" x14ac:dyDescent="0.4">
      <c r="A26" s="2">
        <v>0.29899999999999999</v>
      </c>
      <c r="B26" s="2">
        <v>0.2796710014073896</v>
      </c>
      <c r="C26" s="2">
        <v>0.27469651181014271</v>
      </c>
      <c r="D26" s="2">
        <v>0.27327855921421756</v>
      </c>
    </row>
    <row r="27" spans="1:4" ht="15.4" x14ac:dyDescent="0.4">
      <c r="A27" s="2">
        <v>0.3</v>
      </c>
      <c r="B27" s="2">
        <v>0.31645436638214047</v>
      </c>
      <c r="C27" s="2">
        <v>0.49697443360497806</v>
      </c>
      <c r="D27" s="2">
        <v>0.31808082220384926</v>
      </c>
    </row>
    <row r="28" spans="1:4" ht="15.4" x14ac:dyDescent="0.4">
      <c r="A28" s="2">
        <v>0.309</v>
      </c>
      <c r="B28" s="2">
        <v>0.26423819767384049</v>
      </c>
      <c r="C28" s="2">
        <v>0.26744897236321258</v>
      </c>
      <c r="D28" s="2">
        <v>0.26065222438203273</v>
      </c>
    </row>
    <row r="29" spans="1:4" ht="15.4" x14ac:dyDescent="0.4">
      <c r="A29" s="2">
        <v>0.31</v>
      </c>
      <c r="B29" s="2">
        <v>0.26061035047626752</v>
      </c>
      <c r="C29" s="2">
        <v>0.26255127716594961</v>
      </c>
      <c r="D29" s="2">
        <v>0.24861227535208064</v>
      </c>
    </row>
    <row r="30" spans="1:4" ht="15.4" x14ac:dyDescent="0.4">
      <c r="A30" s="2">
        <v>0.311</v>
      </c>
      <c r="B30" s="2">
        <v>0.31433849917300238</v>
      </c>
      <c r="C30" s="2">
        <v>0.30910653385279063</v>
      </c>
      <c r="D30" s="2">
        <v>0.3012173748326944</v>
      </c>
    </row>
    <row r="31" spans="1:4" ht="15.4" x14ac:dyDescent="0.4">
      <c r="A31" s="2">
        <v>0.32300000000000001</v>
      </c>
      <c r="B31" s="2">
        <v>0.31918200243873829</v>
      </c>
      <c r="C31" s="2">
        <v>0.33180270280352653</v>
      </c>
      <c r="D31" s="2">
        <v>0.29919520346813244</v>
      </c>
    </row>
    <row r="32" spans="1:4" ht="15.4" x14ac:dyDescent="0.4">
      <c r="A32" s="2">
        <v>0.33659763313609464</v>
      </c>
      <c r="B32" s="2">
        <v>0.44584934192103065</v>
      </c>
      <c r="C32" s="2">
        <v>0.5312966299650832</v>
      </c>
      <c r="D32" s="2">
        <v>0.43292770513200174</v>
      </c>
    </row>
    <row r="33" spans="1:4" ht="15.4" x14ac:dyDescent="0.4">
      <c r="A33" s="2">
        <v>0.33857142857142858</v>
      </c>
      <c r="B33" s="2">
        <v>0.44199687337154764</v>
      </c>
      <c r="C33" s="2">
        <v>0.52322372735027634</v>
      </c>
      <c r="D33" s="2">
        <v>0.40087926033830068</v>
      </c>
    </row>
    <row r="34" spans="1:4" ht="15.4" x14ac:dyDescent="0.4">
      <c r="A34" s="2">
        <v>0.34</v>
      </c>
      <c r="B34" s="2">
        <v>0.2836298187602026</v>
      </c>
      <c r="C34" s="2">
        <v>0.29561458448664735</v>
      </c>
      <c r="D34" s="2">
        <v>0.27195955809057315</v>
      </c>
    </row>
    <row r="35" spans="1:4" ht="15.4" x14ac:dyDescent="0.4">
      <c r="A35" s="2">
        <v>0.34222000000000002</v>
      </c>
      <c r="B35" s="2">
        <v>0.31983813501133762</v>
      </c>
      <c r="C35" s="2">
        <v>0.31840102770496032</v>
      </c>
      <c r="D35" s="2">
        <v>0.31238412842608276</v>
      </c>
    </row>
    <row r="36" spans="1:4" ht="15.4" x14ac:dyDescent="0.4">
      <c r="A36" s="2">
        <v>0.34768292682926832</v>
      </c>
      <c r="B36" s="2">
        <v>0.44199687337154764</v>
      </c>
      <c r="C36" s="2">
        <v>0.52322372735027634</v>
      </c>
      <c r="D36" s="2">
        <v>0.45547999940821227</v>
      </c>
    </row>
    <row r="37" spans="1:4" ht="15.4" x14ac:dyDescent="0.4">
      <c r="A37" s="2">
        <v>0.35</v>
      </c>
      <c r="B37" s="2">
        <v>0.30550959338144701</v>
      </c>
      <c r="C37" s="2">
        <v>0.33147073836701924</v>
      </c>
      <c r="D37" s="2">
        <v>0.31519888737920765</v>
      </c>
    </row>
    <row r="38" spans="1:4" ht="15.4" x14ac:dyDescent="0.4">
      <c r="A38" s="2">
        <v>0.35</v>
      </c>
      <c r="B38" s="2">
        <v>0.30831146865581027</v>
      </c>
      <c r="C38" s="2">
        <v>0.33638313809671394</v>
      </c>
      <c r="D38" s="2">
        <v>0.29917962603531401</v>
      </c>
    </row>
    <row r="39" spans="1:4" ht="15.4" x14ac:dyDescent="0.4">
      <c r="A39" s="2">
        <v>0.36</v>
      </c>
      <c r="B39" s="2">
        <v>0.33484207684693607</v>
      </c>
      <c r="C39" s="2">
        <v>0.38668645877549568</v>
      </c>
      <c r="D39" s="2">
        <v>0.3307428648364843</v>
      </c>
    </row>
    <row r="40" spans="1:4" ht="15.4" x14ac:dyDescent="0.4">
      <c r="A40" s="2">
        <v>0.36199999999999999</v>
      </c>
      <c r="B40" s="2">
        <v>0.33502760027192391</v>
      </c>
      <c r="C40" s="2">
        <v>0.32953276397933162</v>
      </c>
      <c r="D40" s="2">
        <v>0.32716974156845929</v>
      </c>
    </row>
    <row r="41" spans="1:4" ht="15.4" x14ac:dyDescent="0.4">
      <c r="A41" s="2">
        <v>0.373</v>
      </c>
      <c r="B41" s="2">
        <v>0.36131093323951097</v>
      </c>
      <c r="C41" s="2">
        <v>0.36667144239407973</v>
      </c>
      <c r="D41" s="2">
        <v>0.34241640382368477</v>
      </c>
    </row>
    <row r="42" spans="1:4" ht="15.4" x14ac:dyDescent="0.4">
      <c r="A42" s="2">
        <v>0.374</v>
      </c>
      <c r="B42" s="2">
        <v>0.18590137645329413</v>
      </c>
      <c r="C42" s="2">
        <v>0.18484174466924091</v>
      </c>
      <c r="D42" s="2">
        <v>0.18227882586459926</v>
      </c>
    </row>
    <row r="43" spans="1:4" ht="15.4" x14ac:dyDescent="0.4">
      <c r="A43" s="2">
        <v>0.40100000000000002</v>
      </c>
      <c r="B43" s="2">
        <v>0.38467757905493372</v>
      </c>
      <c r="C43" s="2">
        <v>0.4487146980103634</v>
      </c>
      <c r="D43" s="2">
        <v>0.36506021884599987</v>
      </c>
    </row>
    <row r="44" spans="1:4" ht="15.4" x14ac:dyDescent="0.4">
      <c r="A44" s="2">
        <v>0.41499999999999998</v>
      </c>
      <c r="B44" s="2">
        <v>0.30863321582706377</v>
      </c>
      <c r="C44" s="2">
        <v>0.34906809563393709</v>
      </c>
      <c r="D44" s="2">
        <v>0.33205625138086953</v>
      </c>
    </row>
    <row r="45" spans="1:4" ht="15.4" x14ac:dyDescent="0.4">
      <c r="A45" s="2">
        <v>0.42699999999999999</v>
      </c>
      <c r="B45" s="2">
        <v>0.37252921867085093</v>
      </c>
      <c r="C45" s="2">
        <v>0.36605032937159893</v>
      </c>
      <c r="D45" s="2">
        <v>0.36160843733231351</v>
      </c>
    </row>
    <row r="46" spans="1:4" ht="15.4" x14ac:dyDescent="0.4">
      <c r="A46" s="2">
        <v>0.45</v>
      </c>
      <c r="B46" s="2">
        <v>0.26644496175590288</v>
      </c>
      <c r="C46" s="2">
        <v>0.27048543086970395</v>
      </c>
      <c r="D46" s="2">
        <v>0.26273449217671135</v>
      </c>
    </row>
    <row r="47" spans="1:4" ht="15.4" x14ac:dyDescent="0.4">
      <c r="A47" s="2">
        <v>0.45</v>
      </c>
      <c r="B47" s="2">
        <v>0.43640172746485345</v>
      </c>
      <c r="C47" s="2">
        <v>0.87377176270931922</v>
      </c>
      <c r="D47" s="2">
        <v>0.45460269270375242</v>
      </c>
    </row>
    <row r="48" spans="1:4" ht="15.4" x14ac:dyDescent="0.4">
      <c r="A48" s="2">
        <v>0.45100000000000001</v>
      </c>
      <c r="B48" s="2">
        <v>0.37252921867085093</v>
      </c>
      <c r="C48" s="2">
        <v>0.36605032937159893</v>
      </c>
      <c r="D48" s="2">
        <v>0.36271727720156727</v>
      </c>
    </row>
    <row r="49" spans="1:4" ht="15.4" x14ac:dyDescent="0.4">
      <c r="A49" s="2">
        <v>0.45400000000000001</v>
      </c>
      <c r="B49" s="2">
        <v>0.37252921867085093</v>
      </c>
      <c r="C49" s="2">
        <v>0.36605032937159893</v>
      </c>
      <c r="D49" s="2">
        <v>0.36284082814757962</v>
      </c>
    </row>
    <row r="50" spans="1:4" ht="15.4" x14ac:dyDescent="0.4">
      <c r="A50" s="2">
        <v>0.45500000000000002</v>
      </c>
      <c r="B50" s="2">
        <v>0.47521690178230747</v>
      </c>
      <c r="C50" s="2">
        <v>0.48238003416014563</v>
      </c>
      <c r="D50" s="2">
        <v>0.45023678622309649</v>
      </c>
    </row>
    <row r="51" spans="1:4" ht="15.4" x14ac:dyDescent="0.4">
      <c r="A51" s="2">
        <v>0.45700000000000002</v>
      </c>
      <c r="B51" s="2">
        <v>0.4472010541646439</v>
      </c>
      <c r="C51" s="2">
        <v>0.53415402052037997</v>
      </c>
      <c r="D51" s="2">
        <v>0.49109923627328445</v>
      </c>
    </row>
    <row r="52" spans="1:4" ht="15.4" x14ac:dyDescent="0.4">
      <c r="A52" s="2">
        <v>0.46400000000000002</v>
      </c>
      <c r="B52" s="2">
        <v>0.36625282672914339</v>
      </c>
      <c r="C52" s="2">
        <v>0.36129750906602565</v>
      </c>
      <c r="D52" s="2">
        <v>0.35399189791344671</v>
      </c>
    </row>
    <row r="53" spans="1:4" ht="15.4" x14ac:dyDescent="0.4">
      <c r="A53" s="2">
        <v>0.47</v>
      </c>
      <c r="B53" s="2">
        <v>0.47155669498762465</v>
      </c>
      <c r="C53" s="2">
        <v>0.66666845508335248</v>
      </c>
      <c r="D53" s="2">
        <v>0.46402212756750538</v>
      </c>
    </row>
    <row r="54" spans="1:4" ht="15.4" x14ac:dyDescent="0.4">
      <c r="A54" s="2">
        <v>0.47020833333333334</v>
      </c>
      <c r="B54" s="2">
        <v>0.57343392870377241</v>
      </c>
      <c r="C54" s="2">
        <v>0.88757948085854199</v>
      </c>
      <c r="D54" s="2">
        <v>0.52699710351367046</v>
      </c>
    </row>
    <row r="55" spans="1:4" ht="15.4" x14ac:dyDescent="0.4">
      <c r="A55" s="2">
        <v>0.47299999999999998</v>
      </c>
      <c r="B55" s="2">
        <v>0.24688507787341307</v>
      </c>
      <c r="C55" s="2">
        <v>0.24235054660331723</v>
      </c>
      <c r="D55" s="2">
        <v>0.2418981563349063</v>
      </c>
    </row>
    <row r="56" spans="1:4" ht="15.4" x14ac:dyDescent="0.4">
      <c r="A56" s="2">
        <v>0.47399999999999998</v>
      </c>
      <c r="B56" s="2">
        <v>0.32768432436475609</v>
      </c>
      <c r="C56" s="2">
        <v>0.36026753359920166</v>
      </c>
      <c r="D56" s="2">
        <v>0.31459631858007342</v>
      </c>
    </row>
    <row r="57" spans="1:4" ht="15.4" x14ac:dyDescent="0.4">
      <c r="A57" s="2">
        <v>0.499</v>
      </c>
      <c r="B57" s="2">
        <v>0.47257470204780405</v>
      </c>
      <c r="C57" s="2">
        <v>0.56210216128599266</v>
      </c>
      <c r="D57" s="2">
        <v>0.46188822253614548</v>
      </c>
    </row>
    <row r="58" spans="1:4" ht="15.4" x14ac:dyDescent="0.4">
      <c r="A58" s="2">
        <v>0.51400000000000001</v>
      </c>
      <c r="B58" s="2">
        <v>0.28047945387854323</v>
      </c>
      <c r="C58" s="2">
        <v>0.28071874682521131</v>
      </c>
      <c r="D58" s="2">
        <v>0.27917033896677335</v>
      </c>
    </row>
    <row r="59" spans="1:4" ht="15.4" x14ac:dyDescent="0.4">
      <c r="A59" s="2">
        <v>0.51500000000000001</v>
      </c>
      <c r="B59" s="2">
        <v>0.47385976814843223</v>
      </c>
      <c r="C59" s="2">
        <v>0.49098895933692988</v>
      </c>
      <c r="D59" s="2">
        <v>0.44259316896740725</v>
      </c>
    </row>
    <row r="60" spans="1:4" ht="15.4" x14ac:dyDescent="0.4">
      <c r="A60" s="2">
        <v>0.53</v>
      </c>
      <c r="B60" s="2">
        <v>0.41682123344413069</v>
      </c>
      <c r="C60" s="2">
        <v>0.41468837095658911</v>
      </c>
      <c r="D60" s="2">
        <v>0.40392646028644275</v>
      </c>
    </row>
    <row r="61" spans="1:4" ht="15.4" x14ac:dyDescent="0.4">
      <c r="A61" s="2">
        <v>0.53300000000000003</v>
      </c>
      <c r="B61" s="2">
        <v>0.35888968834021284</v>
      </c>
      <c r="C61" s="2">
        <v>0.43860086893077044</v>
      </c>
      <c r="D61" s="2">
        <v>0.40167321056620431</v>
      </c>
    </row>
    <row r="62" spans="1:4" ht="15.4" x14ac:dyDescent="0.4">
      <c r="A62" s="2">
        <v>0.53600000000000003</v>
      </c>
      <c r="B62" s="2">
        <v>0.41682123344413069</v>
      </c>
      <c r="C62" s="2">
        <v>0.41468837095658911</v>
      </c>
      <c r="D62" s="2">
        <v>0.40431505255334987</v>
      </c>
    </row>
    <row r="63" spans="1:4" ht="15.4" x14ac:dyDescent="0.4">
      <c r="A63" s="2">
        <v>0.55000000000000004</v>
      </c>
      <c r="B63" s="2">
        <v>0.3711257913722128</v>
      </c>
      <c r="C63" s="2">
        <v>0.4910238388998529</v>
      </c>
      <c r="D63" s="2">
        <v>0.44907789840980666</v>
      </c>
    </row>
    <row r="64" spans="1:4" ht="15.4" x14ac:dyDescent="0.4">
      <c r="A64" s="2">
        <v>0.56200000000000006</v>
      </c>
      <c r="B64" s="2">
        <v>0.34779383694363314</v>
      </c>
      <c r="C64" s="2">
        <v>0.50129733048944813</v>
      </c>
      <c r="D64" s="2">
        <v>0.42972157719978432</v>
      </c>
    </row>
    <row r="65" spans="1:4" ht="15.4" x14ac:dyDescent="0.4">
      <c r="A65" s="2">
        <v>0.56599999999999995</v>
      </c>
      <c r="B65" s="2">
        <v>0.40630308667092951</v>
      </c>
      <c r="C65" s="2">
        <v>0.41086932838147949</v>
      </c>
      <c r="D65" s="2">
        <v>0.39416369270304452</v>
      </c>
    </row>
    <row r="66" spans="1:4" ht="15.4" x14ac:dyDescent="0.4">
      <c r="A66" s="2">
        <v>0.57599999999999996</v>
      </c>
      <c r="B66" s="2">
        <v>0.41682123344413069</v>
      </c>
      <c r="C66" s="2">
        <v>0.41468837095658911</v>
      </c>
      <c r="D66" s="2">
        <v>0.40047328903239154</v>
      </c>
    </row>
    <row r="67" spans="1:4" ht="15.4" x14ac:dyDescent="0.4">
      <c r="A67" s="2">
        <v>0.61596958174904948</v>
      </c>
      <c r="B67" s="2">
        <v>0.57343392870377241</v>
      </c>
      <c r="C67" s="2">
        <v>0.88757948085854199</v>
      </c>
      <c r="D67" s="2">
        <v>0.66742677723593768</v>
      </c>
    </row>
    <row r="68" spans="1:4" ht="15.4" x14ac:dyDescent="0.4">
      <c r="A68" s="2">
        <v>0.61719190000000002</v>
      </c>
      <c r="B68" s="2">
        <v>0.73712114176394505</v>
      </c>
      <c r="C68" s="2">
        <v>0.72874338276127704</v>
      </c>
      <c r="D68" s="2">
        <v>0.65861352297440479</v>
      </c>
    </row>
    <row r="69" spans="1:4" ht="15.4" x14ac:dyDescent="0.4">
      <c r="A69" s="2">
        <v>0.621</v>
      </c>
      <c r="B69" s="2">
        <v>0.59233460544666316</v>
      </c>
      <c r="C69" s="2">
        <v>1.1537901471881093</v>
      </c>
      <c r="D69" s="2">
        <v>0.61907035503349062</v>
      </c>
    </row>
    <row r="70" spans="1:4" ht="15.4" x14ac:dyDescent="0.4">
      <c r="A70" s="2">
        <v>0.62338340000000003</v>
      </c>
      <c r="B70" s="2">
        <v>0.78460488846418719</v>
      </c>
      <c r="C70" s="2">
        <v>0.78733527075222032</v>
      </c>
      <c r="D70" s="2">
        <v>0.67803353283173096</v>
      </c>
    </row>
    <row r="71" spans="1:4" ht="15.4" x14ac:dyDescent="0.4">
      <c r="A71" s="2">
        <v>0.62659809999999994</v>
      </c>
      <c r="B71" s="2">
        <v>0.83298168400646255</v>
      </c>
      <c r="C71" s="2">
        <v>0.85384493197830369</v>
      </c>
      <c r="D71" s="2">
        <v>0.69797978041073871</v>
      </c>
    </row>
    <row r="72" spans="1:4" ht="15.4" x14ac:dyDescent="0.4">
      <c r="A72" s="2">
        <v>0.63800000000000001</v>
      </c>
      <c r="B72" s="2">
        <v>0.44403824285052435</v>
      </c>
      <c r="C72" s="2">
        <v>0.68261175222842385</v>
      </c>
      <c r="D72" s="2">
        <v>0.58055010516629091</v>
      </c>
    </row>
    <row r="73" spans="1:4" ht="15.4" x14ac:dyDescent="0.4">
      <c r="A73" s="2">
        <v>0.64002420000000004</v>
      </c>
      <c r="B73" s="2">
        <v>0.96714728303799324</v>
      </c>
      <c r="C73" s="2">
        <v>1.0745388037135841</v>
      </c>
      <c r="D73" s="2">
        <v>0.7531614433334004</v>
      </c>
    </row>
    <row r="74" spans="1:4" ht="15.4" x14ac:dyDescent="0.4">
      <c r="A74" s="2">
        <v>0.67452830188679236</v>
      </c>
      <c r="B74" s="2">
        <v>0.74687570912841672</v>
      </c>
      <c r="C74" s="2">
        <v>1.8105038048013062</v>
      </c>
      <c r="D74" s="2">
        <v>0.70577167055940437</v>
      </c>
    </row>
    <row r="75" spans="1:4" ht="15.4" x14ac:dyDescent="0.4">
      <c r="A75" s="2">
        <v>0.68100000000000005</v>
      </c>
      <c r="B75" s="2">
        <v>0.6150195563229609</v>
      </c>
      <c r="C75" s="2">
        <v>0.96634817198720624</v>
      </c>
      <c r="D75" s="2">
        <v>0.64893234335817718</v>
      </c>
    </row>
    <row r="76" spans="1:4" ht="15.4" x14ac:dyDescent="0.4">
      <c r="A76" s="2">
        <v>0.69799999999999995</v>
      </c>
      <c r="B76" s="2">
        <v>0.45953533712428923</v>
      </c>
      <c r="C76" s="2">
        <v>0.4909265277555741</v>
      </c>
      <c r="D76" s="2">
        <v>0.45576992677812311</v>
      </c>
    </row>
    <row r="77" spans="1:4" ht="15.4" x14ac:dyDescent="0.4">
      <c r="A77" s="2">
        <v>0.72599999999999998</v>
      </c>
      <c r="B77" s="2">
        <v>0.47357389190621252</v>
      </c>
      <c r="C77" s="2">
        <v>0.49252530988419924</v>
      </c>
      <c r="D77" s="2">
        <v>0.45891707012759786</v>
      </c>
    </row>
    <row r="78" spans="1:4" ht="15.4" x14ac:dyDescent="0.4">
      <c r="A78" s="2">
        <v>0.74199999999999999</v>
      </c>
      <c r="B78" s="2">
        <v>0.58357850544097112</v>
      </c>
      <c r="C78" s="2">
        <v>0.92926592374878991</v>
      </c>
      <c r="D78" s="2">
        <v>0.77568960258991426</v>
      </c>
    </row>
    <row r="79" spans="1:4" ht="15.4" x14ac:dyDescent="0.4">
      <c r="A79" s="2">
        <v>0.749</v>
      </c>
      <c r="B79" s="2">
        <v>0.81212376016293808</v>
      </c>
      <c r="C79" s="2">
        <v>1.2887485697933123</v>
      </c>
      <c r="D79" s="2">
        <v>0.85956462092217945</v>
      </c>
    </row>
    <row r="80" spans="1:4" ht="15.4" x14ac:dyDescent="0.4">
      <c r="A80" s="2">
        <v>0.75</v>
      </c>
      <c r="B80" s="2">
        <v>0.45604442545920543</v>
      </c>
      <c r="C80" s="2">
        <v>0.72651243119899367</v>
      </c>
      <c r="D80" s="2">
        <v>0.60935996899060685</v>
      </c>
    </row>
    <row r="81" spans="1:4" ht="15.4" x14ac:dyDescent="0.4">
      <c r="A81" s="2">
        <v>0.77100000000000002</v>
      </c>
      <c r="B81" s="2">
        <v>0.63647139716634871</v>
      </c>
      <c r="C81" s="2">
        <v>1.997373541581164</v>
      </c>
      <c r="D81" s="2">
        <v>1.3281118290935832</v>
      </c>
    </row>
    <row r="82" spans="1:4" ht="15.4" x14ac:dyDescent="0.4">
      <c r="A82" s="2">
        <v>0.79755054814814796</v>
      </c>
      <c r="B82" s="2">
        <v>0.47506738704506313</v>
      </c>
      <c r="C82" s="2">
        <v>1.8188515078144296</v>
      </c>
      <c r="D82" s="2">
        <v>1.0091740778163354</v>
      </c>
    </row>
    <row r="83" spans="1:4" ht="15.4" x14ac:dyDescent="0.4">
      <c r="A83" s="2">
        <v>0.80104712041884818</v>
      </c>
      <c r="B83" s="2">
        <v>0.76038166093183324</v>
      </c>
      <c r="C83" s="2">
        <v>1.9554562637591497</v>
      </c>
      <c r="D83" s="2">
        <v>0.88169851948610467</v>
      </c>
    </row>
    <row r="84" spans="1:4" ht="15.4" x14ac:dyDescent="0.4">
      <c r="A84" s="2">
        <v>0.81200000000000006</v>
      </c>
      <c r="B84" s="2">
        <v>0.47357389190621252</v>
      </c>
      <c r="C84" s="2">
        <v>0.49252530988419924</v>
      </c>
      <c r="D84" s="2">
        <v>0.46682824116358096</v>
      </c>
    </row>
    <row r="85" spans="1:4" ht="15.4" x14ac:dyDescent="0.4">
      <c r="A85" s="2">
        <v>0.81599999999999995</v>
      </c>
      <c r="B85" s="2">
        <v>0.47357389190621252</v>
      </c>
      <c r="C85" s="2">
        <v>0.49252530988419924</v>
      </c>
      <c r="D85" s="2">
        <v>0.4677283622331172</v>
      </c>
    </row>
    <row r="86" spans="1:4" ht="15.4" x14ac:dyDescent="0.4">
      <c r="A86" s="2">
        <v>0.82899999999999996</v>
      </c>
      <c r="B86" s="2">
        <v>0.52300728898261795</v>
      </c>
      <c r="C86" s="2">
        <v>1.1198653014053743</v>
      </c>
      <c r="D86" s="2">
        <v>0.89071307465833627</v>
      </c>
    </row>
    <row r="87" spans="1:4" ht="15.4" x14ac:dyDescent="0.4">
      <c r="A87" s="2">
        <v>0.83</v>
      </c>
      <c r="B87" s="2">
        <v>0.60137262817924908</v>
      </c>
      <c r="C87" s="2">
        <v>0.70928713025617318</v>
      </c>
      <c r="D87" s="2">
        <v>0.61437823887758825</v>
      </c>
    </row>
    <row r="88" spans="1:4" ht="15.4" x14ac:dyDescent="0.4">
      <c r="A88" s="2">
        <v>0.84</v>
      </c>
      <c r="B88" s="2">
        <v>0.52159117038399627</v>
      </c>
      <c r="C88" s="2">
        <v>1.0258404190459205</v>
      </c>
      <c r="D88" s="2">
        <v>0.7963792165164485</v>
      </c>
    </row>
    <row r="89" spans="1:4" ht="15.4" x14ac:dyDescent="0.4">
      <c r="A89" s="2">
        <v>0.85</v>
      </c>
      <c r="B89" s="2">
        <v>0.63164966342808759</v>
      </c>
      <c r="C89" s="2">
        <v>0.79619705565239385</v>
      </c>
      <c r="D89" s="2">
        <v>0.60163820316396766</v>
      </c>
    </row>
    <row r="90" spans="1:4" ht="15.4" x14ac:dyDescent="0.4">
      <c r="A90" s="2">
        <v>0.86274509803921573</v>
      </c>
      <c r="B90" s="2">
        <v>0.98628746803069056</v>
      </c>
      <c r="C90" s="2">
        <v>7.0594581054075922</v>
      </c>
      <c r="D90" s="2">
        <v>0.96470181108550068</v>
      </c>
    </row>
    <row r="91" spans="1:4" ht="15.4" x14ac:dyDescent="0.4">
      <c r="A91" s="2">
        <v>0.8727272727272728</v>
      </c>
      <c r="B91" s="2">
        <v>0.74687570912841672</v>
      </c>
      <c r="C91" s="2">
        <v>1.8105038048013062</v>
      </c>
      <c r="D91" s="2">
        <v>1.0380334335571781</v>
      </c>
    </row>
    <row r="92" spans="1:4" ht="15.4" x14ac:dyDescent="0.4">
      <c r="A92" s="2">
        <v>0.89</v>
      </c>
      <c r="B92" s="2">
        <v>0.76926770708283321</v>
      </c>
      <c r="C92" s="2">
        <v>0.90385540012118004</v>
      </c>
      <c r="D92" s="2">
        <v>0.76427378086243847</v>
      </c>
    </row>
    <row r="93" spans="1:4" ht="15.4" x14ac:dyDescent="0.4">
      <c r="A93" s="2">
        <v>0.89</v>
      </c>
      <c r="B93" s="2">
        <v>0.57398607864793338</v>
      </c>
      <c r="C93" s="2">
        <v>4.1346467662956483</v>
      </c>
      <c r="D93" s="2">
        <v>1.5378594270920218</v>
      </c>
    </row>
    <row r="94" spans="1:4" ht="15.4" x14ac:dyDescent="0.4">
      <c r="A94" s="2">
        <v>0.90529599999999999</v>
      </c>
      <c r="B94" s="2">
        <v>0.54850814332247555</v>
      </c>
      <c r="C94" s="2">
        <v>4.8476074576236883</v>
      </c>
      <c r="D94" s="2">
        <v>1.5448749451870687</v>
      </c>
    </row>
    <row r="95" spans="1:4" ht="15.4" x14ac:dyDescent="0.4">
      <c r="A95" s="2">
        <v>0.91600000000000004</v>
      </c>
      <c r="B95" s="2">
        <v>0.54890624562277757</v>
      </c>
      <c r="C95" s="2">
        <v>0.62213634268337636</v>
      </c>
      <c r="D95" s="2">
        <v>0.54866496791322694</v>
      </c>
    </row>
    <row r="96" spans="1:4" ht="15.4" x14ac:dyDescent="0.4">
      <c r="A96" s="2">
        <v>0.93799999999999994</v>
      </c>
      <c r="B96" s="2">
        <v>0.62003732198026029</v>
      </c>
      <c r="C96" s="2">
        <v>2.0151135462520156</v>
      </c>
      <c r="D96" s="2">
        <v>1.3671427981755473</v>
      </c>
    </row>
    <row r="97" spans="1:4" ht="15.4" x14ac:dyDescent="0.4">
      <c r="A97" s="2">
        <v>0.94</v>
      </c>
      <c r="B97" s="2">
        <v>0.81931034482758613</v>
      </c>
      <c r="C97" s="2">
        <v>0.96156697364107258</v>
      </c>
      <c r="D97" s="2">
        <v>0.81332302834707615</v>
      </c>
    </row>
    <row r="98" spans="1:4" ht="15.4" x14ac:dyDescent="0.4">
      <c r="A98" s="2">
        <v>0.95</v>
      </c>
      <c r="B98" s="2">
        <v>0.34943904263275999</v>
      </c>
      <c r="C98" s="2">
        <v>0.41744179050231423</v>
      </c>
      <c r="D98" s="2">
        <v>0.38263623822210374</v>
      </c>
    </row>
    <row r="99" spans="1:4" ht="15.4" x14ac:dyDescent="0.4">
      <c r="A99" s="2">
        <v>1.0081315244239633</v>
      </c>
      <c r="B99" s="2">
        <v>0.63777441004546453</v>
      </c>
      <c r="C99" s="2">
        <v>-12.039228354067998</v>
      </c>
      <c r="D99" s="2">
        <v>2.8290441426681596</v>
      </c>
    </row>
    <row r="100" spans="1:4" ht="15.4" x14ac:dyDescent="0.4">
      <c r="A100" s="2">
        <v>1.03</v>
      </c>
      <c r="B100" s="2">
        <v>0.5659693434879014</v>
      </c>
      <c r="C100" s="2">
        <v>1.3084844318159135</v>
      </c>
      <c r="D100" s="2">
        <v>0.95401609440138291</v>
      </c>
    </row>
    <row r="101" spans="1:4" ht="15.4" x14ac:dyDescent="0.4">
      <c r="A101" s="2">
        <v>1.0449999999999999</v>
      </c>
      <c r="B101" s="2">
        <v>0.44245996878432281</v>
      </c>
      <c r="C101" s="2">
        <v>0.63738265547987294</v>
      </c>
      <c r="D101" s="2">
        <v>0.54421024180931565</v>
      </c>
    </row>
    <row r="102" spans="1:4" ht="15.4" x14ac:dyDescent="0.4">
      <c r="A102" s="2">
        <v>1.0509999999999999</v>
      </c>
      <c r="B102" s="2">
        <v>0.54890624562277757</v>
      </c>
      <c r="C102" s="2">
        <v>0.62213634268337636</v>
      </c>
      <c r="D102" s="2">
        <v>0.56524946344598415</v>
      </c>
    </row>
    <row r="103" spans="1:4" ht="15.4" x14ac:dyDescent="0.4">
      <c r="A103" s="2">
        <v>1.056</v>
      </c>
      <c r="B103" s="2">
        <v>0.76516323845141643</v>
      </c>
      <c r="C103" s="2">
        <v>2.0111064771191525</v>
      </c>
      <c r="D103" s="2">
        <v>1.3683937775314603</v>
      </c>
    </row>
    <row r="104" spans="1:4" ht="15.4" x14ac:dyDescent="0.4">
      <c r="A104" s="2">
        <v>1.05768</v>
      </c>
      <c r="B104" s="2">
        <v>0.63647139716634871</v>
      </c>
      <c r="C104" s="2">
        <v>1.997373541581164</v>
      </c>
      <c r="D104" s="2">
        <v>1.2294845056674002</v>
      </c>
    </row>
    <row r="105" spans="1:4" ht="15.4" x14ac:dyDescent="0.4">
      <c r="A105" s="2">
        <v>1.0769230769230769</v>
      </c>
      <c r="B105" s="2">
        <v>1.0103276773296244</v>
      </c>
      <c r="C105" s="2">
        <v>9.9563369039957017</v>
      </c>
      <c r="D105" s="2">
        <v>1.3537895164987692</v>
      </c>
    </row>
    <row r="106" spans="1:4" ht="15.4" x14ac:dyDescent="0.4">
      <c r="A106" s="2">
        <v>1.079</v>
      </c>
      <c r="B106" s="2">
        <v>0.54890624562277757</v>
      </c>
      <c r="C106" s="2">
        <v>0.62213634268337636</v>
      </c>
      <c r="D106" s="2">
        <v>0.56716303055898598</v>
      </c>
    </row>
    <row r="107" spans="1:4" ht="15.4" x14ac:dyDescent="0.4">
      <c r="A107" s="2">
        <v>1.0900000000000001</v>
      </c>
      <c r="B107" s="2">
        <v>0.59800796812749013</v>
      </c>
      <c r="C107" s="2">
        <v>1.5738472662515235</v>
      </c>
      <c r="D107" s="2">
        <v>1.0806355747897107</v>
      </c>
    </row>
    <row r="108" spans="1:4" ht="15.4" x14ac:dyDescent="0.4">
      <c r="A108" s="2">
        <v>1.1020000000000001</v>
      </c>
      <c r="B108" s="2">
        <v>0.59106713629491237</v>
      </c>
      <c r="C108" s="2">
        <v>2.9737128316303512</v>
      </c>
      <c r="D108" s="2">
        <v>1.3774545634268613</v>
      </c>
    </row>
    <row r="109" spans="1:4" ht="15.4" x14ac:dyDescent="0.4">
      <c r="A109" s="2">
        <v>1.1068702290076335</v>
      </c>
      <c r="B109" s="2">
        <v>0.98628746803069056</v>
      </c>
      <c r="C109" s="2">
        <v>7.0594581054075922</v>
      </c>
      <c r="D109" s="2">
        <v>1.7819614003534983</v>
      </c>
    </row>
    <row r="110" spans="1:4" ht="15.4" x14ac:dyDescent="0.4">
      <c r="A110" s="2">
        <v>1.1379999999999999</v>
      </c>
      <c r="B110" s="2">
        <v>0.77475223066803989</v>
      </c>
      <c r="C110" s="2">
        <v>9.389103232468841</v>
      </c>
      <c r="D110" s="2">
        <v>2.9310320340398488</v>
      </c>
    </row>
    <row r="111" spans="1:4" ht="15.4" x14ac:dyDescent="0.4">
      <c r="A111" s="2">
        <v>1.1599999999999999</v>
      </c>
      <c r="B111" s="2">
        <v>0.68824327993483592</v>
      </c>
      <c r="C111" s="2">
        <v>2.860549990098054</v>
      </c>
      <c r="D111" s="2">
        <v>1.5545967706159531</v>
      </c>
    </row>
    <row r="112" spans="1:4" ht="15.4" x14ac:dyDescent="0.4">
      <c r="A112" s="2">
        <v>1.2015676235294119</v>
      </c>
      <c r="B112" s="2">
        <v>0.74859915884826911</v>
      </c>
      <c r="C112" s="2">
        <v>-3.0581001860971693</v>
      </c>
      <c r="D112" s="2">
        <v>9.8047747069070663</v>
      </c>
    </row>
    <row r="113" spans="1:4" ht="15.4" x14ac:dyDescent="0.4">
      <c r="A113" s="2">
        <v>1.329</v>
      </c>
      <c r="B113" s="2">
        <v>0.65372804908405313</v>
      </c>
      <c r="C113" s="2">
        <v>0.85869389917803662</v>
      </c>
      <c r="D113" s="2">
        <v>0.72888659427294433</v>
      </c>
    </row>
    <row r="114" spans="1:4" ht="15.4" x14ac:dyDescent="0.4">
      <c r="A114" s="2">
        <v>1.329</v>
      </c>
      <c r="B114" s="2">
        <v>0.65372804908405313</v>
      </c>
      <c r="C114" s="2">
        <v>0.85869389917803662</v>
      </c>
      <c r="D114" s="2">
        <v>0.6940009686709141</v>
      </c>
    </row>
    <row r="115" spans="1:4" ht="15.4" x14ac:dyDescent="0.4">
      <c r="A115" s="2">
        <v>1.38</v>
      </c>
      <c r="B115" s="2">
        <v>0.79641791044776145</v>
      </c>
      <c r="C115" s="2">
        <v>9.1513592782587683</v>
      </c>
      <c r="D115" s="2">
        <v>2.4839220467177419</v>
      </c>
    </row>
    <row r="116" spans="1:4" ht="15.4" x14ac:dyDescent="0.4">
      <c r="A116" s="2">
        <v>1.3980676439790578</v>
      </c>
      <c r="B116" s="2">
        <v>0.88986477784932383</v>
      </c>
      <c r="C116" s="2">
        <v>-1.8764160477744456</v>
      </c>
      <c r="D116" s="2">
        <v>-8.8055765780428139</v>
      </c>
    </row>
    <row r="117" spans="1:4" ht="15.4" x14ac:dyDescent="0.4">
      <c r="A117" s="2">
        <v>1.4</v>
      </c>
      <c r="B117" s="2">
        <v>0.77833065810593882</v>
      </c>
      <c r="C117" s="2">
        <v>1.1911413214696627</v>
      </c>
      <c r="D117" s="2">
        <v>0.88909098984376334</v>
      </c>
    </row>
    <row r="118" spans="1:4" ht="15.4" x14ac:dyDescent="0.4">
      <c r="A118" s="2">
        <v>1.43</v>
      </c>
      <c r="B118" s="2">
        <v>1.0656906650600797</v>
      </c>
      <c r="C118" s="2">
        <v>3.0530189694377694</v>
      </c>
      <c r="D118" s="2">
        <v>1.1461440274142429</v>
      </c>
    </row>
    <row r="119" spans="1:4" ht="15.4" x14ac:dyDescent="0.4">
      <c r="A119" s="2">
        <v>1.4430000000000001</v>
      </c>
      <c r="B119" s="2">
        <v>0.89262311436713893</v>
      </c>
      <c r="C119" s="2">
        <v>-12.221468741496848</v>
      </c>
      <c r="D119" s="2">
        <v>6.669179385208329</v>
      </c>
    </row>
    <row r="120" spans="1:4" ht="15.4" x14ac:dyDescent="0.4">
      <c r="A120" s="2">
        <v>1.45</v>
      </c>
      <c r="B120" s="2">
        <v>0.99312457454050385</v>
      </c>
      <c r="C120" s="2">
        <v>1.5022116000823429</v>
      </c>
      <c r="D120" s="2">
        <v>1.0739178062796473</v>
      </c>
    </row>
    <row r="121" spans="1:4" ht="15.4" x14ac:dyDescent="0.4">
      <c r="A121" s="2">
        <v>1.4610000000000001</v>
      </c>
      <c r="B121" s="2">
        <v>1.0188994811483916</v>
      </c>
      <c r="C121" s="2">
        <v>11.59860026794315</v>
      </c>
      <c r="D121" s="2">
        <v>3.1007867708411259</v>
      </c>
    </row>
    <row r="122" spans="1:4" ht="15.4" x14ac:dyDescent="0.4">
      <c r="A122" s="2">
        <v>1.4630000000000001</v>
      </c>
      <c r="B122" s="2">
        <v>0.82686562374649009</v>
      </c>
      <c r="C122" s="2">
        <v>1.6663457979831606</v>
      </c>
      <c r="D122" s="2">
        <v>1.1073461424137387</v>
      </c>
    </row>
    <row r="123" spans="1:4" ht="15.4" x14ac:dyDescent="0.4">
      <c r="A123" s="2">
        <v>1.5229999999999999</v>
      </c>
      <c r="B123" s="2">
        <v>0.88720909254916136</v>
      </c>
      <c r="C123" s="2">
        <v>-25.887167770700113</v>
      </c>
      <c r="D123" s="2">
        <v>4.7040801560193648</v>
      </c>
    </row>
    <row r="124" spans="1:4" ht="15.4" x14ac:dyDescent="0.4">
      <c r="A124" s="2">
        <v>1.53</v>
      </c>
      <c r="B124" s="2">
        <v>1.0502980069449741</v>
      </c>
      <c r="C124" s="2">
        <v>-3.9302023089290081</v>
      </c>
      <c r="D124" s="2">
        <v>-36.73879160797587</v>
      </c>
    </row>
    <row r="125" spans="1:4" ht="15.4" x14ac:dyDescent="0.4">
      <c r="A125" s="2">
        <v>1.53</v>
      </c>
      <c r="B125" s="2">
        <v>1.0569381107491855</v>
      </c>
      <c r="C125" s="2">
        <v>1.5932640772549784</v>
      </c>
      <c r="D125" s="2">
        <v>1.1405230420014436</v>
      </c>
    </row>
    <row r="126" spans="1:4" ht="15.4" x14ac:dyDescent="0.4">
      <c r="A126" s="2">
        <v>1.585</v>
      </c>
      <c r="B126" s="2">
        <v>1.3984523793079631</v>
      </c>
      <c r="C126" s="2">
        <v>-4.889685133986803</v>
      </c>
      <c r="D126" s="2">
        <v>40.054497077065967</v>
      </c>
    </row>
    <row r="127" spans="1:4" ht="15.4" x14ac:dyDescent="0.4">
      <c r="A127" s="2">
        <v>1.63</v>
      </c>
      <c r="B127" s="2">
        <v>0.92847199204507813</v>
      </c>
      <c r="C127" s="2">
        <v>-10.777714169695063</v>
      </c>
      <c r="D127" s="2">
        <v>5.0688631837995475</v>
      </c>
    </row>
    <row r="128" spans="1:4" ht="15.4" x14ac:dyDescent="0.4">
      <c r="A128" s="2">
        <v>1.63</v>
      </c>
      <c r="B128" s="2">
        <v>0.65372804908405313</v>
      </c>
      <c r="C128" s="2">
        <v>0.85869389917803662</v>
      </c>
      <c r="D128" s="2">
        <v>0.73299259513839765</v>
      </c>
    </row>
    <row r="129" spans="1:4" ht="15.4" x14ac:dyDescent="0.4">
      <c r="A129" s="2">
        <v>1.64</v>
      </c>
      <c r="B129" s="2">
        <v>0.45604442545920543</v>
      </c>
      <c r="C129" s="2">
        <v>0.72651243119899367</v>
      </c>
      <c r="D129" s="2">
        <v>0.60264475784768878</v>
      </c>
    </row>
    <row r="130" spans="1:4" ht="15.4" x14ac:dyDescent="0.4">
      <c r="A130" s="2">
        <v>1.6850000000000001</v>
      </c>
      <c r="B130" s="2">
        <v>0.77309606041093493</v>
      </c>
      <c r="C130" s="2">
        <v>6.4910691076771956</v>
      </c>
      <c r="D130" s="2">
        <v>2.2498163350490215</v>
      </c>
    </row>
    <row r="131" spans="1:4" ht="15.4" x14ac:dyDescent="0.4">
      <c r="A131" s="2">
        <v>1.7413799999999999</v>
      </c>
      <c r="B131" s="2">
        <v>0.88720909254916136</v>
      </c>
      <c r="C131" s="2">
        <v>-25.887167770700113</v>
      </c>
      <c r="D131" s="2">
        <v>3.6601249926708692</v>
      </c>
    </row>
    <row r="132" spans="1:4" ht="15.4" x14ac:dyDescent="0.4">
      <c r="A132" s="2">
        <v>1.77</v>
      </c>
      <c r="B132" s="2">
        <v>2.1649192501584804</v>
      </c>
      <c r="C132" s="2">
        <v>2.1765490508578185</v>
      </c>
      <c r="D132" s="2">
        <v>2.0996540386306153</v>
      </c>
    </row>
    <row r="133" spans="1:4" ht="15.4" x14ac:dyDescent="0.4">
      <c r="A133" s="2">
        <v>1.8280000000000001</v>
      </c>
      <c r="B133" s="2">
        <v>0.75167596744087584</v>
      </c>
      <c r="C133" s="2">
        <v>3.7591645359801666</v>
      </c>
      <c r="D133" s="2">
        <v>1.7204421106505021</v>
      </c>
    </row>
    <row r="134" spans="1:4" ht="15.4" x14ac:dyDescent="0.4">
      <c r="A134" s="2">
        <v>1.8360000000000001</v>
      </c>
      <c r="B134" s="2">
        <v>1.0380635018744206</v>
      </c>
      <c r="C134" s="2">
        <v>-4.6655437985890851</v>
      </c>
      <c r="D134" s="2">
        <v>30.519291936637973</v>
      </c>
    </row>
    <row r="135" spans="1:4" ht="15.4" x14ac:dyDescent="0.4">
      <c r="A135" s="2">
        <v>1.8620000000000001</v>
      </c>
      <c r="B135" s="2">
        <v>1.1851727416798736</v>
      </c>
      <c r="C135" s="2">
        <v>7.8102393638216085</v>
      </c>
      <c r="D135" s="2">
        <v>2.2547989745347934</v>
      </c>
    </row>
    <row r="136" spans="1:4" ht="15.4" x14ac:dyDescent="0.4">
      <c r="A136" s="2">
        <v>1.9379999999999999</v>
      </c>
      <c r="B136" s="2">
        <v>0.38118284875065273</v>
      </c>
      <c r="C136" s="2">
        <v>0.45225522042089772</v>
      </c>
      <c r="D136" s="2">
        <v>0.44272084679115287</v>
      </c>
    </row>
    <row r="137" spans="1:4" ht="15.4" x14ac:dyDescent="0.4">
      <c r="A137" s="2">
        <v>1.9970000000000001</v>
      </c>
      <c r="B137" s="2">
        <v>1.9399074596658081</v>
      </c>
      <c r="C137" s="2">
        <v>-7.0353486829875616</v>
      </c>
      <c r="D137" s="2">
        <v>3.4530090301665828</v>
      </c>
    </row>
    <row r="138" spans="1:4" ht="15.4" x14ac:dyDescent="0.4">
      <c r="A138" s="2">
        <v>2.06</v>
      </c>
      <c r="B138" s="2">
        <v>0.57398607864793338</v>
      </c>
      <c r="C138" s="2">
        <v>4.1346467662956483</v>
      </c>
      <c r="D138" s="2">
        <v>2.4747479708732936</v>
      </c>
    </row>
    <row r="139" spans="1:4" ht="15.4" x14ac:dyDescent="0.4">
      <c r="A139" s="2">
        <v>2.1806000000000001</v>
      </c>
      <c r="B139" s="2">
        <v>1.0380635018744206</v>
      </c>
      <c r="C139" s="2">
        <v>-4.6655437985890851</v>
      </c>
      <c r="D139" s="2">
        <v>10.799071583854966</v>
      </c>
    </row>
    <row r="140" spans="1:4" ht="15.4" x14ac:dyDescent="0.4">
      <c r="A140" s="2">
        <v>2.2400000000000002</v>
      </c>
      <c r="B140" s="2">
        <v>1.699497487437186</v>
      </c>
      <c r="C140" s="2">
        <v>1.6782747049996241</v>
      </c>
      <c r="D140" s="2">
        <v>1.6415991550128473</v>
      </c>
    </row>
    <row r="141" spans="1:4" ht="15.4" x14ac:dyDescent="0.4">
      <c r="A141" s="2">
        <v>2.36</v>
      </c>
      <c r="B141" s="2">
        <v>2.6118089271730618</v>
      </c>
      <c r="C141" s="2">
        <v>2.8686628958482401</v>
      </c>
      <c r="D141" s="2">
        <v>2.633422788653792</v>
      </c>
    </row>
    <row r="142" spans="1:4" ht="15.4" x14ac:dyDescent="0.4">
      <c r="A142" s="2">
        <v>2.57</v>
      </c>
      <c r="B142" s="2">
        <v>0.59800796812749013</v>
      </c>
      <c r="C142" s="2">
        <v>1.5738472662515235</v>
      </c>
      <c r="D142" s="2">
        <v>1.0575599105360112</v>
      </c>
    </row>
    <row r="143" spans="1:4" ht="15.4" x14ac:dyDescent="0.4">
      <c r="A143" s="2">
        <v>2.7330000000000001</v>
      </c>
      <c r="B143" s="2">
        <v>1.3095539568345322</v>
      </c>
      <c r="C143" s="2">
        <v>14.138787194724388</v>
      </c>
      <c r="D143" s="2">
        <v>4.8869043762971192</v>
      </c>
    </row>
    <row r="144" spans="1:4" ht="15.4" x14ac:dyDescent="0.4">
      <c r="A144" s="2">
        <v>2.8612805714285727</v>
      </c>
      <c r="B144" s="2">
        <v>1.2202677160830722</v>
      </c>
      <c r="C144" s="2">
        <v>4.0380560769068197</v>
      </c>
      <c r="D144" s="2">
        <v>2.6971268136945019</v>
      </c>
    </row>
    <row r="145" spans="1:4" ht="15.4" x14ac:dyDescent="0.4">
      <c r="A145" s="2">
        <v>2.92</v>
      </c>
      <c r="B145" s="2">
        <v>1.9767048282727726</v>
      </c>
      <c r="C145" s="2">
        <v>1.9779500076578245</v>
      </c>
      <c r="D145" s="2">
        <v>1.7727373622106413</v>
      </c>
    </row>
    <row r="146" spans="1:4" ht="15.4" x14ac:dyDescent="0.4">
      <c r="A146" s="2">
        <v>2.9870000000000001</v>
      </c>
      <c r="B146" s="2">
        <v>1.7954651997129871</v>
      </c>
      <c r="C146" s="2">
        <v>-6.4540212136552171</v>
      </c>
      <c r="D146" s="2">
        <v>-39.862017836533809</v>
      </c>
    </row>
    <row r="147" spans="1:4" ht="15.4" x14ac:dyDescent="0.4">
      <c r="A147" s="1">
        <v>3.0157259999999995</v>
      </c>
      <c r="B147" s="1">
        <v>1.402631083202512</v>
      </c>
      <c r="C147" s="1">
        <v>8.5069519980872101</v>
      </c>
      <c r="D147" s="1">
        <v>4.1539004160220792</v>
      </c>
    </row>
    <row r="148" spans="1:4" ht="15.4" x14ac:dyDescent="0.4">
      <c r="A148" s="2">
        <v>3.07</v>
      </c>
      <c r="B148" s="2">
        <v>3.3920158527715993</v>
      </c>
      <c r="C148" s="2">
        <v>4.6462782660705377</v>
      </c>
      <c r="D148" s="2">
        <v>3.8311902890202756</v>
      </c>
    </row>
    <row r="149" spans="1:4" ht="15.4" x14ac:dyDescent="0.4">
      <c r="A149" s="2">
        <v>3.17</v>
      </c>
      <c r="B149" s="2">
        <v>2.445526101510902</v>
      </c>
      <c r="C149" s="2">
        <v>2.669655947209745</v>
      </c>
      <c r="D149" s="2">
        <v>2.0061532428833866</v>
      </c>
    </row>
    <row r="150" spans="1:4" ht="15.4" x14ac:dyDescent="0.4">
      <c r="A150" s="2">
        <v>3.1885493684210524</v>
      </c>
      <c r="B150" s="2">
        <v>1.6224052341883894</v>
      </c>
      <c r="C150" s="2">
        <v>132.17073865370477</v>
      </c>
      <c r="D150" s="2">
        <v>7.716686714087805</v>
      </c>
    </row>
    <row r="151" spans="1:4" ht="15.4" x14ac:dyDescent="0.4">
      <c r="A151" s="1">
        <v>3.4298880000000009</v>
      </c>
      <c r="B151" s="1">
        <v>1.8924178367535873</v>
      </c>
      <c r="C151" s="1">
        <v>-11.695639271997848</v>
      </c>
      <c r="D151" s="1">
        <v>28.992236225227323</v>
      </c>
    </row>
    <row r="152" spans="1:4" ht="15.4" x14ac:dyDescent="0.4">
      <c r="A152" s="2">
        <v>3.4809999999999999</v>
      </c>
      <c r="B152" s="2">
        <v>0.46165956180368156</v>
      </c>
      <c r="C152" s="2">
        <v>0.66179122435871274</v>
      </c>
      <c r="D152" s="2">
        <v>0.63692777968689085</v>
      </c>
    </row>
    <row r="153" spans="1:4" ht="15.4" x14ac:dyDescent="0.4">
      <c r="A153" s="1">
        <v>3.6082632705882354</v>
      </c>
      <c r="B153" s="1">
        <v>2.2321179391141501</v>
      </c>
      <c r="C153" s="1">
        <v>-6.084064792694055</v>
      </c>
      <c r="D153" s="1">
        <v>-21.281502202061279</v>
      </c>
    </row>
    <row r="154" spans="1:4" ht="15.4" x14ac:dyDescent="0.4">
      <c r="A154" s="1">
        <v>4.0682268000000006</v>
      </c>
      <c r="B154" s="1">
        <v>2.6724812481248126</v>
      </c>
      <c r="C154" s="1">
        <v>-4.323465041989305</v>
      </c>
      <c r="D154" s="1">
        <v>-8.5525591375047334</v>
      </c>
    </row>
    <row r="155" spans="1:4" ht="15.4" x14ac:dyDescent="0.4">
      <c r="A155" s="2">
        <v>4.0999999999999996</v>
      </c>
      <c r="B155" s="2">
        <v>4.4067256723004906</v>
      </c>
      <c r="C155" s="2">
        <v>8.6502804187025966</v>
      </c>
      <c r="D155" s="2">
        <v>5.9223191356159255</v>
      </c>
    </row>
    <row r="156" spans="1:4" ht="15.4" x14ac:dyDescent="0.4">
      <c r="A156" s="2">
        <v>4.3360000000000003</v>
      </c>
      <c r="B156" s="2">
        <v>0.58223154815610867</v>
      </c>
      <c r="C156" s="2">
        <v>1.1756501915679178</v>
      </c>
      <c r="D156" s="2">
        <v>1.0906980553517776</v>
      </c>
    </row>
    <row r="157" spans="1:4" ht="15.4" x14ac:dyDescent="0.4">
      <c r="A157" s="1">
        <v>5.13</v>
      </c>
      <c r="B157" s="1">
        <v>5.7803621420315903</v>
      </c>
      <c r="C157" s="1">
        <v>22.752999242562439</v>
      </c>
      <c r="D157" s="1">
        <v>10.037516192940346</v>
      </c>
    </row>
    <row r="158" spans="1:4" ht="15.4" x14ac:dyDescent="0.4">
      <c r="A158" s="1">
        <v>5.1733333333333302</v>
      </c>
      <c r="B158" s="1">
        <v>2.3060278207109741</v>
      </c>
      <c r="C158" s="1">
        <v>2.268744827821477</v>
      </c>
      <c r="D158" s="1">
        <v>2.2509638972827033</v>
      </c>
    </row>
    <row r="159" spans="1:4" ht="15.4" x14ac:dyDescent="0.4">
      <c r="A159" s="2">
        <v>5.5149999999999997</v>
      </c>
      <c r="B159" s="2">
        <v>0.78280420691307939</v>
      </c>
      <c r="C159" s="2">
        <v>3.7845933957862528</v>
      </c>
      <c r="D159" s="2">
        <v>3.0044228546947709</v>
      </c>
    </row>
    <row r="160" spans="1:4" ht="15.4" x14ac:dyDescent="0.4">
      <c r="A160" s="2">
        <v>5.68</v>
      </c>
      <c r="B160" s="2">
        <v>3.4206896551724144</v>
      </c>
      <c r="C160" s="2">
        <v>4.8402071046504949</v>
      </c>
      <c r="D160" s="2">
        <v>2.4768981637857466</v>
      </c>
    </row>
    <row r="161" spans="1:4" ht="15.4" x14ac:dyDescent="0.4">
      <c r="A161" s="2">
        <v>5.9200000000000008</v>
      </c>
      <c r="B161" s="2">
        <v>2.6449511400651469</v>
      </c>
      <c r="C161" s="2">
        <v>2.6828330515988945</v>
      </c>
      <c r="D161" s="2">
        <v>2.6264469632256553</v>
      </c>
    </row>
    <row r="162" spans="1:4" ht="15.4" x14ac:dyDescent="0.4">
      <c r="A162" s="2">
        <v>6.64</v>
      </c>
      <c r="B162" s="2">
        <v>6.6670640442666933</v>
      </c>
      <c r="C162" s="2">
        <v>61.47319763530659</v>
      </c>
      <c r="D162" s="2">
        <v>13.898263250189622</v>
      </c>
    </row>
    <row r="163" spans="1:4" ht="15.4" x14ac:dyDescent="0.4">
      <c r="A163" s="2">
        <v>6.8559999999999999</v>
      </c>
      <c r="B163" s="2">
        <v>1.1825281494853994</v>
      </c>
      <c r="C163" s="2">
        <v>-4.4703963082739495</v>
      </c>
      <c r="D163" s="2">
        <v>-6.3495889773012619</v>
      </c>
    </row>
    <row r="164" spans="1:4" ht="15.4" x14ac:dyDescent="0.4">
      <c r="A164" s="2">
        <v>7.08</v>
      </c>
      <c r="B164" s="2">
        <v>7.7442851199556229</v>
      </c>
      <c r="C164" s="2">
        <v>-140.92656438651053</v>
      </c>
      <c r="D164" s="2">
        <v>20.802739575765841</v>
      </c>
    </row>
    <row r="165" spans="1:4" ht="15.4" x14ac:dyDescent="0.4">
      <c r="A165" s="2">
        <v>7.4133333333333331</v>
      </c>
      <c r="B165" s="2">
        <v>3.4452554744525545</v>
      </c>
      <c r="C165" s="2">
        <v>4.0713790976201514</v>
      </c>
      <c r="D165" s="2">
        <v>3.8225595752465189</v>
      </c>
    </row>
    <row r="166" spans="1:4" ht="15.4" x14ac:dyDescent="0.4">
      <c r="A166" s="2">
        <v>7.9</v>
      </c>
      <c r="B166" s="2">
        <v>14.860507144582874</v>
      </c>
      <c r="C166" s="2">
        <v>16.435123842573873</v>
      </c>
      <c r="D166" s="2">
        <v>12.73192095653498</v>
      </c>
    </row>
    <row r="167" spans="1:4" ht="15.4" x14ac:dyDescent="0.4">
      <c r="A167" s="2">
        <v>8.1066666666666674</v>
      </c>
      <c r="B167" s="2">
        <v>4.4647302904564317</v>
      </c>
      <c r="C167" s="2">
        <v>6.8737612447415124</v>
      </c>
      <c r="D167" s="2">
        <v>6.0141375619303785</v>
      </c>
    </row>
    <row r="168" spans="1:4" ht="15.4" x14ac:dyDescent="0.4">
      <c r="A168" s="2">
        <v>8.4</v>
      </c>
      <c r="B168" s="2">
        <v>9.0808191802371265</v>
      </c>
      <c r="C168" s="2">
        <v>-37.267469168877945</v>
      </c>
      <c r="D168" s="2">
        <v>36.439274135083316</v>
      </c>
    </row>
    <row r="169" spans="1:4" ht="15.4" x14ac:dyDescent="0.4">
      <c r="A169" s="2">
        <v>9.6999999999999993</v>
      </c>
      <c r="B169" s="2">
        <v>7.9656324582338893</v>
      </c>
      <c r="C169" s="2">
        <v>14.455576432341127</v>
      </c>
      <c r="D169" s="2">
        <v>10.254836831717446</v>
      </c>
    </row>
    <row r="170" spans="1:4" ht="15.4" x14ac:dyDescent="0.4">
      <c r="A170" s="2">
        <v>10</v>
      </c>
      <c r="B170" s="2">
        <v>10.783112622259507</v>
      </c>
      <c r="C170" s="2">
        <v>-22.97226998140189</v>
      </c>
      <c r="D170" s="2">
        <v>104.18018986854496</v>
      </c>
    </row>
    <row r="171" spans="1:4" ht="15.4" x14ac:dyDescent="0.4">
      <c r="A171" s="2">
        <v>11.81</v>
      </c>
      <c r="B171" s="2">
        <v>47.903330625507721</v>
      </c>
      <c r="C171" s="2">
        <v>267.65554968306651</v>
      </c>
      <c r="D171" s="2">
        <v>21.947552088493275</v>
      </c>
    </row>
    <row r="172" spans="1:4" ht="15.4" x14ac:dyDescent="0.4">
      <c r="A172" s="2">
        <v>11.9</v>
      </c>
      <c r="B172" s="2">
        <v>13.02510826054149</v>
      </c>
      <c r="C172" s="2">
        <v>-17.337124873756725</v>
      </c>
      <c r="D172" s="2">
        <v>-170.50900334264406</v>
      </c>
    </row>
    <row r="173" spans="1:4" ht="15.4" x14ac:dyDescent="0.4">
      <c r="A173" s="2">
        <v>12.03</v>
      </c>
      <c r="B173" s="2">
        <v>12.708571428571426</v>
      </c>
      <c r="C173" s="2">
        <v>139.09455296248223</v>
      </c>
      <c r="D173" s="2">
        <v>26.659550995695291</v>
      </c>
    </row>
    <row r="174" spans="1:4" ht="15.4" x14ac:dyDescent="0.4">
      <c r="A174" s="2">
        <v>12.906666666666666</v>
      </c>
      <c r="B174" s="2">
        <v>5.8076923076923075</v>
      </c>
      <c r="C174" s="2">
        <v>13.87270948455985</v>
      </c>
      <c r="D174" s="2">
        <v>10.53379563774841</v>
      </c>
    </row>
    <row r="175" spans="1:4" ht="15.4" x14ac:dyDescent="0.4">
      <c r="A175" s="2">
        <v>13.42</v>
      </c>
      <c r="B175" s="2">
        <v>17.428978622327786</v>
      </c>
      <c r="C175" s="2">
        <v>-62.192182024676512</v>
      </c>
      <c r="D175" s="2">
        <v>74.134153676213728</v>
      </c>
    </row>
    <row r="176" spans="1:4" ht="15.4" x14ac:dyDescent="0.4">
      <c r="A176" s="2">
        <v>14.38</v>
      </c>
      <c r="B176" s="2">
        <v>22.127014218009467</v>
      </c>
      <c r="C176" s="2">
        <v>-36.089659448359619</v>
      </c>
      <c r="D176" s="2">
        <v>1004.2542817270141</v>
      </c>
    </row>
    <row r="177" spans="1:4" ht="15.4" x14ac:dyDescent="0.4">
      <c r="A177" s="2">
        <v>15.8</v>
      </c>
      <c r="B177" s="2">
        <v>15.365661971435653</v>
      </c>
      <c r="C177" s="2">
        <v>15.252692587962258</v>
      </c>
      <c r="D177" s="2">
        <v>15.225161836303107</v>
      </c>
    </row>
    <row r="178" spans="1:4" ht="15.4" x14ac:dyDescent="0.4">
      <c r="A178" s="2">
        <v>16.7</v>
      </c>
      <c r="B178" s="2">
        <v>15.820733320733323</v>
      </c>
      <c r="C178" s="2">
        <v>15.622693337917584</v>
      </c>
      <c r="D178" s="2">
        <v>15.548344978830508</v>
      </c>
    </row>
    <row r="179" spans="1:4" ht="15.4" x14ac:dyDescent="0.4">
      <c r="A179" s="2">
        <v>16.79</v>
      </c>
      <c r="B179" s="2">
        <v>26.802836879432618</v>
      </c>
      <c r="C179" s="2">
        <v>-28.944498590485665</v>
      </c>
      <c r="D179" s="2">
        <v>-152.5151706152123</v>
      </c>
    </row>
    <row r="180" spans="1:4" ht="15.4" x14ac:dyDescent="0.4">
      <c r="A180" s="2">
        <v>18.96</v>
      </c>
      <c r="B180" s="2">
        <v>31.456603773584899</v>
      </c>
      <c r="C180" s="2">
        <v>-25.635553561735602</v>
      </c>
      <c r="D180" s="2">
        <v>-86.345819892764595</v>
      </c>
    </row>
    <row r="181" spans="1:4" ht="15.4" x14ac:dyDescent="0.4">
      <c r="A181" s="2">
        <v>19.68</v>
      </c>
      <c r="B181" s="2">
        <v>17.109545785766336</v>
      </c>
      <c r="C181" s="2">
        <v>16.867632102327999</v>
      </c>
      <c r="D181" s="2">
        <v>16.60633699347693</v>
      </c>
    </row>
    <row r="182" spans="1:4" ht="15.4" x14ac:dyDescent="0.4">
      <c r="A182" s="2">
        <v>20.27</v>
      </c>
      <c r="B182" s="2">
        <v>16.242430022411902</v>
      </c>
      <c r="C182" s="2">
        <v>16.001586905012228</v>
      </c>
      <c r="D182" s="2">
        <v>15.874448971654306</v>
      </c>
    </row>
    <row r="183" spans="1:4" ht="15.4" x14ac:dyDescent="0.4">
      <c r="A183" s="2">
        <v>20.34</v>
      </c>
      <c r="B183" s="2">
        <v>16.671960727692753</v>
      </c>
      <c r="C183" s="2">
        <v>16.417029585044304</v>
      </c>
      <c r="D183" s="2">
        <v>16.227637295863278</v>
      </c>
    </row>
    <row r="184" spans="1:4" ht="15.4" x14ac:dyDescent="0.4">
      <c r="A184" s="2">
        <v>22.6</v>
      </c>
      <c r="B184" s="2">
        <v>17.555413887799137</v>
      </c>
      <c r="C184" s="2">
        <v>17.353034823219058</v>
      </c>
      <c r="D184" s="2">
        <v>17.009791969631184</v>
      </c>
    </row>
    <row r="185" spans="1:4" ht="15.4" x14ac:dyDescent="0.4">
      <c r="A185" s="2">
        <v>24.66</v>
      </c>
      <c r="B185" s="2">
        <v>23.792731649918171</v>
      </c>
      <c r="C185" s="2">
        <v>23.620427400477954</v>
      </c>
      <c r="D185" s="2">
        <v>23.590773490214243</v>
      </c>
    </row>
    <row r="186" spans="1:4" ht="15.4" x14ac:dyDescent="0.4">
      <c r="A186" s="2">
        <v>26.3</v>
      </c>
      <c r="B186" s="2">
        <v>24.395645728940259</v>
      </c>
      <c r="C186" s="2">
        <v>24.117900671753734</v>
      </c>
      <c r="D186" s="2">
        <v>24.047680222254876</v>
      </c>
    </row>
    <row r="187" spans="1:4" ht="15.4" x14ac:dyDescent="0.4">
      <c r="A187" s="2">
        <v>27.26</v>
      </c>
      <c r="B187" s="2">
        <v>25.63308905174328</v>
      </c>
      <c r="C187" s="2">
        <v>25.27539321778702</v>
      </c>
      <c r="D187" s="2">
        <v>25.097676440037937</v>
      </c>
    </row>
    <row r="188" spans="1:4" ht="15.4" x14ac:dyDescent="0.4">
      <c r="A188" s="2">
        <v>28.66</v>
      </c>
      <c r="B188" s="2">
        <v>25.009006893451907</v>
      </c>
      <c r="C188" s="2">
        <v>24.671426843823781</v>
      </c>
      <c r="D188" s="2">
        <v>24.551757712410613</v>
      </c>
    </row>
    <row r="189" spans="1:4" ht="15.4" x14ac:dyDescent="0.4">
      <c r="A189" s="2">
        <v>28.763100000000001</v>
      </c>
      <c r="B189" s="2">
        <v>33.368078175895768</v>
      </c>
      <c r="C189" s="2">
        <v>33.839063193948874</v>
      </c>
      <c r="D189" s="2">
        <v>32.075356657517972</v>
      </c>
    </row>
    <row r="190" spans="1:4" ht="15.4" x14ac:dyDescent="0.4">
      <c r="A190" s="2">
        <v>30.123799999999999</v>
      </c>
      <c r="B190" s="2">
        <v>35.011952191235061</v>
      </c>
      <c r="C190" s="2">
        <v>36.034042680235643</v>
      </c>
      <c r="D190" s="2">
        <v>33.661563192096388</v>
      </c>
    </row>
    <row r="191" spans="1:4" ht="15.4" x14ac:dyDescent="0.4">
      <c r="A191" s="2">
        <v>31.02</v>
      </c>
      <c r="B191" s="2">
        <v>31.004525923804074</v>
      </c>
      <c r="C191" s="2">
        <v>31.012968893329607</v>
      </c>
      <c r="D191" s="2">
        <v>30.240366083721305</v>
      </c>
    </row>
    <row r="192" spans="1:4" ht="15.4" x14ac:dyDescent="0.4">
      <c r="A192" s="2">
        <v>31.278099999999998</v>
      </c>
      <c r="B192" s="2">
        <v>38.497237569060779</v>
      </c>
      <c r="C192" s="2">
        <v>41.096685879148851</v>
      </c>
      <c r="D192" s="2">
        <v>37.187508382019729</v>
      </c>
    </row>
    <row r="193" spans="1:4" ht="15.4" x14ac:dyDescent="0.4">
      <c r="A193" s="2">
        <v>31.41</v>
      </c>
      <c r="B193" s="2">
        <v>47.903330625507721</v>
      </c>
      <c r="C193" s="2">
        <v>267.65554968306651</v>
      </c>
      <c r="D193" s="2">
        <v>30.292811972710975</v>
      </c>
    </row>
    <row r="194" spans="1:4" ht="15.4" x14ac:dyDescent="0.4">
      <c r="A194" s="2">
        <v>32.770000000000003</v>
      </c>
      <c r="B194" s="2">
        <v>47.903330625507721</v>
      </c>
      <c r="C194" s="2">
        <v>267.65554968306651</v>
      </c>
      <c r="D194" s="2">
        <v>66.699502867134726</v>
      </c>
    </row>
    <row r="195" spans="1:4" ht="15.4" x14ac:dyDescent="0.4">
      <c r="A195" s="2">
        <v>33.129100000000001</v>
      </c>
      <c r="B195" s="2">
        <v>42.273381294964025</v>
      </c>
      <c r="C195" s="2">
        <v>47.166048094486847</v>
      </c>
      <c r="D195" s="2">
        <v>41.206341267227543</v>
      </c>
    </row>
    <row r="196" spans="1:4" ht="15.4" x14ac:dyDescent="0.4">
      <c r="A196" s="2">
        <v>33.79</v>
      </c>
      <c r="B196" s="2">
        <v>26.26817577186063</v>
      </c>
      <c r="C196" s="2">
        <v>25.927478406092753</v>
      </c>
      <c r="D196" s="2">
        <v>25.683003385740548</v>
      </c>
    </row>
    <row r="197" spans="1:4" ht="15.4" x14ac:dyDescent="0.4">
      <c r="A197" s="2">
        <v>33.880000000000003</v>
      </c>
      <c r="B197" s="2">
        <v>47.831773703833541</v>
      </c>
      <c r="C197" s="2">
        <v>58.354298745201646</v>
      </c>
      <c r="D197" s="2">
        <v>44.667255768707228</v>
      </c>
    </row>
    <row r="198" spans="1:4" ht="15.4" x14ac:dyDescent="0.4">
      <c r="A198" s="2">
        <v>33.950000000000003</v>
      </c>
      <c r="B198" s="2">
        <v>34.002434558859918</v>
      </c>
      <c r="C198" s="2">
        <v>34.800264128068235</v>
      </c>
      <c r="D198" s="2">
        <v>33.340036522794421</v>
      </c>
    </row>
    <row r="199" spans="1:4" ht="15.4" x14ac:dyDescent="0.4">
      <c r="A199" s="2">
        <v>34.75</v>
      </c>
      <c r="B199" s="2">
        <v>38.214734805739148</v>
      </c>
      <c r="C199" s="2">
        <v>38.745689086865482</v>
      </c>
      <c r="D199" s="2">
        <v>35.055730278759803</v>
      </c>
    </row>
    <row r="200" spans="1:4" ht="15.4" x14ac:dyDescent="0.4">
      <c r="A200" s="2">
        <v>34.770000000000003</v>
      </c>
      <c r="B200" s="2">
        <v>37.227280197206248</v>
      </c>
      <c r="C200" s="2">
        <v>39.321062652974774</v>
      </c>
      <c r="D200" s="2">
        <v>36.930158142593768</v>
      </c>
    </row>
    <row r="201" spans="1:4" ht="15.4" x14ac:dyDescent="0.4">
      <c r="A201" s="2">
        <v>35.72</v>
      </c>
      <c r="B201" s="2">
        <v>26.914560711224961</v>
      </c>
      <c r="C201" s="2">
        <v>26.626815674355186</v>
      </c>
      <c r="D201" s="2">
        <v>26.306567841716678</v>
      </c>
    </row>
    <row r="202" spans="1:4" ht="15.4" x14ac:dyDescent="0.4">
      <c r="A202" s="2">
        <v>36.218699999999998</v>
      </c>
      <c r="B202" s="2">
        <v>38.497237569060779</v>
      </c>
      <c r="C202" s="2">
        <v>41.096685879148851</v>
      </c>
      <c r="D202" s="2">
        <v>38.28247635111228</v>
      </c>
    </row>
    <row r="203" spans="1:4" ht="15.4" x14ac:dyDescent="0.4">
      <c r="A203" s="2">
        <v>36.31</v>
      </c>
      <c r="B203" s="2">
        <v>27.572548069385252</v>
      </c>
      <c r="C203" s="2">
        <v>27.373364104739117</v>
      </c>
      <c r="D203" s="2">
        <v>26.967899111216262</v>
      </c>
    </row>
    <row r="204" spans="1:4" ht="15.4" x14ac:dyDescent="0.4">
      <c r="A204" s="2">
        <v>36.590000000000003</v>
      </c>
      <c r="B204" s="2">
        <v>46.006825938566557</v>
      </c>
      <c r="C204" s="2">
        <v>70.846598749890703</v>
      </c>
      <c r="D204" s="2">
        <v>57.59059334036354</v>
      </c>
    </row>
    <row r="205" spans="1:4" ht="15.4" x14ac:dyDescent="0.4">
      <c r="A205" s="2">
        <v>37.85</v>
      </c>
      <c r="B205" s="2">
        <v>40.705844675740593</v>
      </c>
      <c r="C205" s="2">
        <v>44.659073187463925</v>
      </c>
      <c r="D205" s="2">
        <v>41.038783291368823</v>
      </c>
    </row>
    <row r="206" spans="1:4" ht="15.4" x14ac:dyDescent="0.4">
      <c r="A206" s="2">
        <v>38.875300000000003</v>
      </c>
      <c r="B206" s="2">
        <v>42.273381294964025</v>
      </c>
      <c r="C206" s="2">
        <v>47.166048094486847</v>
      </c>
      <c r="D206" s="2">
        <v>42.838657452004952</v>
      </c>
    </row>
    <row r="207" spans="1:4" ht="15.4" x14ac:dyDescent="0.4">
      <c r="A207" s="2">
        <v>41.21</v>
      </c>
      <c r="B207" s="2">
        <v>67.067368998203705</v>
      </c>
      <c r="C207" s="2">
        <v>113.38251114418202</v>
      </c>
      <c r="D207" s="2">
        <v>66.765340915225437</v>
      </c>
    </row>
    <row r="208" spans="1:4" ht="15.4" x14ac:dyDescent="0.4">
      <c r="A208" s="2">
        <v>42.04</v>
      </c>
      <c r="B208" s="2">
        <v>166.79681316392413</v>
      </c>
      <c r="C208" s="2">
        <v>-563.4675313809978</v>
      </c>
      <c r="D208" s="2">
        <v>137.04367826371626</v>
      </c>
    </row>
    <row r="209" spans="1:4" ht="15.4" x14ac:dyDescent="0.4">
      <c r="A209" s="2">
        <v>42.19</v>
      </c>
      <c r="B209" s="2">
        <v>67.067368998203705</v>
      </c>
      <c r="C209" s="2">
        <v>113.38251114418202</v>
      </c>
      <c r="D209" s="2">
        <v>64.544953074847598</v>
      </c>
    </row>
    <row r="210" spans="1:4" ht="15.4" x14ac:dyDescent="0.4">
      <c r="A210" s="2">
        <v>42.396500000000003</v>
      </c>
      <c r="B210" s="2">
        <v>46.378378378378372</v>
      </c>
      <c r="C210" s="2">
        <v>54.420828963385006</v>
      </c>
      <c r="D210" s="2">
        <v>48.073334843627137</v>
      </c>
    </row>
    <row r="211" spans="1:4" ht="15.4" x14ac:dyDescent="0.4">
      <c r="A211" s="2">
        <v>42.53</v>
      </c>
      <c r="B211" s="2">
        <v>51.683991683991678</v>
      </c>
      <c r="C211" s="2">
        <v>91.982910872042311</v>
      </c>
      <c r="D211" s="2">
        <v>70.098538388378515</v>
      </c>
    </row>
    <row r="212" spans="1:4" ht="15.4" x14ac:dyDescent="0.4">
      <c r="A212" s="2">
        <v>43.55</v>
      </c>
      <c r="B212" s="2">
        <v>44.469296588509835</v>
      </c>
      <c r="C212" s="2">
        <v>50.934069456060868</v>
      </c>
      <c r="D212" s="2">
        <v>45.710426436489243</v>
      </c>
    </row>
    <row r="213" spans="1:4" ht="15.4" x14ac:dyDescent="0.4">
      <c r="A213" s="2">
        <v>46.227600000000002</v>
      </c>
      <c r="B213" s="2">
        <v>50.857142857142861</v>
      </c>
      <c r="C213" s="2">
        <v>63.104795270587914</v>
      </c>
      <c r="D213" s="2">
        <v>54.071495619664049</v>
      </c>
    </row>
    <row r="214" spans="1:4" ht="15.4" x14ac:dyDescent="0.4">
      <c r="A214" s="2">
        <v>48.19</v>
      </c>
      <c r="B214" s="2">
        <v>48.554127802560693</v>
      </c>
      <c r="C214" s="2">
        <v>58.306244485552192</v>
      </c>
      <c r="D214" s="2">
        <v>51.004301981177996</v>
      </c>
    </row>
    <row r="215" spans="1:4" ht="15.4" x14ac:dyDescent="0.4">
      <c r="A215" s="2">
        <v>51.14</v>
      </c>
      <c r="B215" s="2">
        <v>84.376723479875182</v>
      </c>
      <c r="C215" s="2">
        <v>199.67291605530107</v>
      </c>
      <c r="D215" s="2">
        <v>87.266944180203893</v>
      </c>
    </row>
    <row r="216" spans="1:4" ht="15.4" x14ac:dyDescent="0.4">
      <c r="A216" s="2">
        <v>53.57</v>
      </c>
      <c r="B216" s="2">
        <v>58.163606010016714</v>
      </c>
      <c r="C216" s="2">
        <v>123.76500278116546</v>
      </c>
      <c r="D216" s="2">
        <v>86.527572991830951</v>
      </c>
    </row>
    <row r="217" spans="1:4" ht="15.4" x14ac:dyDescent="0.4">
      <c r="A217" s="2">
        <v>56.89</v>
      </c>
      <c r="B217" s="2">
        <v>53.00334059549747</v>
      </c>
      <c r="C217" s="2">
        <v>66.986730529428058</v>
      </c>
      <c r="D217" s="2">
        <v>56.995184812248006</v>
      </c>
    </row>
    <row r="218" spans="1:4" ht="15.4" x14ac:dyDescent="0.4">
      <c r="A218" s="2">
        <v>57.127099999999999</v>
      </c>
      <c r="B218" s="2">
        <v>53.253012048192772</v>
      </c>
      <c r="C218" s="2">
        <v>68.08199607730424</v>
      </c>
      <c r="D218" s="2">
        <v>61.822367334142996</v>
      </c>
    </row>
    <row r="219" spans="1:4" ht="15.4" x14ac:dyDescent="0.4">
      <c r="A219" s="2">
        <v>60.5289</v>
      </c>
      <c r="B219" s="2">
        <v>55.76315789473685</v>
      </c>
      <c r="C219" s="2">
        <v>73.549418002270926</v>
      </c>
      <c r="D219" s="2">
        <v>66.122589462251881</v>
      </c>
    </row>
    <row r="220" spans="1:4" ht="15.4" x14ac:dyDescent="0.4">
      <c r="A220" s="2">
        <v>61.16</v>
      </c>
      <c r="B220" s="2">
        <v>47.903330625507721</v>
      </c>
      <c r="C220" s="2">
        <v>267.65554968306651</v>
      </c>
      <c r="D220" s="2">
        <v>91.968038843202365</v>
      </c>
    </row>
    <row r="221" spans="1:4" ht="15.4" x14ac:dyDescent="0.4">
      <c r="A221" s="2">
        <v>64.156700000000001</v>
      </c>
      <c r="B221" s="2">
        <v>57.859154929577457</v>
      </c>
      <c r="C221" s="2">
        <v>78.317075942060114</v>
      </c>
      <c r="D221" s="2">
        <v>69.817930455612625</v>
      </c>
    </row>
    <row r="222" spans="1:4" ht="15.4" x14ac:dyDescent="0.4">
      <c r="A222" s="2">
        <v>64.61</v>
      </c>
      <c r="B222" s="2">
        <v>84.376723479875182</v>
      </c>
      <c r="C222" s="2">
        <v>199.67291605530107</v>
      </c>
      <c r="D222" s="2">
        <v>83.260602827603961</v>
      </c>
    </row>
    <row r="223" spans="1:4" ht="15.4" x14ac:dyDescent="0.4">
      <c r="A223" s="2">
        <v>66.13</v>
      </c>
      <c r="B223" s="2">
        <v>65.628742514970057</v>
      </c>
      <c r="C223" s="2">
        <v>176.05897105831059</v>
      </c>
      <c r="D223" s="2">
        <v>108.78932715650936</v>
      </c>
    </row>
    <row r="224" spans="1:4" ht="15.4" x14ac:dyDescent="0.4">
      <c r="A224" s="2">
        <v>66.379099999999994</v>
      </c>
      <c r="B224" s="2">
        <v>58.395956192080874</v>
      </c>
      <c r="C224" s="2">
        <v>79.56825257895477</v>
      </c>
      <c r="D224" s="2">
        <v>72.969657577149079</v>
      </c>
    </row>
    <row r="225" spans="1:4" ht="15.4" x14ac:dyDescent="0.4">
      <c r="A225" s="2">
        <v>68.2179</v>
      </c>
      <c r="B225" s="2">
        <v>61.160621761658035</v>
      </c>
      <c r="C225" s="2">
        <v>86.210962804923795</v>
      </c>
      <c r="D225" s="2">
        <v>75.829099108058728</v>
      </c>
    </row>
    <row r="226" spans="1:4" ht="15.4" x14ac:dyDescent="0.4">
      <c r="A226" s="2">
        <v>69.976600000000005</v>
      </c>
      <c r="B226" s="2">
        <v>61.160621761658035</v>
      </c>
      <c r="C226" s="2">
        <v>86.210962804923795</v>
      </c>
      <c r="D226" s="2">
        <v>78.39678595294518</v>
      </c>
    </row>
    <row r="227" spans="1:4" ht="15.4" x14ac:dyDescent="0.4">
      <c r="A227" s="2">
        <v>73.7</v>
      </c>
      <c r="B227" s="2">
        <v>47.903330625507721</v>
      </c>
      <c r="C227" s="2">
        <v>267.65554968306651</v>
      </c>
      <c r="D227" s="2">
        <v>131.83274674012046</v>
      </c>
    </row>
    <row r="228" spans="1:4" ht="15.4" x14ac:dyDescent="0.4">
      <c r="A228" s="2">
        <v>74.287899999999993</v>
      </c>
      <c r="B228" s="2">
        <v>64.06731620903453</v>
      </c>
      <c r="C228" s="2">
        <v>93.563915069980155</v>
      </c>
      <c r="D228" s="2">
        <v>84.318193876498697</v>
      </c>
    </row>
    <row r="229" spans="1:4" ht="15.4" x14ac:dyDescent="0.4">
      <c r="A229" s="2">
        <v>78.462800000000001</v>
      </c>
      <c r="B229" s="2">
        <v>67.127272727272725</v>
      </c>
      <c r="C229" s="2">
        <v>101.73080135870502</v>
      </c>
      <c r="D229" s="2">
        <v>90.79265232295208</v>
      </c>
    </row>
    <row r="230" spans="1:4" ht="15.4" x14ac:dyDescent="0.4">
      <c r="A230" s="2">
        <v>82.06</v>
      </c>
      <c r="B230" s="2">
        <v>83.025519848771282</v>
      </c>
      <c r="C230" s="2">
        <v>189.99590824553496</v>
      </c>
      <c r="D230" s="2">
        <v>108.47775206856453</v>
      </c>
    </row>
    <row r="231" spans="1:4" ht="15.4" x14ac:dyDescent="0.4">
      <c r="A231" s="2">
        <v>87.02</v>
      </c>
      <c r="B231" s="2">
        <v>108.94265734265734</v>
      </c>
      <c r="C231" s="2">
        <v>609.17701540462622</v>
      </c>
      <c r="D231" s="2">
        <v>175.62216004194423</v>
      </c>
    </row>
    <row r="232" spans="1:4" ht="15.4" x14ac:dyDescent="0.4">
      <c r="A232" s="2">
        <v>103.34</v>
      </c>
      <c r="B232" s="2">
        <v>166.79681316392413</v>
      </c>
      <c r="C232" s="2">
        <v>-563.4675313809978</v>
      </c>
      <c r="D232" s="2">
        <v>354.68968195720856</v>
      </c>
    </row>
    <row r="233" spans="1:4" ht="15.4" x14ac:dyDescent="0.4">
      <c r="A233" s="2">
        <v>129.82</v>
      </c>
      <c r="B233" s="2">
        <v>166.79681316392413</v>
      </c>
      <c r="C233" s="2">
        <v>-563.4675313809978</v>
      </c>
      <c r="D233" s="2">
        <v>1005.8604625878512</v>
      </c>
    </row>
    <row r="234" spans="1:4" ht="15.4" x14ac:dyDescent="0.4">
      <c r="A234" s="2">
        <v>155.25</v>
      </c>
      <c r="B234" s="2">
        <v>166.79681316392413</v>
      </c>
      <c r="C234" s="2">
        <v>-563.4675313809978</v>
      </c>
      <c r="D234" s="2">
        <v>-2578.4570805944691</v>
      </c>
    </row>
    <row r="235" spans="1:4" ht="15.4" x14ac:dyDescent="0.4">
      <c r="A235" s="2">
        <v>237.9</v>
      </c>
      <c r="B235" s="2">
        <v>166.79681316392413</v>
      </c>
      <c r="C235" s="2">
        <v>-563.4675313809978</v>
      </c>
      <c r="D235" s="2">
        <v>-1175.0597881976348</v>
      </c>
    </row>
    <row r="236" spans="1:4" ht="15.4" x14ac:dyDescent="0.4">
      <c r="A236" s="2">
        <v>442.68</v>
      </c>
      <c r="B236" s="2">
        <v>930.4256301566877</v>
      </c>
      <c r="C236" s="2">
        <v>1036.5639188946973</v>
      </c>
      <c r="D236" s="2">
        <v>744.94849355800409</v>
      </c>
    </row>
    <row r="237" spans="1:4" ht="15.4" x14ac:dyDescent="0.4">
      <c r="A237" s="2">
        <v>537.78</v>
      </c>
      <c r="B237" s="2">
        <v>1027.3747964832303</v>
      </c>
      <c r="C237" s="2">
        <v>1341.6865792180961</v>
      </c>
      <c r="D237" s="2">
        <v>917.74986383971873</v>
      </c>
    </row>
    <row r="238" spans="1:4" ht="15.4" x14ac:dyDescent="0.4">
      <c r="A238" s="2">
        <v>577.66</v>
      </c>
      <c r="B238" s="2">
        <v>1110.3512892519786</v>
      </c>
      <c r="C238" s="2">
        <v>1501.2223901197658</v>
      </c>
      <c r="D238" s="2">
        <v>984.45099308972055</v>
      </c>
    </row>
    <row r="239" spans="1:4" ht="15.4" x14ac:dyDescent="0.4">
      <c r="A239" s="2">
        <v>672.03</v>
      </c>
      <c r="B239" s="2">
        <v>949.51718068416619</v>
      </c>
      <c r="C239" s="2">
        <v>1061.7980557695116</v>
      </c>
      <c r="D239" s="2">
        <v>906.87368942227931</v>
      </c>
    </row>
    <row r="240" spans="1:4" ht="15.4" x14ac:dyDescent="0.4">
      <c r="A240" s="2">
        <v>744.63</v>
      </c>
      <c r="B240" s="2">
        <v>1201.212693884828</v>
      </c>
      <c r="C240" s="2">
        <v>1682.8119678171738</v>
      </c>
      <c r="D240" s="2">
        <v>1055.5890043263407</v>
      </c>
    </row>
    <row r="241" spans="1:4" ht="15.4" x14ac:dyDescent="0.4">
      <c r="A241" s="2">
        <v>851.13</v>
      </c>
      <c r="B241" s="2">
        <v>975.22278304084489</v>
      </c>
      <c r="C241" s="2">
        <v>1095.8064743298446</v>
      </c>
      <c r="D241" s="2">
        <v>1105.0846671090062</v>
      </c>
    </row>
    <row r="242" spans="1:4" ht="15.4" x14ac:dyDescent="0.4">
      <c r="A242" s="2">
        <v>888.17</v>
      </c>
      <c r="B242" s="2">
        <v>971.50445563734991</v>
      </c>
      <c r="C242" s="2">
        <v>1090.8853342245056</v>
      </c>
      <c r="D242" s="2">
        <v>1179.9215789212744</v>
      </c>
    </row>
    <row r="243" spans="1:4" ht="15.4" x14ac:dyDescent="0.4">
      <c r="A243" s="2">
        <v>904</v>
      </c>
      <c r="B243" s="2">
        <v>980.20487463011989</v>
      </c>
      <c r="C243" s="2">
        <v>1102.4009602138717</v>
      </c>
      <c r="D243" s="2">
        <v>1217.0867395213947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35B9-DD74-4BC7-90D2-C1860152B0A2}">
  <dimension ref="A1:S266"/>
  <sheetViews>
    <sheetView zoomScale="70" zoomScaleNormal="70" workbookViewId="0">
      <pane ySplit="1" topLeftCell="A2" activePane="bottomLeft" state="frozen"/>
      <selection pane="bottomLeft" activeCell="D1" sqref="D1:D1048576"/>
    </sheetView>
  </sheetViews>
  <sheetFormatPr defaultRowHeight="13.9" x14ac:dyDescent="0.4"/>
  <cols>
    <col min="1" max="1" width="9.1328125" style="6"/>
    <col min="3" max="3" width="8.59765625" style="27" bestFit="1" customWidth="1"/>
    <col min="4" max="5" width="12.73046875" style="5" customWidth="1"/>
    <col min="6" max="6" width="11.3984375" style="32" bestFit="1" customWidth="1"/>
    <col min="7" max="7" width="11.3984375" style="32" customWidth="1"/>
    <col min="8" max="9" width="12.73046875" style="5" customWidth="1"/>
    <col min="10" max="11" width="18.59765625" style="5" customWidth="1"/>
    <col min="12" max="13" width="12.73046875" style="5" customWidth="1"/>
    <col min="14" max="14" width="15.3984375" style="5" customWidth="1"/>
    <col min="15" max="19" width="12.73046875" style="5" customWidth="1"/>
  </cols>
  <sheetData>
    <row r="1" spans="1:19" s="36" customFormat="1" ht="35.25" x14ac:dyDescent="0.4">
      <c r="A1" s="10" t="s">
        <v>77</v>
      </c>
      <c r="B1" s="10" t="s">
        <v>78</v>
      </c>
      <c r="C1" s="10" t="s">
        <v>25</v>
      </c>
      <c r="D1" s="10" t="s">
        <v>59</v>
      </c>
      <c r="E1" s="10" t="s">
        <v>69</v>
      </c>
      <c r="F1" s="10" t="s">
        <v>81</v>
      </c>
      <c r="G1" s="10" t="s">
        <v>95</v>
      </c>
      <c r="H1" s="35" t="s">
        <v>36</v>
      </c>
      <c r="I1" s="35" t="s">
        <v>7</v>
      </c>
      <c r="J1" s="10" t="s">
        <v>49</v>
      </c>
      <c r="K1" s="10" t="s">
        <v>53</v>
      </c>
      <c r="L1" s="10" t="s">
        <v>50</v>
      </c>
      <c r="M1" s="10" t="s">
        <v>54</v>
      </c>
      <c r="N1" s="10" t="s">
        <v>55</v>
      </c>
      <c r="O1" s="10" t="s">
        <v>56</v>
      </c>
      <c r="P1" s="10" t="s">
        <v>51</v>
      </c>
      <c r="Q1" s="10" t="s">
        <v>57</v>
      </c>
      <c r="R1" s="10" t="s">
        <v>52</v>
      </c>
      <c r="S1" s="10" t="s">
        <v>58</v>
      </c>
    </row>
    <row r="2" spans="1:19" ht="15.4" x14ac:dyDescent="0.4">
      <c r="A2" s="1">
        <v>0.14000000000000001</v>
      </c>
      <c r="B2" s="40">
        <v>30</v>
      </c>
      <c r="C2" s="25">
        <v>1.9999999999999999E-7</v>
      </c>
      <c r="D2" s="2">
        <v>0.17</v>
      </c>
      <c r="E2" s="43">
        <v>10</v>
      </c>
      <c r="F2" s="30">
        <v>2.1237541528239199E-7</v>
      </c>
      <c r="G2" s="30">
        <f>F2*A2</f>
        <v>2.9732558139534881E-8</v>
      </c>
      <c r="H2" s="2">
        <v>3.1199999999999978E-2</v>
      </c>
      <c r="I2" s="2">
        <v>18.352941176470576</v>
      </c>
      <c r="J2" s="2">
        <v>2.1060391783368992E-2</v>
      </c>
      <c r="K2" s="2">
        <v>12.388465754922935</v>
      </c>
      <c r="L2" s="2">
        <v>-1.0891254951121643E-2</v>
      </c>
      <c r="M2" s="2">
        <v>6.4066205594833185</v>
      </c>
      <c r="N2" s="2">
        <v>1.5948560123104E-2</v>
      </c>
      <c r="O2" s="2">
        <v>9.381505954767059</v>
      </c>
      <c r="P2" s="2">
        <v>1.8705030292659436E-2</v>
      </c>
      <c r="Q2" s="2">
        <v>11.00295899568202</v>
      </c>
      <c r="R2" s="2">
        <v>4.5136062107962449E-3</v>
      </c>
      <c r="S2" s="2">
        <v>2.6550624769389675</v>
      </c>
    </row>
    <row r="3" spans="1:19" ht="15.4" x14ac:dyDescent="0.4">
      <c r="A3" s="1">
        <v>0.14000000000000001</v>
      </c>
      <c r="B3" s="40">
        <v>30</v>
      </c>
      <c r="C3" s="25">
        <v>1.9999999999999999E-7</v>
      </c>
      <c r="D3" s="2">
        <v>0.22</v>
      </c>
      <c r="E3" s="43">
        <v>20</v>
      </c>
      <c r="F3" s="30">
        <v>2.1237541528239199E-7</v>
      </c>
      <c r="G3" s="30">
        <f t="shared" ref="G3:G66" si="0">F3*A3</f>
        <v>2.9732558139534881E-8</v>
      </c>
      <c r="H3" s="2">
        <v>1.7199999999999993E-2</v>
      </c>
      <c r="I3" s="2">
        <v>7.8181818181818148</v>
      </c>
      <c r="J3" s="2">
        <v>4.9884809077402975E-2</v>
      </c>
      <c r="K3" s="2">
        <v>22.674913217001354</v>
      </c>
      <c r="L3" s="2">
        <v>-3.9960848128216514E-2</v>
      </c>
      <c r="M3" s="2">
        <v>18.164021876462051</v>
      </c>
      <c r="N3" s="2">
        <v>2.3185782458449933E-2</v>
      </c>
      <c r="O3" s="2">
        <v>10.538992026568152</v>
      </c>
      <c r="P3" s="2">
        <v>6.9209716227658452E-2</v>
      </c>
      <c r="Q3" s="2">
        <v>31.458961921662933</v>
      </c>
      <c r="R3" s="2">
        <v>1.1548796203518202E-2</v>
      </c>
      <c r="S3" s="2">
        <v>5.2494528197810011</v>
      </c>
    </row>
    <row r="4" spans="1:19" ht="15.4" x14ac:dyDescent="0.4">
      <c r="A4" s="1">
        <v>0.14000000000000001</v>
      </c>
      <c r="B4" s="40">
        <v>30</v>
      </c>
      <c r="C4" s="25">
        <v>1.9999999999999999E-7</v>
      </c>
      <c r="D4" s="2">
        <v>0.3</v>
      </c>
      <c r="E4" s="43">
        <v>30</v>
      </c>
      <c r="F4" s="30">
        <v>2.1237541528239199E-7</v>
      </c>
      <c r="G4" s="30">
        <f t="shared" si="0"/>
        <v>2.9732558139534881E-8</v>
      </c>
      <c r="H4" s="2">
        <v>-4.6599999999999975E-2</v>
      </c>
      <c r="I4" s="2">
        <v>15.533333333333326</v>
      </c>
      <c r="J4" s="2">
        <v>9.7687043767027026E-2</v>
      </c>
      <c r="K4" s="2">
        <v>32.562347922342347</v>
      </c>
      <c r="L4" s="2">
        <v>-9.6935249423155262E-2</v>
      </c>
      <c r="M4" s="2">
        <v>32.311749807718421</v>
      </c>
      <c r="N4" s="2">
        <v>1.6454366382140484E-2</v>
      </c>
      <c r="O4" s="2">
        <v>5.4847887940468283</v>
      </c>
      <c r="P4" s="2">
        <v>0.19697443360497807</v>
      </c>
      <c r="Q4" s="2">
        <v>65.658144534992687</v>
      </c>
      <c r="R4" s="2">
        <v>1.8080822203849267E-2</v>
      </c>
      <c r="S4" s="2">
        <v>6.0269407346164225</v>
      </c>
    </row>
    <row r="5" spans="1:19" ht="15.4" x14ac:dyDescent="0.4">
      <c r="A5" s="1">
        <v>0.14000000000000001</v>
      </c>
      <c r="B5" s="40">
        <v>30</v>
      </c>
      <c r="C5" s="25">
        <v>1.0000000000000001E-5</v>
      </c>
      <c r="D5" s="2">
        <v>0.79755054814814796</v>
      </c>
      <c r="E5" s="43">
        <v>45</v>
      </c>
      <c r="F5" s="30">
        <v>3.5115209493581004E-6</v>
      </c>
      <c r="G5" s="30">
        <f t="shared" si="0"/>
        <v>4.9161293291013414E-7</v>
      </c>
      <c r="H5" s="2">
        <v>1.7494518518520463E-3</v>
      </c>
      <c r="I5" s="2">
        <v>0.21935310005292344</v>
      </c>
      <c r="J5" s="2">
        <v>-9.6711178784669727E-3</v>
      </c>
      <c r="K5" s="2">
        <v>1.2126024991046118</v>
      </c>
      <c r="L5" s="2">
        <v>-0.44624551331233819</v>
      </c>
      <c r="M5" s="2">
        <v>55.952003838313011</v>
      </c>
      <c r="N5" s="2">
        <v>-0.32248316110308484</v>
      </c>
      <c r="O5" s="2">
        <v>40.434197161780702</v>
      </c>
      <c r="P5" s="2">
        <v>1.0213009596662816</v>
      </c>
      <c r="Q5" s="2">
        <v>128.05469973504066</v>
      </c>
      <c r="R5" s="2">
        <v>0.21162352966818743</v>
      </c>
      <c r="S5" s="2">
        <v>26.534183966089831</v>
      </c>
    </row>
    <row r="6" spans="1:19" ht="15.4" x14ac:dyDescent="0.4">
      <c r="A6" s="1">
        <v>0.14000000000000001</v>
      </c>
      <c r="B6" s="40">
        <v>30</v>
      </c>
      <c r="C6" s="25">
        <v>1.0000000000000001E-5</v>
      </c>
      <c r="D6" s="2">
        <v>0.90529599999999999</v>
      </c>
      <c r="E6" s="43">
        <v>50</v>
      </c>
      <c r="F6" s="30">
        <v>3.5115209493581004E-6</v>
      </c>
      <c r="G6" s="30">
        <f t="shared" si="0"/>
        <v>4.9161293291013414E-7</v>
      </c>
      <c r="H6" s="2">
        <v>-7.6196000000000041E-2</v>
      </c>
      <c r="I6" s="2">
        <v>8.4166946501475817</v>
      </c>
      <c r="J6" s="2">
        <v>0.11817792102871005</v>
      </c>
      <c r="K6" s="2">
        <v>13.054064198749366</v>
      </c>
      <c r="L6" s="2">
        <v>-0.51661093305716888</v>
      </c>
      <c r="M6" s="2">
        <v>57.065416510971978</v>
      </c>
      <c r="N6" s="2">
        <v>-0.35678785667752444</v>
      </c>
      <c r="O6" s="2">
        <v>39.411182273811484</v>
      </c>
      <c r="P6" s="2">
        <v>3.9423114576236884</v>
      </c>
      <c r="Q6" s="2">
        <v>435.47209505219155</v>
      </c>
      <c r="R6" s="2">
        <v>0.6395789451870687</v>
      </c>
      <c r="S6" s="2">
        <v>70.648599484264679</v>
      </c>
    </row>
    <row r="7" spans="1:19" ht="15.4" x14ac:dyDescent="0.4">
      <c r="A7" s="1">
        <v>0.14000000000000001</v>
      </c>
      <c r="B7" s="40">
        <v>30</v>
      </c>
      <c r="C7" s="25">
        <v>1.0000000000000001E-5</v>
      </c>
      <c r="D7" s="2">
        <v>1.0081315244239633</v>
      </c>
      <c r="E7" s="43">
        <v>55.000000000000007</v>
      </c>
      <c r="F7" s="30">
        <v>3.5115209493581004E-6</v>
      </c>
      <c r="G7" s="30">
        <f t="shared" si="0"/>
        <v>4.9161293291013414E-7</v>
      </c>
      <c r="H7" s="2">
        <v>-0.15093152442396329</v>
      </c>
      <c r="I7" s="2">
        <v>14.971412039734014</v>
      </c>
      <c r="J7" s="2">
        <v>0.34803847401884669</v>
      </c>
      <c r="K7" s="2">
        <v>34.523121793826711</v>
      </c>
      <c r="L7" s="2">
        <v>-0.57736122928402467</v>
      </c>
      <c r="M7" s="2">
        <v>57.270427052057848</v>
      </c>
      <c r="N7" s="2">
        <v>-0.37035711437849872</v>
      </c>
      <c r="O7" s="2">
        <v>36.736983757165738</v>
      </c>
      <c r="P7" s="2">
        <v>-13.04735987849196</v>
      </c>
      <c r="Q7" s="2">
        <v>1294.212070785813</v>
      </c>
      <c r="R7" s="2">
        <v>1.8209126182441964</v>
      </c>
      <c r="S7" s="2">
        <v>180.62252534803417</v>
      </c>
    </row>
    <row r="8" spans="1:19" ht="15.4" x14ac:dyDescent="0.4">
      <c r="A8" s="1">
        <v>0.14000000000000001</v>
      </c>
      <c r="B8" s="40">
        <v>30</v>
      </c>
      <c r="C8" s="25">
        <v>1.0000000000000001E-5</v>
      </c>
      <c r="D8" s="2">
        <v>1.2015676235294119</v>
      </c>
      <c r="E8" s="43">
        <v>60</v>
      </c>
      <c r="F8" s="30">
        <v>3.5115209493581004E-6</v>
      </c>
      <c r="G8" s="30">
        <f t="shared" si="0"/>
        <v>4.9161293291013414E-7</v>
      </c>
      <c r="H8" s="2">
        <v>-0.31756762352941192</v>
      </c>
      <c r="I8" s="2">
        <v>26.429442447575944</v>
      </c>
      <c r="J8" s="2">
        <v>0.63396391689838816</v>
      </c>
      <c r="K8" s="2">
        <v>52.76140139630435</v>
      </c>
      <c r="L8" s="2">
        <v>-0.72305883850002983</v>
      </c>
      <c r="M8" s="2">
        <v>60.176291732641786</v>
      </c>
      <c r="N8" s="2">
        <v>-0.45296846468114282</v>
      </c>
      <c r="O8" s="2">
        <v>37.698125000290929</v>
      </c>
      <c r="P8" s="2">
        <v>-4.2596678096265812</v>
      </c>
      <c r="Q8" s="2">
        <v>354.50920332843947</v>
      </c>
      <c r="R8" s="2">
        <v>8.6032070833776544</v>
      </c>
      <c r="S8" s="2">
        <v>715.99857676816509</v>
      </c>
    </row>
    <row r="9" spans="1:19" ht="15.4" x14ac:dyDescent="0.4">
      <c r="A9" s="1">
        <v>0.14000000000000001</v>
      </c>
      <c r="B9" s="40">
        <v>30</v>
      </c>
      <c r="C9" s="25">
        <v>1.0000000000000001E-5</v>
      </c>
      <c r="D9" s="2">
        <v>1.3980676439790578</v>
      </c>
      <c r="E9" s="43">
        <v>65</v>
      </c>
      <c r="F9" s="30">
        <v>3.5115209493581004E-6</v>
      </c>
      <c r="G9" s="30">
        <f t="shared" si="0"/>
        <v>4.9161293291013414E-7</v>
      </c>
      <c r="H9" s="2">
        <v>-0.48856764397905783</v>
      </c>
      <c r="I9" s="2">
        <v>34.945923116319278</v>
      </c>
      <c r="J9" s="2">
        <v>1.1415744104030221</v>
      </c>
      <c r="K9" s="2">
        <v>81.653732229577457</v>
      </c>
      <c r="L9" s="2">
        <v>-0.86494599772878866</v>
      </c>
      <c r="M9" s="2">
        <v>61.867249517845579</v>
      </c>
      <c r="N9" s="2">
        <v>-0.50820286612973398</v>
      </c>
      <c r="O9" s="2">
        <v>36.350377488411894</v>
      </c>
      <c r="P9" s="2">
        <v>-3.2744836917535034</v>
      </c>
      <c r="Q9" s="2">
        <v>234.21496848564169</v>
      </c>
      <c r="R9" s="2">
        <v>-10.203644222021872</v>
      </c>
      <c r="S9" s="2">
        <v>729.83909369228752</v>
      </c>
    </row>
    <row r="10" spans="1:19" ht="15.4" x14ac:dyDescent="0.4">
      <c r="A10" s="1">
        <v>0.15</v>
      </c>
      <c r="B10" s="40">
        <v>30</v>
      </c>
      <c r="C10" s="25">
        <v>2.9999999999999997E-8</v>
      </c>
      <c r="D10" s="2">
        <v>0.19</v>
      </c>
      <c r="E10" s="43">
        <v>2.5</v>
      </c>
      <c r="F10" s="31">
        <v>7.30141843971631E-9</v>
      </c>
      <c r="G10" s="30">
        <f t="shared" si="0"/>
        <v>1.0952127659574465E-9</v>
      </c>
      <c r="H10" s="2">
        <v>4.3999999999999873E-3</v>
      </c>
      <c r="I10" s="2">
        <v>2.3157894736842035</v>
      </c>
      <c r="J10" s="2">
        <v>-2.8352528286427009E-2</v>
      </c>
      <c r="K10" s="2">
        <v>14.922383308645795</v>
      </c>
      <c r="L10" s="2">
        <v>-3.0845070422535231E-2</v>
      </c>
      <c r="M10" s="2">
        <v>16.234247590808014</v>
      </c>
      <c r="N10" s="2">
        <v>-2.863722877807387E-2</v>
      </c>
      <c r="O10" s="2">
        <v>15.072225672670459</v>
      </c>
      <c r="P10" s="2">
        <v>-3.1276006322903477E-2</v>
      </c>
      <c r="Q10" s="2">
        <v>16.461055959422882</v>
      </c>
      <c r="R10" s="2">
        <v>-3.1767038450981527E-2</v>
      </c>
      <c r="S10" s="2">
        <v>16.719493921569224</v>
      </c>
    </row>
    <row r="11" spans="1:19" ht="15.4" x14ac:dyDescent="0.4">
      <c r="A11" s="1">
        <v>0.15</v>
      </c>
      <c r="B11" s="40">
        <v>30</v>
      </c>
      <c r="C11" s="25">
        <v>2.9999999999999997E-8</v>
      </c>
      <c r="D11" s="2">
        <v>0.27500000000000002</v>
      </c>
      <c r="E11" s="43">
        <v>5</v>
      </c>
      <c r="F11" s="31">
        <v>7.30141843971631E-9</v>
      </c>
      <c r="G11" s="30">
        <f t="shared" si="0"/>
        <v>1.0952127659574465E-9</v>
      </c>
      <c r="H11" s="2">
        <v>-1.8400000000000027E-2</v>
      </c>
      <c r="I11" s="2">
        <v>6.6909090909091002</v>
      </c>
      <c r="J11" s="2">
        <v>-0.10047820297093801</v>
      </c>
      <c r="K11" s="2">
        <v>36.537528353068367</v>
      </c>
      <c r="L11" s="2">
        <v>-0.10630990415335465</v>
      </c>
      <c r="M11" s="2">
        <v>38.658146964856229</v>
      </c>
      <c r="N11" s="2">
        <v>-0.10168575891694873</v>
      </c>
      <c r="O11" s="2">
        <v>36.976639606163168</v>
      </c>
      <c r="P11" s="2">
        <v>-0.10456323547175875</v>
      </c>
      <c r="Q11" s="2">
        <v>38.022994717003179</v>
      </c>
      <c r="R11" s="2">
        <v>-0.10589769785195588</v>
      </c>
      <c r="S11" s="2">
        <v>38.508253764347586</v>
      </c>
    </row>
    <row r="12" spans="1:19" ht="15.4" x14ac:dyDescent="0.4">
      <c r="A12" s="1">
        <v>0.15</v>
      </c>
      <c r="B12" s="40">
        <v>30</v>
      </c>
      <c r="C12" s="25">
        <v>2.9999999999999997E-8</v>
      </c>
      <c r="D12" s="2">
        <v>0.374</v>
      </c>
      <c r="E12" s="43">
        <v>7.5</v>
      </c>
      <c r="F12" s="31">
        <v>7.30141843971631E-9</v>
      </c>
      <c r="G12" s="30">
        <f t="shared" si="0"/>
        <v>1.0952127659574465E-9</v>
      </c>
      <c r="H12" s="2">
        <v>-3.4999999999999976E-2</v>
      </c>
      <c r="I12" s="2">
        <v>9.3582887700534698</v>
      </c>
      <c r="J12" s="2">
        <v>-0.18521304355701099</v>
      </c>
      <c r="K12" s="2">
        <v>49.522204159628608</v>
      </c>
      <c r="L12" s="2">
        <v>-0.19537030995106039</v>
      </c>
      <c r="M12" s="2">
        <v>52.238050789053581</v>
      </c>
      <c r="N12" s="2">
        <v>-0.18809862354670587</v>
      </c>
      <c r="O12" s="2">
        <v>50.293749611418683</v>
      </c>
      <c r="P12" s="2">
        <v>-0.18915825533075908</v>
      </c>
      <c r="Q12" s="2">
        <v>50.577073617850019</v>
      </c>
      <c r="R12" s="2">
        <v>-0.19172117413540074</v>
      </c>
      <c r="S12" s="2">
        <v>51.262346025508222</v>
      </c>
    </row>
    <row r="13" spans="1:19" ht="15.4" x14ac:dyDescent="0.4">
      <c r="A13" s="1">
        <v>0.15</v>
      </c>
      <c r="B13" s="40">
        <v>30</v>
      </c>
      <c r="C13" s="25">
        <v>1.5E-5</v>
      </c>
      <c r="D13" s="2">
        <v>0.89</v>
      </c>
      <c r="E13" s="43">
        <v>49.243098842386459</v>
      </c>
      <c r="F13" s="30">
        <v>4.87518234322751E-6</v>
      </c>
      <c r="G13" s="30">
        <f t="shared" si="0"/>
        <v>7.3127735148412644E-7</v>
      </c>
      <c r="H13" s="2">
        <v>-8.1956240720404416E-4</v>
      </c>
      <c r="I13" s="2">
        <v>9.2085663730791467E-2</v>
      </c>
      <c r="J13" s="2">
        <v>0.15436380990903997</v>
      </c>
      <c r="K13" s="2">
        <v>17.344248304386515</v>
      </c>
      <c r="L13" s="2">
        <v>-0.47936286778176529</v>
      </c>
      <c r="M13" s="2">
        <v>53.860996379973628</v>
      </c>
      <c r="N13" s="2">
        <v>-0.31601392135206663</v>
      </c>
      <c r="O13" s="2">
        <v>35.507182174389506</v>
      </c>
      <c r="P13" s="2">
        <v>3.2446467662956482</v>
      </c>
      <c r="Q13" s="2">
        <v>364.56705239276943</v>
      </c>
      <c r="R13" s="2">
        <v>0.64785942709202182</v>
      </c>
      <c r="S13" s="2">
        <v>72.793194055283351</v>
      </c>
    </row>
    <row r="14" spans="1:19" ht="15.4" x14ac:dyDescent="0.4">
      <c r="A14" s="1">
        <v>0.15</v>
      </c>
      <c r="B14" s="40">
        <v>30</v>
      </c>
      <c r="C14" s="25">
        <v>6.9999999999999994E-5</v>
      </c>
      <c r="D14" s="2">
        <v>2.06</v>
      </c>
      <c r="E14" s="43">
        <v>49.243098842386459</v>
      </c>
      <c r="F14" s="30">
        <v>8.9590180703006897E-6</v>
      </c>
      <c r="G14" s="30">
        <f t="shared" si="0"/>
        <v>1.3438527105451033E-6</v>
      </c>
      <c r="H14" s="2">
        <v>-1.9365312948993463E-4</v>
      </c>
      <c r="I14" s="2">
        <v>9.4006373538803208E-3</v>
      </c>
      <c r="J14" s="2">
        <v>-1.0156361900909601</v>
      </c>
      <c r="K14" s="2">
        <v>49.302727674318447</v>
      </c>
      <c r="L14" s="2">
        <v>-1.5657294746160859</v>
      </c>
      <c r="M14" s="2">
        <v>76.006285175538153</v>
      </c>
      <c r="N14" s="2">
        <v>-1.4860139213520667</v>
      </c>
      <c r="O14" s="2">
        <v>72.136598123886728</v>
      </c>
      <c r="P14" s="2">
        <v>2.0746467662956483</v>
      </c>
      <c r="Q14" s="2">
        <v>100.71100807260429</v>
      </c>
      <c r="R14" s="2">
        <v>0.41474797087329351</v>
      </c>
      <c r="S14" s="2">
        <v>20.133396644334635</v>
      </c>
    </row>
    <row r="15" spans="1:19" ht="15.4" x14ac:dyDescent="0.4">
      <c r="A15" s="1">
        <v>0.16500000000000001</v>
      </c>
      <c r="B15" s="40">
        <v>230</v>
      </c>
      <c r="C15" s="25">
        <v>1.4E-5</v>
      </c>
      <c r="D15" s="2">
        <v>0.18890000000000001</v>
      </c>
      <c r="E15" s="43">
        <v>3.9525691699604737</v>
      </c>
      <c r="F15" s="30">
        <v>4.3212804006726878E-6</v>
      </c>
      <c r="G15" s="30">
        <f t="shared" si="0"/>
        <v>7.1301126611099349E-7</v>
      </c>
      <c r="H15" s="2">
        <v>6.0099999999999987E-2</v>
      </c>
      <c r="I15" s="2">
        <v>31.815775542615132</v>
      </c>
      <c r="J15" s="2">
        <v>-2.7312991430610001E-3</v>
      </c>
      <c r="K15" s="2">
        <v>1.4458968465119111</v>
      </c>
      <c r="L15" s="2">
        <v>-8.8888191613619161E-3</v>
      </c>
      <c r="M15" s="2">
        <v>4.7055686402127668</v>
      </c>
      <c r="N15" s="2">
        <v>-3.575204921327596E-3</v>
      </c>
      <c r="O15" s="2">
        <v>1.8926442145725759</v>
      </c>
      <c r="P15" s="2">
        <v>-6.9881585778323041E-3</v>
      </c>
      <c r="Q15" s="2">
        <v>3.6993957532198536</v>
      </c>
      <c r="R15" s="2">
        <v>-8.4267710231262505E-3</v>
      </c>
      <c r="S15" s="2">
        <v>4.4609693081663577</v>
      </c>
    </row>
    <row r="16" spans="1:19" ht="15.4" x14ac:dyDescent="0.4">
      <c r="A16" s="1">
        <v>0.16500000000000001</v>
      </c>
      <c r="B16" s="40">
        <v>30</v>
      </c>
      <c r="C16" s="25">
        <v>1.0000000000000001E-5</v>
      </c>
      <c r="D16" s="2">
        <v>0.21</v>
      </c>
      <c r="E16" s="43">
        <v>19.5</v>
      </c>
      <c r="F16" s="31">
        <v>9.1895684960201138E-6</v>
      </c>
      <c r="G16" s="30">
        <f t="shared" si="0"/>
        <v>1.5162788018433188E-6</v>
      </c>
      <c r="H16" s="2">
        <v>6.2200000000000005E-2</v>
      </c>
      <c r="I16" s="2">
        <v>29.619047619047624</v>
      </c>
      <c r="J16" s="2">
        <v>0.10165639370777999</v>
      </c>
      <c r="K16" s="2">
        <v>48.407806527514282</v>
      </c>
      <c r="L16" s="2">
        <v>0</v>
      </c>
      <c r="M16" s="2">
        <v>1.3216940769347102E-14</v>
      </c>
      <c r="N16" s="2">
        <v>7.2485428159679871E-2</v>
      </c>
      <c r="O16" s="2">
        <v>34.516870552228511</v>
      </c>
      <c r="P16" s="2">
        <v>0.12208512100571142</v>
      </c>
      <c r="Q16" s="2">
        <v>58.13577190748164</v>
      </c>
      <c r="R16" s="2">
        <v>5.7511195191147918E-2</v>
      </c>
      <c r="S16" s="2">
        <v>27.386283424356151</v>
      </c>
    </row>
    <row r="17" spans="1:19" ht="15.4" x14ac:dyDescent="0.4">
      <c r="A17" s="1">
        <v>0.16500000000000001</v>
      </c>
      <c r="B17" s="40">
        <v>30</v>
      </c>
      <c r="C17" s="25">
        <v>1.0000000000000001E-5</v>
      </c>
      <c r="D17" s="2">
        <v>0.45</v>
      </c>
      <c r="E17" s="43">
        <v>36</v>
      </c>
      <c r="F17" s="31">
        <v>9.1895684960201138E-6</v>
      </c>
      <c r="G17" s="30">
        <f t="shared" si="0"/>
        <v>1.5162788018433188E-6</v>
      </c>
      <c r="H17" s="2">
        <v>-0.14690000000000003</v>
      </c>
      <c r="I17" s="2">
        <v>32.644444444444446</v>
      </c>
      <c r="J17" s="2">
        <v>0.15215992142814</v>
      </c>
      <c r="K17" s="2">
        <v>33.813315872919993</v>
      </c>
      <c r="L17" s="2">
        <v>-0.19500000000000006</v>
      </c>
      <c r="M17" s="2">
        <v>43.333333333333343</v>
      </c>
      <c r="N17" s="2">
        <v>-1.3598272535146561E-2</v>
      </c>
      <c r="O17" s="2">
        <v>3.0218383411436798</v>
      </c>
      <c r="P17" s="2">
        <v>0.42377176270931921</v>
      </c>
      <c r="Q17" s="2">
        <v>94.171502824293157</v>
      </c>
      <c r="R17" s="2">
        <v>4.602692703752409E-3</v>
      </c>
      <c r="S17" s="2">
        <v>1.0228206008338685</v>
      </c>
    </row>
    <row r="18" spans="1:19" ht="15.4" x14ac:dyDescent="0.4">
      <c r="A18" s="1">
        <v>0.16500000000000001</v>
      </c>
      <c r="B18" s="40">
        <v>230</v>
      </c>
      <c r="C18" s="25">
        <v>1.4E-5</v>
      </c>
      <c r="D18" s="2">
        <v>0.56200000000000006</v>
      </c>
      <c r="E18" s="43">
        <v>27.027027027027028</v>
      </c>
      <c r="F18" s="30">
        <v>4.3212804006726878E-6</v>
      </c>
      <c r="G18" s="30">
        <f t="shared" si="0"/>
        <v>7.1301126611099349E-7</v>
      </c>
      <c r="H18" s="2">
        <v>0.26029999999999998</v>
      </c>
      <c r="I18" s="2">
        <v>46.316725978647675</v>
      </c>
      <c r="J18" s="2">
        <v>-0.13881245378858603</v>
      </c>
      <c r="K18" s="2">
        <v>24.699724873413885</v>
      </c>
      <c r="L18" s="2">
        <v>-0.27227519400598899</v>
      </c>
      <c r="M18" s="2">
        <v>48.447543417435753</v>
      </c>
      <c r="N18" s="2">
        <v>-0.21420616305636692</v>
      </c>
      <c r="O18" s="2">
        <v>38.114975632805496</v>
      </c>
      <c r="P18" s="2">
        <v>-6.0702669510551921E-2</v>
      </c>
      <c r="Q18" s="2">
        <v>10.801186745649808</v>
      </c>
      <c r="R18" s="2">
        <v>-0.13227842280021573</v>
      </c>
      <c r="S18" s="2">
        <v>23.537085907511692</v>
      </c>
    </row>
    <row r="19" spans="1:19" ht="15.4" x14ac:dyDescent="0.4">
      <c r="A19" s="1">
        <v>0.16500000000000001</v>
      </c>
      <c r="B19" s="40">
        <v>230</v>
      </c>
      <c r="C19" s="25">
        <v>1.4E-5</v>
      </c>
      <c r="D19" s="2">
        <v>1.1020000000000001</v>
      </c>
      <c r="E19" s="43">
        <v>46.357615894039732</v>
      </c>
      <c r="F19" s="30">
        <v>4.3212804006726878E-6</v>
      </c>
      <c r="G19" s="30">
        <f t="shared" si="0"/>
        <v>7.1301126611099349E-7</v>
      </c>
      <c r="H19" s="2">
        <v>-0.13570000000000004</v>
      </c>
      <c r="I19" s="2">
        <v>12.313974591651546</v>
      </c>
      <c r="J19" s="2">
        <v>-4.5473117198970181E-2</v>
      </c>
      <c r="K19" s="2">
        <v>4.1264171686905788</v>
      </c>
      <c r="L19" s="2">
        <v>-0.67603848921940357</v>
      </c>
      <c r="M19" s="2">
        <v>61.346505373811567</v>
      </c>
      <c r="N19" s="2">
        <v>-0.51093286370508773</v>
      </c>
      <c r="O19" s="2">
        <v>46.364143711895437</v>
      </c>
      <c r="P19" s="2">
        <v>1.8717128316303511</v>
      </c>
      <c r="Q19" s="2">
        <v>169.84689942199191</v>
      </c>
      <c r="R19" s="2">
        <v>0.27545456342686125</v>
      </c>
      <c r="S19" s="2">
        <v>24.995876898989223</v>
      </c>
    </row>
    <row r="20" spans="1:19" ht="15.4" x14ac:dyDescent="0.4">
      <c r="A20" s="1">
        <v>0.19</v>
      </c>
      <c r="B20" s="40">
        <v>20</v>
      </c>
      <c r="C20" s="25">
        <v>3.9999999999999998E-7</v>
      </c>
      <c r="D20" s="2">
        <v>0.189</v>
      </c>
      <c r="E20" s="43">
        <v>1.5817223198594026</v>
      </c>
      <c r="F20" s="30">
        <v>7.5122441119165003E-8</v>
      </c>
      <c r="G20" s="30">
        <f t="shared" si="0"/>
        <v>1.4273263812641351E-8</v>
      </c>
      <c r="H20" s="2">
        <v>7.9950971956306849E-3</v>
      </c>
      <c r="I20" s="2">
        <v>4.2302101564183525</v>
      </c>
      <c r="J20" s="2">
        <v>1.0036108437427999E-2</v>
      </c>
      <c r="K20" s="2">
        <v>5.3101102843534385</v>
      </c>
      <c r="L20" s="2">
        <v>8.2234841634853395E-3</v>
      </c>
      <c r="M20" s="2">
        <v>4.351049821949915</v>
      </c>
      <c r="N20" s="2">
        <v>9.9005012292070205E-3</v>
      </c>
      <c r="O20" s="2">
        <v>5.2383604387338734</v>
      </c>
      <c r="P20" s="2">
        <v>7.4122602821355688E-3</v>
      </c>
      <c r="Q20" s="2">
        <v>3.9218308371087667</v>
      </c>
      <c r="R20" s="2">
        <v>7.0832118345622863E-3</v>
      </c>
      <c r="S20" s="2">
        <v>3.7477311293980353</v>
      </c>
    </row>
    <row r="21" spans="1:19" ht="15.4" x14ac:dyDescent="0.4">
      <c r="A21" s="1">
        <v>0.19</v>
      </c>
      <c r="B21" s="40">
        <v>20</v>
      </c>
      <c r="C21" s="25">
        <v>3.9999999999999998E-7</v>
      </c>
      <c r="D21" s="2">
        <v>0.20399999999999999</v>
      </c>
      <c r="E21" s="43">
        <v>3.2211047952193561</v>
      </c>
      <c r="F21" s="30">
        <v>7.5122441119165003E-8</v>
      </c>
      <c r="G21" s="30">
        <f t="shared" si="0"/>
        <v>1.4273263812641351E-8</v>
      </c>
      <c r="H21" s="2">
        <v>1.4939475408104752E-3</v>
      </c>
      <c r="I21" s="2">
        <v>0.73232722588748789</v>
      </c>
      <c r="J21" s="2">
        <v>5.0070481480200268E-3</v>
      </c>
      <c r="K21" s="2">
        <v>2.454435366676484</v>
      </c>
      <c r="L21" s="2">
        <v>9.0608114319079558E-4</v>
      </c>
      <c r="M21" s="2">
        <v>0.44415742313274298</v>
      </c>
      <c r="N21" s="2">
        <v>4.4236322747492896E-3</v>
      </c>
      <c r="O21" s="2">
        <v>2.1684471935045537</v>
      </c>
      <c r="P21" s="2">
        <v>8.1400439610937458E-4</v>
      </c>
      <c r="Q21" s="2">
        <v>0.3990217627987131</v>
      </c>
      <c r="R21" s="2">
        <v>-4.2484505936107864E-5</v>
      </c>
      <c r="S21" s="2">
        <v>2.0825738203974445E-2</v>
      </c>
    </row>
    <row r="22" spans="1:19" ht="15.4" x14ac:dyDescent="0.4">
      <c r="A22" s="1">
        <v>0.19</v>
      </c>
      <c r="B22" s="40">
        <v>20</v>
      </c>
      <c r="C22" s="25">
        <v>3.9999999999999998E-7</v>
      </c>
      <c r="D22" s="2">
        <v>0.215</v>
      </c>
      <c r="E22" s="43">
        <v>4.8811013767209008</v>
      </c>
      <c r="F22" s="30">
        <v>7.5122441119165003E-8</v>
      </c>
      <c r="G22" s="30">
        <f t="shared" si="0"/>
        <v>1.4273263812641351E-8</v>
      </c>
      <c r="H22" s="2">
        <v>2.320089640900358E-5</v>
      </c>
      <c r="I22" s="2">
        <v>1.0791114608838874E-2</v>
      </c>
      <c r="J22" s="2">
        <v>4.7824033454459958E-3</v>
      </c>
      <c r="K22" s="2">
        <v>2.2243736490446491</v>
      </c>
      <c r="L22" s="2">
        <v>-2.1034942981775773E-3</v>
      </c>
      <c r="M22" s="2">
        <v>0.97836944101282675</v>
      </c>
      <c r="N22" s="2">
        <v>3.3911706701618138E-3</v>
      </c>
      <c r="O22" s="2">
        <v>1.5772886837961926</v>
      </c>
      <c r="P22" s="2">
        <v>-2.0428762047966509E-4</v>
      </c>
      <c r="Q22" s="2">
        <v>9.5017497897518649E-2</v>
      </c>
      <c r="R22" s="2">
        <v>-1.7782682141798956E-3</v>
      </c>
      <c r="S22" s="2">
        <v>0.82710149496739338</v>
      </c>
    </row>
    <row r="23" spans="1:19" ht="15.4" x14ac:dyDescent="0.4">
      <c r="A23" s="1">
        <v>0.19</v>
      </c>
      <c r="B23" s="40">
        <v>20</v>
      </c>
      <c r="C23" s="25">
        <v>3.9999999999999998E-7</v>
      </c>
      <c r="D23" s="2">
        <v>0.22700000000000001</v>
      </c>
      <c r="E23" s="43">
        <v>5.9438275636838664</v>
      </c>
      <c r="F23" s="30">
        <v>7.5122441119165003E-8</v>
      </c>
      <c r="G23" s="30">
        <f t="shared" si="0"/>
        <v>1.4273263812641351E-8</v>
      </c>
      <c r="H23" s="2">
        <v>-5.4397110815090632E-3</v>
      </c>
      <c r="I23" s="2">
        <v>2.396348494056856</v>
      </c>
      <c r="J23" s="2">
        <v>6.574808103898544E-5</v>
      </c>
      <c r="K23" s="2">
        <v>2.8963912351975964E-2</v>
      </c>
      <c r="L23" s="2">
        <v>-8.8724097027565452E-3</v>
      </c>
      <c r="M23" s="2">
        <v>3.9085505298486987</v>
      </c>
      <c r="N23" s="2">
        <v>-2.0483943879857913E-3</v>
      </c>
      <c r="O23" s="2">
        <v>0.90237638237259521</v>
      </c>
      <c r="P23" s="2">
        <v>-5.0534908170308535E-3</v>
      </c>
      <c r="Q23" s="2">
        <v>2.2262074083836358</v>
      </c>
      <c r="R23" s="2">
        <v>-7.1911957958871175E-3</v>
      </c>
      <c r="S23" s="2">
        <v>3.1679276633863953</v>
      </c>
    </row>
    <row r="24" spans="1:19" ht="15.4" x14ac:dyDescent="0.4">
      <c r="A24" s="1">
        <v>0.19</v>
      </c>
      <c r="B24" s="40">
        <v>20</v>
      </c>
      <c r="C24" s="25">
        <v>3.9999999999999998E-7</v>
      </c>
      <c r="D24" s="2">
        <v>0.23400000000000001</v>
      </c>
      <c r="E24" s="43">
        <v>9.0575724239090576</v>
      </c>
      <c r="F24" s="30">
        <v>7.5122441119165003E-8</v>
      </c>
      <c r="G24" s="30">
        <f t="shared" si="0"/>
        <v>1.4273263812641351E-8</v>
      </c>
      <c r="H24" s="2">
        <v>8.548251813557145E-3</v>
      </c>
      <c r="I24" s="2">
        <v>3.6530990656227114</v>
      </c>
      <c r="J24" s="2">
        <v>1.6311771736222974E-2</v>
      </c>
      <c r="K24" s="2">
        <v>6.9708426223175097</v>
      </c>
      <c r="L24" s="2">
        <v>0</v>
      </c>
      <c r="M24" s="2">
        <v>1.1861357100696117E-14</v>
      </c>
      <c r="N24" s="2">
        <v>1.1029091499568155E-2</v>
      </c>
      <c r="O24" s="2">
        <v>4.7132869656274163</v>
      </c>
      <c r="P24" s="2">
        <v>1.2453268011904939E-2</v>
      </c>
      <c r="Q24" s="2">
        <v>5.3219094067969817</v>
      </c>
      <c r="R24" s="2">
        <v>8.1189669161414735E-3</v>
      </c>
      <c r="S24" s="2">
        <v>3.4696439812570397</v>
      </c>
    </row>
    <row r="25" spans="1:19" ht="15.4" x14ac:dyDescent="0.4">
      <c r="A25" s="1">
        <v>0.19</v>
      </c>
      <c r="B25" s="40">
        <v>20</v>
      </c>
      <c r="C25" s="25">
        <v>3.9999999999999998E-7</v>
      </c>
      <c r="D25" s="2">
        <v>0.28299999999999997</v>
      </c>
      <c r="E25" s="43">
        <v>11.322248614410135</v>
      </c>
      <c r="F25" s="30">
        <v>7.5122441119165003E-8</v>
      </c>
      <c r="G25" s="30">
        <f t="shared" si="0"/>
        <v>1.4273263812641351E-8</v>
      </c>
      <c r="H25" s="2">
        <v>-2.3519168875578977E-2</v>
      </c>
      <c r="I25" s="2">
        <v>8.3106603800632435</v>
      </c>
      <c r="J25" s="2">
        <v>-1.3790957199578957E-2</v>
      </c>
      <c r="K25" s="2">
        <v>4.8731297525013995</v>
      </c>
      <c r="L25" s="2">
        <v>-3.6916169994833797E-2</v>
      </c>
      <c r="M25" s="2">
        <v>13.044583037043747</v>
      </c>
      <c r="N25" s="2">
        <v>-2.2510396553733714E-2</v>
      </c>
      <c r="O25" s="2">
        <v>7.9542037292345285</v>
      </c>
      <c r="P25" s="2">
        <v>-1.510115783926802E-2</v>
      </c>
      <c r="Q25" s="2">
        <v>5.3360981764197959</v>
      </c>
      <c r="R25" s="2">
        <v>-2.16510190407323E-2</v>
      </c>
      <c r="S25" s="2">
        <v>7.6505367635096482</v>
      </c>
    </row>
    <row r="26" spans="1:19" ht="15.4" x14ac:dyDescent="0.4">
      <c r="A26" s="1">
        <v>0.19</v>
      </c>
      <c r="B26" s="40">
        <v>20</v>
      </c>
      <c r="C26" s="25">
        <v>3.9999999999999998E-7</v>
      </c>
      <c r="D26" s="2">
        <v>0.41499999999999998</v>
      </c>
      <c r="E26" s="43">
        <v>17.723032767280557</v>
      </c>
      <c r="F26" s="30">
        <v>7.5122441119165003E-8</v>
      </c>
      <c r="G26" s="30">
        <f t="shared" si="0"/>
        <v>1.4273263812641351E-8</v>
      </c>
      <c r="H26" s="2">
        <v>-3.7773147276706831E-2</v>
      </c>
      <c r="I26" s="2">
        <v>9.101963199206466</v>
      </c>
      <c r="J26" s="2">
        <v>-8.124360962549998E-2</v>
      </c>
      <c r="K26" s="2">
        <v>19.576773403734933</v>
      </c>
      <c r="L26" s="2">
        <v>-0.13203956650371285</v>
      </c>
      <c r="M26" s="2">
        <v>31.816763012942857</v>
      </c>
      <c r="N26" s="2">
        <v>-0.10636678417293621</v>
      </c>
      <c r="O26" s="2">
        <v>25.630550403117159</v>
      </c>
      <c r="P26" s="2">
        <v>-6.5931904366062888E-2</v>
      </c>
      <c r="Q26" s="2">
        <v>15.887205871340457</v>
      </c>
      <c r="R26" s="2">
        <v>-8.2943748619130453E-2</v>
      </c>
      <c r="S26" s="2">
        <v>19.986445450392882</v>
      </c>
    </row>
    <row r="27" spans="1:19" ht="15.4" x14ac:dyDescent="0.4">
      <c r="A27" s="1">
        <v>0.19</v>
      </c>
      <c r="B27" s="40">
        <v>20</v>
      </c>
      <c r="C27" s="25">
        <v>3.9999999999999998E-7</v>
      </c>
      <c r="D27" s="2">
        <v>0.55000000000000004</v>
      </c>
      <c r="E27" s="43">
        <v>24.807747080603818</v>
      </c>
      <c r="F27" s="30">
        <v>7.5122441119165003E-8</v>
      </c>
      <c r="G27" s="30">
        <f t="shared" si="0"/>
        <v>1.4273263812641351E-8</v>
      </c>
      <c r="H27" s="2">
        <v>5.072503117531435E-2</v>
      </c>
      <c r="I27" s="2">
        <v>9.222732940966246</v>
      </c>
      <c r="J27" s="2">
        <v>-0.11917748468759803</v>
      </c>
      <c r="K27" s="2">
        <v>21.668633579563277</v>
      </c>
      <c r="L27" s="2">
        <v>-0.22080426413868953</v>
      </c>
      <c r="M27" s="2">
        <v>40.146229843398096</v>
      </c>
      <c r="N27" s="2">
        <v>-0.17887420862778725</v>
      </c>
      <c r="O27" s="2">
        <v>32.522583386870409</v>
      </c>
      <c r="P27" s="2">
        <v>-5.897616110014714E-2</v>
      </c>
      <c r="Q27" s="2">
        <v>10.722938381844934</v>
      </c>
      <c r="R27" s="2">
        <v>-0.10092210159019338</v>
      </c>
      <c r="S27" s="2">
        <v>18.349473016398797</v>
      </c>
    </row>
    <row r="28" spans="1:19" ht="15.4" x14ac:dyDescent="0.4">
      <c r="A28" s="1">
        <v>0.19</v>
      </c>
      <c r="B28" s="40">
        <v>20</v>
      </c>
      <c r="C28" s="25">
        <v>3.9999999999999998E-7</v>
      </c>
      <c r="D28" s="2">
        <v>0.82899999999999996</v>
      </c>
      <c r="E28" s="43">
        <v>37.938677502770595</v>
      </c>
      <c r="F28" s="30">
        <v>7.5122441119165003E-8</v>
      </c>
      <c r="G28" s="30">
        <f t="shared" si="0"/>
        <v>1.4273263812641351E-8</v>
      </c>
      <c r="H28" s="2">
        <v>0.14022069597864206</v>
      </c>
      <c r="I28" s="2">
        <v>16.914438598147417</v>
      </c>
      <c r="J28" s="2">
        <v>-9.7550680487468955E-2</v>
      </c>
      <c r="K28" s="2">
        <v>11.767271470141008</v>
      </c>
      <c r="L28" s="2">
        <v>-0.39452662368483299</v>
      </c>
      <c r="M28" s="2">
        <v>47.590666306976239</v>
      </c>
      <c r="N28" s="2">
        <v>-0.30599271101738201</v>
      </c>
      <c r="O28" s="2">
        <v>36.911062848900123</v>
      </c>
      <c r="P28" s="2">
        <v>0.29086530140537437</v>
      </c>
      <c r="Q28" s="2">
        <v>35.086284849864221</v>
      </c>
      <c r="R28" s="2">
        <v>6.1713074658336309E-2</v>
      </c>
      <c r="S28" s="2">
        <v>7.4442792108970215</v>
      </c>
    </row>
    <row r="29" spans="1:19" ht="15.4" x14ac:dyDescent="0.4">
      <c r="A29" s="1">
        <v>0.19</v>
      </c>
      <c r="B29" s="40">
        <v>20</v>
      </c>
      <c r="C29" s="25">
        <v>3.9999999999999998E-7</v>
      </c>
      <c r="D29" s="2">
        <v>0.93799999999999994</v>
      </c>
      <c r="E29" s="43">
        <v>44.239442394423946</v>
      </c>
      <c r="F29" s="30">
        <v>7.5122441119165003E-8</v>
      </c>
      <c r="G29" s="30">
        <f t="shared" si="0"/>
        <v>1.4273263812641351E-8</v>
      </c>
      <c r="H29" s="2">
        <v>0.40310829442201013</v>
      </c>
      <c r="I29" s="2">
        <v>42.975297912794261</v>
      </c>
      <c r="J29" s="2">
        <v>3.3276441373578103E-2</v>
      </c>
      <c r="K29" s="2">
        <v>3.5475950291661089</v>
      </c>
      <c r="L29" s="2">
        <v>-0.44106160307163722</v>
      </c>
      <c r="M29" s="2">
        <v>47.021492864780093</v>
      </c>
      <c r="N29" s="2">
        <v>-0.31796267801973965</v>
      </c>
      <c r="O29" s="2">
        <v>33.897940087392286</v>
      </c>
      <c r="P29" s="2">
        <v>1.0771135462520156</v>
      </c>
      <c r="Q29" s="2">
        <v>114.83086847036415</v>
      </c>
      <c r="R29" s="2">
        <v>0.42914279817554735</v>
      </c>
      <c r="S29" s="2">
        <v>45.750831361998657</v>
      </c>
    </row>
    <row r="30" spans="1:19" ht="15.4" x14ac:dyDescent="0.4">
      <c r="A30" s="1">
        <v>0.19</v>
      </c>
      <c r="B30" s="40">
        <v>20</v>
      </c>
      <c r="C30" s="25">
        <v>3.9999999999999998E-7</v>
      </c>
      <c r="D30" s="2">
        <v>1.1379999999999999</v>
      </c>
      <c r="E30" s="43">
        <v>52.095808383233546</v>
      </c>
      <c r="F30" s="30">
        <v>7.5122441119165003E-8</v>
      </c>
      <c r="G30" s="30">
        <f t="shared" si="0"/>
        <v>1.4273263812641351E-8</v>
      </c>
      <c r="H30" s="2">
        <v>0.29510604417618014</v>
      </c>
      <c r="I30" s="2">
        <v>25.931989822159945</v>
      </c>
      <c r="J30" s="2">
        <v>0.28686829347244003</v>
      </c>
      <c r="K30" s="2">
        <v>25.208110146963097</v>
      </c>
      <c r="L30" s="2">
        <v>-0.54833363133759982</v>
      </c>
      <c r="M30" s="2">
        <v>48.18397463423549</v>
      </c>
      <c r="N30" s="2">
        <v>-0.36324776933196001</v>
      </c>
      <c r="O30" s="2">
        <v>31.919839132861167</v>
      </c>
      <c r="P30" s="2">
        <v>8.2511032324688411</v>
      </c>
      <c r="Q30" s="2">
        <v>725.0530081255572</v>
      </c>
      <c r="R30" s="2">
        <v>1.7930320340398489</v>
      </c>
      <c r="S30" s="2">
        <v>157.55993269242964</v>
      </c>
    </row>
    <row r="31" spans="1:19" ht="15.4" x14ac:dyDescent="0.4">
      <c r="A31" s="1">
        <v>0.19</v>
      </c>
      <c r="B31" s="40">
        <v>20</v>
      </c>
      <c r="C31" s="25">
        <v>3.9999999999999998E-7</v>
      </c>
      <c r="D31" s="2">
        <v>1.4430000000000001</v>
      </c>
      <c r="E31" s="43">
        <v>56.799214531173291</v>
      </c>
      <c r="F31" s="30">
        <v>7.5122441119165003E-8</v>
      </c>
      <c r="G31" s="30">
        <f t="shared" si="0"/>
        <v>1.4273263812641351E-8</v>
      </c>
      <c r="H31" s="2">
        <v>4.1179533981479999E-2</v>
      </c>
      <c r="I31" s="2">
        <v>2.8537445586611221</v>
      </c>
      <c r="J31" s="2">
        <v>0.37800598559446996</v>
      </c>
      <c r="K31" s="2">
        <v>26.195840997537768</v>
      </c>
      <c r="L31" s="2">
        <v>-0.78780121149035753</v>
      </c>
      <c r="M31" s="2">
        <v>54.594678550960332</v>
      </c>
      <c r="N31" s="2">
        <v>-0.55037688563286113</v>
      </c>
      <c r="O31" s="2">
        <v>38.141156315513591</v>
      </c>
      <c r="P31" s="2">
        <v>-13.664468741496847</v>
      </c>
      <c r="Q31" s="2">
        <v>946.94863073436227</v>
      </c>
      <c r="R31" s="2">
        <v>5.2261793852083294</v>
      </c>
      <c r="S31" s="2">
        <v>362.17459356953077</v>
      </c>
    </row>
    <row r="32" spans="1:19" ht="15.4" x14ac:dyDescent="0.4">
      <c r="A32" s="1">
        <v>0.19</v>
      </c>
      <c r="B32" s="40">
        <v>20</v>
      </c>
      <c r="C32" s="25">
        <v>3.9999999999999998E-7</v>
      </c>
      <c r="D32" s="2">
        <v>1.53</v>
      </c>
      <c r="E32" s="43">
        <v>61.878829135466304</v>
      </c>
      <c r="F32" s="30">
        <v>7.5122441119165003E-8</v>
      </c>
      <c r="G32" s="30">
        <f t="shared" si="0"/>
        <v>1.4273263812641351E-8</v>
      </c>
      <c r="H32" s="2">
        <v>6.6383027862200183E-3</v>
      </c>
      <c r="I32" s="2">
        <v>0.4338759990993476</v>
      </c>
      <c r="J32" s="2">
        <v>0.87364096033755012</v>
      </c>
      <c r="K32" s="2">
        <v>57.100716361931383</v>
      </c>
      <c r="L32" s="2">
        <v>-0.79329501899064558</v>
      </c>
      <c r="M32" s="2">
        <v>51.84934764644742</v>
      </c>
      <c r="N32" s="2">
        <v>-0.47970199305502592</v>
      </c>
      <c r="O32" s="2">
        <v>31.353071441504959</v>
      </c>
      <c r="P32" s="2">
        <v>-5.4602023089290084</v>
      </c>
      <c r="Q32" s="2">
        <v>356.87596790385675</v>
      </c>
      <c r="R32" s="2">
        <v>-38.268791607975871</v>
      </c>
      <c r="S32" s="2">
        <v>2501.2282096716253</v>
      </c>
    </row>
    <row r="33" spans="1:19" ht="15.4" x14ac:dyDescent="0.4">
      <c r="A33" s="1">
        <v>0.2</v>
      </c>
      <c r="B33" s="40">
        <v>200</v>
      </c>
      <c r="C33" s="25">
        <v>1.9999999999999999E-6</v>
      </c>
      <c r="D33" s="2">
        <v>0.22700000000000001</v>
      </c>
      <c r="E33" s="43">
        <v>5</v>
      </c>
      <c r="F33" s="31">
        <v>4.5983304042179199E-7</v>
      </c>
      <c r="G33" s="30">
        <f t="shared" si="0"/>
        <v>9.1966608084358406E-8</v>
      </c>
      <c r="H33" s="2">
        <v>2.2292703562212801E-4</v>
      </c>
      <c r="I33" s="2">
        <v>9.8205742564814097E-2</v>
      </c>
      <c r="J33" s="2">
        <v>6.1540472585739914E-3</v>
      </c>
      <c r="K33" s="2">
        <v>2.7110340346140931</v>
      </c>
      <c r="L33" s="2">
        <v>-3.1428704162107801E-3</v>
      </c>
      <c r="M33" s="2">
        <v>1.3845244124276563</v>
      </c>
      <c r="N33" s="2">
        <v>4.4794391050890225E-3</v>
      </c>
      <c r="O33" s="2">
        <v>1.9733211916691731</v>
      </c>
      <c r="P33" s="2">
        <v>5.52049770657842E-4</v>
      </c>
      <c r="Q33" s="2">
        <v>0.24319373156733126</v>
      </c>
      <c r="R33" s="2">
        <v>-1.6951349174885999E-3</v>
      </c>
      <c r="S33" s="2">
        <v>0.74675547025929512</v>
      </c>
    </row>
    <row r="34" spans="1:19" ht="15.4" x14ac:dyDescent="0.4">
      <c r="A34" s="1">
        <v>0.2</v>
      </c>
      <c r="B34" s="40">
        <v>200</v>
      </c>
      <c r="C34" s="25">
        <v>3.9999999999999998E-6</v>
      </c>
      <c r="D34" s="2">
        <v>0.23</v>
      </c>
      <c r="E34" s="43">
        <v>3.0674846625766872</v>
      </c>
      <c r="F34" s="31">
        <v>2.2403961965134785E-6</v>
      </c>
      <c r="G34" s="30">
        <f t="shared" si="0"/>
        <v>4.4807923930269571E-7</v>
      </c>
      <c r="H34" s="2">
        <v>1.21E-2</v>
      </c>
      <c r="I34" s="2">
        <v>5.2608695652173907</v>
      </c>
      <c r="J34" s="2">
        <v>-1.0469849379784013E-2</v>
      </c>
      <c r="K34" s="2">
        <v>4.5521084259930493</v>
      </c>
      <c r="L34" s="2">
        <v>-2.0000000000000046E-2</v>
      </c>
      <c r="M34" s="2">
        <v>8.6956521739130626</v>
      </c>
      <c r="N34" s="2">
        <v>-1.1071299998105244E-2</v>
      </c>
      <c r="O34" s="2">
        <v>4.8136086948283667</v>
      </c>
      <c r="P34" s="2">
        <v>-1.4990737132230064E-2</v>
      </c>
      <c r="Q34" s="2">
        <v>6.517711796621767</v>
      </c>
      <c r="R34" s="2">
        <v>-1.7558735217120175E-2</v>
      </c>
      <c r="S34" s="2">
        <v>7.6342327030957282</v>
      </c>
    </row>
    <row r="35" spans="1:19" ht="15.4" x14ac:dyDescent="0.4">
      <c r="A35" s="1">
        <v>0.2</v>
      </c>
      <c r="B35" s="40">
        <v>200</v>
      </c>
      <c r="C35" s="25">
        <v>3.9999999999999998E-6</v>
      </c>
      <c r="D35" s="2">
        <v>0.27</v>
      </c>
      <c r="E35" s="43">
        <v>6.1349693251533743</v>
      </c>
      <c r="F35" s="31">
        <v>2.2403961965134785E-6</v>
      </c>
      <c r="G35" s="30">
        <f t="shared" si="0"/>
        <v>4.4807923930269571E-7</v>
      </c>
      <c r="H35" s="2">
        <v>1.7699999999999994E-2</v>
      </c>
      <c r="I35" s="2">
        <v>6.5555555555555536</v>
      </c>
      <c r="J35" s="2">
        <v>-2.8316685668709013E-2</v>
      </c>
      <c r="K35" s="2">
        <v>10.487661358781116</v>
      </c>
      <c r="L35" s="2">
        <v>-4.9661016949152564E-2</v>
      </c>
      <c r="M35" s="2">
        <v>18.392969240426872</v>
      </c>
      <c r="N35" s="2">
        <v>-3.0909375489121926E-2</v>
      </c>
      <c r="O35" s="2">
        <v>11.447916847822935</v>
      </c>
      <c r="P35" s="2">
        <v>-3.4064786515106082E-2</v>
      </c>
      <c r="Q35" s="2">
        <v>12.616587598187436</v>
      </c>
      <c r="R35" s="2">
        <v>-4.1184824377431845E-2</v>
      </c>
      <c r="S35" s="2">
        <v>15.253638658308088</v>
      </c>
    </row>
    <row r="36" spans="1:19" ht="15.4" x14ac:dyDescent="0.4">
      <c r="A36" s="1">
        <v>0.2</v>
      </c>
      <c r="B36" s="40">
        <v>200</v>
      </c>
      <c r="C36" s="25">
        <v>1.9999999999999999E-6</v>
      </c>
      <c r="D36" s="2">
        <v>0.309</v>
      </c>
      <c r="E36" s="43">
        <v>9.7000000000000011</v>
      </c>
      <c r="F36" s="31">
        <v>4.5983304042179199E-7</v>
      </c>
      <c r="G36" s="30">
        <f t="shared" si="0"/>
        <v>9.1966608084358406E-8</v>
      </c>
      <c r="H36" s="2">
        <v>-4.8447338883500612E-2</v>
      </c>
      <c r="I36" s="2">
        <v>15.678750447734826</v>
      </c>
      <c r="J36" s="2">
        <v>-3.7667692578147005E-2</v>
      </c>
      <c r="K36" s="2">
        <v>12.190191772863109</v>
      </c>
      <c r="L36" s="2">
        <v>-6.0920127120448864E-2</v>
      </c>
      <c r="M36" s="2">
        <v>19.715251495290893</v>
      </c>
      <c r="N36" s="2">
        <v>-4.4761802326159505E-2</v>
      </c>
      <c r="O36" s="2">
        <v>14.486020170278158</v>
      </c>
      <c r="P36" s="2">
        <v>-4.1551027636787419E-2</v>
      </c>
      <c r="Q36" s="2">
        <v>13.446934510287189</v>
      </c>
      <c r="R36" s="2">
        <v>-4.834777561796727E-2</v>
      </c>
      <c r="S36" s="2">
        <v>15.646529326203002</v>
      </c>
    </row>
    <row r="37" spans="1:19" ht="15.4" x14ac:dyDescent="0.4">
      <c r="A37" s="1">
        <v>0.2</v>
      </c>
      <c r="B37" s="40">
        <v>200</v>
      </c>
      <c r="C37" s="25">
        <v>3.9999999999999998E-6</v>
      </c>
      <c r="D37" s="2">
        <v>0.31</v>
      </c>
      <c r="E37" s="43">
        <v>9.2024539877300615</v>
      </c>
      <c r="F37" s="31">
        <v>2.2403961965134785E-6</v>
      </c>
      <c r="G37" s="30">
        <f t="shared" si="0"/>
        <v>4.4807923930269571E-7</v>
      </c>
      <c r="H37" s="2">
        <v>2.9000000000000026E-2</v>
      </c>
      <c r="I37" s="2">
        <v>9.3548387096774288</v>
      </c>
      <c r="J37" s="2">
        <v>-4.3086064886068975E-2</v>
      </c>
      <c r="K37" s="2">
        <v>13.898730608409346</v>
      </c>
      <c r="L37" s="2">
        <v>-7.8965517241379346E-2</v>
      </c>
      <c r="M37" s="2">
        <v>25.472747497219146</v>
      </c>
      <c r="N37" s="2">
        <v>-4.9389649523732482E-2</v>
      </c>
      <c r="O37" s="2">
        <v>15.93214500765564</v>
      </c>
      <c r="P37" s="2">
        <v>-4.7448722834050383E-2</v>
      </c>
      <c r="Q37" s="2">
        <v>15.306039623887221</v>
      </c>
      <c r="R37" s="2">
        <v>-6.1387724647919362E-2</v>
      </c>
      <c r="S37" s="2">
        <v>19.80249182190947</v>
      </c>
    </row>
    <row r="38" spans="1:19" ht="15.4" x14ac:dyDescent="0.4">
      <c r="A38" s="1">
        <v>0.2</v>
      </c>
      <c r="B38" s="40">
        <v>200</v>
      </c>
      <c r="C38" s="25">
        <v>3.9999999999999998E-6</v>
      </c>
      <c r="D38" s="2">
        <v>0.34</v>
      </c>
      <c r="E38" s="43">
        <v>12.269938650306749</v>
      </c>
      <c r="F38" s="31">
        <v>2.2403961965134785E-6</v>
      </c>
      <c r="G38" s="30">
        <f t="shared" si="0"/>
        <v>4.4807923930269571E-7</v>
      </c>
      <c r="H38" s="2">
        <v>5.6899999999999951E-2</v>
      </c>
      <c r="I38" s="2">
        <v>16.735294117647044</v>
      </c>
      <c r="J38" s="2">
        <v>-4.4226109278719006E-2</v>
      </c>
      <c r="K38" s="2">
        <v>13.007679199623237</v>
      </c>
      <c r="L38" s="2">
        <v>-9.7894736842105368E-2</v>
      </c>
      <c r="M38" s="2">
        <v>28.792569659442751</v>
      </c>
      <c r="N38" s="2">
        <v>-5.6370181239797423E-2</v>
      </c>
      <c r="O38" s="2">
        <v>16.579465070528656</v>
      </c>
      <c r="P38" s="2">
        <v>-4.4385415513352677E-2</v>
      </c>
      <c r="Q38" s="2">
        <v>13.054533974515492</v>
      </c>
      <c r="R38" s="2">
        <v>-6.8040441909426874E-2</v>
      </c>
      <c r="S38" s="2">
        <v>20.011894679243198</v>
      </c>
    </row>
    <row r="39" spans="1:19" ht="15.4" x14ac:dyDescent="0.4">
      <c r="A39" s="1">
        <v>0.2</v>
      </c>
      <c r="B39" s="40">
        <v>200</v>
      </c>
      <c r="C39" s="25">
        <v>1.9999999999999999E-6</v>
      </c>
      <c r="D39" s="2">
        <v>0.35</v>
      </c>
      <c r="E39" s="43">
        <v>15</v>
      </c>
      <c r="F39" s="31">
        <v>4.5983304042179199E-7</v>
      </c>
      <c r="G39" s="30">
        <f t="shared" si="0"/>
        <v>9.1966608084358406E-8</v>
      </c>
      <c r="H39" s="2">
        <v>2.0022942817841116E-3</v>
      </c>
      <c r="I39" s="2">
        <v>0.57208408050974624</v>
      </c>
      <c r="J39" s="2">
        <v>-2.4944532710782952E-2</v>
      </c>
      <c r="K39" s="2">
        <v>7.127009345937986</v>
      </c>
      <c r="L39" s="2">
        <v>-7.2245261689907192E-2</v>
      </c>
      <c r="M39" s="2">
        <v>20.641503339973486</v>
      </c>
      <c r="N39" s="2">
        <v>-4.4490406618552969E-2</v>
      </c>
      <c r="O39" s="2">
        <v>12.711544748157991</v>
      </c>
      <c r="P39" s="2">
        <v>-1.8529261632980742E-2</v>
      </c>
      <c r="Q39" s="2">
        <v>5.2940747522802125</v>
      </c>
      <c r="R39" s="2">
        <v>-3.4801112620792329E-2</v>
      </c>
      <c r="S39" s="2">
        <v>9.9431750345120946</v>
      </c>
    </row>
    <row r="40" spans="1:19" ht="15.4" x14ac:dyDescent="0.4">
      <c r="A40" s="1">
        <v>0.2</v>
      </c>
      <c r="B40" s="40">
        <v>200</v>
      </c>
      <c r="C40" s="25">
        <v>3.9999999999999998E-6</v>
      </c>
      <c r="D40" s="2">
        <v>0.35</v>
      </c>
      <c r="E40" s="43">
        <v>15.337423312883436</v>
      </c>
      <c r="F40" s="31">
        <v>2.2403961965134785E-6</v>
      </c>
      <c r="G40" s="30">
        <f t="shared" si="0"/>
        <v>4.4807923930269571E-7</v>
      </c>
      <c r="H40" s="2">
        <v>7.6200000000000045E-2</v>
      </c>
      <c r="I40" s="2">
        <v>21.771428571428586</v>
      </c>
      <c r="J40" s="2">
        <v>-2.1061677517929978E-2</v>
      </c>
      <c r="K40" s="2">
        <v>6.0176221479799938</v>
      </c>
      <c r="L40" s="2">
        <v>-9.6428571428571475E-2</v>
      </c>
      <c r="M40" s="2">
        <v>27.551020408163279</v>
      </c>
      <c r="N40" s="2">
        <v>-4.1688531344189705E-2</v>
      </c>
      <c r="O40" s="2">
        <v>11.911008955482774</v>
      </c>
      <c r="P40" s="2">
        <v>-1.3616861903286037E-2</v>
      </c>
      <c r="Q40" s="2">
        <v>3.8905319723674392</v>
      </c>
      <c r="R40" s="2">
        <v>-5.0820373964685972E-2</v>
      </c>
      <c r="S40" s="2">
        <v>14.520106847053135</v>
      </c>
    </row>
    <row r="41" spans="1:19" ht="15.4" x14ac:dyDescent="0.4">
      <c r="A41" s="1">
        <v>0.2</v>
      </c>
      <c r="B41" s="40">
        <v>200</v>
      </c>
      <c r="C41" s="25">
        <v>3.9999999999999998E-6</v>
      </c>
      <c r="D41" s="2">
        <v>0.36</v>
      </c>
      <c r="E41" s="43">
        <v>18.404907975460123</v>
      </c>
      <c r="F41" s="31">
        <v>2.2403961965134785E-6</v>
      </c>
      <c r="G41" s="30">
        <f t="shared" si="0"/>
        <v>4.4807923930269571E-7</v>
      </c>
      <c r="H41" s="2">
        <v>7.8600000000000003E-2</v>
      </c>
      <c r="I41" s="2">
        <v>21.833333333333336</v>
      </c>
      <c r="J41" s="2">
        <v>7.2373527478050148E-3</v>
      </c>
      <c r="K41" s="2">
        <v>2.0103757632791708</v>
      </c>
      <c r="L41" s="2">
        <v>-9.4545454545454655E-2</v>
      </c>
      <c r="M41" s="2">
        <v>26.262626262626291</v>
      </c>
      <c r="N41" s="2">
        <v>-2.5157923153063921E-2</v>
      </c>
      <c r="O41" s="2">
        <v>6.9883119869622004</v>
      </c>
      <c r="P41" s="2">
        <v>2.6686458775495692E-2</v>
      </c>
      <c r="Q41" s="2">
        <v>7.4129052154154706</v>
      </c>
      <c r="R41" s="2">
        <v>-2.9257135163515691E-2</v>
      </c>
      <c r="S41" s="2">
        <v>8.1269819898654703</v>
      </c>
    </row>
    <row r="42" spans="1:19" ht="15.4" x14ac:dyDescent="0.4">
      <c r="A42" s="1">
        <v>0.2</v>
      </c>
      <c r="B42" s="40">
        <v>200</v>
      </c>
      <c r="C42" s="25">
        <v>1.0000000000000001E-5</v>
      </c>
      <c r="D42" s="2">
        <v>0.45</v>
      </c>
      <c r="E42" s="43">
        <v>10</v>
      </c>
      <c r="F42" s="31">
        <v>2.49067729978659E-6</v>
      </c>
      <c r="G42" s="30">
        <f t="shared" si="0"/>
        <v>4.9813545995731804E-7</v>
      </c>
      <c r="H42" s="2">
        <v>0.12289999999999995</v>
      </c>
      <c r="I42" s="2">
        <v>27.311111111111103</v>
      </c>
      <c r="J42" s="2">
        <v>-0.17595647535947601</v>
      </c>
      <c r="K42" s="2">
        <v>39.101438968772442</v>
      </c>
      <c r="L42" s="2">
        <v>-0.2014428559382376</v>
      </c>
      <c r="M42" s="2">
        <v>44.765079097386135</v>
      </c>
      <c r="N42" s="2">
        <v>-0.18355503824409714</v>
      </c>
      <c r="O42" s="2">
        <v>40.790008498688252</v>
      </c>
      <c r="P42" s="2">
        <v>-0.17951456913029606</v>
      </c>
      <c r="Q42" s="2">
        <v>39.892126473399124</v>
      </c>
      <c r="R42" s="2">
        <v>-0.18726550782328866</v>
      </c>
      <c r="S42" s="2">
        <v>41.614557294064149</v>
      </c>
    </row>
    <row r="43" spans="1:19" ht="15.4" x14ac:dyDescent="0.4">
      <c r="A43" s="1">
        <v>0.2</v>
      </c>
      <c r="B43" s="40">
        <v>200</v>
      </c>
      <c r="C43" s="25">
        <v>1.9999999999999999E-6</v>
      </c>
      <c r="D43" s="2">
        <v>0.53300000000000003</v>
      </c>
      <c r="E43" s="43">
        <v>21</v>
      </c>
      <c r="F43" s="31">
        <v>4.5983304042179199E-7</v>
      </c>
      <c r="G43" s="30">
        <f t="shared" si="0"/>
        <v>9.1966608084358406E-8</v>
      </c>
      <c r="H43" s="2">
        <v>2.6601673538431014E-2</v>
      </c>
      <c r="I43" s="2">
        <v>4.9909331216568509</v>
      </c>
      <c r="J43" s="2">
        <v>-0.12859628595661604</v>
      </c>
      <c r="K43" s="2">
        <v>24.126882918689688</v>
      </c>
      <c r="L43" s="2">
        <v>-0.21819212905854218</v>
      </c>
      <c r="M43" s="2">
        <v>40.93660957946382</v>
      </c>
      <c r="N43" s="2">
        <v>-0.17411031165978719</v>
      </c>
      <c r="O43" s="2">
        <v>32.666099748552938</v>
      </c>
      <c r="P43" s="2">
        <v>-9.4399131069229592E-2</v>
      </c>
      <c r="Q43" s="2">
        <v>17.710906391975531</v>
      </c>
      <c r="R43" s="2">
        <v>-0.13132678943379572</v>
      </c>
      <c r="S43" s="2">
        <v>24.639172501650229</v>
      </c>
    </row>
    <row r="44" spans="1:19" ht="15.4" x14ac:dyDescent="0.4">
      <c r="A44" s="1">
        <v>0.2</v>
      </c>
      <c r="B44" s="40">
        <v>200</v>
      </c>
      <c r="C44" s="25">
        <v>1.9999999999999999E-6</v>
      </c>
      <c r="D44" s="2">
        <v>0.63800000000000001</v>
      </c>
      <c r="E44" s="43">
        <v>28.999999999999996</v>
      </c>
      <c r="F44" s="31">
        <v>4.5983304042179199E-7</v>
      </c>
      <c r="G44" s="30">
        <f t="shared" si="0"/>
        <v>9.1966608084358406E-8</v>
      </c>
      <c r="H44" s="2">
        <v>0.14721543868686404</v>
      </c>
      <c r="I44" s="2">
        <v>23.074520170354866</v>
      </c>
      <c r="J44" s="2">
        <v>-8.2181997296396969E-2</v>
      </c>
      <c r="K44" s="2">
        <v>12.881190798808301</v>
      </c>
      <c r="L44" s="2">
        <v>-0.26699023058104743</v>
      </c>
      <c r="M44" s="2">
        <v>41.847998523675145</v>
      </c>
      <c r="N44" s="2">
        <v>-0.19396175714947567</v>
      </c>
      <c r="O44" s="2">
        <v>30.401529333773613</v>
      </c>
      <c r="P44" s="2">
        <v>4.461175222842384E-2</v>
      </c>
      <c r="Q44" s="2">
        <v>6.9924376533579693</v>
      </c>
      <c r="R44" s="2">
        <v>-5.7449894833709103E-2</v>
      </c>
      <c r="S44" s="2">
        <v>9.0046857106127121</v>
      </c>
    </row>
    <row r="45" spans="1:19" ht="15.4" x14ac:dyDescent="0.4">
      <c r="A45" s="1">
        <v>0.2</v>
      </c>
      <c r="B45" s="40">
        <v>200</v>
      </c>
      <c r="C45" s="25">
        <v>9.9999999999999995E-7</v>
      </c>
      <c r="D45" s="2">
        <v>0.75</v>
      </c>
      <c r="E45" s="43">
        <v>30</v>
      </c>
      <c r="F45" s="31">
        <v>2.3250987027638001E-7</v>
      </c>
      <c r="G45" s="30">
        <f t="shared" si="0"/>
        <v>4.6501974055276007E-8</v>
      </c>
      <c r="H45" s="2">
        <v>0.36309999999999998</v>
      </c>
      <c r="I45" s="2">
        <v>48.413333333333327</v>
      </c>
      <c r="J45" s="2">
        <v>-0.17022832331134097</v>
      </c>
      <c r="K45" s="2">
        <v>22.697109774845462</v>
      </c>
      <c r="L45" s="2">
        <v>-0.37200646906528706</v>
      </c>
      <c r="M45" s="2">
        <v>49.600862542038278</v>
      </c>
      <c r="N45" s="2">
        <v>-0.29395557454079457</v>
      </c>
      <c r="O45" s="2">
        <v>39.194076605439278</v>
      </c>
      <c r="P45" s="2">
        <v>-2.3487568801006331E-2</v>
      </c>
      <c r="Q45" s="2">
        <v>3.1316758401341773</v>
      </c>
      <c r="R45" s="2">
        <v>-0.14064003100939315</v>
      </c>
      <c r="S45" s="2">
        <v>18.752004134585754</v>
      </c>
    </row>
    <row r="46" spans="1:19" ht="15.4" x14ac:dyDescent="0.4">
      <c r="A46" s="1">
        <v>0.2</v>
      </c>
      <c r="B46" s="40">
        <v>285</v>
      </c>
      <c r="C46" s="25">
        <v>9.9999999999999995E-8</v>
      </c>
      <c r="D46" s="2">
        <v>0.77100000000000002</v>
      </c>
      <c r="E46" s="43">
        <v>42.199999999999996</v>
      </c>
      <c r="F46" s="30">
        <v>2.00141843971631E-8</v>
      </c>
      <c r="G46" s="30">
        <f t="shared" si="0"/>
        <v>4.0028368794326202E-9</v>
      </c>
      <c r="H46" s="2">
        <v>0.43583442384654913</v>
      </c>
      <c r="I46" s="2">
        <v>56.528459642872775</v>
      </c>
      <c r="J46" s="2">
        <v>0.25571257952423998</v>
      </c>
      <c r="K46" s="2">
        <v>33.166352726879374</v>
      </c>
      <c r="L46" s="2">
        <v>-0.27013025838452331</v>
      </c>
      <c r="M46" s="2">
        <v>35.036349985022483</v>
      </c>
      <c r="N46" s="2">
        <v>-0.13452860283365131</v>
      </c>
      <c r="O46" s="2">
        <v>17.448586619150625</v>
      </c>
      <c r="P46" s="2">
        <v>1.2263735415811641</v>
      </c>
      <c r="Q46" s="2">
        <v>159.06271615838702</v>
      </c>
      <c r="R46" s="2">
        <v>0.55711182909358314</v>
      </c>
      <c r="S46" s="2">
        <v>72.258343591904435</v>
      </c>
    </row>
    <row r="47" spans="1:19" ht="15.4" x14ac:dyDescent="0.4">
      <c r="A47" s="1">
        <v>0.2</v>
      </c>
      <c r="B47" s="40">
        <v>200</v>
      </c>
      <c r="C47" s="25">
        <v>9.9999999999999995E-7</v>
      </c>
      <c r="D47" s="2">
        <v>0.84</v>
      </c>
      <c r="E47" s="43">
        <v>35</v>
      </c>
      <c r="F47" s="31">
        <v>2.3250987027638001E-7</v>
      </c>
      <c r="G47" s="30">
        <f t="shared" si="0"/>
        <v>4.6501974055276007E-8</v>
      </c>
      <c r="H47" s="2">
        <v>0.32579999999999998</v>
      </c>
      <c r="I47" s="2">
        <v>38.785714285714285</v>
      </c>
      <c r="J47" s="2">
        <v>-0.117433479778705</v>
      </c>
      <c r="K47" s="2">
        <v>13.980176164131548</v>
      </c>
      <c r="L47" s="2">
        <v>-0.42153962107208043</v>
      </c>
      <c r="M47" s="2">
        <v>50.183288222866715</v>
      </c>
      <c r="N47" s="2">
        <v>-0.3184088296160037</v>
      </c>
      <c r="O47" s="2">
        <v>37.905813049524248</v>
      </c>
      <c r="P47" s="2">
        <v>0.18584041904592052</v>
      </c>
      <c r="Q47" s="2">
        <v>22.123859410228636</v>
      </c>
      <c r="R47" s="2">
        <v>-4.3620783483551473E-2</v>
      </c>
      <c r="S47" s="2">
        <v>5.192950414708509</v>
      </c>
    </row>
    <row r="48" spans="1:19" ht="15.4" x14ac:dyDescent="0.4">
      <c r="A48" s="1">
        <v>0.2</v>
      </c>
      <c r="B48" s="40">
        <v>200</v>
      </c>
      <c r="C48" s="25">
        <v>1.0000000000000001E-5</v>
      </c>
      <c r="D48" s="2">
        <v>0.95</v>
      </c>
      <c r="E48" s="43">
        <v>20</v>
      </c>
      <c r="F48" s="31">
        <v>2.49067729978659E-6</v>
      </c>
      <c r="G48" s="30">
        <f t="shared" si="0"/>
        <v>4.9813545995731804E-7</v>
      </c>
      <c r="H48" s="2">
        <v>-1.8199999999999994E-2</v>
      </c>
      <c r="I48" s="2">
        <v>1.91578947368421</v>
      </c>
      <c r="J48" s="2">
        <v>-0.56048549479609688</v>
      </c>
      <c r="K48" s="2">
        <v>58.998473136431251</v>
      </c>
      <c r="L48" s="2">
        <v>-0.64433434081764385</v>
      </c>
      <c r="M48" s="2">
        <v>67.824667454488832</v>
      </c>
      <c r="N48" s="2">
        <v>-0.60056095736723991</v>
      </c>
      <c r="O48" s="2">
        <v>63.216942880762097</v>
      </c>
      <c r="P48" s="2">
        <v>-0.53255820949768573</v>
      </c>
      <c r="Q48" s="2">
        <v>56.058758894493231</v>
      </c>
      <c r="R48" s="2">
        <v>-0.56736376177789616</v>
      </c>
      <c r="S48" s="2">
        <v>59.722501239778545</v>
      </c>
    </row>
    <row r="49" spans="1:19" ht="15.4" x14ac:dyDescent="0.4">
      <c r="A49" s="1">
        <v>0.2</v>
      </c>
      <c r="B49" s="40">
        <v>200</v>
      </c>
      <c r="C49" s="25">
        <v>1.9999999999999999E-6</v>
      </c>
      <c r="D49" s="2">
        <v>1.03</v>
      </c>
      <c r="E49" s="43">
        <v>38</v>
      </c>
      <c r="F49" s="31">
        <v>4.5983304042179199E-7</v>
      </c>
      <c r="G49" s="30">
        <f t="shared" si="0"/>
        <v>9.1966608084358406E-8</v>
      </c>
      <c r="H49" s="2">
        <v>0.18084344045800993</v>
      </c>
      <c r="I49" s="2">
        <v>17.557615578447567</v>
      </c>
      <c r="J49" s="2">
        <v>-0.19874956065858407</v>
      </c>
      <c r="K49" s="2">
        <v>19.296073850347966</v>
      </c>
      <c r="L49" s="2">
        <v>-0.58417411531828822</v>
      </c>
      <c r="M49" s="2">
        <v>56.715933526047401</v>
      </c>
      <c r="N49" s="2">
        <v>-0.46403065651209863</v>
      </c>
      <c r="O49" s="2">
        <v>45.051520049718313</v>
      </c>
      <c r="P49" s="2">
        <v>0.27848443181591342</v>
      </c>
      <c r="Q49" s="2">
        <v>27.037323477273144</v>
      </c>
      <c r="R49" s="2">
        <v>-7.5983905598617119E-2</v>
      </c>
      <c r="S49" s="2">
        <v>7.3770782134579731</v>
      </c>
    </row>
    <row r="50" spans="1:19" ht="15.4" x14ac:dyDescent="0.4">
      <c r="A50" s="1">
        <v>0.2</v>
      </c>
      <c r="B50" s="40">
        <v>285</v>
      </c>
      <c r="C50" s="25">
        <v>1.0000000000000001E-5</v>
      </c>
      <c r="D50" s="2">
        <v>1.05768</v>
      </c>
      <c r="E50" s="43">
        <v>42.199999999999996</v>
      </c>
      <c r="F50" s="30">
        <v>2.49067729978659E-6</v>
      </c>
      <c r="G50" s="30">
        <f t="shared" si="0"/>
        <v>4.9813545995731804E-7</v>
      </c>
      <c r="H50" s="2">
        <v>0.10472000000000015</v>
      </c>
      <c r="I50" s="2">
        <v>9.9009152106497389</v>
      </c>
      <c r="J50" s="2">
        <v>-3.0967420475759955E-2</v>
      </c>
      <c r="K50" s="2">
        <v>2.9278629146584936</v>
      </c>
      <c r="L50" s="2">
        <v>-0.58021627688851607</v>
      </c>
      <c r="M50" s="2">
        <v>54.857449974332127</v>
      </c>
      <c r="N50" s="2">
        <v>-0.42120860283365125</v>
      </c>
      <c r="O50" s="2">
        <v>39.82382221784011</v>
      </c>
      <c r="P50" s="2">
        <v>0.93969354158116403</v>
      </c>
      <c r="Q50" s="2">
        <v>88.844786852466157</v>
      </c>
      <c r="R50" s="2">
        <v>0.17180450566740024</v>
      </c>
      <c r="S50" s="2">
        <v>16.243524096834605</v>
      </c>
    </row>
    <row r="51" spans="1:19" ht="15.4" x14ac:dyDescent="0.4">
      <c r="A51" s="1">
        <v>0.2</v>
      </c>
      <c r="B51" s="40">
        <v>200</v>
      </c>
      <c r="C51" s="25">
        <v>9.9999999999999995E-7</v>
      </c>
      <c r="D51" s="2">
        <v>1.0900000000000001</v>
      </c>
      <c r="E51" s="43">
        <v>40</v>
      </c>
      <c r="F51" s="31">
        <v>2.3250987027638001E-7</v>
      </c>
      <c r="G51" s="30">
        <f t="shared" si="0"/>
        <v>4.6501974055276007E-8</v>
      </c>
      <c r="H51" s="2">
        <v>0.12490000000000001</v>
      </c>
      <c r="I51" s="2">
        <v>11.458715596330276</v>
      </c>
      <c r="J51" s="2">
        <v>-0.17399594200963708</v>
      </c>
      <c r="K51" s="2">
        <v>15.962930459599731</v>
      </c>
      <c r="L51" s="2">
        <v>-0.626632077374214</v>
      </c>
      <c r="M51" s="2">
        <v>57.489181410478338</v>
      </c>
      <c r="N51" s="2">
        <v>-0.49199203187250995</v>
      </c>
      <c r="O51" s="2">
        <v>45.136883658028431</v>
      </c>
      <c r="P51" s="2">
        <v>0.48384726625152341</v>
      </c>
      <c r="Q51" s="2">
        <v>44.389657454268203</v>
      </c>
      <c r="R51" s="2">
        <v>-9.364425210289351E-3</v>
      </c>
      <c r="S51" s="2">
        <v>0.85912157892562846</v>
      </c>
    </row>
    <row r="52" spans="1:19" ht="15.4" x14ac:dyDescent="0.4">
      <c r="A52" s="1">
        <v>0.2</v>
      </c>
      <c r="B52" s="40">
        <v>200</v>
      </c>
      <c r="C52" s="25">
        <v>9.9999999999999995E-7</v>
      </c>
      <c r="D52" s="2">
        <v>1.1599999999999999</v>
      </c>
      <c r="E52" s="43">
        <v>45</v>
      </c>
      <c r="F52" s="31">
        <v>2.3250987027638001E-7</v>
      </c>
      <c r="G52" s="30">
        <f t="shared" si="0"/>
        <v>4.6501974055276007E-8</v>
      </c>
      <c r="H52" s="2">
        <v>0.1008</v>
      </c>
      <c r="I52" s="2">
        <v>8.6896551724137936</v>
      </c>
      <c r="J52" s="2">
        <v>2.4422615450859997E-2</v>
      </c>
      <c r="K52" s="2">
        <v>2.1053978836948275</v>
      </c>
      <c r="L52" s="2">
        <v>-0.64651044256548973</v>
      </c>
      <c r="M52" s="2">
        <v>55.733658841852559</v>
      </c>
      <c r="N52" s="2">
        <v>-0.471756720065164</v>
      </c>
      <c r="O52" s="2">
        <v>40.668682764238277</v>
      </c>
      <c r="P52" s="2">
        <v>1.7005499900980541</v>
      </c>
      <c r="Q52" s="2">
        <v>146.59913707741848</v>
      </c>
      <c r="R52" s="2">
        <v>0.39459677061595322</v>
      </c>
      <c r="S52" s="2">
        <v>34.016962984133905</v>
      </c>
    </row>
    <row r="53" spans="1:19" ht="15.4" x14ac:dyDescent="0.4">
      <c r="A53" s="1">
        <v>0.2</v>
      </c>
      <c r="B53" s="40">
        <v>200</v>
      </c>
      <c r="C53" s="25">
        <v>9.9999999999999995E-7</v>
      </c>
      <c r="D53" s="2">
        <v>1.38</v>
      </c>
      <c r="E53" s="43">
        <v>50</v>
      </c>
      <c r="F53" s="31">
        <v>2.3250987027638001E-7</v>
      </c>
      <c r="G53" s="30">
        <f t="shared" si="0"/>
        <v>4.6501974055276007E-8</v>
      </c>
      <c r="H53" s="2">
        <v>-7.5799999999999867E-2</v>
      </c>
      <c r="I53" s="2">
        <v>5.4927536231883973</v>
      </c>
      <c r="J53" s="2">
        <v>0.18736727882501003</v>
      </c>
      <c r="K53" s="2">
        <v>13.577339045290582</v>
      </c>
      <c r="L53" s="2">
        <v>-0.81021065898797773</v>
      </c>
      <c r="M53" s="2">
        <v>58.710917317969404</v>
      </c>
      <c r="N53" s="2">
        <v>-0.58358208955223845</v>
      </c>
      <c r="O53" s="2">
        <v>42.288557213930325</v>
      </c>
      <c r="P53" s="2">
        <v>7.7713592782587684</v>
      </c>
      <c r="Q53" s="2">
        <v>563.14197668541806</v>
      </c>
      <c r="R53" s="2">
        <v>1.103922046717742</v>
      </c>
      <c r="S53" s="2">
        <v>79.994351211430583</v>
      </c>
    </row>
    <row r="54" spans="1:19" ht="15.4" x14ac:dyDescent="0.4">
      <c r="A54" s="1">
        <v>0.2</v>
      </c>
      <c r="B54" s="40">
        <v>285</v>
      </c>
      <c r="C54" s="25">
        <v>9.9999999999999995E-8</v>
      </c>
      <c r="D54" s="2">
        <v>1.5229999999999999</v>
      </c>
      <c r="E54" s="43">
        <v>53.5</v>
      </c>
      <c r="F54" s="30">
        <v>2.00141843971631E-8</v>
      </c>
      <c r="G54" s="30">
        <f t="shared" si="0"/>
        <v>4.0028368794326202E-9</v>
      </c>
      <c r="H54" s="2">
        <v>3.3300000000000107E-2</v>
      </c>
      <c r="I54" s="2">
        <v>2.1864740643466911</v>
      </c>
      <c r="J54" s="2">
        <v>0.4295164126303701</v>
      </c>
      <c r="K54" s="2">
        <v>28.201996889715701</v>
      </c>
      <c r="L54" s="2">
        <v>-0.88240497450399946</v>
      </c>
      <c r="M54" s="2">
        <v>57.938606336441204</v>
      </c>
      <c r="N54" s="2">
        <v>-0.63579090745083855</v>
      </c>
      <c r="O54" s="2">
        <v>41.745955840501544</v>
      </c>
      <c r="P54" s="2">
        <v>-27.410167770700113</v>
      </c>
      <c r="Q54" s="2">
        <v>1799.7483762770923</v>
      </c>
      <c r="R54" s="2">
        <v>3.1810801560193651</v>
      </c>
      <c r="S54" s="2">
        <v>208.86934707940679</v>
      </c>
    </row>
    <row r="55" spans="1:19" ht="15.4" x14ac:dyDescent="0.4">
      <c r="A55" s="1">
        <v>0.2</v>
      </c>
      <c r="B55" s="40">
        <v>200</v>
      </c>
      <c r="C55" s="25">
        <v>9.9999999999999995E-7</v>
      </c>
      <c r="D55" s="2">
        <v>1.63</v>
      </c>
      <c r="E55" s="43">
        <v>55.000000000000007</v>
      </c>
      <c r="F55" s="31">
        <v>2.3250987027638001E-7</v>
      </c>
      <c r="G55" s="30">
        <f t="shared" si="0"/>
        <v>4.6501974055276007E-8</v>
      </c>
      <c r="H55" s="2">
        <v>-0.28469999999999995</v>
      </c>
      <c r="I55" s="2">
        <v>17.466257668711656</v>
      </c>
      <c r="J55" s="2">
        <v>0.5013286982927303</v>
      </c>
      <c r="K55" s="2">
        <v>30.756361858449715</v>
      </c>
      <c r="L55" s="2">
        <v>-0.9965153937387411</v>
      </c>
      <c r="M55" s="2">
        <v>61.135913726303137</v>
      </c>
      <c r="N55" s="2">
        <v>-0.70152800795492176</v>
      </c>
      <c r="O55" s="2">
        <v>43.038528095393971</v>
      </c>
      <c r="P55" s="2">
        <v>-12.407714169695062</v>
      </c>
      <c r="Q55" s="2">
        <v>761.20945826350078</v>
      </c>
      <c r="R55" s="2">
        <v>3.4388631837995476</v>
      </c>
      <c r="S55" s="2">
        <v>210.97320146009494</v>
      </c>
    </row>
    <row r="56" spans="1:19" ht="15.4" x14ac:dyDescent="0.4">
      <c r="A56" s="1">
        <v>0.2</v>
      </c>
      <c r="B56" s="40">
        <v>200</v>
      </c>
      <c r="C56" s="25">
        <v>1.0000000000000001E-5</v>
      </c>
      <c r="D56" s="2">
        <v>1.64</v>
      </c>
      <c r="E56" s="43">
        <v>30</v>
      </c>
      <c r="F56" s="31">
        <v>2.49067729978659E-6</v>
      </c>
      <c r="G56" s="30">
        <f t="shared" si="0"/>
        <v>4.9813545995731804E-7</v>
      </c>
      <c r="H56" s="2">
        <v>-0.59579999999999989</v>
      </c>
      <c r="I56" s="2">
        <v>36.329268292682919</v>
      </c>
      <c r="J56" s="2">
        <v>-1.0602283233113408</v>
      </c>
      <c r="K56" s="2">
        <v>64.648068494593957</v>
      </c>
      <c r="L56" s="2">
        <v>-1.2661973700047351</v>
      </c>
      <c r="M56" s="2">
        <v>77.207156707605805</v>
      </c>
      <c r="N56" s="2">
        <v>-1.1839555745407946</v>
      </c>
      <c r="O56" s="2">
        <v>72.192413081755774</v>
      </c>
      <c r="P56" s="2">
        <v>-0.91348756880100623</v>
      </c>
      <c r="Q56" s="2">
        <v>55.700461512256481</v>
      </c>
      <c r="R56" s="2">
        <v>-1.0373552421523111</v>
      </c>
      <c r="S56" s="2">
        <v>63.253368423921415</v>
      </c>
    </row>
    <row r="57" spans="1:19" ht="15.4" x14ac:dyDescent="0.4">
      <c r="A57" s="1">
        <v>0.2</v>
      </c>
      <c r="B57" s="40">
        <v>200</v>
      </c>
      <c r="C57" s="25">
        <v>1.9999999999999999E-6</v>
      </c>
      <c r="D57" s="2">
        <v>1.6850000000000001</v>
      </c>
      <c r="E57" s="43">
        <v>49</v>
      </c>
      <c r="F57" s="31">
        <v>4.5983304042179199E-7</v>
      </c>
      <c r="G57" s="30">
        <f t="shared" si="0"/>
        <v>9.1966608084358406E-8</v>
      </c>
      <c r="H57" s="2">
        <v>-0.37268114727307999</v>
      </c>
      <c r="I57" s="2">
        <v>22.117575505820771</v>
      </c>
      <c r="J57" s="2">
        <v>-0.20605534773218004</v>
      </c>
      <c r="K57" s="2">
        <v>12.228804019713948</v>
      </c>
      <c r="L57" s="2">
        <v>-1.1253606945451973</v>
      </c>
      <c r="M57" s="2">
        <v>66.786984839477583</v>
      </c>
      <c r="N57" s="2">
        <v>-0.91190393958906513</v>
      </c>
      <c r="O57" s="2">
        <v>54.118928165523151</v>
      </c>
      <c r="P57" s="2">
        <v>4.806069107677196</v>
      </c>
      <c r="Q57" s="2">
        <v>285.22665327461101</v>
      </c>
      <c r="R57" s="2">
        <v>0.5648163350490214</v>
      </c>
      <c r="S57" s="2">
        <v>33.520257272938956</v>
      </c>
    </row>
    <row r="58" spans="1:19" ht="15.4" x14ac:dyDescent="0.4">
      <c r="A58" s="1">
        <v>0.2</v>
      </c>
      <c r="B58" s="40">
        <v>285</v>
      </c>
      <c r="C58" s="25">
        <v>1.0000000000000001E-5</v>
      </c>
      <c r="D58" s="2">
        <v>1.7413799999999999</v>
      </c>
      <c r="E58" s="43">
        <v>53.5</v>
      </c>
      <c r="F58" s="30">
        <v>2.49067729978659E-6</v>
      </c>
      <c r="G58" s="30">
        <f t="shared" si="0"/>
        <v>4.9813545995731804E-7</v>
      </c>
      <c r="H58" s="2">
        <v>-0.48827999999999983</v>
      </c>
      <c r="I58" s="2">
        <v>28.039830479275047</v>
      </c>
      <c r="J58" s="2">
        <v>0.21113641263037008</v>
      </c>
      <c r="K58" s="2">
        <v>12.124660477918093</v>
      </c>
      <c r="L58" s="2">
        <v>-1.1399050375508346</v>
      </c>
      <c r="M58" s="2">
        <v>65.459867320793535</v>
      </c>
      <c r="N58" s="2">
        <v>-0.85417090745083857</v>
      </c>
      <c r="O58" s="2">
        <v>49.051379219402925</v>
      </c>
      <c r="P58" s="2">
        <v>-27.628547770700113</v>
      </c>
      <c r="Q58" s="2">
        <v>1586.5892436286229</v>
      </c>
      <c r="R58" s="2">
        <v>1.9187449926708693</v>
      </c>
      <c r="S58" s="2">
        <v>110.18531237701532</v>
      </c>
    </row>
    <row r="59" spans="1:19" ht="15.4" x14ac:dyDescent="0.4">
      <c r="A59" s="1">
        <v>0.2</v>
      </c>
      <c r="B59" s="40">
        <v>285</v>
      </c>
      <c r="C59" s="25">
        <v>9.9999999999999995E-8</v>
      </c>
      <c r="D59" s="2">
        <v>1.8360000000000001</v>
      </c>
      <c r="E59" s="43">
        <v>58.4</v>
      </c>
      <c r="F59" s="30">
        <v>2.00141843971631E-8</v>
      </c>
      <c r="G59" s="30">
        <f t="shared" si="0"/>
        <v>4.0028368794326202E-9</v>
      </c>
      <c r="H59" s="2">
        <v>-0.23420000000000019</v>
      </c>
      <c r="I59" s="2">
        <v>12.755991285403059</v>
      </c>
      <c r="J59" s="2">
        <v>0.86943232281112004</v>
      </c>
      <c r="K59" s="2">
        <v>47.354701678165576</v>
      </c>
      <c r="L59" s="2">
        <v>-1.1203723927970139</v>
      </c>
      <c r="M59" s="2">
        <v>61.022461481318835</v>
      </c>
      <c r="N59" s="2">
        <v>-0.79793649812557943</v>
      </c>
      <c r="O59" s="2">
        <v>43.460593579824582</v>
      </c>
      <c r="P59" s="2">
        <v>-6.5015437985890854</v>
      </c>
      <c r="Q59" s="2">
        <v>354.11458597979765</v>
      </c>
      <c r="R59" s="2">
        <v>28.683291936637975</v>
      </c>
      <c r="S59" s="2">
        <v>1562.2708026491271</v>
      </c>
    </row>
    <row r="60" spans="1:19" ht="15.4" x14ac:dyDescent="0.4">
      <c r="A60" s="1">
        <v>0.2</v>
      </c>
      <c r="B60" s="40">
        <v>285</v>
      </c>
      <c r="C60" s="25">
        <v>1.0000000000000001E-5</v>
      </c>
      <c r="D60" s="2">
        <v>2.1806000000000001</v>
      </c>
      <c r="E60" s="43">
        <v>58.4</v>
      </c>
      <c r="F60" s="30">
        <v>2.49067729978659E-6</v>
      </c>
      <c r="G60" s="30">
        <f t="shared" si="0"/>
        <v>4.9813545995731804E-7</v>
      </c>
      <c r="H60" s="2">
        <v>-0.8913000000000002</v>
      </c>
      <c r="I60" s="2">
        <v>40.874071356507393</v>
      </c>
      <c r="J60" s="2">
        <v>0.52483232281112002</v>
      </c>
      <c r="K60" s="2">
        <v>24.068252903380721</v>
      </c>
      <c r="L60" s="2">
        <v>-1.5137434371557557</v>
      </c>
      <c r="M60" s="2">
        <v>69.418666291651633</v>
      </c>
      <c r="N60" s="2">
        <v>-1.1425364981255794</v>
      </c>
      <c r="O60" s="2">
        <v>52.395510324019966</v>
      </c>
      <c r="P60" s="2">
        <v>-6.8461437985890852</v>
      </c>
      <c r="Q60" s="2">
        <v>313.95688336187681</v>
      </c>
      <c r="R60" s="2">
        <v>8.6184715838549657</v>
      </c>
      <c r="S60" s="2">
        <v>395.23395321723223</v>
      </c>
    </row>
    <row r="61" spans="1:19" ht="15.4" x14ac:dyDescent="0.4">
      <c r="A61" s="1">
        <v>0.2</v>
      </c>
      <c r="B61" s="40">
        <v>200</v>
      </c>
      <c r="C61" s="25">
        <v>1.0000000000000001E-5</v>
      </c>
      <c r="D61" s="2">
        <v>2.57</v>
      </c>
      <c r="E61" s="43">
        <v>40</v>
      </c>
      <c r="F61" s="31">
        <v>2.49067729978659E-6</v>
      </c>
      <c r="G61" s="30">
        <f t="shared" si="0"/>
        <v>4.9813545995731804E-7</v>
      </c>
      <c r="H61" s="2">
        <v>-1.4313999999999998</v>
      </c>
      <c r="I61" s="2">
        <v>55.696498054474709</v>
      </c>
      <c r="J61" s="2">
        <v>-1.6539959420096368</v>
      </c>
      <c r="K61" s="2">
        <v>64.357818755238796</v>
      </c>
      <c r="L61" s="2">
        <v>-2.1134958882097927</v>
      </c>
      <c r="M61" s="2">
        <v>82.237194093766263</v>
      </c>
      <c r="N61" s="2">
        <v>-1.9719920318725097</v>
      </c>
      <c r="O61" s="2">
        <v>76.731207465856414</v>
      </c>
      <c r="P61" s="2">
        <v>-0.99615273374847635</v>
      </c>
      <c r="Q61" s="2">
        <v>38.760806760641103</v>
      </c>
      <c r="R61" s="2">
        <v>-1.5124400894639887</v>
      </c>
      <c r="S61" s="2">
        <v>58.849808928559874</v>
      </c>
    </row>
    <row r="62" spans="1:19" ht="15.4" x14ac:dyDescent="0.4">
      <c r="A62" s="1">
        <v>0.21</v>
      </c>
      <c r="B62" s="40">
        <v>230</v>
      </c>
      <c r="C62" s="25">
        <v>1.4E-5</v>
      </c>
      <c r="D62" s="2">
        <v>0.23499999999999999</v>
      </c>
      <c r="E62" s="43">
        <v>3.9525691699604737</v>
      </c>
      <c r="F62" s="30">
        <v>3.4981793719731287E-6</v>
      </c>
      <c r="G62" s="30">
        <f t="shared" si="0"/>
        <v>7.3461766811435703E-7</v>
      </c>
      <c r="H62" s="2">
        <v>7.9600000000000004E-2</v>
      </c>
      <c r="I62" s="2">
        <v>33.872340425531917</v>
      </c>
      <c r="J62" s="2">
        <v>1.9241686011840231E-3</v>
      </c>
      <c r="K62" s="2">
        <v>0.81879514944000997</v>
      </c>
      <c r="L62" s="2">
        <v>-6.0730591191724415E-3</v>
      </c>
      <c r="M62" s="2">
        <v>2.5842804762435923</v>
      </c>
      <c r="N62" s="2">
        <v>8.5213209815429569E-4</v>
      </c>
      <c r="O62" s="2">
        <v>0.36260940346991311</v>
      </c>
      <c r="P62" s="2">
        <v>-3.4867797782282273E-3</v>
      </c>
      <c r="Q62" s="2">
        <v>1.483736075841799</v>
      </c>
      <c r="R62" s="2">
        <v>-5.3703723936810444E-3</v>
      </c>
      <c r="S62" s="2">
        <v>2.2852648483749127</v>
      </c>
    </row>
    <row r="63" spans="1:19" ht="15.4" x14ac:dyDescent="0.4">
      <c r="A63" s="1">
        <v>0.21</v>
      </c>
      <c r="B63" s="40">
        <v>200</v>
      </c>
      <c r="C63" s="25">
        <v>5.0000000000000004E-6</v>
      </c>
      <c r="D63" s="2">
        <v>0.24199999999999999</v>
      </c>
      <c r="E63" s="43">
        <v>3.6144578313253009</v>
      </c>
      <c r="F63" s="31">
        <v>2.9976798143851598E-6</v>
      </c>
      <c r="G63" s="30">
        <f t="shared" si="0"/>
        <v>6.2951276102088358E-7</v>
      </c>
      <c r="H63" s="2">
        <v>1.3300000000000034E-2</v>
      </c>
      <c r="I63" s="2">
        <v>5.4958677685950557</v>
      </c>
      <c r="J63" s="2">
        <v>-7.5640338760469827E-3</v>
      </c>
      <c r="K63" s="2">
        <v>3.1256338330772655</v>
      </c>
      <c r="L63" s="2">
        <v>-2.0494459844128315E-2</v>
      </c>
      <c r="M63" s="2">
        <v>8.4687850595571561</v>
      </c>
      <c r="N63" s="2">
        <v>-8.452038571942655E-3</v>
      </c>
      <c r="O63" s="2">
        <v>3.4925779222903532</v>
      </c>
      <c r="P63" s="2">
        <v>-1.2746830144557547E-2</v>
      </c>
      <c r="Q63" s="2">
        <v>5.2672851837014658</v>
      </c>
      <c r="R63" s="2">
        <v>-1.6528056054813944E-2</v>
      </c>
      <c r="S63" s="2">
        <v>6.8297752292619611</v>
      </c>
    </row>
    <row r="64" spans="1:19" ht="15.4" x14ac:dyDescent="0.4">
      <c r="A64" s="1">
        <v>0.21</v>
      </c>
      <c r="B64" s="40">
        <v>200</v>
      </c>
      <c r="C64" s="25">
        <v>5.0000000000000004E-6</v>
      </c>
      <c r="D64" s="2">
        <v>0.25800000000000001</v>
      </c>
      <c r="E64" s="43">
        <v>6.9767441860465116</v>
      </c>
      <c r="F64" s="31">
        <v>2.9976798143851598E-6</v>
      </c>
      <c r="G64" s="30">
        <f t="shared" si="0"/>
        <v>6.2951276102088358E-7</v>
      </c>
      <c r="H64" s="2">
        <v>4.3499999999999983E-2</v>
      </c>
      <c r="I64" s="2">
        <v>16.860465116279062</v>
      </c>
      <c r="J64" s="2">
        <v>2.6838479280559824E-3</v>
      </c>
      <c r="K64" s="2">
        <v>1.0402511349054195</v>
      </c>
      <c r="L64" s="2">
        <v>-2.5407821955762522E-2</v>
      </c>
      <c r="M64" s="2">
        <v>9.8479930061095047</v>
      </c>
      <c r="N64" s="2">
        <v>-9.0962738302641233E-4</v>
      </c>
      <c r="O64" s="2">
        <v>0.35256875311101249</v>
      </c>
      <c r="P64" s="2">
        <v>-3.2240760550307779E-3</v>
      </c>
      <c r="Q64" s="2">
        <v>1.2496418817948751</v>
      </c>
      <c r="R64" s="2">
        <v>-1.3409466454877061E-2</v>
      </c>
      <c r="S64" s="2">
        <v>5.1974676181694033</v>
      </c>
    </row>
    <row r="65" spans="1:19" ht="15.4" x14ac:dyDescent="0.4">
      <c r="A65" s="1">
        <v>0.21</v>
      </c>
      <c r="B65" s="40">
        <v>200</v>
      </c>
      <c r="C65" s="25">
        <v>5.0000000000000004E-6</v>
      </c>
      <c r="D65" s="2">
        <v>0.29399999999999998</v>
      </c>
      <c r="E65" s="43">
        <v>10.112359550561797</v>
      </c>
      <c r="F65" s="31">
        <v>2.9976798143851598E-6</v>
      </c>
      <c r="G65" s="30">
        <f t="shared" si="0"/>
        <v>6.2951276102088358E-7</v>
      </c>
      <c r="H65" s="2">
        <v>5.2200000000000024E-2</v>
      </c>
      <c r="I65" s="2">
        <v>17.755102040816336</v>
      </c>
      <c r="J65" s="2">
        <v>-5.194578228967961E-3</v>
      </c>
      <c r="K65" s="2">
        <v>1.7668633431863816</v>
      </c>
      <c r="L65" s="2">
        <v>-5.0717617802227222E-2</v>
      </c>
      <c r="M65" s="2">
        <v>17.250890408920824</v>
      </c>
      <c r="N65" s="2">
        <v>-1.3372764471201004E-2</v>
      </c>
      <c r="O65" s="2">
        <v>4.5485593439459207</v>
      </c>
      <c r="P65" s="2">
        <v>-8.7923189731208273E-3</v>
      </c>
      <c r="Q65" s="2">
        <v>2.9905846847349755</v>
      </c>
      <c r="R65" s="2">
        <v>-2.7926044821989626E-2</v>
      </c>
      <c r="S65" s="2">
        <v>9.4986547013570171</v>
      </c>
    </row>
    <row r="66" spans="1:19" ht="15.4" x14ac:dyDescent="0.4">
      <c r="A66" s="1">
        <v>0.21</v>
      </c>
      <c r="B66" s="40">
        <v>200</v>
      </c>
      <c r="C66" s="25">
        <v>5.0000000000000004E-6</v>
      </c>
      <c r="D66" s="2">
        <v>0.47399999999999998</v>
      </c>
      <c r="E66" s="43">
        <v>15.789473684210526</v>
      </c>
      <c r="F66" s="31">
        <v>2.9976798143851598E-6</v>
      </c>
      <c r="G66" s="30">
        <f t="shared" si="0"/>
        <v>6.2951276102088358E-7</v>
      </c>
      <c r="H66" s="2">
        <v>-6.6899999999999959E-2</v>
      </c>
      <c r="I66" s="2">
        <v>14.113924050632903</v>
      </c>
      <c r="J66" s="2">
        <v>-0.123085844807231</v>
      </c>
      <c r="K66" s="2">
        <v>25.967477807432704</v>
      </c>
      <c r="L66" s="2">
        <v>-0.21044439345196303</v>
      </c>
      <c r="M66" s="2">
        <v>44.39755136117364</v>
      </c>
      <c r="N66" s="2">
        <v>-0.14631567563524389</v>
      </c>
      <c r="O66" s="2">
        <v>30.868285998996605</v>
      </c>
      <c r="P66" s="2">
        <v>-0.11373246640079832</v>
      </c>
      <c r="Q66" s="2">
        <v>23.994191223797117</v>
      </c>
      <c r="R66" s="2">
        <v>-0.15940368141992656</v>
      </c>
      <c r="S66" s="2">
        <v>33.629468653992944</v>
      </c>
    </row>
    <row r="67" spans="1:19" ht="15.4" x14ac:dyDescent="0.4">
      <c r="A67" s="1">
        <v>0.21</v>
      </c>
      <c r="B67" s="40">
        <v>230</v>
      </c>
      <c r="C67" s="25">
        <v>1.4E-5</v>
      </c>
      <c r="D67" s="2">
        <v>1.0449999999999999</v>
      </c>
      <c r="E67" s="43">
        <v>27.027027027027028</v>
      </c>
      <c r="F67" s="30">
        <v>3.4981793719731287E-6</v>
      </c>
      <c r="G67" s="30">
        <f t="shared" ref="G67:G130" si="1">F67*A67</f>
        <v>7.3461766811435703E-7</v>
      </c>
      <c r="H67" s="2">
        <v>-3.2200000000000006E-2</v>
      </c>
      <c r="I67" s="2">
        <v>3.0813397129186613</v>
      </c>
      <c r="J67" s="2">
        <v>-0.50688946524284195</v>
      </c>
      <c r="K67" s="2">
        <v>48.506168922760004</v>
      </c>
      <c r="L67" s="2">
        <v>-0.67805485828118095</v>
      </c>
      <c r="M67" s="2">
        <v>64.885632371404881</v>
      </c>
      <c r="N67" s="2">
        <v>-0.60254003121567712</v>
      </c>
      <c r="O67" s="2">
        <v>57.659333130686804</v>
      </c>
      <c r="P67" s="2">
        <v>-0.40761734452012699</v>
      </c>
      <c r="Q67" s="2">
        <v>39.006444451686797</v>
      </c>
      <c r="R67" s="2">
        <v>-0.50078975819068428</v>
      </c>
      <c r="S67" s="2">
        <v>47.922464898630082</v>
      </c>
    </row>
    <row r="68" spans="1:19" ht="15.4" x14ac:dyDescent="0.4">
      <c r="A68" s="1">
        <v>0.21</v>
      </c>
      <c r="B68" s="40">
        <v>230</v>
      </c>
      <c r="C68" s="25">
        <v>1.4E-5</v>
      </c>
      <c r="D68" s="2">
        <v>1.8280000000000001</v>
      </c>
      <c r="E68" s="43">
        <v>46.357615894039732</v>
      </c>
      <c r="F68" s="30">
        <v>3.4981793719731287E-6</v>
      </c>
      <c r="G68" s="30">
        <f t="shared" si="1"/>
        <v>7.3461766811435703E-7</v>
      </c>
      <c r="H68" s="2">
        <v>-0.63760000000000017</v>
      </c>
      <c r="I68" s="2">
        <v>34.879649890590819</v>
      </c>
      <c r="J68" s="2">
        <v>-0.48749244460495</v>
      </c>
      <c r="K68" s="2">
        <v>26.668076838345183</v>
      </c>
      <c r="L68" s="2">
        <v>-1.2904384312932877</v>
      </c>
      <c r="M68" s="2">
        <v>70.592911996350523</v>
      </c>
      <c r="N68" s="2">
        <v>-1.0763240325591243</v>
      </c>
      <c r="O68" s="2">
        <v>58.879870490105269</v>
      </c>
      <c r="P68" s="2">
        <v>1.9311645359801666</v>
      </c>
      <c r="Q68" s="2">
        <v>105.64357417834609</v>
      </c>
      <c r="R68" s="2">
        <v>-0.10755788934949795</v>
      </c>
      <c r="S68" s="2">
        <v>5.883910795924395</v>
      </c>
    </row>
    <row r="69" spans="1:19" ht="15.4" x14ac:dyDescent="0.4">
      <c r="A69" s="1">
        <v>0.22</v>
      </c>
      <c r="B69" s="40">
        <v>170</v>
      </c>
      <c r="C69" s="25">
        <v>5.5000000000000002E-5</v>
      </c>
      <c r="D69" s="2">
        <v>0.47299999999999998</v>
      </c>
      <c r="E69" s="43">
        <v>3.9292730844793713</v>
      </c>
      <c r="F69" s="30">
        <v>2.9497013035797098E-6</v>
      </c>
      <c r="G69" s="30">
        <f t="shared" si="1"/>
        <v>6.489342867875362E-7</v>
      </c>
      <c r="H69" s="2">
        <v>-9.0899999999999981E-2</v>
      </c>
      <c r="I69" s="2">
        <v>19.217758985200842</v>
      </c>
      <c r="J69" s="2">
        <v>-0.22500973479421799</v>
      </c>
      <c r="K69" s="2">
        <v>47.570768455437204</v>
      </c>
      <c r="L69" s="2">
        <v>-0.2279990504853891</v>
      </c>
      <c r="M69" s="2">
        <v>48.202759087820105</v>
      </c>
      <c r="N69" s="2">
        <v>-0.2261149221265869</v>
      </c>
      <c r="O69" s="2">
        <v>47.804423282576515</v>
      </c>
      <c r="P69" s="2">
        <v>-0.23064945339668275</v>
      </c>
      <c r="Q69" s="2">
        <v>48.763097969700368</v>
      </c>
      <c r="R69" s="2">
        <v>-0.23110184366509368</v>
      </c>
      <c r="S69" s="2">
        <v>48.858740732577949</v>
      </c>
    </row>
    <row r="70" spans="1:19" ht="15.4" x14ac:dyDescent="0.4">
      <c r="A70" s="1">
        <v>0.22</v>
      </c>
      <c r="B70" s="40">
        <v>170</v>
      </c>
      <c r="C70" s="25">
        <v>5.5000000000000002E-5</v>
      </c>
      <c r="D70" s="2">
        <v>0.51400000000000001</v>
      </c>
      <c r="E70" s="43">
        <v>8.4269662921348321</v>
      </c>
      <c r="F70" s="30">
        <v>2.9497013035797098E-6</v>
      </c>
      <c r="G70" s="30">
        <f t="shared" si="1"/>
        <v>6.489342867875362E-7</v>
      </c>
      <c r="H70" s="2">
        <v>0.32209999999999994</v>
      </c>
      <c r="I70" s="2">
        <v>62.665369649805434</v>
      </c>
      <c r="J70" s="2">
        <v>-0.22783794147194303</v>
      </c>
      <c r="K70" s="2">
        <v>44.32644775718736</v>
      </c>
      <c r="L70" s="2">
        <v>-0.23795110542103848</v>
      </c>
      <c r="M70" s="2">
        <v>46.293989381524995</v>
      </c>
      <c r="N70" s="2">
        <v>-0.23352054612145678</v>
      </c>
      <c r="O70" s="2">
        <v>45.432012864096649</v>
      </c>
      <c r="P70" s="2">
        <v>-0.23328125317478871</v>
      </c>
      <c r="Q70" s="2">
        <v>45.385457816106751</v>
      </c>
      <c r="R70" s="2">
        <v>-0.23482966103322667</v>
      </c>
      <c r="S70" s="2">
        <v>45.686704481172505</v>
      </c>
    </row>
    <row r="71" spans="1:19" ht="15.4" x14ac:dyDescent="0.4">
      <c r="A71" s="1">
        <v>0.22</v>
      </c>
      <c r="B71" s="40">
        <v>170</v>
      </c>
      <c r="C71" s="25">
        <v>5.5000000000000002E-5</v>
      </c>
      <c r="D71" s="2">
        <v>1.9379999999999999</v>
      </c>
      <c r="E71" s="43">
        <v>19.704433497536947</v>
      </c>
      <c r="F71" s="30">
        <v>2.9497013035797098E-6</v>
      </c>
      <c r="G71" s="30">
        <f t="shared" si="1"/>
        <v>6.489342867875362E-7</v>
      </c>
      <c r="H71" s="2">
        <v>-0.82179611324262747</v>
      </c>
      <c r="I71" s="2">
        <v>42.404340208597908</v>
      </c>
      <c r="J71" s="2">
        <v>-1.514566314040164</v>
      </c>
      <c r="K71" s="2">
        <v>78.150996596499695</v>
      </c>
      <c r="L71" s="2">
        <v>-1.5701389693870247</v>
      </c>
      <c r="M71" s="2">
        <v>81.018522672189093</v>
      </c>
      <c r="N71" s="2">
        <v>-1.5568171512493472</v>
      </c>
      <c r="O71" s="2">
        <v>80.331122355487466</v>
      </c>
      <c r="P71" s="2">
        <v>-1.4857447795791021</v>
      </c>
      <c r="Q71" s="2">
        <v>76.663817315743145</v>
      </c>
      <c r="R71" s="2">
        <v>-1.495279153208847</v>
      </c>
      <c r="S71" s="2">
        <v>77.15578705928003</v>
      </c>
    </row>
    <row r="72" spans="1:19" ht="15.4" x14ac:dyDescent="0.4">
      <c r="A72" s="1">
        <v>0.22</v>
      </c>
      <c r="B72" s="40">
        <v>170</v>
      </c>
      <c r="C72" s="25">
        <v>5.5000000000000002E-5</v>
      </c>
      <c r="D72" s="2">
        <v>3.4809999999999999</v>
      </c>
      <c r="E72" s="43">
        <v>26.905829596412556</v>
      </c>
      <c r="F72" s="30">
        <v>2.9497013035797098E-6</v>
      </c>
      <c r="G72" s="30">
        <f t="shared" si="1"/>
        <v>6.489342867875362E-7</v>
      </c>
      <c r="H72" s="2">
        <v>0.76829999999999998</v>
      </c>
      <c r="I72" s="2">
        <v>22.071243895432346</v>
      </c>
      <c r="J72" s="2">
        <v>-2.9210323493429757</v>
      </c>
      <c r="K72" s="2">
        <v>83.913598085118522</v>
      </c>
      <c r="L72" s="2">
        <v>-3.041094875029712</v>
      </c>
      <c r="M72" s="2">
        <v>87.36267954696099</v>
      </c>
      <c r="N72" s="2">
        <v>-3.0193404381963185</v>
      </c>
      <c r="O72" s="2">
        <v>86.737731634482003</v>
      </c>
      <c r="P72" s="2">
        <v>-2.8192087756412869</v>
      </c>
      <c r="Q72" s="2">
        <v>80.988473876509246</v>
      </c>
      <c r="R72" s="2">
        <v>-2.8440722203131088</v>
      </c>
      <c r="S72" s="2">
        <v>81.702735429850875</v>
      </c>
    </row>
    <row r="73" spans="1:19" ht="15.4" x14ac:dyDescent="0.4">
      <c r="A73" s="1">
        <v>0.22</v>
      </c>
      <c r="B73" s="40">
        <v>170</v>
      </c>
      <c r="C73" s="25">
        <v>5.5000000000000002E-5</v>
      </c>
      <c r="D73" s="2">
        <v>4.3360000000000003</v>
      </c>
      <c r="E73" s="43">
        <v>35.573122529644266</v>
      </c>
      <c r="F73" s="30">
        <v>2.9497013035797098E-6</v>
      </c>
      <c r="G73" s="30">
        <f t="shared" si="1"/>
        <v>6.489342867875362E-7</v>
      </c>
      <c r="H73" s="2">
        <v>0.39169999999999927</v>
      </c>
      <c r="I73" s="2">
        <v>9.0336715867158492</v>
      </c>
      <c r="J73" s="2">
        <v>-3.5219434607474813</v>
      </c>
      <c r="K73" s="2">
        <v>81.225633319821981</v>
      </c>
      <c r="L73" s="2">
        <v>-3.7902976450418575</v>
      </c>
      <c r="M73" s="2">
        <v>87.414613584913681</v>
      </c>
      <c r="N73" s="2">
        <v>-3.7537684518438916</v>
      </c>
      <c r="O73" s="2">
        <v>86.57215064215616</v>
      </c>
      <c r="P73" s="2">
        <v>-3.1603498084320822</v>
      </c>
      <c r="Q73" s="2">
        <v>72.886296319928093</v>
      </c>
      <c r="R73" s="2">
        <v>-3.2453019446482227</v>
      </c>
      <c r="S73" s="2">
        <v>74.845524553695171</v>
      </c>
    </row>
    <row r="74" spans="1:19" ht="15.4" x14ac:dyDescent="0.4">
      <c r="A74" s="1">
        <v>0.22</v>
      </c>
      <c r="B74" s="40">
        <v>170</v>
      </c>
      <c r="C74" s="25">
        <v>5.5000000000000002E-5</v>
      </c>
      <c r="D74" s="2">
        <v>5.5149999999999997</v>
      </c>
      <c r="E74" s="43">
        <v>46.204620462046208</v>
      </c>
      <c r="F74" s="30">
        <v>2.9497013035797098E-6</v>
      </c>
      <c r="G74" s="30">
        <f t="shared" si="1"/>
        <v>6.489342867875362E-7</v>
      </c>
      <c r="H74" s="2">
        <v>-0.3052999999999999</v>
      </c>
      <c r="I74" s="2">
        <v>5.5358114233907507</v>
      </c>
      <c r="J74" s="2">
        <v>-4.1307257784667897</v>
      </c>
      <c r="K74" s="2">
        <v>74.899832791782231</v>
      </c>
      <c r="L74" s="2">
        <v>-4.798770519099822</v>
      </c>
      <c r="M74" s="2">
        <v>87.013064716225244</v>
      </c>
      <c r="N74" s="2">
        <v>-4.7321957930869205</v>
      </c>
      <c r="O74" s="2">
        <v>85.805907399581514</v>
      </c>
      <c r="P74" s="2">
        <v>-1.7304066042137469</v>
      </c>
      <c r="Q74" s="2">
        <v>31.376366350203931</v>
      </c>
      <c r="R74" s="2">
        <v>-2.5105771453052288</v>
      </c>
      <c r="S74" s="2">
        <v>45.52270435730243</v>
      </c>
    </row>
    <row r="75" spans="1:19" ht="15.4" x14ac:dyDescent="0.4">
      <c r="A75" s="1">
        <v>0.22</v>
      </c>
      <c r="B75" s="40">
        <v>170</v>
      </c>
      <c r="C75" s="25">
        <v>5.5000000000000002E-5</v>
      </c>
      <c r="D75" s="2">
        <v>6.8559999999999999</v>
      </c>
      <c r="E75" s="43">
        <v>59.553349875930515</v>
      </c>
      <c r="F75" s="30">
        <v>2.9497013035797098E-6</v>
      </c>
      <c r="G75" s="30">
        <f t="shared" si="1"/>
        <v>6.489342867875362E-7</v>
      </c>
      <c r="H75" s="2">
        <v>-1.1334</v>
      </c>
      <c r="I75" s="2">
        <v>16.531505250875146</v>
      </c>
      <c r="J75" s="2">
        <v>-3.70066848109068</v>
      </c>
      <c r="K75" s="2">
        <v>53.977078195605024</v>
      </c>
      <c r="L75" s="2">
        <v>-5.8189252657982822</v>
      </c>
      <c r="M75" s="2">
        <v>84.873472371620224</v>
      </c>
      <c r="N75" s="2">
        <v>-5.6734718505146002</v>
      </c>
      <c r="O75" s="2">
        <v>82.751923140528007</v>
      </c>
      <c r="P75" s="2">
        <v>-11.326396308273949</v>
      </c>
      <c r="Q75" s="2">
        <v>165.20414685347066</v>
      </c>
      <c r="R75" s="2">
        <v>-13.205588977301261</v>
      </c>
      <c r="S75" s="2">
        <v>192.61360818700791</v>
      </c>
    </row>
    <row r="76" spans="1:19" ht="15.4" x14ac:dyDescent="0.4">
      <c r="A76" s="1">
        <v>0.22700000000000001</v>
      </c>
      <c r="B76" s="40">
        <v>30</v>
      </c>
      <c r="C76" s="25">
        <v>1.1000000000000001E-6</v>
      </c>
      <c r="D76" s="2">
        <v>0.26400000000000001</v>
      </c>
      <c r="E76" s="43">
        <v>5.8139534883720927</v>
      </c>
      <c r="F76" s="30">
        <v>7.2039237783014036E-7</v>
      </c>
      <c r="G76" s="30">
        <f t="shared" si="1"/>
        <v>1.6352906976744186E-7</v>
      </c>
      <c r="H76" s="2">
        <v>1.6699999999999993E-2</v>
      </c>
      <c r="I76" s="2">
        <v>6.3257575757575717</v>
      </c>
      <c r="J76" s="2">
        <v>6.4963065898839822E-3</v>
      </c>
      <c r="K76" s="2">
        <v>2.460722193137872</v>
      </c>
      <c r="L76" s="2">
        <v>-1.946341182509298E-2</v>
      </c>
      <c r="M76" s="2">
        <v>7.3725044792018855</v>
      </c>
      <c r="N76" s="2">
        <v>4.0403719730432441E-3</v>
      </c>
      <c r="O76" s="2">
        <v>1.5304439291830469</v>
      </c>
      <c r="P76" s="2">
        <v>2.9312402676862082E-4</v>
      </c>
      <c r="Q76" s="2">
        <v>0.11103182832144728</v>
      </c>
      <c r="R76" s="2">
        <v>-9.1092936498718968E-3</v>
      </c>
      <c r="S76" s="2">
        <v>3.45049001889087</v>
      </c>
    </row>
    <row r="77" spans="1:19" ht="15.4" x14ac:dyDescent="0.4">
      <c r="A77" s="1">
        <v>0.22700000000000001</v>
      </c>
      <c r="B77" s="40">
        <v>30</v>
      </c>
      <c r="C77" s="25">
        <v>1.1000000000000001E-6</v>
      </c>
      <c r="D77" s="2">
        <v>0.32300000000000001</v>
      </c>
      <c r="E77" s="43">
        <v>12.195121951219512</v>
      </c>
      <c r="F77" s="30">
        <v>7.2039237783014036E-7</v>
      </c>
      <c r="G77" s="30">
        <f t="shared" si="1"/>
        <v>1.6352906976744186E-7</v>
      </c>
      <c r="H77" s="2">
        <v>1.8399999999999972E-2</v>
      </c>
      <c r="I77" s="2">
        <v>5.6965944272445732</v>
      </c>
      <c r="J77" s="2">
        <v>8.7995132059919823E-3</v>
      </c>
      <c r="K77" s="2">
        <v>2.7243074941151648</v>
      </c>
      <c r="L77" s="2">
        <v>-5.8146050145988504E-2</v>
      </c>
      <c r="M77" s="2">
        <v>18.001873110213161</v>
      </c>
      <c r="N77" s="2">
        <v>-3.8179975612617212E-3</v>
      </c>
      <c r="O77" s="2">
        <v>1.1820425886259198</v>
      </c>
      <c r="P77" s="2">
        <v>8.8027028035265187E-3</v>
      </c>
      <c r="Q77" s="2">
        <v>2.7252949856119248</v>
      </c>
      <c r="R77" s="2">
        <v>-2.3804796531867567E-2</v>
      </c>
      <c r="S77" s="2">
        <v>7.3699060470178228</v>
      </c>
    </row>
    <row r="78" spans="1:19" ht="15.4" x14ac:dyDescent="0.4">
      <c r="A78" s="1">
        <v>0.22700000000000001</v>
      </c>
      <c r="B78" s="40">
        <v>30</v>
      </c>
      <c r="C78" s="25">
        <v>1.1000000000000001E-6</v>
      </c>
      <c r="D78" s="2">
        <v>0.40100000000000002</v>
      </c>
      <c r="E78" s="43">
        <v>19.230769230769234</v>
      </c>
      <c r="F78" s="30">
        <v>7.2039237783014036E-7</v>
      </c>
      <c r="G78" s="30">
        <f t="shared" si="1"/>
        <v>1.6352906976744186E-7</v>
      </c>
      <c r="H78" s="2">
        <v>-2.6200000000000001E-2</v>
      </c>
      <c r="I78" s="2">
        <v>6.5336658354114716</v>
      </c>
      <c r="J78" s="2">
        <v>2.1385560091039979E-2</v>
      </c>
      <c r="K78" s="2">
        <v>5.3330573793117155</v>
      </c>
      <c r="L78" s="2">
        <v>-0.11232953844682775</v>
      </c>
      <c r="M78" s="2">
        <v>28.012353727388462</v>
      </c>
      <c r="N78" s="2">
        <v>-1.6322420945066307E-2</v>
      </c>
      <c r="O78" s="2">
        <v>4.0704291633581811</v>
      </c>
      <c r="P78" s="2">
        <v>4.7714698010363377E-2</v>
      </c>
      <c r="Q78" s="2">
        <v>11.898927184629269</v>
      </c>
      <c r="R78" s="2">
        <v>-3.593978115400015E-2</v>
      </c>
      <c r="S78" s="2">
        <v>8.9625389411471694</v>
      </c>
    </row>
    <row r="79" spans="1:19" ht="15.4" x14ac:dyDescent="0.4">
      <c r="A79" s="1">
        <v>0.22700000000000001</v>
      </c>
      <c r="B79" s="40">
        <v>30</v>
      </c>
      <c r="C79" s="25">
        <v>1.1000000000000001E-6</v>
      </c>
      <c r="D79" s="2">
        <v>0.47</v>
      </c>
      <c r="E79" s="43">
        <v>27.027027027027025</v>
      </c>
      <c r="F79" s="30">
        <v>7.2039237783014036E-7</v>
      </c>
      <c r="G79" s="30">
        <f t="shared" si="1"/>
        <v>1.6352906976744186E-7</v>
      </c>
      <c r="H79" s="2">
        <v>-7.3899999999999966E-2</v>
      </c>
      <c r="I79" s="2">
        <v>15.723404255319142</v>
      </c>
      <c r="J79" s="2">
        <v>9.4527331096672995E-2</v>
      </c>
      <c r="K79" s="2">
        <v>20.112198105675105</v>
      </c>
      <c r="L79" s="2">
        <v>-0.15302474018583451</v>
      </c>
      <c r="M79" s="2">
        <v>32.558455358688192</v>
      </c>
      <c r="N79" s="2">
        <v>1.5566949876246738E-3</v>
      </c>
      <c r="O79" s="2">
        <v>0.33121169949461143</v>
      </c>
      <c r="P79" s="2">
        <v>0.19666845508335251</v>
      </c>
      <c r="Q79" s="2">
        <v>41.844352145394154</v>
      </c>
      <c r="R79" s="2">
        <v>-5.9778724324945909E-3</v>
      </c>
      <c r="S79" s="2">
        <v>1.2718877515945939</v>
      </c>
    </row>
    <row r="80" spans="1:19" ht="15.4" x14ac:dyDescent="0.4">
      <c r="A80" s="1">
        <v>0.22700000000000001</v>
      </c>
      <c r="B80" s="40">
        <v>30</v>
      </c>
      <c r="C80" s="25">
        <v>1.1000000000000001E-6</v>
      </c>
      <c r="D80" s="2">
        <v>0.621</v>
      </c>
      <c r="E80" s="43">
        <v>35.714285714285722</v>
      </c>
      <c r="F80" s="30">
        <v>7.2039237783014036E-7</v>
      </c>
      <c r="G80" s="30">
        <f t="shared" si="1"/>
        <v>1.6352906976744186E-7</v>
      </c>
      <c r="H80" s="2">
        <v>-0.20090000000000002</v>
      </c>
      <c r="I80" s="2">
        <v>32.351046698872786</v>
      </c>
      <c r="J80" s="2">
        <v>0.18458931013746105</v>
      </c>
      <c r="K80" s="2">
        <v>29.724526592183743</v>
      </c>
      <c r="L80" s="2">
        <v>-0.26983092486342508</v>
      </c>
      <c r="M80" s="2">
        <v>43.451034599585356</v>
      </c>
      <c r="N80" s="2">
        <v>-2.8665394553336832E-2</v>
      </c>
      <c r="O80" s="2">
        <v>4.6160055641444178</v>
      </c>
      <c r="P80" s="2">
        <v>0.53279014718810935</v>
      </c>
      <c r="Q80" s="2">
        <v>85.795514845106183</v>
      </c>
      <c r="R80" s="2">
        <v>-1.9296449665093807E-3</v>
      </c>
      <c r="S80" s="2">
        <v>0.31073187866495661</v>
      </c>
    </row>
    <row r="81" spans="1:19" ht="15.4" x14ac:dyDescent="0.4">
      <c r="A81" s="1">
        <v>0.25600000000000001</v>
      </c>
      <c r="B81" s="40">
        <v>30</v>
      </c>
      <c r="C81" s="25">
        <v>3.0000000000000001E-5</v>
      </c>
      <c r="D81" s="2">
        <v>0.24529100529100534</v>
      </c>
      <c r="E81" s="43">
        <v>10</v>
      </c>
      <c r="F81" s="31">
        <v>1.01734817125911E-5</v>
      </c>
      <c r="G81" s="30">
        <f t="shared" si="1"/>
        <v>2.6044113184233218E-6</v>
      </c>
      <c r="H81" s="2">
        <v>9.5108994708994643E-2</v>
      </c>
      <c r="I81" s="2">
        <v>38.773943054357169</v>
      </c>
      <c r="J81" s="2">
        <v>0.10260899470899465</v>
      </c>
      <c r="K81" s="2">
        <v>41.83153580672991</v>
      </c>
      <c r="L81" s="2">
        <v>5.9682260525822484E-2</v>
      </c>
      <c r="M81" s="2">
        <v>24.331206297196822</v>
      </c>
      <c r="N81" s="2">
        <v>9.3662454705508547E-2</v>
      </c>
      <c r="O81" s="2">
        <v>38.184219023600328</v>
      </c>
      <c r="P81" s="2">
        <v>9.8564044812211926E-2</v>
      </c>
      <c r="Q81" s="2">
        <v>40.182494541648083</v>
      </c>
      <c r="R81" s="2">
        <v>8.2526986752636367E-2</v>
      </c>
      <c r="S81" s="2">
        <v>33.644522209336216</v>
      </c>
    </row>
    <row r="82" spans="1:19" ht="15.4" x14ac:dyDescent="0.4">
      <c r="A82" s="1">
        <v>0.25600000000000001</v>
      </c>
      <c r="B82" s="40">
        <v>30</v>
      </c>
      <c r="C82" s="25">
        <v>1.0000000000000001E-5</v>
      </c>
      <c r="D82" s="2">
        <v>0.25738303876429502</v>
      </c>
      <c r="E82" s="43">
        <v>10</v>
      </c>
      <c r="F82" s="31">
        <v>7.4555586114832146E-6</v>
      </c>
      <c r="G82" s="30">
        <f t="shared" si="1"/>
        <v>1.908623004539703E-6</v>
      </c>
      <c r="H82" s="2">
        <v>5.5816961235704954E-2</v>
      </c>
      <c r="I82" s="2">
        <v>21.686340134798368</v>
      </c>
      <c r="J82" s="2">
        <v>9.0537282028225974E-2</v>
      </c>
      <c r="K82" s="2">
        <v>35.17608715123523</v>
      </c>
      <c r="L82" s="2">
        <v>2.5849910391671227E-2</v>
      </c>
      <c r="M82" s="2">
        <v>10.043362031848545</v>
      </c>
      <c r="N82" s="2">
        <v>8.1570421232218859E-2</v>
      </c>
      <c r="O82" s="2">
        <v>31.69222868136195</v>
      </c>
      <c r="P82" s="2">
        <v>8.6472011338922239E-2</v>
      </c>
      <c r="Q82" s="2">
        <v>33.596623831188481</v>
      </c>
      <c r="R82" s="2">
        <v>5.5105781193145797E-2</v>
      </c>
      <c r="S82" s="2">
        <v>21.410028204543153</v>
      </c>
    </row>
    <row r="83" spans="1:19" ht="15.4" x14ac:dyDescent="0.4">
      <c r="A83" s="1">
        <v>0.25600000000000001</v>
      </c>
      <c r="B83" s="40">
        <v>85</v>
      </c>
      <c r="C83" s="25">
        <v>1.9999999999999999E-6</v>
      </c>
      <c r="D83" s="2">
        <v>0.27590116279069798</v>
      </c>
      <c r="E83" s="43">
        <v>10</v>
      </c>
      <c r="F83" s="31">
        <v>1.040265617088219E-6</v>
      </c>
      <c r="G83" s="30">
        <f t="shared" si="1"/>
        <v>2.6630799797458409E-7</v>
      </c>
      <c r="H83" s="2">
        <v>0.12149883720930199</v>
      </c>
      <c r="I83" s="2">
        <v>44.037087767358379</v>
      </c>
      <c r="J83" s="2">
        <v>7.4097565276658006E-2</v>
      </c>
      <c r="K83" s="2">
        <v>26.8565614320623</v>
      </c>
      <c r="L83" s="2">
        <v>1.8388502478971225E-2</v>
      </c>
      <c r="M83" s="2">
        <v>6.6648876333011211</v>
      </c>
      <c r="N83" s="2">
        <v>6.4581469066992303E-2</v>
      </c>
      <c r="O83" s="2">
        <v>23.407465345111504</v>
      </c>
      <c r="P83" s="2">
        <v>6.9681208425396934E-2</v>
      </c>
      <c r="Q83" s="2">
        <v>25.255858917223179</v>
      </c>
      <c r="R83" s="2">
        <v>4.5879345102145752E-2</v>
      </c>
      <c r="S83" s="2">
        <v>16.628906032175873</v>
      </c>
    </row>
    <row r="84" spans="1:19" ht="15.4" x14ac:dyDescent="0.4">
      <c r="A84" s="1">
        <v>0.25600000000000001</v>
      </c>
      <c r="B84" s="40">
        <v>230</v>
      </c>
      <c r="C84" s="25">
        <v>8.0000000000000002E-8</v>
      </c>
      <c r="D84" s="2">
        <v>0.29899999999999999</v>
      </c>
      <c r="E84" s="43">
        <v>3</v>
      </c>
      <c r="F84" s="30">
        <v>1.4992197308456265E-8</v>
      </c>
      <c r="G84" s="30">
        <f t="shared" si="1"/>
        <v>3.8380025109648036E-9</v>
      </c>
      <c r="H84" s="2">
        <v>-2.3738103696754775E-2</v>
      </c>
      <c r="I84" s="2">
        <v>7.9391651159714973</v>
      </c>
      <c r="J84" s="2">
        <v>-1.8594613742831001E-2</v>
      </c>
      <c r="K84" s="2">
        <v>6.2189343621508364</v>
      </c>
      <c r="L84" s="2">
        <v>-2.5173961646604792E-2</v>
      </c>
      <c r="M84" s="2">
        <v>8.4193851660885599</v>
      </c>
      <c r="N84" s="2">
        <v>-1.9328998592610391E-2</v>
      </c>
      <c r="O84" s="2">
        <v>6.4645480242844124</v>
      </c>
      <c r="P84" s="2">
        <v>-2.4303488189857281E-2</v>
      </c>
      <c r="Q84" s="2">
        <v>8.1282569196847092</v>
      </c>
      <c r="R84" s="2">
        <v>-2.5721440785782423E-2</v>
      </c>
      <c r="S84" s="2">
        <v>8.6024885571178675</v>
      </c>
    </row>
    <row r="85" spans="1:19" ht="15.4" x14ac:dyDescent="0.4">
      <c r="A85" s="1">
        <v>0.25600000000000001</v>
      </c>
      <c r="B85" s="40">
        <v>85</v>
      </c>
      <c r="C85" s="25">
        <v>1.9999999999999999E-6</v>
      </c>
      <c r="D85" s="2">
        <v>0.33659763313609464</v>
      </c>
      <c r="E85" s="43">
        <v>20</v>
      </c>
      <c r="F85" s="31">
        <v>1.040265617088219E-6</v>
      </c>
      <c r="G85" s="30">
        <f t="shared" si="1"/>
        <v>2.6630799797458409E-7</v>
      </c>
      <c r="H85" s="2">
        <v>0.14450236686390538</v>
      </c>
      <c r="I85" s="2">
        <v>42.930297969587791</v>
      </c>
      <c r="J85" s="2">
        <v>0.15917037837149034</v>
      </c>
      <c r="K85" s="2">
        <v>47.288026623506845</v>
      </c>
      <c r="L85" s="2">
        <v>0</v>
      </c>
      <c r="M85" s="2">
        <v>1.649184241554465E-14</v>
      </c>
      <c r="N85" s="2">
        <v>0.10925170878493601</v>
      </c>
      <c r="O85" s="2">
        <v>32.45765805511855</v>
      </c>
      <c r="P85" s="2">
        <v>0.19469899682898856</v>
      </c>
      <c r="Q85" s="2">
        <v>57.843245959565913</v>
      </c>
      <c r="R85" s="2">
        <v>9.6330071995907096E-2</v>
      </c>
      <c r="S85" s="2">
        <v>28.61876095158355</v>
      </c>
    </row>
    <row r="86" spans="1:19" ht="15.4" x14ac:dyDescent="0.4">
      <c r="A86" s="1">
        <v>0.25600000000000001</v>
      </c>
      <c r="B86" s="40">
        <v>30</v>
      </c>
      <c r="C86" s="25">
        <v>1.0000000000000001E-5</v>
      </c>
      <c r="D86" s="2">
        <v>0.33857142857142858</v>
      </c>
      <c r="E86" s="43">
        <v>20</v>
      </c>
      <c r="F86" s="31">
        <v>7.4555586114832146E-6</v>
      </c>
      <c r="G86" s="30">
        <f t="shared" si="1"/>
        <v>1.908623004539703E-6</v>
      </c>
      <c r="H86" s="2">
        <v>7.1285714285714286E-3</v>
      </c>
      <c r="I86" s="2">
        <v>2.1054852320675104</v>
      </c>
      <c r="J86" s="2">
        <v>0.14980109365829741</v>
      </c>
      <c r="K86" s="2">
        <v>44.245048759834674</v>
      </c>
      <c r="L86" s="2">
        <v>-2.6103190876591797E-2</v>
      </c>
      <c r="M86" s="2">
        <v>7.7098032124954665</v>
      </c>
      <c r="N86" s="2">
        <v>0.10342544480011906</v>
      </c>
      <c r="O86" s="2">
        <v>30.547599729992967</v>
      </c>
      <c r="P86" s="2">
        <v>0.18465229877884776</v>
      </c>
      <c r="Q86" s="2">
        <v>54.538653647760938</v>
      </c>
      <c r="R86" s="2">
        <v>6.2307831766872102E-2</v>
      </c>
      <c r="S86" s="2">
        <v>18.403157061945347</v>
      </c>
    </row>
    <row r="87" spans="1:19" ht="15.4" x14ac:dyDescent="0.4">
      <c r="A87" s="1">
        <v>0.25600000000000001</v>
      </c>
      <c r="B87" s="40">
        <v>230</v>
      </c>
      <c r="C87" s="25">
        <v>8.0000000000000002E-8</v>
      </c>
      <c r="D87" s="2">
        <v>0.34222000000000002</v>
      </c>
      <c r="E87" s="43">
        <v>7.7</v>
      </c>
      <c r="F87" s="30">
        <v>1.4992197308456265E-8</v>
      </c>
      <c r="G87" s="30">
        <f t="shared" si="1"/>
        <v>3.8380025109648036E-9</v>
      </c>
      <c r="H87" s="2">
        <v>-2.8170022225944835E-2</v>
      </c>
      <c r="I87" s="2">
        <v>8.2315534527335732</v>
      </c>
      <c r="J87" s="2">
        <v>-1.695152691227203E-2</v>
      </c>
      <c r="K87" s="2">
        <v>4.9534004185237652</v>
      </c>
      <c r="L87" s="2">
        <v>-3.8739942428423879E-2</v>
      </c>
      <c r="M87" s="2">
        <v>11.32018655497162</v>
      </c>
      <c r="N87" s="2">
        <v>-2.2381864988662403E-2</v>
      </c>
      <c r="O87" s="2">
        <v>6.5401978226469524</v>
      </c>
      <c r="P87" s="2">
        <v>-2.3818972295039709E-2</v>
      </c>
      <c r="Q87" s="2">
        <v>6.9601345026707104</v>
      </c>
      <c r="R87" s="2">
        <v>-2.9835871573917261E-2</v>
      </c>
      <c r="S87" s="2">
        <v>8.7183307737470805</v>
      </c>
    </row>
    <row r="88" spans="1:19" ht="15.4" x14ac:dyDescent="0.4">
      <c r="A88" s="1">
        <v>0.25600000000000001</v>
      </c>
      <c r="B88" s="40">
        <v>30</v>
      </c>
      <c r="C88" s="25">
        <v>3.0000000000000001E-5</v>
      </c>
      <c r="D88" s="2">
        <v>0.34768292682926832</v>
      </c>
      <c r="E88" s="43">
        <v>20</v>
      </c>
      <c r="F88" s="31">
        <v>1.01734817125911E-5</v>
      </c>
      <c r="G88" s="30">
        <f t="shared" si="1"/>
        <v>2.6044113184233218E-6</v>
      </c>
      <c r="H88" s="2">
        <v>0.13299327213131362</v>
      </c>
      <c r="I88" s="2">
        <v>38.251309416933417</v>
      </c>
      <c r="J88" s="2">
        <v>0.14071707317073168</v>
      </c>
      <c r="K88" s="2">
        <v>40.472816555594513</v>
      </c>
      <c r="L88" s="2">
        <v>1.2934791425814607E-2</v>
      </c>
      <c r="M88" s="2">
        <v>3.7202837492697221</v>
      </c>
      <c r="N88" s="2">
        <v>9.4313946542279314E-2</v>
      </c>
      <c r="O88" s="2">
        <v>27.126424470245187</v>
      </c>
      <c r="P88" s="2">
        <v>0.17554080052100801</v>
      </c>
      <c r="Q88" s="2">
        <v>50.488760584786583</v>
      </c>
      <c r="R88" s="2">
        <v>0.10779707257894394</v>
      </c>
      <c r="S88" s="2">
        <v>31.004419331720108</v>
      </c>
    </row>
    <row r="89" spans="1:19" ht="15.4" x14ac:dyDescent="0.4">
      <c r="A89" s="1">
        <v>0.25600000000000001</v>
      </c>
      <c r="B89" s="40">
        <v>230</v>
      </c>
      <c r="C89" s="25">
        <v>8.0000000000000002E-8</v>
      </c>
      <c r="D89" s="2">
        <v>0.45700000000000002</v>
      </c>
      <c r="E89" s="43">
        <v>20</v>
      </c>
      <c r="F89" s="30">
        <v>1.4992197308456265E-8</v>
      </c>
      <c r="G89" s="30">
        <f t="shared" si="1"/>
        <v>3.8380025109648036E-9</v>
      </c>
      <c r="H89" s="2">
        <v>0.20338435200120758</v>
      </c>
      <c r="I89" s="2">
        <v>44.504234573568397</v>
      </c>
      <c r="J89" s="2">
        <v>4.1418914839106979E-2</v>
      </c>
      <c r="K89" s="2">
        <v>9.0632198772662971</v>
      </c>
      <c r="L89" s="2">
        <v>-6.4161526464878327E-2</v>
      </c>
      <c r="M89" s="2">
        <v>14.039721327106855</v>
      </c>
      <c r="N89" s="2">
        <v>-9.798945835356121E-3</v>
      </c>
      <c r="O89" s="2">
        <v>2.1441894606906171</v>
      </c>
      <c r="P89" s="2">
        <v>7.7154020520379951E-2</v>
      </c>
      <c r="Q89" s="2">
        <v>16.882717838157539</v>
      </c>
      <c r="R89" s="2">
        <v>3.4099236273284428E-2</v>
      </c>
      <c r="S89" s="2">
        <v>7.46153966592657</v>
      </c>
    </row>
    <row r="90" spans="1:19" ht="15.4" x14ac:dyDescent="0.4">
      <c r="A90" s="1">
        <v>0.25600000000000001</v>
      </c>
      <c r="B90" s="40">
        <v>30</v>
      </c>
      <c r="C90" s="25">
        <v>1.0000000000000001E-5</v>
      </c>
      <c r="D90" s="2">
        <v>0.47020833333333334</v>
      </c>
      <c r="E90" s="43">
        <v>30</v>
      </c>
      <c r="F90" s="31">
        <v>7.4555586114832146E-6</v>
      </c>
      <c r="G90" s="30">
        <f t="shared" si="1"/>
        <v>1.908623004539703E-6</v>
      </c>
      <c r="H90" s="2">
        <v>-0.10730833333333334</v>
      </c>
      <c r="I90" s="2">
        <v>22.821444395214886</v>
      </c>
      <c r="J90" s="2">
        <v>0.24230659331368964</v>
      </c>
      <c r="K90" s="2">
        <v>51.531752233305724</v>
      </c>
      <c r="L90" s="2">
        <v>-0.12627320212249732</v>
      </c>
      <c r="M90" s="2">
        <v>26.854735054851002</v>
      </c>
      <c r="N90" s="2">
        <v>0.10322559537043907</v>
      </c>
      <c r="O90" s="2">
        <v>21.953161620651642</v>
      </c>
      <c r="P90" s="2">
        <v>0.41737114752520865</v>
      </c>
      <c r="Q90" s="2">
        <v>88.763026500708975</v>
      </c>
      <c r="R90" s="2">
        <v>5.6788770180337123E-2</v>
      </c>
      <c r="S90" s="2">
        <v>12.077363618326016</v>
      </c>
    </row>
    <row r="91" spans="1:19" ht="15.4" x14ac:dyDescent="0.4">
      <c r="A91" s="1">
        <v>0.25600000000000001</v>
      </c>
      <c r="B91" s="40">
        <v>30</v>
      </c>
      <c r="C91" s="25">
        <v>3.0000000000000001E-5</v>
      </c>
      <c r="D91" s="2">
        <v>0.61596958174904948</v>
      </c>
      <c r="E91" s="43">
        <v>30</v>
      </c>
      <c r="F91" s="31">
        <v>1.01734817125911E-5</v>
      </c>
      <c r="G91" s="30">
        <f t="shared" si="1"/>
        <v>2.6044113184233218E-6</v>
      </c>
      <c r="H91" s="2">
        <v>0.11503041825095051</v>
      </c>
      <c r="I91" s="2">
        <v>18.674691358024678</v>
      </c>
      <c r="J91" s="2">
        <v>9.6530418250950545E-2</v>
      </c>
      <c r="K91" s="2">
        <v>15.671296296296292</v>
      </c>
      <c r="L91" s="2">
        <v>-0.19157346148558374</v>
      </c>
      <c r="M91" s="2">
        <v>31.101123685622547</v>
      </c>
      <c r="N91" s="2">
        <v>-4.2535653045277066E-2</v>
      </c>
      <c r="O91" s="2">
        <v>6.9054794758690541</v>
      </c>
      <c r="P91" s="2">
        <v>0.27160989910949251</v>
      </c>
      <c r="Q91" s="2">
        <v>44.09469349740526</v>
      </c>
      <c r="R91" s="2">
        <v>5.1457195486888208E-2</v>
      </c>
      <c r="S91" s="2">
        <v>8.3538533413898755</v>
      </c>
    </row>
    <row r="92" spans="1:19" ht="15.4" x14ac:dyDescent="0.4">
      <c r="A92" s="1">
        <v>0.25600000000000001</v>
      </c>
      <c r="B92" s="40">
        <v>30</v>
      </c>
      <c r="C92" s="25">
        <v>1.0000000000000001E-5</v>
      </c>
      <c r="D92" s="2">
        <v>0.67452830188679236</v>
      </c>
      <c r="E92" s="43">
        <v>40</v>
      </c>
      <c r="F92" s="31">
        <v>7.4555586114832146E-6</v>
      </c>
      <c r="G92" s="30">
        <f t="shared" si="1"/>
        <v>1.908623004539703E-6</v>
      </c>
      <c r="H92" s="2">
        <v>-0.29092830188679236</v>
      </c>
      <c r="I92" s="2">
        <v>43.130629370629364</v>
      </c>
      <c r="J92" s="2">
        <v>0.41390759792423759</v>
      </c>
      <c r="K92" s="2">
        <v>61.362525006949923</v>
      </c>
      <c r="L92" s="2">
        <v>-0.2966290168594149</v>
      </c>
      <c r="M92" s="2">
        <v>43.975770331605574</v>
      </c>
      <c r="N92" s="2">
        <v>7.2347407241624362E-2</v>
      </c>
      <c r="O92" s="2">
        <v>10.725629605052005</v>
      </c>
      <c r="P92" s="2">
        <v>1.1359755029145138</v>
      </c>
      <c r="Q92" s="2">
        <v>168.41035427823562</v>
      </c>
      <c r="R92" s="2">
        <v>3.1243368672612015E-2</v>
      </c>
      <c r="S92" s="2">
        <v>4.6318840269886348</v>
      </c>
    </row>
    <row r="93" spans="1:19" ht="15.4" x14ac:dyDescent="0.4">
      <c r="A93" s="1">
        <v>0.25600000000000001</v>
      </c>
      <c r="B93" s="40">
        <v>230</v>
      </c>
      <c r="C93" s="25">
        <v>8.0000000000000002E-8</v>
      </c>
      <c r="D93" s="2">
        <v>0.74199999999999999</v>
      </c>
      <c r="E93" s="43">
        <v>30</v>
      </c>
      <c r="F93" s="30">
        <v>1.4992197308456265E-8</v>
      </c>
      <c r="G93" s="30">
        <f t="shared" si="1"/>
        <v>3.8380025109648036E-9</v>
      </c>
      <c r="H93" s="2">
        <v>0.26457635911615984</v>
      </c>
      <c r="I93" s="2">
        <v>35.657191255547147</v>
      </c>
      <c r="J93" s="2">
        <v>-3.6726813495702171E-4</v>
      </c>
      <c r="K93" s="2">
        <v>4.949705322870912E-2</v>
      </c>
      <c r="L93" s="2">
        <v>-0.26066801576405801</v>
      </c>
      <c r="M93" s="2">
        <v>35.13046034556038</v>
      </c>
      <c r="N93" s="2">
        <v>-0.15842149455902887</v>
      </c>
      <c r="O93" s="2">
        <v>21.35060573571818</v>
      </c>
      <c r="P93" s="2">
        <v>0.18726592374878992</v>
      </c>
      <c r="Q93" s="2">
        <v>25.237995114392177</v>
      </c>
      <c r="R93" s="2">
        <v>3.3689602589914269E-2</v>
      </c>
      <c r="S93" s="2">
        <v>4.5403777075356162</v>
      </c>
    </row>
    <row r="94" spans="1:19" ht="15.4" x14ac:dyDescent="0.4">
      <c r="A94" s="1">
        <v>0.25600000000000001</v>
      </c>
      <c r="B94" s="40">
        <v>85</v>
      </c>
      <c r="C94" s="25">
        <v>1.9999999999999999E-6</v>
      </c>
      <c r="D94" s="2">
        <v>0.80104712041884818</v>
      </c>
      <c r="E94" s="43">
        <v>40</v>
      </c>
      <c r="F94" s="31">
        <v>1.040265617088219E-6</v>
      </c>
      <c r="G94" s="30">
        <f t="shared" si="1"/>
        <v>2.6630799797458409E-7</v>
      </c>
      <c r="H94" s="2">
        <v>-0.2484471204188482</v>
      </c>
      <c r="I94" s="2">
        <v>31.015294117647063</v>
      </c>
      <c r="J94" s="2">
        <v>0.34709944462300191</v>
      </c>
      <c r="K94" s="2">
        <v>43.330714982348603</v>
      </c>
      <c r="L94" s="2">
        <v>-0.36495177820779739</v>
      </c>
      <c r="M94" s="2">
        <v>45.559339632476672</v>
      </c>
      <c r="N94" s="2">
        <v>-4.0665459487014943E-2</v>
      </c>
      <c r="O94" s="2">
        <v>5.0765377529541533</v>
      </c>
      <c r="P94" s="2">
        <v>1.1544091433403016</v>
      </c>
      <c r="Q94" s="2">
        <v>144.11251397254745</v>
      </c>
      <c r="R94" s="2">
        <v>8.0651399067256491E-2</v>
      </c>
      <c r="S94" s="2">
        <v>10.068246550226137</v>
      </c>
    </row>
    <row r="95" spans="1:19" ht="15.4" x14ac:dyDescent="0.4">
      <c r="A95" s="1">
        <v>0.25600000000000001</v>
      </c>
      <c r="B95" s="40">
        <v>30</v>
      </c>
      <c r="C95" s="25">
        <v>1.0000000000000001E-5</v>
      </c>
      <c r="D95" s="2">
        <v>0.86274509803921573</v>
      </c>
      <c r="E95" s="43">
        <v>50</v>
      </c>
      <c r="F95" s="31">
        <v>7.4555586114832146E-6</v>
      </c>
      <c r="G95" s="30">
        <f t="shared" si="1"/>
        <v>1.908623004539703E-6</v>
      </c>
      <c r="H95" s="2">
        <v>-0.45704509803921572</v>
      </c>
      <c r="I95" s="2">
        <v>52.975681818181819</v>
      </c>
      <c r="J95" s="2">
        <v>0.89112216393317434</v>
      </c>
      <c r="K95" s="2">
        <v>103.2891599104361</v>
      </c>
      <c r="L95" s="2">
        <v>-0.44807483565480982</v>
      </c>
      <c r="M95" s="2">
        <v>51.935946859989315</v>
      </c>
      <c r="N95" s="2">
        <v>0.12354236999147483</v>
      </c>
      <c r="O95" s="2">
        <v>14.319683794466401</v>
      </c>
      <c r="P95" s="2">
        <v>6.1967130073683769</v>
      </c>
      <c r="Q95" s="2">
        <v>718.25537130860732</v>
      </c>
      <c r="R95" s="2">
        <v>0.10195671304628495</v>
      </c>
      <c r="S95" s="2">
        <v>11.817709921273938</v>
      </c>
    </row>
    <row r="96" spans="1:19" ht="15.4" x14ac:dyDescent="0.4">
      <c r="A96" s="1">
        <v>0.25600000000000001</v>
      </c>
      <c r="B96" s="40">
        <v>30</v>
      </c>
      <c r="C96" s="25">
        <v>3.0000000000000001E-5</v>
      </c>
      <c r="D96" s="2">
        <v>0.8727272727272728</v>
      </c>
      <c r="E96" s="43">
        <v>40</v>
      </c>
      <c r="F96" s="31">
        <v>1.01734817125911E-5</v>
      </c>
      <c r="G96" s="30">
        <f t="shared" si="1"/>
        <v>2.6044113184233218E-6</v>
      </c>
      <c r="H96" s="2">
        <v>-7.5627272727272765E-2</v>
      </c>
      <c r="I96" s="2">
        <v>8.6656250000000039</v>
      </c>
      <c r="J96" s="2">
        <v>0.21567272727272724</v>
      </c>
      <c r="K96" s="2">
        <v>24.712499999999991</v>
      </c>
      <c r="L96" s="2">
        <v>-0.37449467221655147</v>
      </c>
      <c r="M96" s="2">
        <v>42.910847858146518</v>
      </c>
      <c r="N96" s="2">
        <v>-0.12585156359885608</v>
      </c>
      <c r="O96" s="2">
        <v>14.420491662368926</v>
      </c>
      <c r="P96" s="2">
        <v>0.93777653207403344</v>
      </c>
      <c r="Q96" s="2">
        <v>107.45356096681633</v>
      </c>
      <c r="R96" s="2">
        <v>0.16530616082990535</v>
      </c>
      <c r="S96" s="2">
        <v>18.941330928426652</v>
      </c>
    </row>
    <row r="97" spans="1:19" ht="15.4" x14ac:dyDescent="0.4">
      <c r="A97" s="1">
        <v>0.25600000000000001</v>
      </c>
      <c r="B97" s="40">
        <v>230</v>
      </c>
      <c r="C97" s="25">
        <v>8.0000000000000002E-8</v>
      </c>
      <c r="D97" s="2">
        <v>1.056</v>
      </c>
      <c r="E97" s="43">
        <v>40</v>
      </c>
      <c r="F97" s="30">
        <v>1.4992197308456265E-8</v>
      </c>
      <c r="G97" s="30">
        <f t="shared" si="1"/>
        <v>3.8380025109648036E-9</v>
      </c>
      <c r="H97" s="2">
        <v>0.45219999999999994</v>
      </c>
      <c r="I97" s="2">
        <v>42.821969696969688</v>
      </c>
      <c r="J97" s="2">
        <v>0.11507957551278003</v>
      </c>
      <c r="K97" s="2">
        <v>10.897687075073865</v>
      </c>
      <c r="L97" s="2">
        <v>-0.46698873974910626</v>
      </c>
      <c r="M97" s="2">
        <v>44.222418536847179</v>
      </c>
      <c r="N97" s="2">
        <v>-0.29083676154858362</v>
      </c>
      <c r="O97" s="2">
        <v>27.541359995131025</v>
      </c>
      <c r="P97" s="2">
        <v>0.95510647711915242</v>
      </c>
      <c r="Q97" s="2">
        <v>90.445689121131849</v>
      </c>
      <c r="R97" s="2">
        <v>0.31239377753146025</v>
      </c>
      <c r="S97" s="2">
        <v>29.582744084418582</v>
      </c>
    </row>
    <row r="98" spans="1:19" ht="15.4" x14ac:dyDescent="0.4">
      <c r="A98" s="1">
        <v>0.25600000000000001</v>
      </c>
      <c r="B98" s="40">
        <v>85</v>
      </c>
      <c r="C98" s="25">
        <v>1.9999999999999999E-6</v>
      </c>
      <c r="D98" s="2">
        <v>1.0769230769230769</v>
      </c>
      <c r="E98" s="43">
        <v>50</v>
      </c>
      <c r="F98" s="31">
        <v>1.040265617088219E-6</v>
      </c>
      <c r="G98" s="30">
        <f t="shared" si="1"/>
        <v>2.6630799797458409E-7</v>
      </c>
      <c r="H98" s="2">
        <v>-0.48952307692307684</v>
      </c>
      <c r="I98" s="2">
        <v>45.455714285714279</v>
      </c>
      <c r="J98" s="2">
        <v>0.8520244380874531</v>
      </c>
      <c r="K98" s="2">
        <v>79.116554965263504</v>
      </c>
      <c r="L98" s="2">
        <v>-0.58178444825916287</v>
      </c>
      <c r="M98" s="2">
        <v>54.022841624065123</v>
      </c>
      <c r="N98" s="2">
        <v>-6.6595399593452509E-2</v>
      </c>
      <c r="O98" s="2">
        <v>6.183858533677733</v>
      </c>
      <c r="P98" s="2">
        <v>8.8794138270726251</v>
      </c>
      <c r="Q98" s="2">
        <v>824.51699822817227</v>
      </c>
      <c r="R98" s="2">
        <v>0.27686643957569235</v>
      </c>
      <c r="S98" s="2">
        <v>25.709026532028577</v>
      </c>
    </row>
    <row r="99" spans="1:19" ht="15.4" x14ac:dyDescent="0.4">
      <c r="A99" s="1">
        <v>0.25600000000000001</v>
      </c>
      <c r="B99" s="40">
        <v>30</v>
      </c>
      <c r="C99" s="25">
        <v>3.0000000000000001E-5</v>
      </c>
      <c r="D99" s="2">
        <v>1.1068702290076335</v>
      </c>
      <c r="E99" s="43">
        <v>50</v>
      </c>
      <c r="F99" s="31">
        <v>1.01734817125911E-5</v>
      </c>
      <c r="G99" s="30">
        <f t="shared" si="1"/>
        <v>2.6044113184233218E-6</v>
      </c>
      <c r="H99" s="2">
        <v>-0.25007022900763354</v>
      </c>
      <c r="I99" s="2">
        <v>22.592551724137927</v>
      </c>
      <c r="J99" s="2">
        <v>0.64702977099236647</v>
      </c>
      <c r="K99" s="2">
        <v>58.455793103448286</v>
      </c>
      <c r="L99" s="2">
        <v>-0.52216010741635033</v>
      </c>
      <c r="M99" s="2">
        <v>47.174464876925441</v>
      </c>
      <c r="N99" s="2">
        <v>-0.12058276097694298</v>
      </c>
      <c r="O99" s="2">
        <v>10.894028750330712</v>
      </c>
      <c r="P99" s="2">
        <v>5.9525878763999582</v>
      </c>
      <c r="Q99" s="2">
        <v>537.78552538509973</v>
      </c>
      <c r="R99" s="2">
        <v>0.67509117134586472</v>
      </c>
      <c r="S99" s="2">
        <v>60.990995480212604</v>
      </c>
    </row>
    <row r="100" spans="1:19" ht="15.4" x14ac:dyDescent="0.4">
      <c r="A100" s="1">
        <v>0.25600000000000001</v>
      </c>
      <c r="B100" s="40">
        <v>230</v>
      </c>
      <c r="C100" s="25">
        <v>8.0000000000000002E-8</v>
      </c>
      <c r="D100" s="2">
        <v>1.4610000000000001</v>
      </c>
      <c r="E100" s="43">
        <v>50</v>
      </c>
      <c r="F100" s="30">
        <v>1.4992197308456265E-8</v>
      </c>
      <c r="G100" s="30">
        <f t="shared" si="1"/>
        <v>3.8380025109648036E-9</v>
      </c>
      <c r="H100" s="2">
        <v>0.15809999999999991</v>
      </c>
      <c r="I100" s="2">
        <v>10.821355236139624</v>
      </c>
      <c r="J100" s="2">
        <v>0.54046652111786986</v>
      </c>
      <c r="K100" s="2">
        <v>36.992917256527704</v>
      </c>
      <c r="L100" s="2">
        <v>-0.7381257771141595</v>
      </c>
      <c r="M100" s="2">
        <v>50.521955996862388</v>
      </c>
      <c r="N100" s="2">
        <v>-0.4421005188516085</v>
      </c>
      <c r="O100" s="2">
        <v>30.260131338234668</v>
      </c>
      <c r="P100" s="2">
        <v>10.137600267943149</v>
      </c>
      <c r="Q100" s="2">
        <v>693.88092183046876</v>
      </c>
      <c r="R100" s="2">
        <v>1.6397867708411258</v>
      </c>
      <c r="S100" s="2">
        <v>112.23728753190456</v>
      </c>
    </row>
    <row r="101" spans="1:19" ht="15.4" x14ac:dyDescent="0.4">
      <c r="A101" s="1">
        <v>0.25600000000000001</v>
      </c>
      <c r="B101" s="40">
        <v>230</v>
      </c>
      <c r="C101" s="25">
        <v>8.0000000000000002E-8</v>
      </c>
      <c r="D101" s="2">
        <v>1.585</v>
      </c>
      <c r="E101" s="43">
        <v>60</v>
      </c>
      <c r="F101" s="30">
        <v>1.4992197308456265E-8</v>
      </c>
      <c r="G101" s="30">
        <f t="shared" si="1"/>
        <v>3.8380025109648036E-9</v>
      </c>
      <c r="H101" s="2">
        <v>0.13390000000000013</v>
      </c>
      <c r="I101" s="2">
        <v>8.447949526813888</v>
      </c>
      <c r="J101" s="2">
        <v>2.2313955156955401</v>
      </c>
      <c r="K101" s="2">
        <v>140.78205146344104</v>
      </c>
      <c r="L101" s="2">
        <v>-0.69120687836356853</v>
      </c>
      <c r="M101" s="2">
        <v>43.609266773726723</v>
      </c>
      <c r="N101" s="2">
        <v>-0.1865476206920369</v>
      </c>
      <c r="O101" s="2">
        <v>11.769565974261004</v>
      </c>
      <c r="P101" s="2">
        <v>-6.474685133986803</v>
      </c>
      <c r="Q101" s="2">
        <v>408.49748479412006</v>
      </c>
      <c r="R101" s="2">
        <v>38.469497077065967</v>
      </c>
      <c r="S101" s="2">
        <v>2427.0976073858656</v>
      </c>
    </row>
    <row r="102" spans="1:19" ht="15.4" x14ac:dyDescent="0.4">
      <c r="A102" s="1">
        <v>0.27200000000000002</v>
      </c>
      <c r="B102" s="40">
        <v>60</v>
      </c>
      <c r="C102" s="25">
        <v>1.9999999999999999E-6</v>
      </c>
      <c r="D102" s="2">
        <v>0.29599999999999999</v>
      </c>
      <c r="E102" s="43">
        <v>2.5</v>
      </c>
      <c r="F102" s="31">
        <v>9.3848503656742105E-7</v>
      </c>
      <c r="G102" s="30">
        <f t="shared" si="1"/>
        <v>2.5526792994633855E-7</v>
      </c>
      <c r="H102" s="2">
        <v>1.2500000000000011E-2</v>
      </c>
      <c r="I102" s="2">
        <v>4.2229729729729772</v>
      </c>
      <c r="J102" s="2">
        <v>-2.8475262198089935E-3</v>
      </c>
      <c r="K102" s="2">
        <v>0.96200210128682218</v>
      </c>
      <c r="L102" s="2">
        <v>-1.3940657655994282E-2</v>
      </c>
      <c r="M102" s="2">
        <v>4.7096816405386095</v>
      </c>
      <c r="N102" s="2">
        <v>-3.3660509256436266E-3</v>
      </c>
      <c r="O102" s="2">
        <v>1.1371793667714956</v>
      </c>
      <c r="P102" s="2">
        <v>-8.1630495094711097E-3</v>
      </c>
      <c r="Q102" s="2">
        <v>2.7577869964429427</v>
      </c>
      <c r="R102" s="2">
        <v>-1.1129494441296184E-2</v>
      </c>
      <c r="S102" s="2">
        <v>3.7599643382757377</v>
      </c>
    </row>
    <row r="103" spans="1:19" ht="15.4" x14ac:dyDescent="0.4">
      <c r="A103" s="1">
        <v>0.27200000000000002</v>
      </c>
      <c r="B103" s="40">
        <v>60</v>
      </c>
      <c r="C103" s="25">
        <v>1.9999999999999999E-6</v>
      </c>
      <c r="D103" s="2">
        <v>0.311</v>
      </c>
      <c r="E103" s="43">
        <v>5</v>
      </c>
      <c r="F103" s="31">
        <v>9.3848503656742105E-7</v>
      </c>
      <c r="G103" s="30">
        <f t="shared" si="1"/>
        <v>2.5526792994633855E-7</v>
      </c>
      <c r="H103" s="2">
        <v>3.5600000000000021E-2</v>
      </c>
      <c r="I103" s="2">
        <v>11.446945337620585</v>
      </c>
      <c r="J103" s="2">
        <v>5.5382252447950253E-3</v>
      </c>
      <c r="K103" s="2">
        <v>1.7807798214774999</v>
      </c>
      <c r="L103" s="2">
        <v>-1.8630204098197156E-2</v>
      </c>
      <c r="M103" s="2">
        <v>5.9904193241791495</v>
      </c>
      <c r="N103" s="2">
        <v>3.338499173002385E-3</v>
      </c>
      <c r="O103" s="2">
        <v>1.0734724028946576</v>
      </c>
      <c r="P103" s="2">
        <v>-1.8934661472093661E-3</v>
      </c>
      <c r="Q103" s="2">
        <v>0.60883155858822058</v>
      </c>
      <c r="R103" s="2">
        <v>-9.7826251673056031E-3</v>
      </c>
      <c r="S103" s="2">
        <v>3.1455386390050166</v>
      </c>
    </row>
    <row r="104" spans="1:19" ht="15.4" x14ac:dyDescent="0.4">
      <c r="A104" s="1">
        <v>0.27200000000000002</v>
      </c>
      <c r="B104" s="40">
        <v>60</v>
      </c>
      <c r="C104" s="25">
        <v>1.9999999999999999E-6</v>
      </c>
      <c r="D104" s="2">
        <v>0.373</v>
      </c>
      <c r="E104" s="43">
        <v>10</v>
      </c>
      <c r="F104" s="31">
        <v>9.3848503656742105E-7</v>
      </c>
      <c r="G104" s="30">
        <f t="shared" si="1"/>
        <v>2.5526792994633855E-7</v>
      </c>
      <c r="H104" s="2">
        <v>5.3200000000000025E-2</v>
      </c>
      <c r="I104" s="2">
        <v>14.26273458445041</v>
      </c>
      <c r="J104" s="2">
        <v>-1.7432093006309879E-3</v>
      </c>
      <c r="K104" s="2">
        <v>0.46734833797077424</v>
      </c>
      <c r="L104" s="2">
        <v>-5.9217389510216212E-2</v>
      </c>
      <c r="M104" s="2">
        <v>15.875975740004348</v>
      </c>
      <c r="N104" s="2">
        <v>-1.1689066760489031E-2</v>
      </c>
      <c r="O104" s="2">
        <v>3.1337980591123409</v>
      </c>
      <c r="P104" s="2">
        <v>-6.3285576059202708E-3</v>
      </c>
      <c r="Q104" s="2">
        <v>1.6966642375121368</v>
      </c>
      <c r="R104" s="2">
        <v>-3.0583596176315231E-2</v>
      </c>
      <c r="S104" s="2">
        <v>8.1993555432480498</v>
      </c>
    </row>
    <row r="105" spans="1:19" ht="15.4" x14ac:dyDescent="0.4">
      <c r="A105" s="1">
        <v>0.27200000000000002</v>
      </c>
      <c r="B105" s="40">
        <v>60</v>
      </c>
      <c r="C105" s="25">
        <v>1.9999999999999999E-6</v>
      </c>
      <c r="D105" s="2">
        <v>0.499</v>
      </c>
      <c r="E105" s="43">
        <v>20</v>
      </c>
      <c r="F105" s="31">
        <v>9.3848503656742105E-7</v>
      </c>
      <c r="G105" s="30">
        <f t="shared" si="1"/>
        <v>2.5526792994633855E-7</v>
      </c>
      <c r="H105" s="2">
        <v>2.4900000000000033E-2</v>
      </c>
      <c r="I105" s="2">
        <v>4.9899799599198467</v>
      </c>
      <c r="J105" s="2">
        <v>2.5539814584925047E-2</v>
      </c>
      <c r="K105" s="2">
        <v>5.1181993156162422</v>
      </c>
      <c r="L105" s="2">
        <v>-0.13892496933908344</v>
      </c>
      <c r="M105" s="2">
        <v>27.840675218253192</v>
      </c>
      <c r="N105" s="2">
        <v>-2.6425297952195947E-2</v>
      </c>
      <c r="O105" s="2">
        <v>5.2956508922236374</v>
      </c>
      <c r="P105" s="2">
        <v>6.3102161285992664E-2</v>
      </c>
      <c r="Q105" s="2">
        <v>12.645723704607747</v>
      </c>
      <c r="R105" s="2">
        <v>-3.7111777463854523E-2</v>
      </c>
      <c r="S105" s="2">
        <v>7.4372299526762564</v>
      </c>
    </row>
    <row r="106" spans="1:19" ht="15.4" x14ac:dyDescent="0.4">
      <c r="A106" s="1">
        <v>0.27200000000000002</v>
      </c>
      <c r="B106" s="40">
        <v>60</v>
      </c>
      <c r="C106" s="25">
        <v>1.9999999999999999E-6</v>
      </c>
      <c r="D106" s="2">
        <v>0.68100000000000005</v>
      </c>
      <c r="E106" s="43">
        <v>30</v>
      </c>
      <c r="F106" s="31">
        <v>9.3848503656742105E-7</v>
      </c>
      <c r="G106" s="30">
        <f t="shared" si="1"/>
        <v>2.5526792994633855E-7</v>
      </c>
      <c r="H106" s="2">
        <v>-0.1150000000000001</v>
      </c>
      <c r="I106" s="2">
        <v>16.886930983847297</v>
      </c>
      <c r="J106" s="2">
        <v>9.2206509870642939E-2</v>
      </c>
      <c r="K106" s="2">
        <v>13.53986929084331</v>
      </c>
      <c r="L106" s="2">
        <v>-0.26935093716359798</v>
      </c>
      <c r="M106" s="2">
        <v>39.552266837532741</v>
      </c>
      <c r="N106" s="2">
        <v>-6.5980443677039147E-2</v>
      </c>
      <c r="O106" s="2">
        <v>9.6887582491981128</v>
      </c>
      <c r="P106" s="2">
        <v>0.28534817198720619</v>
      </c>
      <c r="Q106" s="2">
        <v>41.901346840999437</v>
      </c>
      <c r="R106" s="2">
        <v>-3.2067656641822873E-2</v>
      </c>
      <c r="S106" s="2">
        <v>4.7089069958623897</v>
      </c>
    </row>
    <row r="107" spans="1:19" ht="15.4" x14ac:dyDescent="0.4">
      <c r="A107" s="1">
        <v>0.31</v>
      </c>
      <c r="B107" s="40">
        <v>30</v>
      </c>
      <c r="C107" s="25">
        <v>1.9999999999999999E-6</v>
      </c>
      <c r="D107" s="2">
        <v>0.36199999999999999</v>
      </c>
      <c r="E107" s="43">
        <v>2.7027027027027026</v>
      </c>
      <c r="F107" s="30">
        <v>5.0983393018943301E-7</v>
      </c>
      <c r="G107" s="30">
        <f t="shared" si="1"/>
        <v>1.5804851835872424E-7</v>
      </c>
      <c r="H107" s="2">
        <v>1.1300000000000032E-2</v>
      </c>
      <c r="I107" s="2">
        <v>3.1215469613259756</v>
      </c>
      <c r="J107" s="2">
        <v>-1.1399999999999966E-2</v>
      </c>
      <c r="K107" s="2">
        <v>3.1491712707182229</v>
      </c>
      <c r="L107" s="2">
        <v>-3.6095691432282584E-2</v>
      </c>
      <c r="M107" s="2">
        <v>9.9711854785311012</v>
      </c>
      <c r="N107" s="2">
        <v>-2.697239972807608E-2</v>
      </c>
      <c r="O107" s="2">
        <v>7.4509391514022321</v>
      </c>
      <c r="P107" s="2">
        <v>-3.2467236020668366E-2</v>
      </c>
      <c r="Q107" s="2">
        <v>8.9688497294663989</v>
      </c>
      <c r="R107" s="2">
        <v>-3.4830258431540695E-2</v>
      </c>
      <c r="S107" s="2">
        <v>9.6216183512543374</v>
      </c>
    </row>
    <row r="108" spans="1:19" ht="15.4" x14ac:dyDescent="0.4">
      <c r="A108" s="1">
        <v>0.31</v>
      </c>
      <c r="B108" s="40">
        <v>30</v>
      </c>
      <c r="C108" s="25">
        <v>1.9999999999999999E-6</v>
      </c>
      <c r="D108" s="2">
        <v>0.46400000000000002</v>
      </c>
      <c r="E108" s="43">
        <v>5.8823529411764701</v>
      </c>
      <c r="F108" s="30">
        <v>5.0983393018943301E-7</v>
      </c>
      <c r="G108" s="30">
        <f t="shared" si="1"/>
        <v>1.5804851835872424E-7</v>
      </c>
      <c r="H108" s="2">
        <v>-3.2000000000000361E-3</v>
      </c>
      <c r="I108" s="2">
        <v>0.68965517241380092</v>
      </c>
      <c r="J108" s="2">
        <v>3.3999999999999975E-2</v>
      </c>
      <c r="K108" s="2">
        <v>7.3275862068965454</v>
      </c>
      <c r="L108" s="2">
        <v>-0.11867400581565202</v>
      </c>
      <c r="M108" s="2">
        <v>25.576294356821556</v>
      </c>
      <c r="N108" s="2">
        <v>-9.7747173270856635E-2</v>
      </c>
      <c r="O108" s="2">
        <v>21.06620113596048</v>
      </c>
      <c r="P108" s="2">
        <v>-0.10270249093397438</v>
      </c>
      <c r="Q108" s="2">
        <v>22.134157528873789</v>
      </c>
      <c r="R108" s="2">
        <v>-0.11000810208655332</v>
      </c>
      <c r="S108" s="2">
        <v>23.708642691067524</v>
      </c>
    </row>
    <row r="109" spans="1:19" ht="15.4" x14ac:dyDescent="0.4">
      <c r="A109" s="1">
        <v>0.31</v>
      </c>
      <c r="B109" s="40">
        <v>30</v>
      </c>
      <c r="C109" s="25">
        <v>1.9999999999999999E-6</v>
      </c>
      <c r="D109" s="2">
        <v>0.56599999999999995</v>
      </c>
      <c r="E109" s="43">
        <v>9.67741935483871</v>
      </c>
      <c r="F109" s="30">
        <v>5.0983393018943301E-7</v>
      </c>
      <c r="G109" s="30">
        <f t="shared" si="1"/>
        <v>1.5804851835872424E-7</v>
      </c>
      <c r="H109" s="2">
        <v>1.4000000000000012E-2</v>
      </c>
      <c r="I109" s="2">
        <v>2.4734982332155502</v>
      </c>
      <c r="J109" s="2">
        <v>0.17430000000000001</v>
      </c>
      <c r="K109" s="2">
        <v>30.795053003533575</v>
      </c>
      <c r="L109" s="2">
        <v>-0.19642302384932275</v>
      </c>
      <c r="M109" s="2">
        <v>34.703714461011096</v>
      </c>
      <c r="N109" s="2">
        <v>-0.15969691332907043</v>
      </c>
      <c r="O109" s="2">
        <v>28.215002354959445</v>
      </c>
      <c r="P109" s="2">
        <v>-0.15513067161852045</v>
      </c>
      <c r="Q109" s="2">
        <v>27.408245868996552</v>
      </c>
      <c r="R109" s="2">
        <v>-0.17183630729695543</v>
      </c>
      <c r="S109" s="2">
        <v>30.359771607235942</v>
      </c>
    </row>
    <row r="110" spans="1:19" ht="15.4" x14ac:dyDescent="0.4">
      <c r="A110" s="1">
        <v>0.31</v>
      </c>
      <c r="B110" s="40">
        <v>30</v>
      </c>
      <c r="C110" s="25">
        <v>1.9999999999999999E-6</v>
      </c>
      <c r="D110" s="2">
        <v>0.69799999999999995</v>
      </c>
      <c r="E110" s="43">
        <v>14.285714285714288</v>
      </c>
      <c r="F110" s="30">
        <v>5.0983393018943301E-7</v>
      </c>
      <c r="G110" s="30">
        <f t="shared" si="1"/>
        <v>1.5804851835872424E-7</v>
      </c>
      <c r="H110" s="2">
        <v>4.7800000000000065E-2</v>
      </c>
      <c r="I110" s="2">
        <v>6.8481375358166288</v>
      </c>
      <c r="J110" s="2">
        <v>0.46930000000000005</v>
      </c>
      <c r="K110" s="2">
        <v>67.234957020057323</v>
      </c>
      <c r="L110" s="2">
        <v>-0.29728576441770832</v>
      </c>
      <c r="M110" s="2">
        <v>42.591083727465382</v>
      </c>
      <c r="N110" s="2">
        <v>-0.23846466287571072</v>
      </c>
      <c r="O110" s="2">
        <v>34.163991816004405</v>
      </c>
      <c r="P110" s="2">
        <v>-0.20707347224442585</v>
      </c>
      <c r="Q110" s="2">
        <v>29.666686567969318</v>
      </c>
      <c r="R110" s="2">
        <v>-0.24223007322187684</v>
      </c>
      <c r="S110" s="2">
        <v>34.70344888565571</v>
      </c>
    </row>
    <row r="111" spans="1:19" ht="15.4" x14ac:dyDescent="0.4">
      <c r="A111" s="1">
        <v>0.31</v>
      </c>
      <c r="B111" s="40">
        <v>30</v>
      </c>
      <c r="C111" s="25">
        <v>1.9999999999999999E-6</v>
      </c>
      <c r="D111" s="2">
        <v>1.4630000000000001</v>
      </c>
      <c r="E111" s="43">
        <v>36.84210526315789</v>
      </c>
      <c r="F111" s="30">
        <v>5.0983393018943301E-7</v>
      </c>
      <c r="G111" s="30">
        <f t="shared" si="1"/>
        <v>1.5804851835872424E-7</v>
      </c>
      <c r="H111" s="2">
        <v>-0.45179999999999998</v>
      </c>
      <c r="I111" s="2">
        <v>30.881749829118249</v>
      </c>
      <c r="J111" s="2">
        <v>-0.96500000000000008</v>
      </c>
      <c r="K111" s="2">
        <v>65.960355434039641</v>
      </c>
      <c r="L111" s="2">
        <v>-0.87646204991321275</v>
      </c>
      <c r="M111" s="2">
        <v>59.908547499194306</v>
      </c>
      <c r="N111" s="2">
        <v>-0.63613437625350999</v>
      </c>
      <c r="O111" s="2">
        <v>43.481502136261788</v>
      </c>
      <c r="P111" s="2">
        <v>0.20334579798316055</v>
      </c>
      <c r="Q111" s="2">
        <v>13.899234311904344</v>
      </c>
      <c r="R111" s="2">
        <v>-0.35565385758626133</v>
      </c>
      <c r="S111" s="2">
        <v>24.309901407126542</v>
      </c>
    </row>
    <row r="112" spans="1:19" ht="15.4" x14ac:dyDescent="0.4">
      <c r="A112" s="1">
        <v>0.31</v>
      </c>
      <c r="B112" s="40">
        <v>30</v>
      </c>
      <c r="C112" s="25">
        <v>1.9999999999999999E-6</v>
      </c>
      <c r="D112" s="2">
        <v>1.8620000000000001</v>
      </c>
      <c r="E112" s="43">
        <v>50.000000000000014</v>
      </c>
      <c r="F112" s="30">
        <v>5.0983393018943301E-7</v>
      </c>
      <c r="G112" s="30">
        <f t="shared" si="1"/>
        <v>1.5804851835872424E-7</v>
      </c>
      <c r="H112" s="2">
        <v>-0.74120000000000008</v>
      </c>
      <c r="I112" s="2">
        <v>39.806659505907625</v>
      </c>
      <c r="J112" s="2">
        <v>-1.1217000000000001</v>
      </c>
      <c r="K112" s="2">
        <v>60.241675617615478</v>
      </c>
      <c r="L112" s="2">
        <v>-1.1321069600068676</v>
      </c>
      <c r="M112" s="2">
        <v>60.800588614761949</v>
      </c>
      <c r="N112" s="2">
        <v>-0.67682725832012647</v>
      </c>
      <c r="O112" s="2">
        <v>36.349476816333322</v>
      </c>
      <c r="P112" s="2">
        <v>5.9482393638216084</v>
      </c>
      <c r="Q112" s="2">
        <v>319.45431599471578</v>
      </c>
      <c r="R112" s="2">
        <v>0.39279897453479329</v>
      </c>
      <c r="S112" s="2">
        <v>21.095541059870744</v>
      </c>
    </row>
    <row r="113" spans="1:19" ht="15.4" x14ac:dyDescent="0.4">
      <c r="A113" s="1">
        <v>0.33</v>
      </c>
      <c r="B113" s="40">
        <v>186</v>
      </c>
      <c r="C113" s="25">
        <v>2.5500000000000001E-6</v>
      </c>
      <c r="D113" s="2">
        <v>2.7330000000000001</v>
      </c>
      <c r="E113" s="43">
        <v>50</v>
      </c>
      <c r="F113" s="30">
        <v>2.6992197308456299E-7</v>
      </c>
      <c r="G113" s="30">
        <f t="shared" si="1"/>
        <v>8.9074251117905787E-8</v>
      </c>
      <c r="H113" s="2">
        <v>8.4499999999999797E-2</v>
      </c>
      <c r="I113" s="2">
        <v>3.0918404683497913</v>
      </c>
      <c r="J113" s="2">
        <v>-0.18642875187061003</v>
      </c>
      <c r="K113" s="2">
        <v>6.8213959703845601</v>
      </c>
      <c r="L113" s="2">
        <v>-1.7263011650559399</v>
      </c>
      <c r="M113" s="2">
        <v>63.165062753601894</v>
      </c>
      <c r="N113" s="2">
        <v>-1.4234460431654679</v>
      </c>
      <c r="O113" s="2">
        <v>52.083645926288611</v>
      </c>
      <c r="P113" s="2">
        <v>11.405787194724388</v>
      </c>
      <c r="Q113" s="2">
        <v>417.33579197674305</v>
      </c>
      <c r="R113" s="2">
        <v>2.1539043762971191</v>
      </c>
      <c r="S113" s="2">
        <v>78.810990717055219</v>
      </c>
    </row>
    <row r="114" spans="1:19" ht="15.4" x14ac:dyDescent="0.4">
      <c r="A114" s="1">
        <v>0.33</v>
      </c>
      <c r="B114" s="40">
        <v>186</v>
      </c>
      <c r="C114" s="25">
        <v>2.5500000000000001E-6</v>
      </c>
      <c r="D114" s="2">
        <v>2.9870000000000001</v>
      </c>
      <c r="E114" s="43">
        <v>60</v>
      </c>
      <c r="F114" s="30">
        <v>2.6992197308456299E-7</v>
      </c>
      <c r="G114" s="30">
        <f t="shared" si="1"/>
        <v>8.9074251117905787E-8</v>
      </c>
      <c r="H114" s="2">
        <v>1.1499999999999844E-2</v>
      </c>
      <c r="I114" s="2">
        <v>0.38500167392031615</v>
      </c>
      <c r="J114" s="2">
        <v>1.8062347991735503</v>
      </c>
      <c r="K114" s="2">
        <v>60.469862710865428</v>
      </c>
      <c r="L114" s="2">
        <v>-1.7163709817512713</v>
      </c>
      <c r="M114" s="2">
        <v>57.461365308043902</v>
      </c>
      <c r="N114" s="2">
        <v>-1.191534800287013</v>
      </c>
      <c r="O114" s="2">
        <v>39.890686316940503</v>
      </c>
      <c r="P114" s="2">
        <v>-9.4410212136552172</v>
      </c>
      <c r="Q114" s="2">
        <v>316.07034528474111</v>
      </c>
      <c r="R114" s="2">
        <v>-42.849017836533811</v>
      </c>
      <c r="S114" s="2">
        <v>1434.5168341658457</v>
      </c>
    </row>
    <row r="115" spans="1:19" ht="15.4" x14ac:dyDescent="0.4">
      <c r="A115" s="1">
        <v>0.33700000000000002</v>
      </c>
      <c r="B115" s="40">
        <v>30</v>
      </c>
      <c r="C115" s="25">
        <v>4.5000000000000003E-5</v>
      </c>
      <c r="D115" s="2">
        <v>0.42699999999999999</v>
      </c>
      <c r="E115" s="43">
        <v>3.5106670267350801</v>
      </c>
      <c r="F115" s="30">
        <v>1.28525963592315E-5</v>
      </c>
      <c r="G115" s="30">
        <f t="shared" si="1"/>
        <v>4.3313249730610154E-6</v>
      </c>
      <c r="H115" s="2">
        <v>-6.4197009915750169E-3</v>
      </c>
      <c r="I115" s="2">
        <v>1.5034428551697934</v>
      </c>
      <c r="J115" s="2">
        <v>-5.3400000000000003E-2</v>
      </c>
      <c r="K115" s="2">
        <v>12.505854800936769</v>
      </c>
      <c r="L115" s="2">
        <v>-6.9513405461680278E-2</v>
      </c>
      <c r="M115" s="2">
        <v>16.279486056599595</v>
      </c>
      <c r="N115" s="2">
        <v>-5.4470781329149065E-2</v>
      </c>
      <c r="O115" s="2">
        <v>12.7566232620958</v>
      </c>
      <c r="P115" s="2">
        <v>-6.0949670628401065E-2</v>
      </c>
      <c r="Q115" s="2">
        <v>14.27392754763491</v>
      </c>
      <c r="R115" s="2">
        <v>-6.5391562667686476E-2</v>
      </c>
      <c r="S115" s="2">
        <v>15.314183294540159</v>
      </c>
    </row>
    <row r="116" spans="1:19" ht="15.4" x14ac:dyDescent="0.4">
      <c r="A116" s="1">
        <v>0.33700000000000002</v>
      </c>
      <c r="B116" s="40">
        <v>30</v>
      </c>
      <c r="C116" s="25">
        <v>4.5000000000000003E-5</v>
      </c>
      <c r="D116" s="2">
        <v>0.45100000000000001</v>
      </c>
      <c r="E116" s="43">
        <v>3.5106670267350801</v>
      </c>
      <c r="F116" s="30">
        <v>9.4933714812137596E-6</v>
      </c>
      <c r="G116" s="30">
        <f t="shared" si="1"/>
        <v>3.1992661891690374E-6</v>
      </c>
      <c r="H116" s="2">
        <v>-1.0248574787910025E-2</v>
      </c>
      <c r="I116" s="2">
        <v>2.2724112611773895</v>
      </c>
      <c r="J116" s="2">
        <v>-7.7400000000000024E-2</v>
      </c>
      <c r="K116" s="2">
        <v>17.161862527716192</v>
      </c>
      <c r="L116" s="2">
        <v>-9.047260982713784E-2</v>
      </c>
      <c r="M116" s="2">
        <v>20.060445637946305</v>
      </c>
      <c r="N116" s="2">
        <v>-7.8470781329149086E-2</v>
      </c>
      <c r="O116" s="2">
        <v>17.399286325753678</v>
      </c>
      <c r="P116" s="2">
        <v>-8.4949670628401086E-2</v>
      </c>
      <c r="Q116" s="2">
        <v>18.835847145986936</v>
      </c>
      <c r="R116" s="2">
        <v>-8.8282722798432745E-2</v>
      </c>
      <c r="S116" s="2">
        <v>19.574883103865353</v>
      </c>
    </row>
    <row r="117" spans="1:19" ht="15.4" x14ac:dyDescent="0.4">
      <c r="A117" s="1">
        <v>0.33700000000000002</v>
      </c>
      <c r="B117" s="40">
        <v>30</v>
      </c>
      <c r="C117" s="25">
        <v>6.9999999999999994E-5</v>
      </c>
      <c r="D117" s="2">
        <v>0.45400000000000001</v>
      </c>
      <c r="E117" s="43">
        <v>3.5106670267350801</v>
      </c>
      <c r="F117" s="30">
        <v>1.41955478633333E-5</v>
      </c>
      <c r="G117" s="30">
        <f t="shared" si="1"/>
        <v>4.7838996299433223E-6</v>
      </c>
      <c r="H117" s="2">
        <v>-1.7446392370787989E-2</v>
      </c>
      <c r="I117" s="2">
        <v>3.8428177028167374</v>
      </c>
      <c r="J117" s="2">
        <v>-8.0400000000000027E-2</v>
      </c>
      <c r="K117" s="2">
        <v>17.709251101321591</v>
      </c>
      <c r="L117" s="2">
        <v>-9.3109933632684605E-2</v>
      </c>
      <c r="M117" s="2">
        <v>20.508795954335817</v>
      </c>
      <c r="N117" s="2">
        <v>-8.1470781329149089E-2</v>
      </c>
      <c r="O117" s="2">
        <v>17.945106019636363</v>
      </c>
      <c r="P117" s="2">
        <v>-8.7949670628401089E-2</v>
      </c>
      <c r="Q117" s="2">
        <v>19.372174147224907</v>
      </c>
      <c r="R117" s="2">
        <v>-9.1159171852420395E-2</v>
      </c>
      <c r="S117" s="2">
        <v>20.079112742823874</v>
      </c>
    </row>
    <row r="118" spans="1:19" ht="15.4" x14ac:dyDescent="0.4">
      <c r="A118" s="1">
        <v>0.33700000000000002</v>
      </c>
      <c r="B118" s="40">
        <v>30</v>
      </c>
      <c r="C118" s="25">
        <v>4.5000000000000003E-5</v>
      </c>
      <c r="D118" s="2">
        <v>0.53</v>
      </c>
      <c r="E118" s="43">
        <v>7.5669383003492436</v>
      </c>
      <c r="F118" s="30">
        <v>9.4933714812137596E-6</v>
      </c>
      <c r="G118" s="30">
        <f t="shared" si="1"/>
        <v>3.1992661891690374E-6</v>
      </c>
      <c r="H118" s="2">
        <v>6.5075487910803975E-2</v>
      </c>
      <c r="I118" s="2">
        <v>12.278393945434711</v>
      </c>
      <c r="J118" s="2">
        <v>-0.10650000000000004</v>
      </c>
      <c r="K118" s="2">
        <v>20.094339622641517</v>
      </c>
      <c r="L118" s="2">
        <v>-0.14088754665554359</v>
      </c>
      <c r="M118" s="2">
        <v>26.582555972744071</v>
      </c>
      <c r="N118" s="2">
        <v>-0.11317876655586934</v>
      </c>
      <c r="O118" s="2">
        <v>21.354484255824403</v>
      </c>
      <c r="P118" s="2">
        <v>-0.11531162904341091</v>
      </c>
      <c r="Q118" s="2">
        <v>21.756911140266208</v>
      </c>
      <c r="R118" s="2">
        <v>-0.12607353971355728</v>
      </c>
      <c r="S118" s="2">
        <v>23.787460323312693</v>
      </c>
    </row>
    <row r="119" spans="1:19" ht="15.4" x14ac:dyDescent="0.4">
      <c r="A119" s="1">
        <v>0.33700000000000002</v>
      </c>
      <c r="B119" s="40">
        <v>30</v>
      </c>
      <c r="C119" s="25">
        <v>6.9999999999999994E-5</v>
      </c>
      <c r="D119" s="2">
        <v>0.53600000000000003</v>
      </c>
      <c r="E119" s="43">
        <v>7.5669383003492436</v>
      </c>
      <c r="F119" s="30">
        <v>1.41955478633333E-5</v>
      </c>
      <c r="G119" s="30">
        <f t="shared" si="1"/>
        <v>4.7838996299433223E-6</v>
      </c>
      <c r="H119" s="2">
        <v>4.5715401548453993E-2</v>
      </c>
      <c r="I119" s="2">
        <v>8.528992826204103</v>
      </c>
      <c r="J119" s="2">
        <v>-0.11250000000000004</v>
      </c>
      <c r="K119" s="2">
        <v>20.988805970149262</v>
      </c>
      <c r="L119" s="2">
        <v>-0.14606168168287414</v>
      </c>
      <c r="M119" s="2">
        <v>27.250313746804878</v>
      </c>
      <c r="N119" s="2">
        <v>-0.11917876655586934</v>
      </c>
      <c r="O119" s="2">
        <v>22.234844506692038</v>
      </c>
      <c r="P119" s="2">
        <v>-0.12131162904341092</v>
      </c>
      <c r="Q119" s="2">
        <v>22.632766612576663</v>
      </c>
      <c r="R119" s="2">
        <v>-0.13168494744665016</v>
      </c>
      <c r="S119" s="2">
        <v>24.568087210195923</v>
      </c>
    </row>
    <row r="120" spans="1:19" ht="15.4" x14ac:dyDescent="0.4">
      <c r="A120" s="1">
        <v>0.33700000000000002</v>
      </c>
      <c r="B120" s="40">
        <v>30</v>
      </c>
      <c r="C120" s="25">
        <v>4.5000000000000003E-5</v>
      </c>
      <c r="D120" s="2">
        <v>0.57599999999999996</v>
      </c>
      <c r="E120" s="43">
        <v>7.5669383003492436</v>
      </c>
      <c r="F120" s="30">
        <v>1.28525963592315E-5</v>
      </c>
      <c r="G120" s="30">
        <f t="shared" si="1"/>
        <v>4.3313249730610154E-6</v>
      </c>
      <c r="H120" s="2">
        <v>-4.2374878835418905E-2</v>
      </c>
      <c r="I120" s="2">
        <v>7.356749797815783</v>
      </c>
      <c r="J120" s="2">
        <v>-0.15249999999999997</v>
      </c>
      <c r="K120" s="2">
        <v>26.475694444444443</v>
      </c>
      <c r="L120" s="2">
        <v>-0.19378428949331888</v>
      </c>
      <c r="M120" s="2">
        <v>33.643105814812309</v>
      </c>
      <c r="N120" s="2">
        <v>-0.15917876655586927</v>
      </c>
      <c r="O120" s="2">
        <v>27.635202527060638</v>
      </c>
      <c r="P120" s="2">
        <v>-0.16131162904341084</v>
      </c>
      <c r="Q120" s="2">
        <v>28.005491153369938</v>
      </c>
      <c r="R120" s="2">
        <v>-0.17552671096760841</v>
      </c>
      <c r="S120" s="2">
        <v>30.473387320765351</v>
      </c>
    </row>
    <row r="121" spans="1:19" ht="15.4" x14ac:dyDescent="0.4">
      <c r="A121" s="1">
        <v>0.33700000000000002</v>
      </c>
      <c r="B121" s="40">
        <v>30</v>
      </c>
      <c r="C121" s="25">
        <v>4.5000000000000003E-5</v>
      </c>
      <c r="D121" s="2">
        <v>0.72599999999999998</v>
      </c>
      <c r="E121" s="43">
        <v>12.306721363206059</v>
      </c>
      <c r="F121" s="30">
        <v>1.28525963592315E-5</v>
      </c>
      <c r="G121" s="30">
        <f t="shared" si="1"/>
        <v>4.3313249730610154E-6</v>
      </c>
      <c r="H121" s="2">
        <v>-4.0693847555498985E-2</v>
      </c>
      <c r="I121" s="2">
        <v>5.6052131619144605</v>
      </c>
      <c r="J121" s="2">
        <v>-0.23419999999999996</v>
      </c>
      <c r="K121" s="2">
        <v>32.258953168044073</v>
      </c>
      <c r="L121" s="2">
        <v>-0.31334257360974871</v>
      </c>
      <c r="M121" s="2">
        <v>43.160134106025993</v>
      </c>
      <c r="N121" s="2">
        <v>-0.25242610809378746</v>
      </c>
      <c r="O121" s="2">
        <v>34.769436376554744</v>
      </c>
      <c r="P121" s="2">
        <v>-0.23347469011580074</v>
      </c>
      <c r="Q121" s="2">
        <v>32.159048225316909</v>
      </c>
      <c r="R121" s="2">
        <v>-0.26708292987240212</v>
      </c>
      <c r="S121" s="2">
        <v>36.788282351570537</v>
      </c>
    </row>
    <row r="122" spans="1:19" ht="15.4" x14ac:dyDescent="0.4">
      <c r="A122" s="1">
        <v>0.33700000000000002</v>
      </c>
      <c r="B122" s="40">
        <v>30</v>
      </c>
      <c r="C122" s="25">
        <v>4.5000000000000003E-5</v>
      </c>
      <c r="D122" s="2">
        <v>0.81200000000000006</v>
      </c>
      <c r="E122" s="43">
        <v>12.306721363206059</v>
      </c>
      <c r="F122" s="30">
        <v>9.4933714812137596E-6</v>
      </c>
      <c r="G122" s="30">
        <f t="shared" si="1"/>
        <v>3.1992661891690374E-6</v>
      </c>
      <c r="H122" s="2">
        <v>8.310222302259973E-3</v>
      </c>
      <c r="I122" s="2">
        <v>1.0234263919039375</v>
      </c>
      <c r="J122" s="2">
        <v>-0.32020000000000004</v>
      </c>
      <c r="K122" s="2">
        <v>39.433497536945815</v>
      </c>
      <c r="L122" s="2">
        <v>-0.38741753776730709</v>
      </c>
      <c r="M122" s="2">
        <v>47.711519429471309</v>
      </c>
      <c r="N122" s="2">
        <v>-0.33842610809378754</v>
      </c>
      <c r="O122" s="2">
        <v>41.678092129776786</v>
      </c>
      <c r="P122" s="2">
        <v>-0.31947469011580082</v>
      </c>
      <c r="Q122" s="2">
        <v>39.344173659581379</v>
      </c>
      <c r="R122" s="2">
        <v>-0.3451717588364191</v>
      </c>
      <c r="S122" s="2">
        <v>42.508837295125502</v>
      </c>
    </row>
    <row r="123" spans="1:19" ht="15.4" x14ac:dyDescent="0.4">
      <c r="A123" s="1">
        <v>0.33700000000000002</v>
      </c>
      <c r="B123" s="40">
        <v>30</v>
      </c>
      <c r="C123" s="25">
        <v>6.9999999999999994E-5</v>
      </c>
      <c r="D123" s="2">
        <v>0.81599999999999995</v>
      </c>
      <c r="E123" s="43">
        <v>12.306721363206059</v>
      </c>
      <c r="F123" s="30">
        <v>1.41955478633333E-5</v>
      </c>
      <c r="G123" s="30">
        <f t="shared" si="1"/>
        <v>4.7838996299433223E-6</v>
      </c>
      <c r="H123" s="2">
        <v>-2.6409378718818988E-2</v>
      </c>
      <c r="I123" s="2">
        <v>3.2364434704435037</v>
      </c>
      <c r="J123" s="2">
        <v>-0.32419999999999993</v>
      </c>
      <c r="K123" s="2">
        <v>39.730392156862735</v>
      </c>
      <c r="L123" s="2">
        <v>-0.38998248514156597</v>
      </c>
      <c r="M123" s="2">
        <v>47.791971218329167</v>
      </c>
      <c r="N123" s="2">
        <v>-0.34242610809378743</v>
      </c>
      <c r="O123" s="2">
        <v>41.963983835022972</v>
      </c>
      <c r="P123" s="2">
        <v>-0.32347469011580071</v>
      </c>
      <c r="Q123" s="2">
        <v>39.641506141642246</v>
      </c>
      <c r="R123" s="2">
        <v>-0.34827163776688275</v>
      </c>
      <c r="S123" s="2">
        <v>42.680347765549357</v>
      </c>
    </row>
    <row r="124" spans="1:19" ht="15.4" x14ac:dyDescent="0.4">
      <c r="A124" s="1">
        <v>0.33700000000000002</v>
      </c>
      <c r="B124" s="40">
        <v>30</v>
      </c>
      <c r="C124" s="25">
        <v>4.5000000000000003E-5</v>
      </c>
      <c r="D124" s="2">
        <v>0.91600000000000004</v>
      </c>
      <c r="E124" s="43">
        <v>17.918676774638183</v>
      </c>
      <c r="F124" s="30">
        <v>1.28525963592315E-5</v>
      </c>
      <c r="G124" s="30">
        <f t="shared" si="1"/>
        <v>4.3313249730610154E-6</v>
      </c>
      <c r="H124" s="2">
        <v>-0.10535657840233703</v>
      </c>
      <c r="I124" s="2">
        <v>11.501809869250767</v>
      </c>
      <c r="J124" s="2">
        <v>-0.32269999999999999</v>
      </c>
      <c r="K124" s="2">
        <v>35.229257641921393</v>
      </c>
      <c r="L124" s="2">
        <v>-0.46495028823893142</v>
      </c>
      <c r="M124" s="2">
        <v>50.758765091586397</v>
      </c>
      <c r="N124" s="2">
        <v>-0.36709375437722247</v>
      </c>
      <c r="O124" s="2">
        <v>40.07573737742603</v>
      </c>
      <c r="P124" s="2">
        <v>-0.29386365731662367</v>
      </c>
      <c r="Q124" s="2">
        <v>32.081185296574638</v>
      </c>
      <c r="R124" s="2">
        <v>-0.36733503208677309</v>
      </c>
      <c r="S124" s="2">
        <v>40.102077738730685</v>
      </c>
    </row>
    <row r="125" spans="1:19" ht="15.4" x14ac:dyDescent="0.4">
      <c r="A125" s="1">
        <v>0.33700000000000002</v>
      </c>
      <c r="B125" s="40">
        <v>30</v>
      </c>
      <c r="C125" s="25">
        <v>4.5000000000000003E-5</v>
      </c>
      <c r="D125" s="2">
        <v>1.0509999999999999</v>
      </c>
      <c r="E125" s="43">
        <v>17.918676774638183</v>
      </c>
      <c r="F125" s="30">
        <v>9.4933714812137596E-6</v>
      </c>
      <c r="G125" s="30">
        <f t="shared" si="1"/>
        <v>3.1992661891690374E-6</v>
      </c>
      <c r="H125" s="2">
        <v>-2.9127053479169884E-2</v>
      </c>
      <c r="I125" s="2">
        <v>2.7713656973520346</v>
      </c>
      <c r="J125" s="2">
        <v>-0.45769999999999988</v>
      </c>
      <c r="K125" s="2">
        <v>43.549000951474774</v>
      </c>
      <c r="L125" s="2">
        <v>-0.5812345644342175</v>
      </c>
      <c r="M125" s="2">
        <v>55.30300327632898</v>
      </c>
      <c r="N125" s="2">
        <v>-0.50209375437722237</v>
      </c>
      <c r="O125" s="2">
        <v>47.772954745691948</v>
      </c>
      <c r="P125" s="2">
        <v>-0.42886365731662357</v>
      </c>
      <c r="Q125" s="2">
        <v>40.805295653341922</v>
      </c>
      <c r="R125" s="2">
        <v>-0.48575053655401579</v>
      </c>
      <c r="S125" s="2">
        <v>46.217938777736997</v>
      </c>
    </row>
    <row r="126" spans="1:19" ht="15.4" x14ac:dyDescent="0.4">
      <c r="A126" s="1">
        <v>0.33700000000000002</v>
      </c>
      <c r="B126" s="40">
        <v>30</v>
      </c>
      <c r="C126" s="25">
        <v>6.9999999999999994E-5</v>
      </c>
      <c r="D126" s="2">
        <v>1.079</v>
      </c>
      <c r="E126" s="43">
        <v>17.918676774638183</v>
      </c>
      <c r="F126" s="30">
        <v>1.41955478633333E-5</v>
      </c>
      <c r="G126" s="30">
        <f t="shared" si="1"/>
        <v>4.7838996299433223E-6</v>
      </c>
      <c r="H126" s="2">
        <v>-0.10661787999537597</v>
      </c>
      <c r="I126" s="2">
        <v>9.8811751617586641</v>
      </c>
      <c r="J126" s="2">
        <v>-0.48569999999999991</v>
      </c>
      <c r="K126" s="2">
        <v>45.013901760889709</v>
      </c>
      <c r="L126" s="2">
        <v>-0.60696818418841447</v>
      </c>
      <c r="M126" s="2">
        <v>56.25284376166956</v>
      </c>
      <c r="N126" s="2">
        <v>-0.53009375437722239</v>
      </c>
      <c r="O126" s="2">
        <v>49.128244149881596</v>
      </c>
      <c r="P126" s="2">
        <v>-0.45686365731662359</v>
      </c>
      <c r="Q126" s="2">
        <v>42.341395488102279</v>
      </c>
      <c r="R126" s="2">
        <v>-0.51183696944101398</v>
      </c>
      <c r="S126" s="2">
        <v>47.436234424561071</v>
      </c>
    </row>
    <row r="127" spans="1:19" ht="15.4" x14ac:dyDescent="0.4">
      <c r="A127" s="1">
        <v>0.33700000000000002</v>
      </c>
      <c r="B127" s="40">
        <v>30</v>
      </c>
      <c r="C127" s="25">
        <v>4.5000000000000003E-5</v>
      </c>
      <c r="D127" s="2">
        <v>1.329</v>
      </c>
      <c r="E127" s="43">
        <v>24.667931688804558</v>
      </c>
      <c r="F127" s="30">
        <v>9.4933714812137596E-6</v>
      </c>
      <c r="G127" s="30">
        <f t="shared" si="1"/>
        <v>3.1992661891690374E-6</v>
      </c>
      <c r="H127" s="2">
        <v>-0.18391435034568993</v>
      </c>
      <c r="I127" s="2">
        <v>13.838551568524448</v>
      </c>
      <c r="J127" s="2">
        <v>-0.57269999999999999</v>
      </c>
      <c r="K127" s="2">
        <v>43.092550790067719</v>
      </c>
      <c r="L127" s="2">
        <v>-0.79971607797035327</v>
      </c>
      <c r="M127" s="2">
        <v>60.174272232532225</v>
      </c>
      <c r="N127" s="2">
        <v>-0.67527195091594683</v>
      </c>
      <c r="O127" s="2">
        <v>50.810530542960628</v>
      </c>
      <c r="P127" s="2">
        <v>-0.47030610082196334</v>
      </c>
      <c r="Q127" s="2">
        <v>35.387968459139458</v>
      </c>
      <c r="R127" s="2">
        <v>-0.60011340572705563</v>
      </c>
      <c r="S127" s="2">
        <v>45.155260024609149</v>
      </c>
    </row>
    <row r="128" spans="1:19" ht="15.4" x14ac:dyDescent="0.4">
      <c r="A128" s="1">
        <v>0.33700000000000002</v>
      </c>
      <c r="B128" s="40">
        <v>30</v>
      </c>
      <c r="C128" s="25">
        <v>4.5000000000000003E-5</v>
      </c>
      <c r="D128" s="2">
        <v>1.329</v>
      </c>
      <c r="E128" s="43">
        <v>24.667931688804558</v>
      </c>
      <c r="F128" s="30">
        <v>1.28525963592315E-5</v>
      </c>
      <c r="G128" s="30">
        <f t="shared" si="1"/>
        <v>4.3313249730610154E-6</v>
      </c>
      <c r="H128" s="2">
        <v>-0.43963390519038592</v>
      </c>
      <c r="I128" s="2">
        <v>33.080053061729565</v>
      </c>
      <c r="J128" s="2">
        <v>-0.57269999999999999</v>
      </c>
      <c r="K128" s="2">
        <v>43.092550790067719</v>
      </c>
      <c r="L128" s="2">
        <v>-0.82802488262984364</v>
      </c>
      <c r="M128" s="2">
        <v>62.304355352132703</v>
      </c>
      <c r="N128" s="2">
        <v>-0.67527195091594683</v>
      </c>
      <c r="O128" s="2">
        <v>50.810530542960628</v>
      </c>
      <c r="P128" s="2">
        <v>-0.47030610082196334</v>
      </c>
      <c r="Q128" s="2">
        <v>35.387968459139458</v>
      </c>
      <c r="R128" s="2">
        <v>-0.63499903132908586</v>
      </c>
      <c r="S128" s="2">
        <v>47.780213042068162</v>
      </c>
    </row>
    <row r="129" spans="1:19" ht="15.4" x14ac:dyDescent="0.4">
      <c r="A129" s="1">
        <v>0.33700000000000002</v>
      </c>
      <c r="B129" s="40">
        <v>30</v>
      </c>
      <c r="C129" s="25">
        <v>6.9999999999999994E-5</v>
      </c>
      <c r="D129" s="2">
        <v>1.63</v>
      </c>
      <c r="E129" s="43">
        <v>24.667931688804558</v>
      </c>
      <c r="F129" s="30">
        <v>1.41955478633333E-5</v>
      </c>
      <c r="G129" s="30">
        <f t="shared" si="1"/>
        <v>4.7838996299433223E-6</v>
      </c>
      <c r="H129" s="2">
        <v>-0.54533101058824984</v>
      </c>
      <c r="I129" s="2">
        <v>33.455890220138031</v>
      </c>
      <c r="J129" s="2">
        <v>-0.87369999999999992</v>
      </c>
      <c r="K129" s="2">
        <v>53.601226993865026</v>
      </c>
      <c r="L129" s="2">
        <v>-1.097259806654824</v>
      </c>
      <c r="M129" s="2">
        <v>67.316552555510683</v>
      </c>
      <c r="N129" s="2">
        <v>-0.97627195091594676</v>
      </c>
      <c r="O129" s="2">
        <v>59.893984718769744</v>
      </c>
      <c r="P129" s="2">
        <v>-0.77130610082196327</v>
      </c>
      <c r="Q129" s="2">
        <v>47.319392688464006</v>
      </c>
      <c r="R129" s="2">
        <v>-0.89700740486160224</v>
      </c>
      <c r="S129" s="2">
        <v>55.031129132613643</v>
      </c>
    </row>
    <row r="130" spans="1:19" ht="15.4" x14ac:dyDescent="0.4">
      <c r="A130" s="1">
        <v>0.34</v>
      </c>
      <c r="B130" s="40">
        <v>30</v>
      </c>
      <c r="C130" s="25">
        <v>4.9999999999999998E-7</v>
      </c>
      <c r="D130" s="2">
        <v>0.51500000000000001</v>
      </c>
      <c r="E130" s="43">
        <v>12</v>
      </c>
      <c r="F130" s="30">
        <v>2.2885568268191799E-7</v>
      </c>
      <c r="G130" s="30">
        <f t="shared" si="1"/>
        <v>7.7810932111852116E-8</v>
      </c>
      <c r="H130" s="2">
        <v>-3.4867935891940038E-2</v>
      </c>
      <c r="I130" s="2">
        <v>6.7704729887262216</v>
      </c>
      <c r="J130" s="2">
        <v>-2.3699999999999999E-2</v>
      </c>
      <c r="K130" s="2">
        <v>4.6019417475728153</v>
      </c>
      <c r="L130" s="2">
        <v>-0.12197966000294946</v>
      </c>
      <c r="M130" s="2">
        <v>23.685370874359119</v>
      </c>
      <c r="N130" s="2">
        <v>-4.1140231851567788E-2</v>
      </c>
      <c r="O130" s="2">
        <v>7.9883945342850069</v>
      </c>
      <c r="P130" s="2">
        <v>-2.4011040663070138E-2</v>
      </c>
      <c r="Q130" s="2">
        <v>4.6623379928291531</v>
      </c>
      <c r="R130" s="2">
        <v>-7.2406831032592767E-2</v>
      </c>
      <c r="S130" s="2">
        <v>14.059578841280148</v>
      </c>
    </row>
    <row r="131" spans="1:19" ht="15.4" x14ac:dyDescent="0.4">
      <c r="A131" s="1">
        <v>0.34</v>
      </c>
      <c r="B131" s="40">
        <v>30</v>
      </c>
      <c r="C131" s="25">
        <v>4.9999999999999998E-7</v>
      </c>
      <c r="D131" s="2">
        <v>0.85</v>
      </c>
      <c r="E131" s="43">
        <v>23</v>
      </c>
      <c r="F131" s="30">
        <v>2.2885568268191799E-7</v>
      </c>
      <c r="G131" s="30">
        <f t="shared" ref="G131:G194" si="2">F131*A131</f>
        <v>7.7810932111852116E-8</v>
      </c>
      <c r="H131" s="2">
        <v>-0.30671765703945997</v>
      </c>
      <c r="I131" s="2">
        <v>36.084430239936466</v>
      </c>
      <c r="J131" s="2">
        <v>-0.13329999999999997</v>
      </c>
      <c r="K131" s="2">
        <v>15.682352941176466</v>
      </c>
      <c r="L131" s="2">
        <v>-0.40329321001076301</v>
      </c>
      <c r="M131" s="2">
        <v>47.446260001266239</v>
      </c>
      <c r="N131" s="2">
        <v>-0.21835033657191238</v>
      </c>
      <c r="O131" s="2">
        <v>25.688274890813222</v>
      </c>
      <c r="P131" s="2">
        <v>-5.380294434760613E-2</v>
      </c>
      <c r="Q131" s="2">
        <v>6.3297581585418978</v>
      </c>
      <c r="R131" s="2">
        <v>-0.24836179683603232</v>
      </c>
      <c r="S131" s="2">
        <v>29.219034921886156</v>
      </c>
    </row>
    <row r="132" spans="1:19" ht="15.4" x14ac:dyDescent="0.4">
      <c r="A132" s="1">
        <v>0.34</v>
      </c>
      <c r="B132" s="40">
        <v>30</v>
      </c>
      <c r="C132" s="25">
        <v>4.9999999999999998E-7</v>
      </c>
      <c r="D132" s="2">
        <v>1.43</v>
      </c>
      <c r="E132" s="43">
        <v>43</v>
      </c>
      <c r="F132" s="30">
        <v>2.2885568268191799E-7</v>
      </c>
      <c r="G132" s="30">
        <f t="shared" si="2"/>
        <v>7.7810932111852116E-8</v>
      </c>
      <c r="H132" s="2">
        <v>-0.80869179950215897</v>
      </c>
      <c r="I132" s="2">
        <v>56.551874091060071</v>
      </c>
      <c r="J132" s="2">
        <v>0.18000000000000016</v>
      </c>
      <c r="K132" s="2">
        <v>12.587412587412599</v>
      </c>
      <c r="L132" s="2">
        <v>-0.87054067281921954</v>
      </c>
      <c r="M132" s="2">
        <v>60.876970127218158</v>
      </c>
      <c r="N132" s="2">
        <v>-0.36430933493992024</v>
      </c>
      <c r="O132" s="2">
        <v>25.476177268525891</v>
      </c>
      <c r="P132" s="2">
        <v>1.6230189694377695</v>
      </c>
      <c r="Q132" s="2">
        <v>113.49783003061324</v>
      </c>
      <c r="R132" s="2">
        <v>-0.28385597258575701</v>
      </c>
      <c r="S132" s="2">
        <v>19.85006801299</v>
      </c>
    </row>
    <row r="133" spans="1:19" ht="15.4" x14ac:dyDescent="0.4">
      <c r="A133" s="1">
        <v>0.35</v>
      </c>
      <c r="B133" s="40">
        <v>30</v>
      </c>
      <c r="C133" s="25">
        <v>5.0000000000000004E-6</v>
      </c>
      <c r="D133" s="2">
        <v>0.83</v>
      </c>
      <c r="E133" s="43">
        <v>20</v>
      </c>
      <c r="F133" s="30">
        <v>1.3130157777606399E-6</v>
      </c>
      <c r="G133" s="30">
        <f t="shared" si="2"/>
        <v>4.5955552221622393E-7</v>
      </c>
      <c r="H133" s="2">
        <v>3.2895851896808104E-4</v>
      </c>
      <c r="I133" s="2">
        <v>3.9633556502178438E-2</v>
      </c>
      <c r="J133" s="2">
        <v>-0.16269999999999996</v>
      </c>
      <c r="K133" s="2">
        <v>19.602409638554214</v>
      </c>
      <c r="L133" s="2">
        <v>-0.34265287575192305</v>
      </c>
      <c r="M133" s="2">
        <v>41.283479006255789</v>
      </c>
      <c r="N133" s="2">
        <v>-0.22862737182075088</v>
      </c>
      <c r="O133" s="2">
        <v>27.545466484427816</v>
      </c>
      <c r="P133" s="2">
        <v>-0.12071286974382678</v>
      </c>
      <c r="Q133" s="2">
        <v>14.543719246244191</v>
      </c>
      <c r="R133" s="2">
        <v>-0.21562176112241171</v>
      </c>
      <c r="S133" s="2">
        <v>25.978525436435145</v>
      </c>
    </row>
    <row r="134" spans="1:19" ht="15.4" x14ac:dyDescent="0.4">
      <c r="A134" s="1">
        <v>0.35</v>
      </c>
      <c r="B134" s="40">
        <v>30</v>
      </c>
      <c r="C134" s="25">
        <v>5.0000000000000004E-6</v>
      </c>
      <c r="D134" s="2">
        <v>1.4</v>
      </c>
      <c r="E134" s="43">
        <v>30</v>
      </c>
      <c r="F134" s="30">
        <v>1.3130157777606399E-6</v>
      </c>
      <c r="G134" s="30">
        <f t="shared" si="2"/>
        <v>4.5955552221622393E-7</v>
      </c>
      <c r="H134" s="2">
        <v>-0.46945627683546787</v>
      </c>
      <c r="I134" s="2">
        <v>33.532591202533425</v>
      </c>
      <c r="J134" s="2">
        <v>-0.42689999999999995</v>
      </c>
      <c r="K134" s="2">
        <v>30.492857142857137</v>
      </c>
      <c r="L134" s="2">
        <v>-0.82956191503518417</v>
      </c>
      <c r="M134" s="2">
        <v>59.254422502513158</v>
      </c>
      <c r="N134" s="2">
        <v>-0.62166934189406109</v>
      </c>
      <c r="O134" s="2">
        <v>44.404952992432939</v>
      </c>
      <c r="P134" s="2">
        <v>-0.20885867853033724</v>
      </c>
      <c r="Q134" s="2">
        <v>14.918477037881232</v>
      </c>
      <c r="R134" s="2">
        <v>-0.51090901015623658</v>
      </c>
      <c r="S134" s="2">
        <v>36.493500725445472</v>
      </c>
    </row>
    <row r="135" spans="1:19" ht="15.4" x14ac:dyDescent="0.4">
      <c r="A135" s="1">
        <v>0.35699999999999998</v>
      </c>
      <c r="B135" s="40">
        <v>180</v>
      </c>
      <c r="C135" s="25">
        <v>3.9999999999999998E-6</v>
      </c>
      <c r="D135" s="2">
        <v>0.45500000000000002</v>
      </c>
      <c r="E135" s="43">
        <v>10</v>
      </c>
      <c r="F135" s="31">
        <v>1.4300724366741656E-6</v>
      </c>
      <c r="G135" s="30">
        <f t="shared" si="2"/>
        <v>5.105358598926771E-7</v>
      </c>
      <c r="H135" s="2">
        <v>0.11959999999999998</v>
      </c>
      <c r="I135" s="2">
        <v>26.285714285714278</v>
      </c>
      <c r="J135" s="2">
        <v>3.363604785560298E-2</v>
      </c>
      <c r="K135" s="2">
        <v>7.3925379902424133</v>
      </c>
      <c r="L135" s="2">
        <v>-4.2766794649948869E-2</v>
      </c>
      <c r="M135" s="2">
        <v>9.3992955274612893</v>
      </c>
      <c r="N135" s="2">
        <v>2.021690178230745E-2</v>
      </c>
      <c r="O135" s="2">
        <v>4.4432751169906481</v>
      </c>
      <c r="P135" s="2">
        <v>2.7380034160145617E-2</v>
      </c>
      <c r="Q135" s="2">
        <v>6.0175899253067291</v>
      </c>
      <c r="R135" s="2">
        <v>-4.7632137769035299E-3</v>
      </c>
      <c r="S135" s="2">
        <v>1.0468601707480285</v>
      </c>
    </row>
    <row r="136" spans="1:19" ht="15.4" x14ac:dyDescent="0.4">
      <c r="A136" s="1">
        <v>0.35699999999999998</v>
      </c>
      <c r="B136" s="40">
        <v>180</v>
      </c>
      <c r="C136" s="25">
        <v>3.9999999999999998E-6</v>
      </c>
      <c r="D136" s="2">
        <v>0.749</v>
      </c>
      <c r="E136" s="43">
        <v>30</v>
      </c>
      <c r="F136" s="31">
        <v>1.4300724366741656E-6</v>
      </c>
      <c r="G136" s="30">
        <f t="shared" si="2"/>
        <v>5.105358598926771E-7</v>
      </c>
      <c r="H136" s="2">
        <v>5.3999999999999604E-3</v>
      </c>
      <c r="I136" s="2">
        <v>0.72096128170893992</v>
      </c>
      <c r="J136" s="2">
        <v>0.28017660900527008</v>
      </c>
      <c r="K136" s="2">
        <v>37.406756876538061</v>
      </c>
      <c r="L136" s="2">
        <v>-0.20724405729625472</v>
      </c>
      <c r="M136" s="2">
        <v>27.669433550901836</v>
      </c>
      <c r="N136" s="2">
        <v>6.3123760162938081E-2</v>
      </c>
      <c r="O136" s="2">
        <v>8.4277383395110927</v>
      </c>
      <c r="P136" s="2">
        <v>0.53974856979331232</v>
      </c>
      <c r="Q136" s="2">
        <v>72.062559384954909</v>
      </c>
      <c r="R136" s="2">
        <v>0.11056462092217945</v>
      </c>
      <c r="S136" s="2">
        <v>14.761631631799659</v>
      </c>
    </row>
    <row r="137" spans="1:19" ht="15.4" x14ac:dyDescent="0.4">
      <c r="A137" s="1">
        <v>0.35699999999999998</v>
      </c>
      <c r="B137" s="40">
        <v>180</v>
      </c>
      <c r="C137" s="25">
        <v>3.9999999999999998E-6</v>
      </c>
      <c r="D137" s="2">
        <v>1.9970000000000001</v>
      </c>
      <c r="E137" s="43">
        <v>60</v>
      </c>
      <c r="F137" s="31">
        <v>1.4300724366741656E-6</v>
      </c>
      <c r="G137" s="30">
        <f t="shared" si="2"/>
        <v>5.105358598926771E-7</v>
      </c>
      <c r="H137" s="2">
        <v>-1.0907</v>
      </c>
      <c r="I137" s="2">
        <v>54.616925388082116</v>
      </c>
      <c r="J137" s="2">
        <v>3.1467534371025598</v>
      </c>
      <c r="K137" s="2">
        <v>157.57403290448471</v>
      </c>
      <c r="L137" s="2">
        <v>-1.1934557032982944</v>
      </c>
      <c r="M137" s="2">
        <v>59.762428808126913</v>
      </c>
      <c r="N137" s="2">
        <v>-5.7092540334191977E-2</v>
      </c>
      <c r="O137" s="2">
        <v>2.8589153897942898</v>
      </c>
      <c r="P137" s="2">
        <v>-9.0323486829875623</v>
      </c>
      <c r="Q137" s="2">
        <v>452.29587796632762</v>
      </c>
      <c r="R137" s="2">
        <v>1.4560090301665827</v>
      </c>
      <c r="S137" s="2">
        <v>72.909816232678153</v>
      </c>
    </row>
    <row r="138" spans="1:19" ht="15.4" x14ac:dyDescent="0.4">
      <c r="A138" s="1">
        <v>0.37</v>
      </c>
      <c r="B138" s="40">
        <v>30</v>
      </c>
      <c r="C138" s="25">
        <v>1.0000000000000001E-5</v>
      </c>
      <c r="D138" s="2">
        <v>2.8612805714285727</v>
      </c>
      <c r="E138" s="43">
        <v>45</v>
      </c>
      <c r="F138" s="30">
        <v>9.8667816752923075E-7</v>
      </c>
      <c r="G138" s="30">
        <f t="shared" si="2"/>
        <v>3.6507092198581536E-7</v>
      </c>
      <c r="H138" s="2">
        <v>-0.38878057142857259</v>
      </c>
      <c r="I138" s="2">
        <v>13.58764237631066</v>
      </c>
      <c r="J138" s="2">
        <v>-0.96388308346399265</v>
      </c>
      <c r="K138" s="2">
        <v>33.687122230825047</v>
      </c>
      <c r="L138" s="2">
        <v>-1.8894256627225903</v>
      </c>
      <c r="M138" s="2">
        <v>66.034267369286425</v>
      </c>
      <c r="N138" s="2">
        <v>-1.6410128553455006</v>
      </c>
      <c r="O138" s="2">
        <v>57.352392202704536</v>
      </c>
      <c r="P138" s="2">
        <v>1.1767755054782469</v>
      </c>
      <c r="Q138" s="2">
        <v>41.127581727880305</v>
      </c>
      <c r="R138" s="2">
        <v>-0.16415375773407082</v>
      </c>
      <c r="S138" s="2">
        <v>5.7370730914414505</v>
      </c>
    </row>
    <row r="139" spans="1:19" ht="15.4" x14ac:dyDescent="0.4">
      <c r="A139" s="1">
        <v>0.37</v>
      </c>
      <c r="B139" s="40">
        <v>30</v>
      </c>
      <c r="C139" s="25">
        <v>1.0000000000000001E-5</v>
      </c>
      <c r="D139" s="2">
        <v>3.0157259999999995</v>
      </c>
      <c r="E139" s="43">
        <v>50</v>
      </c>
      <c r="F139" s="30">
        <v>9.8667816752923075E-7</v>
      </c>
      <c r="G139" s="30">
        <f t="shared" si="2"/>
        <v>3.6507092198581536E-7</v>
      </c>
      <c r="H139" s="2">
        <v>-0.43032599999999954</v>
      </c>
      <c r="I139" s="2">
        <v>14.269399806215805</v>
      </c>
      <c r="J139" s="2">
        <v>-0.62180101380241926</v>
      </c>
      <c r="K139" s="2">
        <v>20.618617666274037</v>
      </c>
      <c r="L139" s="2">
        <v>-1.9341275509270757</v>
      </c>
      <c r="M139" s="2">
        <v>64.134724140292448</v>
      </c>
      <c r="N139" s="2">
        <v>-1.6130949167974875</v>
      </c>
      <c r="O139" s="2">
        <v>53.489438921091889</v>
      </c>
      <c r="P139" s="2">
        <v>5.4912259980872111</v>
      </c>
      <c r="Q139" s="2">
        <v>182.08636985214216</v>
      </c>
      <c r="R139" s="2">
        <v>1.1381744160220797</v>
      </c>
      <c r="S139" s="2">
        <v>37.741307268036941</v>
      </c>
    </row>
    <row r="140" spans="1:19" ht="15.4" x14ac:dyDescent="0.4">
      <c r="A140" s="1">
        <v>0.37</v>
      </c>
      <c r="B140" s="40">
        <v>30</v>
      </c>
      <c r="C140" s="25">
        <v>1.0000000000000001E-5</v>
      </c>
      <c r="D140" s="2">
        <v>3.1885493684210524</v>
      </c>
      <c r="E140" s="43">
        <v>55.000000000000007</v>
      </c>
      <c r="F140" s="30">
        <v>9.8667816752923075E-7</v>
      </c>
      <c r="G140" s="30">
        <f t="shared" si="2"/>
        <v>3.6507092198581536E-7</v>
      </c>
      <c r="H140" s="2">
        <v>-0.49684936842105243</v>
      </c>
      <c r="I140" s="2">
        <v>15.582301260309128</v>
      </c>
      <c r="J140" s="2">
        <v>-0.1346809906769626</v>
      </c>
      <c r="K140" s="2">
        <v>4.2238954181115815</v>
      </c>
      <c r="L140" s="2">
        <v>-1.9821726630553447</v>
      </c>
      <c r="M140" s="2">
        <v>62.165343359162193</v>
      </c>
      <c r="N140" s="2">
        <v>-1.566144134232663</v>
      </c>
      <c r="O140" s="2">
        <v>49.117763386182311</v>
      </c>
      <c r="P140" s="2">
        <v>128.98218928528371</v>
      </c>
      <c r="Q140" s="2">
        <v>4045.1683314897145</v>
      </c>
      <c r="R140" s="2">
        <v>4.5281373456667531</v>
      </c>
      <c r="S140" s="2">
        <v>142.012458408604</v>
      </c>
    </row>
    <row r="141" spans="1:19" ht="15.4" x14ac:dyDescent="0.4">
      <c r="A141" s="1">
        <v>0.37</v>
      </c>
      <c r="B141" s="40">
        <v>30</v>
      </c>
      <c r="C141" s="25">
        <v>1.0000000000000001E-5</v>
      </c>
      <c r="D141" s="2">
        <v>3.4298880000000009</v>
      </c>
      <c r="E141" s="43">
        <v>60</v>
      </c>
      <c r="F141" s="30">
        <v>9.8667816752923075E-7</v>
      </c>
      <c r="G141" s="30">
        <f t="shared" si="2"/>
        <v>3.6507092198581536E-7</v>
      </c>
      <c r="H141" s="2">
        <v>-0.63738800000000095</v>
      </c>
      <c r="I141" s="2">
        <v>18.583347327959419</v>
      </c>
      <c r="J141" s="2">
        <v>0.50453909522122897</v>
      </c>
      <c r="K141" s="2">
        <v>14.710074941841508</v>
      </c>
      <c r="L141" s="2">
        <v>-2.0803815202375695</v>
      </c>
      <c r="M141" s="2">
        <v>60.654503011106165</v>
      </c>
      <c r="N141" s="2">
        <v>-1.5374701632464136</v>
      </c>
      <c r="O141" s="2">
        <v>44.825666705338868</v>
      </c>
      <c r="P141" s="2">
        <v>-15.12552727199785</v>
      </c>
      <c r="Q141" s="2">
        <v>440.99187122138818</v>
      </c>
      <c r="R141" s="2">
        <v>25.562348225227321</v>
      </c>
      <c r="S141" s="2">
        <v>745.28230149868784</v>
      </c>
    </row>
    <row r="142" spans="1:19" ht="15.4" x14ac:dyDescent="0.4">
      <c r="A142" s="1">
        <v>0.37</v>
      </c>
      <c r="B142" s="40">
        <v>30</v>
      </c>
      <c r="C142" s="25">
        <v>1.0000000000000001E-5</v>
      </c>
      <c r="D142" s="2">
        <v>3.6082632705882354</v>
      </c>
      <c r="E142" s="43">
        <v>65</v>
      </c>
      <c r="F142" s="30">
        <v>9.8667816752923075E-7</v>
      </c>
      <c r="G142" s="30">
        <f t="shared" si="2"/>
        <v>3.6507092198581536E-7</v>
      </c>
      <c r="H142" s="2">
        <v>-0.71966327058823554</v>
      </c>
      <c r="I142" s="2">
        <v>19.944865898626983</v>
      </c>
      <c r="J142" s="2">
        <v>1.5048198032944544</v>
      </c>
      <c r="K142" s="2">
        <v>41.704822803828613</v>
      </c>
      <c r="L142" s="2">
        <v>-2.0929056331653362</v>
      </c>
      <c r="M142" s="2">
        <v>58.003129933036767</v>
      </c>
      <c r="N142" s="2">
        <v>-1.3761453314740852</v>
      </c>
      <c r="O142" s="2">
        <v>38.138717390478547</v>
      </c>
      <c r="P142" s="2">
        <v>-9.6923280632822895</v>
      </c>
      <c r="Q142" s="2">
        <v>268.61476939021145</v>
      </c>
      <c r="R142" s="2">
        <v>-24.889765472649515</v>
      </c>
      <c r="S142" s="2">
        <v>689.7990419804338</v>
      </c>
    </row>
    <row r="143" spans="1:19" ht="15.4" x14ac:dyDescent="0.4">
      <c r="A143" s="1">
        <v>0.37</v>
      </c>
      <c r="B143" s="40">
        <v>30</v>
      </c>
      <c r="C143" s="25">
        <v>1.0000000000000001E-5</v>
      </c>
      <c r="D143" s="2">
        <v>4.0682268000000006</v>
      </c>
      <c r="E143" s="43">
        <v>70</v>
      </c>
      <c r="F143" s="30">
        <v>9.8667816752923075E-7</v>
      </c>
      <c r="G143" s="30">
        <f t="shared" si="2"/>
        <v>3.6507092198581536E-7</v>
      </c>
      <c r="H143" s="2">
        <v>-1.0875268000000005</v>
      </c>
      <c r="I143" s="2">
        <v>26.732206768806506</v>
      </c>
      <c r="J143" s="2">
        <v>2.6090111580550897</v>
      </c>
      <c r="K143" s="2">
        <v>64.131408751721736</v>
      </c>
      <c r="L143" s="2">
        <v>-2.3584197355891954</v>
      </c>
      <c r="M143" s="2">
        <v>57.971687704067897</v>
      </c>
      <c r="N143" s="2">
        <v>-1.395745551875188</v>
      </c>
      <c r="O143" s="2">
        <v>34.308449860150077</v>
      </c>
      <c r="P143" s="2">
        <v>-8.3916918419893065</v>
      </c>
      <c r="Q143" s="2">
        <v>206.27394328136535</v>
      </c>
      <c r="R143" s="2">
        <v>-12.620785937504735</v>
      </c>
      <c r="S143" s="2">
        <v>310.22817944920706</v>
      </c>
    </row>
    <row r="144" spans="1:19" ht="15.4" x14ac:dyDescent="0.4">
      <c r="A144" s="1">
        <v>0.45</v>
      </c>
      <c r="B144" s="40">
        <v>30</v>
      </c>
      <c r="C144" s="25">
        <v>5.0000000000000004E-6</v>
      </c>
      <c r="D144" s="2">
        <v>0.89</v>
      </c>
      <c r="E144" s="43">
        <v>20</v>
      </c>
      <c r="F144" s="30">
        <v>1.24402936746453E-6</v>
      </c>
      <c r="G144" s="30">
        <f t="shared" si="2"/>
        <v>5.5981321535903852E-7</v>
      </c>
      <c r="H144" s="2">
        <v>7.0400266234693643E-4</v>
      </c>
      <c r="I144" s="2">
        <v>7.9101422735610841E-2</v>
      </c>
      <c r="J144" s="2">
        <v>-3.7599999999999967E-2</v>
      </c>
      <c r="K144" s="2">
        <v>4.2247191011235916</v>
      </c>
      <c r="L144" s="2">
        <v>-0.28498743986214592</v>
      </c>
      <c r="M144" s="2">
        <v>32.021060658668084</v>
      </c>
      <c r="N144" s="2">
        <v>-0.12073229291716681</v>
      </c>
      <c r="O144" s="2">
        <v>13.56542617046818</v>
      </c>
      <c r="P144" s="2">
        <v>1.3855400121180028E-2</v>
      </c>
      <c r="Q144" s="2">
        <v>1.556786530469666</v>
      </c>
      <c r="R144" s="2">
        <v>-0.12572621913756155</v>
      </c>
      <c r="S144" s="2">
        <v>14.126541476130511</v>
      </c>
    </row>
    <row r="145" spans="1:19" ht="15.4" x14ac:dyDescent="0.4">
      <c r="A145" s="1">
        <v>0.45</v>
      </c>
      <c r="B145" s="40">
        <v>30</v>
      </c>
      <c r="C145" s="25">
        <v>5.0000000000000004E-6</v>
      </c>
      <c r="D145" s="2">
        <v>1.45</v>
      </c>
      <c r="E145" s="43">
        <v>30</v>
      </c>
      <c r="F145" s="30">
        <v>1.24402936746453E-6</v>
      </c>
      <c r="G145" s="30">
        <f t="shared" si="2"/>
        <v>5.5981321535903852E-7</v>
      </c>
      <c r="H145" s="2">
        <v>-0.46255302655979091</v>
      </c>
      <c r="I145" s="2">
        <v>31.900208728261443</v>
      </c>
      <c r="J145" s="2">
        <v>-0.21469999999999989</v>
      </c>
      <c r="K145" s="2">
        <v>14.80689655172413</v>
      </c>
      <c r="L145" s="2">
        <v>-0.75331867704922151</v>
      </c>
      <c r="M145" s="2">
        <v>51.953012210291135</v>
      </c>
      <c r="N145" s="2">
        <v>-0.45687542545949611</v>
      </c>
      <c r="O145" s="2">
        <v>31.508650031689388</v>
      </c>
      <c r="P145" s="2">
        <v>5.2211600082342935E-2</v>
      </c>
      <c r="Q145" s="2">
        <v>3.6008000056788232</v>
      </c>
      <c r="R145" s="2">
        <v>-0.37608219372035268</v>
      </c>
      <c r="S145" s="2">
        <v>25.936703015196738</v>
      </c>
    </row>
    <row r="146" spans="1:19" ht="15.4" x14ac:dyDescent="0.4">
      <c r="A146" s="1">
        <v>0.48</v>
      </c>
      <c r="B146" s="40">
        <v>30</v>
      </c>
      <c r="C146" s="25">
        <v>5.0000000000000004E-6</v>
      </c>
      <c r="D146" s="2">
        <v>0.94</v>
      </c>
      <c r="E146" s="43">
        <v>20</v>
      </c>
      <c r="F146" s="30">
        <v>1.16999027454929E-6</v>
      </c>
      <c r="G146" s="30">
        <f t="shared" si="2"/>
        <v>5.6159533178365916E-7</v>
      </c>
      <c r="H146" s="2">
        <v>-1.6155155672679111E-3</v>
      </c>
      <c r="I146" s="2">
        <v>0.17186335821999055</v>
      </c>
      <c r="J146" s="2">
        <v>-3.2599999999999962E-2</v>
      </c>
      <c r="K146" s="2">
        <v>3.4680851063829747</v>
      </c>
      <c r="L146" s="2">
        <v>-0.29549302127098021</v>
      </c>
      <c r="M146" s="2">
        <v>31.435427794785131</v>
      </c>
      <c r="N146" s="2">
        <v>-0.12068965517241381</v>
      </c>
      <c r="O146" s="2">
        <v>12.839325018341896</v>
      </c>
      <c r="P146" s="2">
        <v>2.1566973641072629E-2</v>
      </c>
      <c r="Q146" s="2">
        <v>2.29435889798645</v>
      </c>
      <c r="R146" s="2">
        <v>-0.1266769716529238</v>
      </c>
      <c r="S146" s="2">
        <v>13.476273580098278</v>
      </c>
    </row>
    <row r="147" spans="1:19" ht="15.4" x14ac:dyDescent="0.4">
      <c r="A147" s="1">
        <v>0.48</v>
      </c>
      <c r="B147" s="40">
        <v>30</v>
      </c>
      <c r="C147" s="25">
        <v>5.0000000000000004E-6</v>
      </c>
      <c r="D147" s="1">
        <v>1.53</v>
      </c>
      <c r="E147" s="43">
        <v>30</v>
      </c>
      <c r="F147" s="30">
        <v>1.16999027454929E-6</v>
      </c>
      <c r="G147" s="30">
        <f t="shared" si="2"/>
        <v>5.6159533178365916E-7</v>
      </c>
      <c r="H147" s="1">
        <v>-0.48898206471513994</v>
      </c>
      <c r="I147" s="1">
        <v>31.959612072884962</v>
      </c>
      <c r="J147" s="1">
        <v>-0.21720000000000006</v>
      </c>
      <c r="K147" s="1">
        <v>14.196078431372552</v>
      </c>
      <c r="L147" s="1">
        <v>-0.78829056361310856</v>
      </c>
      <c r="M147" s="1">
        <v>51.522259059680295</v>
      </c>
      <c r="N147" s="1">
        <v>-0.47306188925081449</v>
      </c>
      <c r="O147" s="1">
        <v>30.919077728811406</v>
      </c>
      <c r="P147" s="1">
        <v>6.3264077254978401E-2</v>
      </c>
      <c r="Q147" s="1">
        <v>4.1349070101293073</v>
      </c>
      <c r="R147" s="1">
        <v>-0.38947695799855642</v>
      </c>
      <c r="S147" s="1">
        <v>25.456010326703034</v>
      </c>
    </row>
    <row r="148" spans="1:19" ht="15.4" x14ac:dyDescent="0.4">
      <c r="A148" s="1">
        <v>0.61</v>
      </c>
      <c r="B148" s="40">
        <v>401</v>
      </c>
      <c r="C148" s="25">
        <v>4.8E-8</v>
      </c>
      <c r="D148" s="2">
        <v>0.61719190000000002</v>
      </c>
      <c r="E148" s="43">
        <v>6.5250000000000004</v>
      </c>
      <c r="F148" s="31">
        <v>3.2961781303002294E-8</v>
      </c>
      <c r="G148" s="30">
        <f t="shared" si="2"/>
        <v>2.01066865948314E-8</v>
      </c>
      <c r="H148" s="2">
        <v>-7.1391900000000064E-2</v>
      </c>
      <c r="I148" s="2">
        <v>11.567212725896121</v>
      </c>
      <c r="J148" s="2">
        <v>0.12891393488789593</v>
      </c>
      <c r="K148" s="2">
        <v>20.887172188730268</v>
      </c>
      <c r="L148" s="2">
        <v>0</v>
      </c>
      <c r="M148" s="2">
        <v>1.7988295449521559E-14</v>
      </c>
      <c r="N148" s="2">
        <v>0.11992924176394504</v>
      </c>
      <c r="O148" s="2">
        <v>19.43143482018235</v>
      </c>
      <c r="P148" s="2">
        <v>0.11155148276127702</v>
      </c>
      <c r="Q148" s="2">
        <v>18.074035443640305</v>
      </c>
      <c r="R148" s="2">
        <v>4.142162297440477E-2</v>
      </c>
      <c r="S148" s="2">
        <v>6.7113037248876353</v>
      </c>
    </row>
    <row r="149" spans="1:19" ht="15.4" x14ac:dyDescent="0.4">
      <c r="A149" s="1">
        <v>0.61</v>
      </c>
      <c r="B149" s="40">
        <v>401</v>
      </c>
      <c r="C149" s="25">
        <v>4.8E-8</v>
      </c>
      <c r="D149" s="2">
        <v>0.62338340000000003</v>
      </c>
      <c r="E149" s="43">
        <v>8.75</v>
      </c>
      <c r="F149" s="31">
        <v>3.2961781303002294E-8</v>
      </c>
      <c r="G149" s="30">
        <f t="shared" si="2"/>
        <v>2.01066865948314E-8</v>
      </c>
      <c r="H149" s="2">
        <v>-9.4683400000000084E-2</v>
      </c>
      <c r="I149" s="2">
        <v>15.188630303598089</v>
      </c>
      <c r="J149" s="2">
        <v>0.17830800012682901</v>
      </c>
      <c r="K149" s="2">
        <v>28.603264079028897</v>
      </c>
      <c r="L149" s="2">
        <v>-3.7261478272317961E-3</v>
      </c>
      <c r="M149" s="2">
        <v>0.59772971613164483</v>
      </c>
      <c r="N149" s="2">
        <v>0.16122148846418716</v>
      </c>
      <c r="O149" s="2">
        <v>25.862332629355727</v>
      </c>
      <c r="P149" s="2">
        <v>0.16395187075222029</v>
      </c>
      <c r="Q149" s="2">
        <v>26.300326693367243</v>
      </c>
      <c r="R149" s="2">
        <v>5.4650132831730924E-2</v>
      </c>
      <c r="S149" s="2">
        <v>8.7666968404565981</v>
      </c>
    </row>
    <row r="150" spans="1:19" ht="15.4" x14ac:dyDescent="0.4">
      <c r="A150" s="1">
        <v>0.61</v>
      </c>
      <c r="B150" s="40">
        <v>401</v>
      </c>
      <c r="C150" s="25">
        <v>4.8E-8</v>
      </c>
      <c r="D150" s="2">
        <v>0.62659809999999994</v>
      </c>
      <c r="E150" s="43">
        <v>10.911</v>
      </c>
      <c r="F150" s="31">
        <v>3.2961781303002294E-8</v>
      </c>
      <c r="G150" s="30">
        <f t="shared" si="2"/>
        <v>2.01066865948314E-8</v>
      </c>
      <c r="H150" s="2">
        <v>-0.11109809999999998</v>
      </c>
      <c r="I150" s="2">
        <v>17.730360178238648</v>
      </c>
      <c r="J150" s="2">
        <v>0.23447481078584909</v>
      </c>
      <c r="K150" s="2">
        <v>37.420287547288943</v>
      </c>
      <c r="L150" s="2">
        <v>-4.5400670539876842E-3</v>
      </c>
      <c r="M150" s="2">
        <v>0.72455806265414535</v>
      </c>
      <c r="N150" s="2">
        <v>0.20638358400646262</v>
      </c>
      <c r="O150" s="2">
        <v>32.93715445457984</v>
      </c>
      <c r="P150" s="2">
        <v>0.22724683197830375</v>
      </c>
      <c r="Q150" s="2">
        <v>36.266760460701008</v>
      </c>
      <c r="R150" s="2">
        <v>7.1381680410738779E-2</v>
      </c>
      <c r="S150" s="2">
        <v>11.391940130482169</v>
      </c>
    </row>
    <row r="151" spans="1:19" ht="15.4" x14ac:dyDescent="0.4">
      <c r="A151" s="1">
        <v>0.61</v>
      </c>
      <c r="B151" s="40">
        <v>401</v>
      </c>
      <c r="C151" s="25">
        <v>4.8E-8</v>
      </c>
      <c r="D151" s="1">
        <v>0.64002420000000004</v>
      </c>
      <c r="E151" s="43">
        <v>16.404</v>
      </c>
      <c r="F151" s="31">
        <v>3.2961781303002294E-8</v>
      </c>
      <c r="G151" s="30">
        <f t="shared" si="2"/>
        <v>2.01066865948314E-8</v>
      </c>
      <c r="H151" s="1">
        <v>-0.15732420000000003</v>
      </c>
      <c r="I151" s="1">
        <v>24.580976781815441</v>
      </c>
      <c r="J151" s="1">
        <v>0.40078404165666992</v>
      </c>
      <c r="K151" s="1">
        <v>62.620138684860649</v>
      </c>
      <c r="L151" s="1">
        <v>-1.1835372538526734E-2</v>
      </c>
      <c r="M151" s="1">
        <v>1.8492070360037531</v>
      </c>
      <c r="N151" s="1">
        <v>0.3271230830379932</v>
      </c>
      <c r="O151" s="1">
        <v>51.111049088142792</v>
      </c>
      <c r="P151" s="1">
        <v>0.43451460371358408</v>
      </c>
      <c r="Q151" s="1">
        <v>67.890339726776588</v>
      </c>
      <c r="R151" s="1">
        <v>0.11313724333340036</v>
      </c>
      <c r="S151" s="1">
        <v>17.677025858303537</v>
      </c>
    </row>
    <row r="152" spans="1:19" ht="15.4" x14ac:dyDescent="0.4">
      <c r="A152" s="1">
        <v>1.6</v>
      </c>
      <c r="B152" s="40">
        <v>28</v>
      </c>
      <c r="C152" s="25">
        <v>8.0000000000000002E-8</v>
      </c>
      <c r="D152" s="2">
        <v>2.2400000000000002</v>
      </c>
      <c r="E152" s="43">
        <v>2.4</v>
      </c>
      <c r="F152" s="30">
        <v>1.71393173890467E-8</v>
      </c>
      <c r="G152" s="30">
        <f t="shared" si="2"/>
        <v>2.7422907822474723E-8</v>
      </c>
      <c r="H152" s="2">
        <v>-0.34476863960298032</v>
      </c>
      <c r="I152" s="2">
        <v>15.391457125133048</v>
      </c>
      <c r="J152" s="2">
        <v>-0.53880000000000017</v>
      </c>
      <c r="K152" s="2">
        <v>24.053571428571434</v>
      </c>
      <c r="L152" s="2">
        <v>-0.62804513733277179</v>
      </c>
      <c r="M152" s="2">
        <v>28.037729345213023</v>
      </c>
      <c r="N152" s="2">
        <v>-0.54050251256281423</v>
      </c>
      <c r="O152" s="2">
        <v>24.129576453697059</v>
      </c>
      <c r="P152" s="2">
        <v>-0.56172529500037616</v>
      </c>
      <c r="Q152" s="2">
        <v>25.077022098231076</v>
      </c>
      <c r="R152" s="2">
        <v>-0.59840084498715296</v>
      </c>
      <c r="S152" s="2">
        <v>26.714323436926467</v>
      </c>
    </row>
    <row r="153" spans="1:19" ht="15.4" x14ac:dyDescent="0.4">
      <c r="A153" s="1">
        <v>1.6</v>
      </c>
      <c r="B153" s="40">
        <v>28</v>
      </c>
      <c r="C153" s="25">
        <v>8.0000000000000002E-8</v>
      </c>
      <c r="D153" s="1">
        <v>2.92</v>
      </c>
      <c r="E153" s="43">
        <v>8.6</v>
      </c>
      <c r="F153" s="30">
        <v>1.71393173890467E-8</v>
      </c>
      <c r="G153" s="30">
        <f t="shared" si="2"/>
        <v>2.7422907822474723E-8</v>
      </c>
      <c r="H153" s="1">
        <v>-6.7532643292089745E-2</v>
      </c>
      <c r="I153" s="1">
        <v>2.312761756578416</v>
      </c>
      <c r="J153" s="1">
        <v>-0.91869999999999985</v>
      </c>
      <c r="K153" s="1">
        <v>31.462328767123282</v>
      </c>
      <c r="L153" s="1">
        <v>-1.2768843341615101</v>
      </c>
      <c r="M153" s="1">
        <v>43.728915553476376</v>
      </c>
      <c r="N153" s="1">
        <v>-0.94329517172722732</v>
      </c>
      <c r="O153" s="1">
        <v>32.304629168740661</v>
      </c>
      <c r="P153" s="1">
        <v>-0.94204999234217546</v>
      </c>
      <c r="Q153" s="1">
        <v>32.261986039115598</v>
      </c>
      <c r="R153" s="1">
        <v>-1.1472626377893587</v>
      </c>
      <c r="S153" s="1">
        <v>39.289816362649269</v>
      </c>
    </row>
    <row r="154" spans="1:19" ht="15.4" x14ac:dyDescent="0.4">
      <c r="A154" s="1">
        <v>1.6</v>
      </c>
      <c r="B154" s="40">
        <v>28</v>
      </c>
      <c r="C154" s="25">
        <v>8.0000000000000002E-8</v>
      </c>
      <c r="D154" s="1">
        <v>3.17</v>
      </c>
      <c r="E154" s="43">
        <v>17.7</v>
      </c>
      <c r="F154" s="30">
        <v>1.71393173890467E-8</v>
      </c>
      <c r="G154" s="30">
        <f t="shared" si="2"/>
        <v>2.7422907822474723E-8</v>
      </c>
      <c r="H154" s="1">
        <v>0.79350350391711988</v>
      </c>
      <c r="I154" s="1">
        <v>25.031656274988006</v>
      </c>
      <c r="J154" s="1">
        <v>-0.60360000000000014</v>
      </c>
      <c r="K154" s="1">
        <v>19.041009463722403</v>
      </c>
      <c r="L154" s="1">
        <v>-1.4804104246903538</v>
      </c>
      <c r="M154" s="1">
        <v>46.700644311998538</v>
      </c>
      <c r="N154" s="1">
        <v>-0.72447389848909793</v>
      </c>
      <c r="O154" s="1">
        <v>22.854066198394257</v>
      </c>
      <c r="P154" s="1">
        <v>-0.50034405279025496</v>
      </c>
      <c r="Q154" s="1">
        <v>15.783724062784069</v>
      </c>
      <c r="R154" s="1">
        <v>-1.1638467571166133</v>
      </c>
      <c r="S154" s="1">
        <v>36.714408741849006</v>
      </c>
    </row>
    <row r="155" spans="1:19" ht="15.4" x14ac:dyDescent="0.4">
      <c r="A155" s="1">
        <v>1.6</v>
      </c>
      <c r="B155" s="40">
        <v>28</v>
      </c>
      <c r="C155" s="25">
        <v>8.0000000000000002E-8</v>
      </c>
      <c r="D155" s="2">
        <v>5.68</v>
      </c>
      <c r="E155" s="43">
        <v>32.5</v>
      </c>
      <c r="F155" s="30">
        <v>1.71393173890467E-8</v>
      </c>
      <c r="G155" s="30">
        <f t="shared" si="2"/>
        <v>2.7422907822474723E-8</v>
      </c>
      <c r="H155" s="2">
        <v>-9.7254126469437097E-5</v>
      </c>
      <c r="I155" s="2">
        <v>1.7122205364337518E-3</v>
      </c>
      <c r="J155" s="2">
        <v>-1.7412999999999998</v>
      </c>
      <c r="K155" s="2">
        <v>30.656690140845072</v>
      </c>
      <c r="L155" s="2">
        <v>-3.9128913918433632</v>
      </c>
      <c r="M155" s="2">
        <v>68.888932954988789</v>
      </c>
      <c r="N155" s="2">
        <v>-2.2593103448275853</v>
      </c>
      <c r="O155" s="2">
        <v>39.776590577950451</v>
      </c>
      <c r="P155" s="2">
        <v>-0.83979289534950485</v>
      </c>
      <c r="Q155" s="2">
        <v>14.785086185730719</v>
      </c>
      <c r="R155" s="2">
        <v>-3.2031018362142532</v>
      </c>
      <c r="S155" s="2">
        <v>56.392637961518545</v>
      </c>
    </row>
    <row r="156" spans="1:19" ht="15.4" x14ac:dyDescent="0.4">
      <c r="A156" s="1">
        <v>1.68</v>
      </c>
      <c r="B156" s="40">
        <v>200</v>
      </c>
      <c r="C156" s="25">
        <v>3.9999999999999998E-7</v>
      </c>
      <c r="D156" s="2">
        <v>1.77</v>
      </c>
      <c r="E156" s="43">
        <v>9</v>
      </c>
      <c r="F156" s="31">
        <v>1.79574567554932E-8</v>
      </c>
      <c r="G156" s="30">
        <f t="shared" si="2"/>
        <v>3.0168527349228576E-8</v>
      </c>
      <c r="H156" s="2">
        <v>0.33171128766706337</v>
      </c>
      <c r="I156" s="2">
        <v>18.740750715653299</v>
      </c>
      <c r="J156" s="2">
        <v>0.44150835802863986</v>
      </c>
      <c r="K156" s="2">
        <v>24.943975029866657</v>
      </c>
      <c r="L156" s="2">
        <v>0.21685732973746696</v>
      </c>
      <c r="M156" s="2">
        <v>12.251826538839941</v>
      </c>
      <c r="N156" s="2">
        <v>0.39491925015848039</v>
      </c>
      <c r="O156" s="2">
        <v>22.311822042852</v>
      </c>
      <c r="P156" s="2">
        <v>0.40654905085781845</v>
      </c>
      <c r="Q156" s="2">
        <v>22.96887292982025</v>
      </c>
      <c r="R156" s="2">
        <v>0.32965403863061526</v>
      </c>
      <c r="S156" s="2">
        <v>18.624521956531936</v>
      </c>
    </row>
    <row r="157" spans="1:19" ht="15.4" x14ac:dyDescent="0.4">
      <c r="A157" s="1">
        <v>1.68</v>
      </c>
      <c r="B157" s="40">
        <v>200</v>
      </c>
      <c r="C157" s="25">
        <v>3.9999999999999998E-7</v>
      </c>
      <c r="D157" s="1">
        <v>2.36</v>
      </c>
      <c r="E157" s="43">
        <v>16</v>
      </c>
      <c r="F157" s="31">
        <v>1.79574567554932E-8</v>
      </c>
      <c r="G157" s="30">
        <f t="shared" si="2"/>
        <v>3.0168527349228576E-8</v>
      </c>
      <c r="H157" s="1">
        <v>0.32064474430343815</v>
      </c>
      <c r="I157" s="1">
        <v>13.586641707772804</v>
      </c>
      <c r="J157" s="1">
        <v>0.42724673092702004</v>
      </c>
      <c r="K157" s="1">
        <v>18.10367503928051</v>
      </c>
      <c r="L157" s="1">
        <v>-0.10735870084381416</v>
      </c>
      <c r="M157" s="1">
        <v>4.5490974933819563</v>
      </c>
      <c r="N157" s="1">
        <v>0.25180892717306191</v>
      </c>
      <c r="O157" s="1">
        <v>10.669869795468726</v>
      </c>
      <c r="P157" s="1">
        <v>0.5086628958482402</v>
      </c>
      <c r="Q157" s="1">
        <v>21.553512535942382</v>
      </c>
      <c r="R157" s="1">
        <v>0.2734227886537921</v>
      </c>
      <c r="S157" s="1">
        <v>11.58571138363526</v>
      </c>
    </row>
    <row r="158" spans="1:19" ht="15.4" x14ac:dyDescent="0.4">
      <c r="A158" s="1">
        <v>1.68</v>
      </c>
      <c r="B158" s="40">
        <v>200</v>
      </c>
      <c r="C158" s="25">
        <v>3.9999999999999998E-7</v>
      </c>
      <c r="D158" s="1">
        <v>3.07</v>
      </c>
      <c r="E158" s="43">
        <v>26</v>
      </c>
      <c r="F158" s="31">
        <v>1.79574567554932E-8</v>
      </c>
      <c r="G158" s="30">
        <f t="shared" si="2"/>
        <v>3.0168527349228576E-8</v>
      </c>
      <c r="H158" s="1">
        <v>1.0623807091287838</v>
      </c>
      <c r="I158" s="1">
        <v>34.605234825041819</v>
      </c>
      <c r="J158" s="1">
        <v>0.93193399498940055</v>
      </c>
      <c r="K158" s="1">
        <v>30.356156188579824</v>
      </c>
      <c r="L158" s="1">
        <v>-0.38832702133226737</v>
      </c>
      <c r="M158" s="1">
        <v>12.649088642744866</v>
      </c>
      <c r="N158" s="1">
        <v>0.3220158527715995</v>
      </c>
      <c r="O158" s="1">
        <v>10.489115725459268</v>
      </c>
      <c r="P158" s="1">
        <v>1.5762782660705379</v>
      </c>
      <c r="Q158" s="1">
        <v>51.344568927379086</v>
      </c>
      <c r="R158" s="1">
        <v>0.76119028902027575</v>
      </c>
      <c r="S158" s="1">
        <v>24.794471955057844</v>
      </c>
    </row>
    <row r="159" spans="1:19" ht="15.4" x14ac:dyDescent="0.4">
      <c r="A159" s="1">
        <v>1.68</v>
      </c>
      <c r="B159" s="40">
        <v>200</v>
      </c>
      <c r="C159" s="25">
        <v>3.9999999999999998E-7</v>
      </c>
      <c r="D159" s="2">
        <v>4.0999999999999996</v>
      </c>
      <c r="E159" s="43">
        <v>36</v>
      </c>
      <c r="F159" s="31">
        <v>1.79574567554932E-8</v>
      </c>
      <c r="G159" s="30">
        <f t="shared" si="2"/>
        <v>3.0168527349228576E-8</v>
      </c>
      <c r="H159" s="2">
        <v>1.6590000000000007</v>
      </c>
      <c r="I159" s="2">
        <v>40.463414634146361</v>
      </c>
      <c r="J159" s="2">
        <v>1.8990164356216201</v>
      </c>
      <c r="K159" s="2">
        <v>46.317474039551712</v>
      </c>
      <c r="L159" s="2">
        <v>-0.91827603460787666</v>
      </c>
      <c r="M159" s="2">
        <v>22.396976453850652</v>
      </c>
      <c r="N159" s="2">
        <v>0.30672567230049097</v>
      </c>
      <c r="O159" s="2">
        <v>7.4811139585485602</v>
      </c>
      <c r="P159" s="2">
        <v>4.5502804187025969</v>
      </c>
      <c r="Q159" s="2">
        <v>110.9824492366487</v>
      </c>
      <c r="R159" s="2">
        <v>1.8223191356159258</v>
      </c>
      <c r="S159" s="2">
        <v>44.446808185754293</v>
      </c>
    </row>
    <row r="160" spans="1:19" ht="15.4" x14ac:dyDescent="0.4">
      <c r="A160" s="1">
        <v>1.68</v>
      </c>
      <c r="B160" s="40">
        <v>200</v>
      </c>
      <c r="C160" s="25">
        <v>3.9999999999999998E-7</v>
      </c>
      <c r="D160" s="2">
        <v>5.13</v>
      </c>
      <c r="E160" s="43">
        <v>46</v>
      </c>
      <c r="F160" s="31">
        <v>1.79574567554932E-8</v>
      </c>
      <c r="G160" s="30">
        <f t="shared" si="2"/>
        <v>3.0168527349228576E-8</v>
      </c>
      <c r="H160" s="2">
        <v>1.1109</v>
      </c>
      <c r="I160" s="2">
        <v>21.654970760233919</v>
      </c>
      <c r="J160" s="2">
        <v>4.3318094360558907</v>
      </c>
      <c r="K160" s="2">
        <v>84.440729747678191</v>
      </c>
      <c r="L160" s="2">
        <v>-1.3579803542946514</v>
      </c>
      <c r="M160" s="2">
        <v>26.471351935568254</v>
      </c>
      <c r="N160" s="2">
        <v>0.65036214203159037</v>
      </c>
      <c r="O160" s="2">
        <v>12.677624601005661</v>
      </c>
      <c r="P160" s="2">
        <v>17.62299924256244</v>
      </c>
      <c r="Q160" s="2">
        <v>343.52825034234775</v>
      </c>
      <c r="R160" s="2">
        <v>4.9075161929403466</v>
      </c>
      <c r="S160" s="2">
        <v>95.663083683047688</v>
      </c>
    </row>
    <row r="161" spans="1:19" ht="15.4" x14ac:dyDescent="0.4">
      <c r="A161" s="1">
        <v>1.68</v>
      </c>
      <c r="B161" s="40">
        <v>200</v>
      </c>
      <c r="C161" s="25">
        <v>3.9999999999999998E-7</v>
      </c>
      <c r="D161" s="2">
        <v>6.64</v>
      </c>
      <c r="E161" s="43">
        <v>51</v>
      </c>
      <c r="F161" s="31">
        <v>1.79574567554932E-8</v>
      </c>
      <c r="G161" s="30">
        <f t="shared" si="2"/>
        <v>3.0168527349228576E-8</v>
      </c>
      <c r="H161" s="2">
        <v>-0.17609999999999992</v>
      </c>
      <c r="I161" s="2">
        <v>2.6521084337349388</v>
      </c>
      <c r="J161" s="2">
        <v>5.4974487272764998</v>
      </c>
      <c r="K161" s="2">
        <v>82.792902519224398</v>
      </c>
      <c r="L161" s="2">
        <v>-2.5309957162814385</v>
      </c>
      <c r="M161" s="2">
        <v>38.117405365684313</v>
      </c>
      <c r="N161" s="2">
        <v>2.7064044266693621E-2</v>
      </c>
      <c r="O161" s="2">
        <v>0.40759102811285575</v>
      </c>
      <c r="P161" s="2">
        <v>54.83319763530659</v>
      </c>
      <c r="Q161" s="2">
        <v>825.80116920642456</v>
      </c>
      <c r="R161" s="2">
        <v>7.2582632501896223</v>
      </c>
      <c r="S161" s="2">
        <v>109.31119352695215</v>
      </c>
    </row>
    <row r="162" spans="1:19" ht="15.4" x14ac:dyDescent="0.4">
      <c r="A162" s="1">
        <v>1.68</v>
      </c>
      <c r="B162" s="40">
        <v>200</v>
      </c>
      <c r="C162" s="25">
        <v>3.9999999999999998E-7</v>
      </c>
      <c r="D162" s="2">
        <v>7.08</v>
      </c>
      <c r="E162" s="43">
        <v>56.000000000000007</v>
      </c>
      <c r="F162" s="31">
        <v>1.79574567554932E-8</v>
      </c>
      <c r="G162" s="30">
        <f t="shared" si="2"/>
        <v>3.0168527349228576E-8</v>
      </c>
      <c r="H162" s="2">
        <v>-0.40300000000000047</v>
      </c>
      <c r="I162" s="2">
        <v>5.692090395480232</v>
      </c>
      <c r="J162" s="2">
        <v>8.7184131414303003</v>
      </c>
      <c r="K162" s="2">
        <v>123.14142855127544</v>
      </c>
      <c r="L162" s="2">
        <v>-2.6005870720259203</v>
      </c>
      <c r="M162" s="2">
        <v>36.731455819575146</v>
      </c>
      <c r="N162" s="2">
        <v>0.66428511995562278</v>
      </c>
      <c r="O162" s="2">
        <v>9.3825581914635983</v>
      </c>
      <c r="P162" s="2">
        <v>-148.00656438651055</v>
      </c>
      <c r="Q162" s="2">
        <v>2090.4881975495841</v>
      </c>
      <c r="R162" s="2">
        <v>13.722739575765841</v>
      </c>
      <c r="S162" s="2">
        <v>193.82400530742714</v>
      </c>
    </row>
    <row r="163" spans="1:19" ht="15.4" x14ac:dyDescent="0.4">
      <c r="A163" s="1">
        <v>1.68</v>
      </c>
      <c r="B163" s="40">
        <v>200</v>
      </c>
      <c r="C163" s="25">
        <v>3.9999999999999998E-7</v>
      </c>
      <c r="D163" s="2">
        <v>8.4</v>
      </c>
      <c r="E163" s="43">
        <v>61</v>
      </c>
      <c r="F163" s="31">
        <v>1.79574567554932E-8</v>
      </c>
      <c r="G163" s="30">
        <f t="shared" si="2"/>
        <v>3.0168527349228576E-8</v>
      </c>
      <c r="H163" s="2">
        <v>-1.5186000000000002</v>
      </c>
      <c r="I163" s="2">
        <v>18.078571428571429</v>
      </c>
      <c r="J163" s="2">
        <v>12.453371822917299</v>
      </c>
      <c r="K163" s="2">
        <v>148.25442646330117</v>
      </c>
      <c r="L163" s="2">
        <v>-3.5115221721650069</v>
      </c>
      <c r="M163" s="2">
        <v>41.803835382916752</v>
      </c>
      <c r="N163" s="2">
        <v>0.68081918023712618</v>
      </c>
      <c r="O163" s="2">
        <v>8.104990240918168</v>
      </c>
      <c r="P163" s="2">
        <v>-45.667469168877943</v>
      </c>
      <c r="Q163" s="2">
        <v>543.66034724854694</v>
      </c>
      <c r="R163" s="2">
        <v>28.039274135083318</v>
      </c>
      <c r="S163" s="2">
        <v>333.80088256051567</v>
      </c>
    </row>
    <row r="164" spans="1:19" ht="15.4" x14ac:dyDescent="0.4">
      <c r="A164" s="1">
        <v>1.68</v>
      </c>
      <c r="B164" s="40">
        <v>200</v>
      </c>
      <c r="C164" s="25">
        <v>3.9999999999999998E-7</v>
      </c>
      <c r="D164" s="2">
        <v>10</v>
      </c>
      <c r="E164" s="43">
        <v>66</v>
      </c>
      <c r="F164" s="31">
        <v>1.79574567554932E-8</v>
      </c>
      <c r="G164" s="30">
        <f t="shared" si="2"/>
        <v>3.0168527349228576E-8</v>
      </c>
      <c r="H164" s="2">
        <v>-2.9217000000000004</v>
      </c>
      <c r="I164" s="2">
        <v>29.217000000000006</v>
      </c>
      <c r="J164" s="2">
        <v>17.875681968358599</v>
      </c>
      <c r="K164" s="2">
        <v>178.756819683586</v>
      </c>
      <c r="L164" s="2">
        <v>-4.6574165577466857</v>
      </c>
      <c r="M164" s="2">
        <v>46.574165577466857</v>
      </c>
      <c r="N164" s="2">
        <v>0.78311262225950706</v>
      </c>
      <c r="O164" s="2">
        <v>7.8311262225950706</v>
      </c>
      <c r="P164" s="2">
        <v>-32.972269981401894</v>
      </c>
      <c r="Q164" s="2">
        <v>329.72269981401894</v>
      </c>
      <c r="R164" s="2">
        <v>94.180189868544957</v>
      </c>
      <c r="S164" s="2">
        <v>941.80189868544949</v>
      </c>
    </row>
    <row r="165" spans="1:19" ht="15.4" x14ac:dyDescent="0.4">
      <c r="A165" s="1">
        <v>1.68</v>
      </c>
      <c r="B165" s="40">
        <v>200</v>
      </c>
      <c r="C165" s="25">
        <v>3.9999999999999998E-7</v>
      </c>
      <c r="D165" s="2">
        <v>11.9</v>
      </c>
      <c r="E165" s="43">
        <v>71</v>
      </c>
      <c r="F165" s="31">
        <v>1.79574567554932E-8</v>
      </c>
      <c r="G165" s="30">
        <f t="shared" si="2"/>
        <v>3.0168527349228576E-8</v>
      </c>
      <c r="H165" s="2">
        <v>-4.6304000000000007</v>
      </c>
      <c r="I165" s="2">
        <v>38.91092436974791</v>
      </c>
      <c r="J165" s="2">
        <v>25.611389543286002</v>
      </c>
      <c r="K165" s="2">
        <v>215.2217608679496</v>
      </c>
      <c r="L165" s="2">
        <v>-6.0503979175194917</v>
      </c>
      <c r="M165" s="2">
        <v>50.84367997915539</v>
      </c>
      <c r="N165" s="2">
        <v>1.1251082605414897</v>
      </c>
      <c r="O165" s="2">
        <v>9.4546912650545352</v>
      </c>
      <c r="P165" s="2">
        <v>-29.237124873756727</v>
      </c>
      <c r="Q165" s="2">
        <v>245.69012498955232</v>
      </c>
      <c r="R165" s="2">
        <v>-182.40900334264407</v>
      </c>
      <c r="S165" s="2">
        <v>1532.8487675852441</v>
      </c>
    </row>
    <row r="166" spans="1:19" ht="15.4" x14ac:dyDescent="0.4">
      <c r="A166" s="1">
        <v>2</v>
      </c>
      <c r="B166" s="40">
        <v>200</v>
      </c>
      <c r="C166" s="25">
        <v>5.0000000000000004E-6</v>
      </c>
      <c r="D166" s="2">
        <v>5.1733333333333302</v>
      </c>
      <c r="E166" s="43">
        <v>5</v>
      </c>
      <c r="F166" s="31">
        <v>9.2509870276379999E-8</v>
      </c>
      <c r="G166" s="30">
        <f t="shared" si="2"/>
        <v>1.8501974055276E-7</v>
      </c>
      <c r="H166" s="2">
        <v>-1.9057333333333304</v>
      </c>
      <c r="I166" s="2">
        <v>36.837628865979347</v>
      </c>
      <c r="J166" s="2">
        <v>-2.85197197002317</v>
      </c>
      <c r="K166" s="2">
        <v>55.128324162819041</v>
      </c>
      <c r="L166" s="2">
        <v>-2.9284628402367519</v>
      </c>
      <c r="M166" s="2">
        <v>56.606884798390858</v>
      </c>
      <c r="N166" s="2">
        <v>-2.8673055126223561</v>
      </c>
      <c r="O166" s="2">
        <v>55.424719960483728</v>
      </c>
      <c r="P166" s="2">
        <v>-2.9045885055118532</v>
      </c>
      <c r="Q166" s="2">
        <v>56.145396369430188</v>
      </c>
      <c r="R166" s="2">
        <v>-2.9223694360506269</v>
      </c>
      <c r="S166" s="2">
        <v>56.489099923659062</v>
      </c>
    </row>
    <row r="167" spans="1:19" ht="15.4" x14ac:dyDescent="0.4">
      <c r="A167" s="1">
        <v>2</v>
      </c>
      <c r="B167" s="40">
        <v>200</v>
      </c>
      <c r="C167" s="25">
        <v>5.0000000000000004E-6</v>
      </c>
      <c r="D167" s="2">
        <v>5.9200000000000008</v>
      </c>
      <c r="E167" s="43">
        <v>10</v>
      </c>
      <c r="F167" s="31">
        <v>9.2509870276379999E-8</v>
      </c>
      <c r="G167" s="30">
        <f t="shared" si="2"/>
        <v>1.8501974055276E-7</v>
      </c>
      <c r="H167" s="2">
        <v>-0.57870000000000044</v>
      </c>
      <c r="I167" s="2">
        <v>9.7753378378378439</v>
      </c>
      <c r="J167" s="2">
        <v>-3.2060908600189708</v>
      </c>
      <c r="K167" s="2">
        <v>54.156940203023154</v>
      </c>
      <c r="L167" s="2">
        <v>-3.4094214085653163</v>
      </c>
      <c r="M167" s="2">
        <v>57.591577847387086</v>
      </c>
      <c r="N167" s="2">
        <v>-3.275048859934854</v>
      </c>
      <c r="O167" s="2">
        <v>55.321771282683343</v>
      </c>
      <c r="P167" s="2">
        <v>-3.2371669484011063</v>
      </c>
      <c r="Q167" s="2">
        <v>54.681874128397055</v>
      </c>
      <c r="R167" s="2">
        <v>-3.2935530367743455</v>
      </c>
      <c r="S167" s="2">
        <v>55.634341837404477</v>
      </c>
    </row>
    <row r="168" spans="1:19" ht="15.4" x14ac:dyDescent="0.4">
      <c r="A168" s="1">
        <v>2</v>
      </c>
      <c r="B168" s="40">
        <v>200</v>
      </c>
      <c r="C168" s="25">
        <v>5.0000000000000004E-6</v>
      </c>
      <c r="D168" s="2">
        <v>7.4133333333333331</v>
      </c>
      <c r="E168" s="43">
        <v>20</v>
      </c>
      <c r="F168" s="31">
        <v>9.2509870276379999E-8</v>
      </c>
      <c r="G168" s="30">
        <f t="shared" si="2"/>
        <v>1.8501974055276E-7</v>
      </c>
      <c r="H168" s="2">
        <v>2.3136666666666672</v>
      </c>
      <c r="I168" s="2">
        <v>31.209532374100728</v>
      </c>
      <c r="J168" s="2">
        <v>-3.6126893508222633</v>
      </c>
      <c r="K168" s="2">
        <v>48.732320379796718</v>
      </c>
      <c r="L168" s="2">
        <v>-4.2971969245569621</v>
      </c>
      <c r="M168" s="2">
        <v>57.965785852836724</v>
      </c>
      <c r="N168" s="2">
        <v>-3.9680778588807786</v>
      </c>
      <c r="O168" s="2">
        <v>53.526230110801876</v>
      </c>
      <c r="P168" s="2">
        <v>-3.3419542357131817</v>
      </c>
      <c r="Q168" s="2">
        <v>45.080317927785721</v>
      </c>
      <c r="R168" s="2">
        <v>-3.5907737580868142</v>
      </c>
      <c r="S168" s="2">
        <v>48.436696377070341</v>
      </c>
    </row>
    <row r="169" spans="1:19" ht="15.4" x14ac:dyDescent="0.4">
      <c r="A169" s="1">
        <v>2</v>
      </c>
      <c r="B169" s="40">
        <v>200</v>
      </c>
      <c r="C169" s="25">
        <v>5.0000000000000004E-6</v>
      </c>
      <c r="D169" s="2">
        <v>8.1066666666666674</v>
      </c>
      <c r="E169" s="43">
        <v>30</v>
      </c>
      <c r="F169" s="31">
        <v>9.2509870276379999E-8</v>
      </c>
      <c r="G169" s="30">
        <f t="shared" si="2"/>
        <v>1.8501974055276E-7</v>
      </c>
      <c r="H169" s="2">
        <v>3.483533333333332</v>
      </c>
      <c r="I169" s="2">
        <v>42.971217105263136</v>
      </c>
      <c r="J169" s="2">
        <v>-2.5816750256291776</v>
      </c>
      <c r="K169" s="2">
        <v>31.84632021746518</v>
      </c>
      <c r="L169" s="2">
        <v>-4.2607729553402116</v>
      </c>
      <c r="M169" s="2">
        <v>52.558876916203268</v>
      </c>
      <c r="N169" s="2">
        <v>-3.6419363762102357</v>
      </c>
      <c r="O169" s="2">
        <v>44.92520200917231</v>
      </c>
      <c r="P169" s="2">
        <v>-1.232905421925155</v>
      </c>
      <c r="Q169" s="2">
        <v>15.208537277037271</v>
      </c>
      <c r="R169" s="2">
        <v>-2.0925291047362888</v>
      </c>
      <c r="S169" s="2">
        <v>25.812447838029879</v>
      </c>
    </row>
    <row r="170" spans="1:19" ht="15.4" x14ac:dyDescent="0.4">
      <c r="A170" s="1">
        <v>2</v>
      </c>
      <c r="B170" s="40">
        <v>200</v>
      </c>
      <c r="C170" s="25">
        <v>5.0000000000000004E-6</v>
      </c>
      <c r="D170" s="2">
        <v>12.906666666666666</v>
      </c>
      <c r="E170" s="43">
        <v>40</v>
      </c>
      <c r="F170" s="31">
        <v>9.2509870276379999E-8</v>
      </c>
      <c r="G170" s="30">
        <f t="shared" si="2"/>
        <v>1.8501974055276E-7</v>
      </c>
      <c r="H170" s="2">
        <v>0.13223333333333365</v>
      </c>
      <c r="I170" s="2">
        <v>1.0245351239669445</v>
      </c>
      <c r="J170" s="2">
        <v>-4.5154287624972369</v>
      </c>
      <c r="K170" s="2">
        <v>34.985243511083965</v>
      </c>
      <c r="L170" s="2">
        <v>-8.1642401727357132</v>
      </c>
      <c r="M170" s="2">
        <v>63.255993073882081</v>
      </c>
      <c r="N170" s="2">
        <v>-7.0989743589743588</v>
      </c>
      <c r="O170" s="2">
        <v>55.002383979656713</v>
      </c>
      <c r="P170" s="2">
        <v>0.96604281789318414</v>
      </c>
      <c r="Q170" s="2">
        <v>7.4848358824368608</v>
      </c>
      <c r="R170" s="2">
        <v>-2.3728710289182562</v>
      </c>
      <c r="S170" s="2">
        <v>18.384847848023682</v>
      </c>
    </row>
    <row r="171" spans="1:19" ht="15.4" x14ac:dyDescent="0.4">
      <c r="A171" s="1">
        <v>3.2</v>
      </c>
      <c r="B171" s="40">
        <v>2000</v>
      </c>
      <c r="C171" s="25">
        <v>3.0000000000000001E-5</v>
      </c>
      <c r="D171" s="2">
        <v>9.6999999999999993</v>
      </c>
      <c r="E171" s="43">
        <v>33.333333333333329</v>
      </c>
      <c r="F171" s="30">
        <v>7.2824991447643399E-7</v>
      </c>
      <c r="G171" s="30">
        <f t="shared" si="2"/>
        <v>2.3303997263245888E-6</v>
      </c>
      <c r="H171" s="2">
        <v>1.4489067273143004</v>
      </c>
      <c r="I171" s="2">
        <v>14.937182755817529</v>
      </c>
      <c r="J171" s="2">
        <v>0.97730000000000139</v>
      </c>
      <c r="K171" s="2">
        <v>10.075257731958779</v>
      </c>
      <c r="L171" s="2">
        <v>-3.8882169061042475</v>
      </c>
      <c r="M171" s="2">
        <v>40.08471037220874</v>
      </c>
      <c r="N171" s="2">
        <v>-1.73436754176611</v>
      </c>
      <c r="O171" s="2">
        <v>17.880077750166084</v>
      </c>
      <c r="P171" s="2">
        <v>4.7555764323411278</v>
      </c>
      <c r="Q171" s="2">
        <v>49.026561158155964</v>
      </c>
      <c r="R171" s="2">
        <v>0.5548368317174468</v>
      </c>
      <c r="S171" s="2">
        <v>5.7199673372932667</v>
      </c>
    </row>
    <row r="172" spans="1:19" ht="15.4" x14ac:dyDescent="0.4">
      <c r="A172" s="1">
        <v>3.2</v>
      </c>
      <c r="B172" s="40">
        <v>2000</v>
      </c>
      <c r="C172" s="25">
        <v>3.0000000000000001E-5</v>
      </c>
      <c r="D172" s="2">
        <v>12.03</v>
      </c>
      <c r="E172" s="43">
        <v>50</v>
      </c>
      <c r="F172" s="30">
        <v>7.2824991447643399E-7</v>
      </c>
      <c r="G172" s="30">
        <f t="shared" si="2"/>
        <v>2.3303997263245888E-6</v>
      </c>
      <c r="H172" s="2">
        <v>0.52524022845840079</v>
      </c>
      <c r="I172" s="2">
        <v>4.3660866871022508</v>
      </c>
      <c r="J172" s="2">
        <v>12.712899999999999</v>
      </c>
      <c r="K172" s="2">
        <v>105.67664172901081</v>
      </c>
      <c r="L172" s="2">
        <v>-4.2954949636860658</v>
      </c>
      <c r="M172" s="2">
        <v>35.706525051421991</v>
      </c>
      <c r="N172" s="2">
        <v>0.67857142857142705</v>
      </c>
      <c r="O172" s="2">
        <v>5.6406602541265762</v>
      </c>
      <c r="P172" s="2">
        <v>127.06455296248222</v>
      </c>
      <c r="Q172" s="2">
        <v>1056.2306979424957</v>
      </c>
      <c r="R172" s="2">
        <v>14.629550995695292</v>
      </c>
      <c r="S172" s="2">
        <v>121.60890270735905</v>
      </c>
    </row>
    <row r="173" spans="1:19" ht="15.4" x14ac:dyDescent="0.4">
      <c r="A173" s="1">
        <v>3.2</v>
      </c>
      <c r="B173" s="40">
        <v>2000</v>
      </c>
      <c r="C173" s="25">
        <v>3.0000000000000001E-5</v>
      </c>
      <c r="D173" s="2">
        <v>13.42</v>
      </c>
      <c r="E173" s="43">
        <v>60</v>
      </c>
      <c r="F173" s="30">
        <v>7.2824991447643399E-7</v>
      </c>
      <c r="G173" s="30">
        <f t="shared" si="2"/>
        <v>2.3303997263245888E-6</v>
      </c>
      <c r="H173" s="2">
        <v>-0.11422630637149922</v>
      </c>
      <c r="I173" s="2">
        <v>0.85116472706035196</v>
      </c>
      <c r="J173" s="2">
        <v>33.366599999999998</v>
      </c>
      <c r="K173" s="2">
        <v>248.6333830104322</v>
      </c>
      <c r="L173" s="2">
        <v>-4.2109233678370455</v>
      </c>
      <c r="M173" s="2">
        <v>31.377968463763377</v>
      </c>
      <c r="N173" s="2">
        <v>4.0089786223277866</v>
      </c>
      <c r="O173" s="2">
        <v>29.87316410080318</v>
      </c>
      <c r="P173" s="2">
        <v>-75.612182024676514</v>
      </c>
      <c r="Q173" s="2">
        <v>563.42907618983986</v>
      </c>
      <c r="R173" s="2">
        <v>60.714153676213726</v>
      </c>
      <c r="S173" s="2">
        <v>452.41545213274009</v>
      </c>
    </row>
    <row r="174" spans="1:19" ht="15.4" x14ac:dyDescent="0.4">
      <c r="A174" s="1">
        <v>3.2</v>
      </c>
      <c r="B174" s="40">
        <v>2000</v>
      </c>
      <c r="C174" s="25">
        <v>3.0000000000000001E-5</v>
      </c>
      <c r="D174" s="2">
        <v>14.38</v>
      </c>
      <c r="E174" s="43">
        <v>66.666666666666657</v>
      </c>
      <c r="F174" s="30">
        <v>7.2824991447643399E-7</v>
      </c>
      <c r="G174" s="30">
        <f t="shared" si="2"/>
        <v>2.3303997263245888E-6</v>
      </c>
      <c r="H174" s="2">
        <v>-0.60329284431210084</v>
      </c>
      <c r="I174" s="2">
        <v>4.195360530682203</v>
      </c>
      <c r="J174" s="2">
        <v>62.370299999999993</v>
      </c>
      <c r="K174" s="2">
        <v>433.72948539638384</v>
      </c>
      <c r="L174" s="2">
        <v>-4.0041730220200549</v>
      </c>
      <c r="M174" s="2">
        <v>27.845431307510811</v>
      </c>
      <c r="N174" s="2">
        <v>7.7470142180094665</v>
      </c>
      <c r="O174" s="2">
        <v>53.873534200343997</v>
      </c>
      <c r="P174" s="2">
        <v>-50.469659448359621</v>
      </c>
      <c r="Q174" s="2">
        <v>350.97120617774419</v>
      </c>
      <c r="R174" s="2">
        <v>989.87428172701414</v>
      </c>
      <c r="S174" s="2">
        <v>6883.6876337066342</v>
      </c>
    </row>
    <row r="175" spans="1:19" ht="15.4" x14ac:dyDescent="0.4">
      <c r="A175" s="1">
        <v>3.2</v>
      </c>
      <c r="B175" s="40">
        <v>2000</v>
      </c>
      <c r="C175" s="25">
        <v>3.0000000000000001E-5</v>
      </c>
      <c r="D175" s="2">
        <v>16.79</v>
      </c>
      <c r="E175" s="43">
        <v>71.428571428571431</v>
      </c>
      <c r="F175" s="30">
        <v>7.2824991447643399E-7</v>
      </c>
      <c r="G175" s="30">
        <f t="shared" si="2"/>
        <v>2.3303997263245888E-6</v>
      </c>
      <c r="H175" s="2">
        <v>-2.6874447538762993</v>
      </c>
      <c r="I175" s="2">
        <v>16.006222476928524</v>
      </c>
      <c r="J175" s="2">
        <v>86.321899999999999</v>
      </c>
      <c r="K175" s="2">
        <v>514.12686122692082</v>
      </c>
      <c r="L175" s="2">
        <v>-5.4679657962464034</v>
      </c>
      <c r="M175" s="2">
        <v>32.566800454117953</v>
      </c>
      <c r="N175" s="2">
        <v>10.012836879432619</v>
      </c>
      <c r="O175" s="2">
        <v>59.635716971010247</v>
      </c>
      <c r="P175" s="2">
        <v>-45.734498590485664</v>
      </c>
      <c r="Q175" s="2">
        <v>272.39129595286278</v>
      </c>
      <c r="R175" s="2">
        <v>-169.30517061521229</v>
      </c>
      <c r="S175" s="2">
        <v>1008.3690924074587</v>
      </c>
    </row>
    <row r="176" spans="1:19" ht="15.4" x14ac:dyDescent="0.4">
      <c r="A176" s="1">
        <v>3.2</v>
      </c>
      <c r="B176" s="40">
        <v>2000</v>
      </c>
      <c r="C176" s="25">
        <v>3.0000000000000001E-5</v>
      </c>
      <c r="D176" s="2">
        <v>18.96</v>
      </c>
      <c r="E176" s="43">
        <v>75</v>
      </c>
      <c r="F176" s="30">
        <v>7.2824991447643399E-7</v>
      </c>
      <c r="G176" s="30">
        <f t="shared" si="2"/>
        <v>2.3303997263245888E-6</v>
      </c>
      <c r="H176" s="2">
        <v>-4.6218358523322003</v>
      </c>
      <c r="I176" s="2">
        <v>24.376771373060127</v>
      </c>
      <c r="J176" s="2">
        <v>133.4117</v>
      </c>
      <c r="K176" s="2">
        <v>703.64820675105477</v>
      </c>
      <c r="L176" s="2">
        <v>-6.855169623036204</v>
      </c>
      <c r="M176" s="2">
        <v>36.155957927406142</v>
      </c>
      <c r="N176" s="2">
        <v>12.496603773584898</v>
      </c>
      <c r="O176" s="2">
        <v>65.910357455616548</v>
      </c>
      <c r="P176" s="2">
        <v>-44.595553561735599</v>
      </c>
      <c r="Q176" s="2">
        <v>235.20861583193883</v>
      </c>
      <c r="R176" s="2">
        <v>-105.30581989276459</v>
      </c>
      <c r="S176" s="2">
        <v>555.4104424723871</v>
      </c>
    </row>
    <row r="177" spans="1:19" ht="15.4" x14ac:dyDescent="0.4">
      <c r="A177" s="1">
        <v>7.51</v>
      </c>
      <c r="B177" s="40">
        <v>30</v>
      </c>
      <c r="C177" s="25">
        <v>6.9999999999999994E-5</v>
      </c>
      <c r="D177" s="2">
        <v>7.9</v>
      </c>
      <c r="E177" s="43">
        <v>49.243098842386459</v>
      </c>
      <c r="F177" s="30">
        <v>1.64576737194344E-6</v>
      </c>
      <c r="G177" s="30">
        <f t="shared" si="2"/>
        <v>1.2359712963295233E-5</v>
      </c>
      <c r="H177" s="2">
        <v>-1.1275670109400338E-2</v>
      </c>
      <c r="I177" s="2">
        <v>0.14273000138481437</v>
      </c>
      <c r="J177" s="2">
        <v>7.5647343826578002</v>
      </c>
      <c r="K177" s="2">
        <v>95.7561314260481</v>
      </c>
      <c r="L177" s="2">
        <v>1.7968942998398791</v>
      </c>
      <c r="M177" s="2">
        <v>22.745497466327581</v>
      </c>
      <c r="N177" s="2">
        <v>6.9605071445828735</v>
      </c>
      <c r="O177" s="2">
        <v>88.107685374466755</v>
      </c>
      <c r="P177" s="2">
        <v>8.5351238425738725</v>
      </c>
      <c r="Q177" s="2">
        <v>108.03954231106168</v>
      </c>
      <c r="R177" s="2">
        <v>4.8319209565349794</v>
      </c>
      <c r="S177" s="2">
        <v>61.163556411835188</v>
      </c>
    </row>
    <row r="178" spans="1:19" ht="15.4" x14ac:dyDescent="0.4">
      <c r="A178" s="1">
        <v>13</v>
      </c>
      <c r="B178" s="40">
        <v>2400</v>
      </c>
      <c r="C178" s="25">
        <v>1.2E-5</v>
      </c>
      <c r="D178" s="2">
        <v>11.81</v>
      </c>
      <c r="E178" s="43">
        <v>48</v>
      </c>
      <c r="F178" s="30">
        <v>4.58069452643911E-7</v>
      </c>
      <c r="G178" s="30">
        <f t="shared" si="2"/>
        <v>5.9549028843708431E-6</v>
      </c>
      <c r="H178" s="2">
        <v>-3.6017543522080597</v>
      </c>
      <c r="I178" s="2">
        <v>30.497496631736322</v>
      </c>
      <c r="J178" s="2">
        <v>72.552700000000002</v>
      </c>
      <c r="K178" s="2">
        <v>614.33276883996609</v>
      </c>
      <c r="L178" s="2">
        <v>1.2031237779173694</v>
      </c>
      <c r="M178" s="2">
        <v>10.187330888377385</v>
      </c>
      <c r="N178" s="2">
        <v>36.093330625507718</v>
      </c>
      <c r="O178" s="2">
        <v>305.61668607542521</v>
      </c>
      <c r="P178" s="2">
        <v>255.84554968306651</v>
      </c>
      <c r="Q178" s="2">
        <v>2166.3467373672015</v>
      </c>
      <c r="R178" s="2">
        <v>10.137552088493274</v>
      </c>
      <c r="S178" s="2">
        <v>85.838713704430774</v>
      </c>
    </row>
    <row r="179" spans="1:19" ht="15.4" x14ac:dyDescent="0.4">
      <c r="A179" s="1">
        <v>13</v>
      </c>
      <c r="B179" s="40">
        <v>2400</v>
      </c>
      <c r="C179" s="25">
        <v>1.8E-5</v>
      </c>
      <c r="D179" s="2">
        <v>31.41</v>
      </c>
      <c r="E179" s="43">
        <v>48</v>
      </c>
      <c r="F179" s="30">
        <v>4.58069452643911E-7</v>
      </c>
      <c r="G179" s="30">
        <f t="shared" si="2"/>
        <v>5.9549028843708431E-6</v>
      </c>
      <c r="H179" s="2">
        <v>-19.3026029519459</v>
      </c>
      <c r="I179" s="2">
        <v>61.453686570983443</v>
      </c>
      <c r="J179" s="2">
        <v>52.952700000000007</v>
      </c>
      <c r="K179" s="2">
        <v>168.58548233046801</v>
      </c>
      <c r="L179" s="2">
        <v>-15.543657905301403</v>
      </c>
      <c r="M179" s="2">
        <v>49.486335260431083</v>
      </c>
      <c r="N179" s="2">
        <v>16.493330625507721</v>
      </c>
      <c r="O179" s="2">
        <v>52.509807785761609</v>
      </c>
      <c r="P179" s="2">
        <v>236.24554968306651</v>
      </c>
      <c r="Q179" s="2">
        <v>752.13482866305799</v>
      </c>
      <c r="R179" s="2">
        <v>-1.1171880272890249</v>
      </c>
      <c r="S179" s="2">
        <v>3.5567909178256127</v>
      </c>
    </row>
    <row r="180" spans="1:19" ht="15.4" x14ac:dyDescent="0.4">
      <c r="A180" s="1">
        <v>13</v>
      </c>
      <c r="B180" s="40">
        <v>2400</v>
      </c>
      <c r="C180" s="25">
        <v>5.0000000000000002E-5</v>
      </c>
      <c r="D180" s="2">
        <v>32.770000000000003</v>
      </c>
      <c r="E180" s="43">
        <v>48</v>
      </c>
      <c r="F180" s="30">
        <v>4.58069452643911E-7</v>
      </c>
      <c r="G180" s="30">
        <f t="shared" si="2"/>
        <v>5.9549028843708431E-6</v>
      </c>
      <c r="H180" s="2">
        <v>-0.30813168668880309</v>
      </c>
      <c r="I180" s="2">
        <v>0.94028589163504139</v>
      </c>
      <c r="J180" s="2">
        <v>51.592700000000001</v>
      </c>
      <c r="K180" s="2">
        <v>157.43881599023496</v>
      </c>
      <c r="L180" s="2">
        <v>-7.1743085453534832</v>
      </c>
      <c r="M180" s="2">
        <v>21.892915915024357</v>
      </c>
      <c r="N180" s="2">
        <v>15.133330625507718</v>
      </c>
      <c r="O180" s="2">
        <v>46.180441335086101</v>
      </c>
      <c r="P180" s="2">
        <v>234.8855496830665</v>
      </c>
      <c r="Q180" s="2">
        <v>716.7700631158574</v>
      </c>
      <c r="R180" s="2">
        <v>33.929502867134723</v>
      </c>
      <c r="S180" s="2">
        <v>103.53830597233664</v>
      </c>
    </row>
    <row r="181" spans="1:19" ht="15.4" x14ac:dyDescent="0.4">
      <c r="A181" s="1">
        <v>13</v>
      </c>
      <c r="B181" s="40">
        <v>2400</v>
      </c>
      <c r="C181" s="25">
        <v>8.0000000000000007E-5</v>
      </c>
      <c r="D181" s="2">
        <v>61.16</v>
      </c>
      <c r="E181" s="43">
        <v>48</v>
      </c>
      <c r="F181" s="30">
        <v>4.58069452643911E-7</v>
      </c>
      <c r="G181" s="30">
        <f t="shared" si="2"/>
        <v>5.9549028843708431E-6</v>
      </c>
      <c r="H181" s="2">
        <v>-10.265198059226194</v>
      </c>
      <c r="I181" s="2">
        <v>16.784169488597438</v>
      </c>
      <c r="J181" s="2">
        <v>23.202700000000007</v>
      </c>
      <c r="K181" s="2">
        <v>37.937704381948997</v>
      </c>
      <c r="L181" s="2">
        <v>-30.620612654983756</v>
      </c>
      <c r="M181" s="2">
        <v>50.066403948632697</v>
      </c>
      <c r="N181" s="2">
        <v>-13.256669374492276</v>
      </c>
      <c r="O181" s="2">
        <v>21.675391390602154</v>
      </c>
      <c r="P181" s="2">
        <v>206.49554968306651</v>
      </c>
      <c r="Q181" s="2">
        <v>337.6317032097229</v>
      </c>
      <c r="R181" s="2">
        <v>30.808038843202368</v>
      </c>
      <c r="S181" s="2">
        <v>50.372856185746194</v>
      </c>
    </row>
    <row r="182" spans="1:19" ht="15.4" x14ac:dyDescent="0.4">
      <c r="A182" s="1">
        <v>13</v>
      </c>
      <c r="B182" s="40">
        <v>2400</v>
      </c>
      <c r="C182" s="25">
        <v>1.4999999999999999E-4</v>
      </c>
      <c r="D182" s="2">
        <v>73.7</v>
      </c>
      <c r="E182" s="43">
        <v>48</v>
      </c>
      <c r="F182" s="30">
        <v>4.58069452643911E-7</v>
      </c>
      <c r="G182" s="30">
        <f t="shared" si="2"/>
        <v>5.9549028843708431E-6</v>
      </c>
      <c r="H182" s="2">
        <v>17.931580904429097</v>
      </c>
      <c r="I182" s="2">
        <v>24.330503262454677</v>
      </c>
      <c r="J182" s="2">
        <v>10.662700000000001</v>
      </c>
      <c r="K182" s="2">
        <v>14.467706919945728</v>
      </c>
      <c r="L182" s="2">
        <v>-37.242149599516395</v>
      </c>
      <c r="M182" s="2">
        <v>50.532089008841787</v>
      </c>
      <c r="N182" s="2">
        <v>-25.796669374492282</v>
      </c>
      <c r="O182" s="2">
        <v>35.002265094290749</v>
      </c>
      <c r="P182" s="2">
        <v>193.95554968306652</v>
      </c>
      <c r="Q182" s="2">
        <v>263.16899549941184</v>
      </c>
      <c r="R182" s="2">
        <v>58.132746740120453</v>
      </c>
      <c r="S182" s="2">
        <v>78.877539674518928</v>
      </c>
    </row>
    <row r="183" spans="1:19" ht="15.4" x14ac:dyDescent="0.4">
      <c r="A183" s="1">
        <v>15</v>
      </c>
      <c r="B183" s="40">
        <v>401</v>
      </c>
      <c r="C183" s="25">
        <v>1.0000000000000001E-5</v>
      </c>
      <c r="D183" s="2">
        <v>15.8</v>
      </c>
      <c r="E183" s="43">
        <v>0.89999999999999991</v>
      </c>
      <c r="F183" s="30">
        <v>5.3957867425862199E-8</v>
      </c>
      <c r="G183" s="30">
        <f t="shared" si="2"/>
        <v>8.0936801138793298E-7</v>
      </c>
      <c r="H183" s="2">
        <v>-0.10429266883030053</v>
      </c>
      <c r="I183" s="2">
        <v>0.66008018247025646</v>
      </c>
      <c r="J183" s="2">
        <v>-0.43170000000000108</v>
      </c>
      <c r="K183" s="2">
        <v>2.7322784810126648</v>
      </c>
      <c r="L183" s="2">
        <v>-0.56692370401952275</v>
      </c>
      <c r="M183" s="2">
        <v>3.5881247089843207</v>
      </c>
      <c r="N183" s="2">
        <v>-0.43433802856434767</v>
      </c>
      <c r="O183" s="2">
        <v>2.7489748643313145</v>
      </c>
      <c r="P183" s="2">
        <v>-0.54730741203774258</v>
      </c>
      <c r="Q183" s="2">
        <v>3.4639709622641934</v>
      </c>
      <c r="R183" s="2">
        <v>-0.574838163696894</v>
      </c>
      <c r="S183" s="2">
        <v>3.6382162259297086</v>
      </c>
    </row>
    <row r="184" spans="1:19" ht="15.4" x14ac:dyDescent="0.4">
      <c r="A184" s="1">
        <v>15</v>
      </c>
      <c r="B184" s="40">
        <v>401</v>
      </c>
      <c r="C184" s="25">
        <v>1.0000000000000001E-5</v>
      </c>
      <c r="D184" s="2">
        <v>16.7</v>
      </c>
      <c r="E184" s="43">
        <v>2</v>
      </c>
      <c r="F184" s="30">
        <v>5.3957867425862199E-8</v>
      </c>
      <c r="G184" s="30">
        <f t="shared" si="2"/>
        <v>8.0936801138793298E-7</v>
      </c>
      <c r="H184" s="2">
        <v>-0.13322458099479917</v>
      </c>
      <c r="I184" s="2">
        <v>0.79775198200478548</v>
      </c>
      <c r="J184" s="2">
        <v>-0.86589999999999989</v>
      </c>
      <c r="K184" s="2">
        <v>5.1850299401197599</v>
      </c>
      <c r="L184" s="2">
        <v>-1.178752938119402</v>
      </c>
      <c r="M184" s="2">
        <v>7.0584008270622878</v>
      </c>
      <c r="N184" s="2">
        <v>-0.87926667926667612</v>
      </c>
      <c r="O184" s="2">
        <v>5.265069935728599</v>
      </c>
      <c r="P184" s="2">
        <v>-1.0773066620824157</v>
      </c>
      <c r="Q184" s="2">
        <v>6.4509380963018907</v>
      </c>
      <c r="R184" s="2">
        <v>-1.1516550211694909</v>
      </c>
      <c r="S184" s="2">
        <v>6.8961378513143172</v>
      </c>
    </row>
    <row r="185" spans="1:19" ht="15.4" x14ac:dyDescent="0.4">
      <c r="A185" s="1">
        <v>15</v>
      </c>
      <c r="B185" s="40">
        <v>401</v>
      </c>
      <c r="C185" s="25">
        <v>1.0000000000000001E-5</v>
      </c>
      <c r="D185" s="2">
        <v>19.68</v>
      </c>
      <c r="E185" s="43">
        <v>5</v>
      </c>
      <c r="F185" s="30">
        <v>5.3957867425862199E-8</v>
      </c>
      <c r="G185" s="30">
        <f t="shared" si="2"/>
        <v>8.0936801138793298E-7</v>
      </c>
      <c r="H185" s="2">
        <v>-0.67542737830629918</v>
      </c>
      <c r="I185" s="2">
        <v>3.4320496865157479</v>
      </c>
      <c r="J185" s="2">
        <v>-2.4819999999999993</v>
      </c>
      <c r="K185" s="2">
        <v>12.611788617886175</v>
      </c>
      <c r="L185" s="2">
        <v>-3.3538404530507684</v>
      </c>
      <c r="M185" s="2">
        <v>17.041872220786423</v>
      </c>
      <c r="N185" s="2">
        <v>-2.5704542142336635</v>
      </c>
      <c r="O185" s="2">
        <v>13.061251088585687</v>
      </c>
      <c r="P185" s="2">
        <v>-2.8123678976720008</v>
      </c>
      <c r="Q185" s="2">
        <v>14.290487284918704</v>
      </c>
      <c r="R185" s="2">
        <v>-3.0736630065230699</v>
      </c>
      <c r="S185" s="2">
        <v>15.618206333958689</v>
      </c>
    </row>
    <row r="186" spans="1:19" ht="15.4" x14ac:dyDescent="0.4">
      <c r="A186" s="1">
        <v>15</v>
      </c>
      <c r="B186" s="40">
        <v>401</v>
      </c>
      <c r="C186" s="25">
        <v>1.0000000000000001E-5</v>
      </c>
      <c r="D186" s="2">
        <v>20.27</v>
      </c>
      <c r="E186" s="43">
        <v>3</v>
      </c>
      <c r="F186" s="30">
        <v>5.3957867425862199E-8</v>
      </c>
      <c r="G186" s="30">
        <f t="shared" si="2"/>
        <v>8.0936801138793298E-7</v>
      </c>
      <c r="H186" s="2">
        <v>-2.8995175182497981</v>
      </c>
      <c r="I186" s="2">
        <v>14.304477149727667</v>
      </c>
      <c r="J186" s="2">
        <v>-3.9969000000000001</v>
      </c>
      <c r="K186" s="2">
        <v>19.718302910705475</v>
      </c>
      <c r="L186" s="2">
        <v>-4.4835747197712372</v>
      </c>
      <c r="M186" s="2">
        <v>22.119263541051986</v>
      </c>
      <c r="N186" s="2">
        <v>-4.0275699775880973</v>
      </c>
      <c r="O186" s="2">
        <v>19.869610150903291</v>
      </c>
      <c r="P186" s="2">
        <v>-4.2684130949877712</v>
      </c>
      <c r="Q186" s="2">
        <v>21.057785372411303</v>
      </c>
      <c r="R186" s="2">
        <v>-4.3955510283456931</v>
      </c>
      <c r="S186" s="2">
        <v>21.685007539939285</v>
      </c>
    </row>
    <row r="187" spans="1:19" ht="15.4" x14ac:dyDescent="0.4">
      <c r="A187" s="1">
        <v>15</v>
      </c>
      <c r="B187" s="40">
        <v>401</v>
      </c>
      <c r="C187" s="25">
        <v>1.0000000000000001E-5</v>
      </c>
      <c r="D187" s="2">
        <v>20.34</v>
      </c>
      <c r="E187" s="43">
        <v>4</v>
      </c>
      <c r="F187" s="30">
        <v>5.3957867425862199E-8</v>
      </c>
      <c r="G187" s="30">
        <f t="shared" si="2"/>
        <v>8.0936801138793298E-7</v>
      </c>
      <c r="H187" s="2">
        <v>-2.1566066339280994</v>
      </c>
      <c r="I187" s="2">
        <v>10.602785810855945</v>
      </c>
      <c r="J187" s="2">
        <v>-3.6124000000000009</v>
      </c>
      <c r="K187" s="2">
        <v>17.760078662733537</v>
      </c>
      <c r="L187" s="2">
        <v>-4.2852888745662518</v>
      </c>
      <c r="M187" s="2">
        <v>21.068283552439784</v>
      </c>
      <c r="N187" s="2">
        <v>-3.6680392723072472</v>
      </c>
      <c r="O187" s="2">
        <v>18.033624740940251</v>
      </c>
      <c r="P187" s="2">
        <v>-3.9229704149556959</v>
      </c>
      <c r="Q187" s="2">
        <v>19.286973524855931</v>
      </c>
      <c r="R187" s="2">
        <v>-4.1123627041367214</v>
      </c>
      <c r="S187" s="2">
        <v>20.218105723386046</v>
      </c>
    </row>
    <row r="188" spans="1:19" ht="15.4" x14ac:dyDescent="0.4">
      <c r="A188" s="1">
        <v>15</v>
      </c>
      <c r="B188" s="40">
        <v>401</v>
      </c>
      <c r="C188" s="25">
        <v>1.0000000000000001E-5</v>
      </c>
      <c r="D188" s="2">
        <v>22.6</v>
      </c>
      <c r="E188" s="43">
        <v>6</v>
      </c>
      <c r="F188" s="30">
        <v>5.3957867425862199E-8</v>
      </c>
      <c r="G188" s="30">
        <f t="shared" si="2"/>
        <v>8.0936801138793298E-7</v>
      </c>
      <c r="H188" s="2">
        <v>-2.7664003781312019</v>
      </c>
      <c r="I188" s="2">
        <v>12.240709637748679</v>
      </c>
      <c r="J188" s="2">
        <v>-4.9146999999999998</v>
      </c>
      <c r="K188" s="2">
        <v>21.746460176991146</v>
      </c>
      <c r="L188" s="2">
        <v>-5.9991732025925053</v>
      </c>
      <c r="M188" s="2">
        <v>26.545014170763299</v>
      </c>
      <c r="N188" s="2">
        <v>-5.0445861122008644</v>
      </c>
      <c r="O188" s="2">
        <v>22.321177487614445</v>
      </c>
      <c r="P188" s="2">
        <v>-5.2469651767809431</v>
      </c>
      <c r="Q188" s="2">
        <v>23.216660074251962</v>
      </c>
      <c r="R188" s="2">
        <v>-5.5902080303688173</v>
      </c>
      <c r="S188" s="2">
        <v>24.73543376269388</v>
      </c>
    </row>
    <row r="189" spans="1:19" ht="15.4" x14ac:dyDescent="0.4">
      <c r="A189" s="1">
        <v>20</v>
      </c>
      <c r="B189" s="40">
        <v>401</v>
      </c>
      <c r="C189" s="25">
        <v>8.5000000000000006E-5</v>
      </c>
      <c r="D189" s="2">
        <v>36.590000000000003</v>
      </c>
      <c r="E189" s="43">
        <v>35</v>
      </c>
      <c r="F189" s="30">
        <v>2.55930768649878E-7</v>
      </c>
      <c r="G189" s="30">
        <f t="shared" si="2"/>
        <v>5.1186153729975599E-6</v>
      </c>
      <c r="H189" s="2">
        <v>21.4213187693884</v>
      </c>
      <c r="I189" s="2">
        <v>58.544189039050011</v>
      </c>
      <c r="J189" s="2">
        <v>18.096699999999998</v>
      </c>
      <c r="K189" s="2">
        <v>49.458048647171346</v>
      </c>
      <c r="L189" s="2">
        <v>0</v>
      </c>
      <c r="M189" s="2">
        <v>3.8838083397655107E-14</v>
      </c>
      <c r="N189" s="2">
        <v>9.4168259385665536</v>
      </c>
      <c r="O189" s="2">
        <v>25.736064330600033</v>
      </c>
      <c r="P189" s="2">
        <v>34.256598749890699</v>
      </c>
      <c r="Q189" s="2">
        <v>93.622844356082808</v>
      </c>
      <c r="R189" s="2">
        <v>21.000593340363537</v>
      </c>
      <c r="S189" s="2">
        <v>57.394351845759864</v>
      </c>
    </row>
    <row r="190" spans="1:19" ht="15.4" x14ac:dyDescent="0.4">
      <c r="A190" s="1">
        <v>20</v>
      </c>
      <c r="B190" s="40">
        <v>401</v>
      </c>
      <c r="C190" s="25">
        <v>8.5000000000000006E-5</v>
      </c>
      <c r="D190" s="2">
        <v>42.53</v>
      </c>
      <c r="E190" s="43">
        <v>40</v>
      </c>
      <c r="F190" s="30">
        <v>2.55930768649878E-7</v>
      </c>
      <c r="G190" s="30">
        <f t="shared" si="2"/>
        <v>5.1186153729975599E-6</v>
      </c>
      <c r="H190" s="2">
        <v>19.2721132314256</v>
      </c>
      <c r="I190" s="2">
        <v>45.314162312310366</v>
      </c>
      <c r="J190" s="2">
        <v>21.517499999999998</v>
      </c>
      <c r="K190" s="2">
        <v>50.593698565718313</v>
      </c>
      <c r="L190" s="2">
        <v>-2.7902811035918518</v>
      </c>
      <c r="M190" s="2">
        <v>6.5607361946669451</v>
      </c>
      <c r="N190" s="2">
        <v>9.1539916839916771</v>
      </c>
      <c r="O190" s="2">
        <v>21.523610825280219</v>
      </c>
      <c r="P190" s="2">
        <v>49.45291087204231</v>
      </c>
      <c r="Q190" s="2">
        <v>116.27771190228617</v>
      </c>
      <c r="R190" s="2">
        <v>27.568538388378514</v>
      </c>
      <c r="S190" s="2">
        <v>64.821392871804633</v>
      </c>
    </row>
    <row r="191" spans="1:19" ht="15.4" x14ac:dyDescent="0.4">
      <c r="A191" s="1">
        <v>20</v>
      </c>
      <c r="B191" s="40">
        <v>401</v>
      </c>
      <c r="C191" s="25">
        <v>8.5000000000000006E-5</v>
      </c>
      <c r="D191" s="2">
        <v>53.57</v>
      </c>
      <c r="E191" s="43">
        <v>45</v>
      </c>
      <c r="F191" s="30">
        <v>2.55930768649878E-7</v>
      </c>
      <c r="G191" s="30">
        <f t="shared" si="2"/>
        <v>5.1186153729975599E-6</v>
      </c>
      <c r="H191" s="2">
        <v>11.827316796434197</v>
      </c>
      <c r="I191" s="2">
        <v>22.078246773257789</v>
      </c>
      <c r="J191" s="2">
        <v>21.607899999999994</v>
      </c>
      <c r="K191" s="2">
        <v>40.33582228859435</v>
      </c>
      <c r="L191" s="2">
        <v>-10.410390879478797</v>
      </c>
      <c r="M191" s="2">
        <v>19.433247861636733</v>
      </c>
      <c r="N191" s="2">
        <v>4.593606010016714</v>
      </c>
      <c r="O191" s="2">
        <v>8.5749598842947812</v>
      </c>
      <c r="P191" s="2">
        <v>70.195002781165471</v>
      </c>
      <c r="Q191" s="2">
        <v>131.03416610260496</v>
      </c>
      <c r="R191" s="2">
        <v>32.957572991830951</v>
      </c>
      <c r="S191" s="2">
        <v>61.522443516578221</v>
      </c>
    </row>
    <row r="192" spans="1:19" ht="15.4" x14ac:dyDescent="0.4">
      <c r="A192" s="1">
        <v>20</v>
      </c>
      <c r="B192" s="40">
        <v>401</v>
      </c>
      <c r="C192" s="25">
        <v>8.5000000000000006E-5</v>
      </c>
      <c r="D192" s="2">
        <v>66.13</v>
      </c>
      <c r="E192" s="43">
        <v>50</v>
      </c>
      <c r="F192" s="30">
        <v>2.55930768649878E-7</v>
      </c>
      <c r="G192" s="30">
        <f t="shared" si="2"/>
        <v>5.1186153729975599E-6</v>
      </c>
      <c r="H192" s="2">
        <v>2.6957349307865996</v>
      </c>
      <c r="I192" s="2">
        <v>4.0764175575179191</v>
      </c>
      <c r="J192" s="2">
        <v>22.112099999999998</v>
      </c>
      <c r="K192" s="2">
        <v>33.437320429457131</v>
      </c>
      <c r="L192" s="2">
        <v>-19.244010209869494</v>
      </c>
      <c r="M192" s="2">
        <v>29.10027250849765</v>
      </c>
      <c r="N192" s="2">
        <v>-0.50125748502993872</v>
      </c>
      <c r="O192" s="2">
        <v>0.75798803119603619</v>
      </c>
      <c r="P192" s="2">
        <v>109.92897105831059</v>
      </c>
      <c r="Q192" s="2">
        <v>166.23162113762376</v>
      </c>
      <c r="R192" s="2">
        <v>42.659327156509363</v>
      </c>
      <c r="S192" s="2">
        <v>64.508282408149654</v>
      </c>
    </row>
    <row r="193" spans="1:19" ht="15.4" x14ac:dyDescent="0.4">
      <c r="A193" s="1">
        <v>23.2</v>
      </c>
      <c r="B193" s="40">
        <v>401</v>
      </c>
      <c r="C193" s="25">
        <v>1.0000000000000001E-5</v>
      </c>
      <c r="D193" s="2">
        <v>24.66</v>
      </c>
      <c r="E193" s="43">
        <v>1</v>
      </c>
      <c r="F193" s="30">
        <v>2.2405778835473E-8</v>
      </c>
      <c r="G193" s="30">
        <f t="shared" si="2"/>
        <v>5.1981406898297356E-7</v>
      </c>
      <c r="H193" s="2">
        <v>-0.18712200004970114</v>
      </c>
      <c r="I193" s="2">
        <v>0.75880778608962351</v>
      </c>
      <c r="J193" s="2">
        <v>-0.86299999999999955</v>
      </c>
      <c r="K193" s="2">
        <v>3.4995944849959431</v>
      </c>
      <c r="L193" s="2">
        <v>-1.0164550165050379</v>
      </c>
      <c r="M193" s="2">
        <v>4.1218776013991807</v>
      </c>
      <c r="N193" s="2">
        <v>-0.86726835008182945</v>
      </c>
      <c r="O193" s="2">
        <v>3.5169032850033637</v>
      </c>
      <c r="P193" s="2">
        <v>-1.0395725995220459</v>
      </c>
      <c r="Q193" s="2">
        <v>4.2156228691080528</v>
      </c>
      <c r="R193" s="2">
        <v>-1.0692265097857572</v>
      </c>
      <c r="S193" s="2">
        <v>4.3358739245164521</v>
      </c>
    </row>
    <row r="194" spans="1:19" ht="15.4" x14ac:dyDescent="0.4">
      <c r="A194" s="1">
        <v>23.2</v>
      </c>
      <c r="B194" s="40">
        <v>401</v>
      </c>
      <c r="C194" s="25">
        <v>1.0000000000000001E-5</v>
      </c>
      <c r="D194" s="2">
        <v>26.3</v>
      </c>
      <c r="E194" s="43">
        <v>2</v>
      </c>
      <c r="F194" s="30">
        <v>2.2405778835473E-8</v>
      </c>
      <c r="G194" s="30">
        <f t="shared" si="2"/>
        <v>5.1981406898297356E-7</v>
      </c>
      <c r="H194" s="2">
        <v>-0.51080781763679894</v>
      </c>
      <c r="I194" s="2">
        <v>1.9422350480486652</v>
      </c>
      <c r="J194" s="2">
        <v>-1.8871000000000002</v>
      </c>
      <c r="K194" s="2">
        <v>7.1752851711026615</v>
      </c>
      <c r="L194" s="2">
        <v>-2.207220552473899</v>
      </c>
      <c r="M194" s="2">
        <v>8.392473583550947</v>
      </c>
      <c r="N194" s="2">
        <v>-1.9043542710597414</v>
      </c>
      <c r="O194" s="2">
        <v>7.2408907644857097</v>
      </c>
      <c r="P194" s="2">
        <v>-2.1820993282462666</v>
      </c>
      <c r="Q194" s="2">
        <v>8.2969556207082373</v>
      </c>
      <c r="R194" s="2">
        <v>-2.2523197777451252</v>
      </c>
      <c r="S194" s="2">
        <v>8.563953527548005</v>
      </c>
    </row>
    <row r="195" spans="1:19" ht="15.4" x14ac:dyDescent="0.4">
      <c r="A195" s="1">
        <v>23.2</v>
      </c>
      <c r="B195" s="40">
        <v>401</v>
      </c>
      <c r="C195" s="25">
        <v>1.0000000000000001E-5</v>
      </c>
      <c r="D195" s="2">
        <v>27.26</v>
      </c>
      <c r="E195" s="43">
        <v>4</v>
      </c>
      <c r="F195" s="30">
        <v>2.2405778835473E-8</v>
      </c>
      <c r="G195" s="30">
        <f t="shared" ref="G195:G243" si="3">F195*A195</f>
        <v>5.1981406898297356E-7</v>
      </c>
      <c r="H195" s="2">
        <v>1.2402065403994982</v>
      </c>
      <c r="I195" s="2">
        <v>4.549547103446435</v>
      </c>
      <c r="J195" s="2">
        <v>-1.5557000000000016</v>
      </c>
      <c r="K195" s="2">
        <v>5.7068965517241432</v>
      </c>
      <c r="L195" s="2">
        <v>-2.2512396092238909</v>
      </c>
      <c r="M195" s="2">
        <v>8.2583991534258647</v>
      </c>
      <c r="N195" s="2">
        <v>-1.6269109482567217</v>
      </c>
      <c r="O195" s="2">
        <v>5.9681252687333881</v>
      </c>
      <c r="P195" s="2">
        <v>-1.9846067822129818</v>
      </c>
      <c r="Q195" s="2">
        <v>7.2802890029823253</v>
      </c>
      <c r="R195" s="2">
        <v>-2.1623235599620649</v>
      </c>
      <c r="S195" s="2">
        <v>7.9322214231917263</v>
      </c>
    </row>
    <row r="196" spans="1:19" ht="15.4" x14ac:dyDescent="0.4">
      <c r="A196" s="1">
        <v>23.2</v>
      </c>
      <c r="B196" s="40">
        <v>401</v>
      </c>
      <c r="C196" s="25">
        <v>1.0000000000000001E-5</v>
      </c>
      <c r="D196" s="2">
        <v>28.66</v>
      </c>
      <c r="E196" s="43">
        <v>3</v>
      </c>
      <c r="F196" s="30">
        <v>2.2405778835473E-8</v>
      </c>
      <c r="G196" s="30">
        <f t="shared" si="3"/>
        <v>5.1981406898297356E-7</v>
      </c>
      <c r="H196" s="2">
        <v>-1.5268949481511989</v>
      </c>
      <c r="I196" s="2">
        <v>5.3276167067383069</v>
      </c>
      <c r="J196" s="2">
        <v>-3.6114999999999995</v>
      </c>
      <c r="K196" s="2">
        <v>12.601186322400556</v>
      </c>
      <c r="L196" s="2">
        <v>-4.1121864303337325</v>
      </c>
      <c r="M196" s="2">
        <v>14.3481731693431</v>
      </c>
      <c r="N196" s="2">
        <v>-3.6509931065480927</v>
      </c>
      <c r="O196" s="2">
        <v>12.738985019358315</v>
      </c>
      <c r="P196" s="2">
        <v>-3.9885731561762192</v>
      </c>
      <c r="Q196" s="2">
        <v>13.916863768933075</v>
      </c>
      <c r="R196" s="2">
        <v>-4.1082422875893876</v>
      </c>
      <c r="S196" s="2">
        <v>14.334411331435406</v>
      </c>
    </row>
    <row r="197" spans="1:19" ht="15.4" x14ac:dyDescent="0.4">
      <c r="A197" s="1">
        <v>23.2</v>
      </c>
      <c r="B197" s="40">
        <v>401</v>
      </c>
      <c r="C197" s="25">
        <v>1.0000000000000001E-5</v>
      </c>
      <c r="D197" s="2">
        <v>33.79</v>
      </c>
      <c r="E197" s="43">
        <v>5</v>
      </c>
      <c r="F197" s="30">
        <v>2.2405778835473E-8</v>
      </c>
      <c r="G197" s="30">
        <f t="shared" si="3"/>
        <v>5.1981406898297356E-7</v>
      </c>
      <c r="H197" s="2">
        <v>-3.9016882219386986</v>
      </c>
      <c r="I197" s="2">
        <v>11.546872512396266</v>
      </c>
      <c r="J197" s="2">
        <v>-7.4088999999999992</v>
      </c>
      <c r="K197" s="2">
        <v>21.926309559041137</v>
      </c>
      <c r="L197" s="2">
        <v>-8.3142640913740102</v>
      </c>
      <c r="M197" s="2">
        <v>24.605694262722729</v>
      </c>
      <c r="N197" s="2">
        <v>-7.5218242281393692</v>
      </c>
      <c r="O197" s="2">
        <v>22.260503782596537</v>
      </c>
      <c r="P197" s="2">
        <v>-7.8625215939072461</v>
      </c>
      <c r="Q197" s="2">
        <v>23.268782461992444</v>
      </c>
      <c r="R197" s="2">
        <v>-8.106996614259451</v>
      </c>
      <c r="S197" s="2">
        <v>23.992295395855137</v>
      </c>
    </row>
    <row r="198" spans="1:19" ht="15.4" x14ac:dyDescent="0.4">
      <c r="A198" s="1">
        <v>23.2</v>
      </c>
      <c r="B198" s="40">
        <v>401</v>
      </c>
      <c r="C198" s="25">
        <v>1.0000000000000001E-5</v>
      </c>
      <c r="D198" s="2">
        <v>35.72</v>
      </c>
      <c r="E198" s="43">
        <v>6</v>
      </c>
      <c r="F198" s="30">
        <v>2.2405778835473E-8</v>
      </c>
      <c r="G198" s="30">
        <f t="shared" si="3"/>
        <v>5.1981406898297356E-7</v>
      </c>
      <c r="H198" s="2">
        <v>-4.4236751096966991</v>
      </c>
      <c r="I198" s="2">
        <v>12.384308817739919</v>
      </c>
      <c r="J198" s="2">
        <v>-8.6403999999999996</v>
      </c>
      <c r="K198" s="2">
        <v>24.189249720044792</v>
      </c>
      <c r="L198" s="2">
        <v>-9.7711408247844602</v>
      </c>
      <c r="M198" s="2">
        <v>27.354817538590314</v>
      </c>
      <c r="N198" s="2">
        <v>-8.8054392887750375</v>
      </c>
      <c r="O198" s="2">
        <v>24.651285802841652</v>
      </c>
      <c r="P198" s="2">
        <v>-9.0931843256448133</v>
      </c>
      <c r="Q198" s="2">
        <v>25.456843016922768</v>
      </c>
      <c r="R198" s="2">
        <v>-9.4134321582833209</v>
      </c>
      <c r="S198" s="2">
        <v>26.353393500233263</v>
      </c>
    </row>
    <row r="199" spans="1:19" ht="15.4" x14ac:dyDescent="0.4">
      <c r="A199" s="1">
        <v>23.2</v>
      </c>
      <c r="B199" s="40">
        <v>401</v>
      </c>
      <c r="C199" s="25">
        <v>1.0000000000000001E-5</v>
      </c>
      <c r="D199" s="2">
        <v>36.31</v>
      </c>
      <c r="E199" s="43">
        <v>7.0000000000000009</v>
      </c>
      <c r="F199" s="30">
        <v>2.2405778835473E-8</v>
      </c>
      <c r="G199" s="30">
        <f t="shared" si="3"/>
        <v>5.1981406898297356E-7</v>
      </c>
      <c r="H199" s="2">
        <v>-3.5859418886964036</v>
      </c>
      <c r="I199" s="2">
        <v>9.8759071569716426</v>
      </c>
      <c r="J199" s="2">
        <v>-8.508300000000002</v>
      </c>
      <c r="K199" s="2">
        <v>23.432387771963651</v>
      </c>
      <c r="L199" s="2">
        <v>-9.8817476020376915</v>
      </c>
      <c r="M199" s="2">
        <v>27.214947953835555</v>
      </c>
      <c r="N199" s="2">
        <v>-8.7374519306147498</v>
      </c>
      <c r="O199" s="2">
        <v>24.063486451706829</v>
      </c>
      <c r="P199" s="2">
        <v>-8.9366358952608849</v>
      </c>
      <c r="Q199" s="2">
        <v>24.612051487912101</v>
      </c>
      <c r="R199" s="2">
        <v>-9.3421008887837402</v>
      </c>
      <c r="S199" s="2">
        <v>25.728727316947779</v>
      </c>
    </row>
    <row r="200" spans="1:19" ht="15.4" x14ac:dyDescent="0.4">
      <c r="A200" s="1">
        <v>25.6</v>
      </c>
      <c r="B200" s="40">
        <v>173</v>
      </c>
      <c r="C200" s="25">
        <v>1.2E-5</v>
      </c>
      <c r="D200" s="2">
        <v>31.02</v>
      </c>
      <c r="E200" s="43">
        <v>10</v>
      </c>
      <c r="F200" s="30">
        <v>3.7862160769303602E-8</v>
      </c>
      <c r="G200" s="30">
        <f t="shared" si="3"/>
        <v>9.692713156941723E-7</v>
      </c>
      <c r="H200" s="2">
        <v>-0.9867843688349005</v>
      </c>
      <c r="I200" s="2">
        <v>3.1811230458894277</v>
      </c>
      <c r="J200" s="2">
        <v>0.21870000000000189</v>
      </c>
      <c r="K200" s="2">
        <v>0.70502901353965797</v>
      </c>
      <c r="L200" s="2">
        <v>-1.9987854287425684</v>
      </c>
      <c r="M200" s="2">
        <v>6.4435378102597305</v>
      </c>
      <c r="N200" s="2">
        <v>-1.5474076195925335E-2</v>
      </c>
      <c r="O200" s="2">
        <v>4.9884191476226095E-2</v>
      </c>
      <c r="P200" s="2">
        <v>-7.0311066703929725E-3</v>
      </c>
      <c r="Q200" s="2">
        <v>2.2666365797527312E-2</v>
      </c>
      <c r="R200" s="2">
        <v>-0.77963391627869427</v>
      </c>
      <c r="S200" s="2">
        <v>2.5133266159854748</v>
      </c>
    </row>
    <row r="201" spans="1:19" ht="15.4" x14ac:dyDescent="0.4">
      <c r="A201" s="1">
        <v>25.6</v>
      </c>
      <c r="B201" s="40">
        <v>173</v>
      </c>
      <c r="C201" s="25">
        <v>1.2E-5</v>
      </c>
      <c r="D201" s="2">
        <v>33.950000000000003</v>
      </c>
      <c r="E201" s="43">
        <v>15</v>
      </c>
      <c r="F201" s="30">
        <v>3.7862160769303602E-8</v>
      </c>
      <c r="G201" s="30">
        <f t="shared" si="3"/>
        <v>9.692713156941723E-7</v>
      </c>
      <c r="H201" s="2">
        <v>-2.1851526103892027</v>
      </c>
      <c r="I201" s="2">
        <v>6.4363847139593586</v>
      </c>
      <c r="J201" s="2">
        <v>0.5963999999999956</v>
      </c>
      <c r="K201" s="2">
        <v>1.7567010309278219</v>
      </c>
      <c r="L201" s="2">
        <v>-3.1012703943678979</v>
      </c>
      <c r="M201" s="2">
        <v>9.1348170673575773</v>
      </c>
      <c r="N201" s="2">
        <v>5.2434558859914659E-2</v>
      </c>
      <c r="O201" s="2">
        <v>0.1544464178495277</v>
      </c>
      <c r="P201" s="2">
        <v>0.85026412806823259</v>
      </c>
      <c r="Q201" s="2">
        <v>2.5044598764896393</v>
      </c>
      <c r="R201" s="2">
        <v>-0.60996347720558219</v>
      </c>
      <c r="S201" s="2">
        <v>1.7966523629030402</v>
      </c>
    </row>
    <row r="202" spans="1:19" ht="15.4" x14ac:dyDescent="0.4">
      <c r="A202" s="1">
        <v>25.6</v>
      </c>
      <c r="B202" s="40">
        <v>173</v>
      </c>
      <c r="C202" s="25">
        <v>1.2E-5</v>
      </c>
      <c r="D202" s="2">
        <v>34.770000000000003</v>
      </c>
      <c r="E202" s="43">
        <v>20</v>
      </c>
      <c r="F202" s="30">
        <v>3.7862160769303602E-8</v>
      </c>
      <c r="G202" s="30">
        <f t="shared" si="3"/>
        <v>9.692713156941723E-7</v>
      </c>
      <c r="H202" s="2">
        <v>-0.64384815224550351</v>
      </c>
      <c r="I202" s="2">
        <v>1.8517346915315025</v>
      </c>
      <c r="J202" s="2">
        <v>3.4529999999999959</v>
      </c>
      <c r="K202" s="2">
        <v>9.9309749784296688</v>
      </c>
      <c r="L202" s="2">
        <v>-2.0085492472419304</v>
      </c>
      <c r="M202" s="2">
        <v>5.7766731298301126</v>
      </c>
      <c r="N202" s="2">
        <v>2.457280197206245</v>
      </c>
      <c r="O202" s="2">
        <v>7.0672424423533071</v>
      </c>
      <c r="P202" s="2">
        <v>4.5510626529747711</v>
      </c>
      <c r="Q202" s="2">
        <v>13.089049907894076</v>
      </c>
      <c r="R202" s="2">
        <v>2.1601581425937653</v>
      </c>
      <c r="S202" s="2">
        <v>6.2127067661598074</v>
      </c>
    </row>
    <row r="203" spans="1:19" ht="15.4" x14ac:dyDescent="0.4">
      <c r="A203" s="1">
        <v>25.6</v>
      </c>
      <c r="B203" s="40">
        <v>173</v>
      </c>
      <c r="C203" s="25">
        <v>1.2E-5</v>
      </c>
      <c r="D203" s="2">
        <v>37.85</v>
      </c>
      <c r="E203" s="43">
        <v>25</v>
      </c>
      <c r="F203" s="30">
        <v>3.7862160769303602E-8</v>
      </c>
      <c r="G203" s="30">
        <f t="shared" si="3"/>
        <v>9.692713156941723E-7</v>
      </c>
      <c r="H203" s="2">
        <v>-1.2606447159246983</v>
      </c>
      <c r="I203" s="2">
        <v>3.3306333313730465</v>
      </c>
      <c r="J203" s="2">
        <v>4.4525000000000006</v>
      </c>
      <c r="K203" s="2">
        <v>11.763540290620874</v>
      </c>
      <c r="L203" s="2">
        <v>-3.0845207775517949</v>
      </c>
      <c r="M203" s="2">
        <v>8.1493283422768688</v>
      </c>
      <c r="N203" s="2">
        <v>2.8558446757405918</v>
      </c>
      <c r="O203" s="2">
        <v>7.5451642687994491</v>
      </c>
      <c r="P203" s="2">
        <v>6.8090731874639232</v>
      </c>
      <c r="Q203" s="2">
        <v>17.989625330155675</v>
      </c>
      <c r="R203" s="2">
        <v>3.1887832913688214</v>
      </c>
      <c r="S203" s="2">
        <v>8.4247907301686151</v>
      </c>
    </row>
    <row r="204" spans="1:19" ht="15.4" x14ac:dyDescent="0.4">
      <c r="A204" s="1">
        <v>25.6</v>
      </c>
      <c r="B204" s="40">
        <v>173</v>
      </c>
      <c r="C204" s="25">
        <v>1.2E-5</v>
      </c>
      <c r="D204" s="2">
        <v>43.55</v>
      </c>
      <c r="E204" s="43">
        <v>30</v>
      </c>
      <c r="F204" s="30">
        <v>3.7862160769303602E-8</v>
      </c>
      <c r="G204" s="30">
        <f t="shared" si="3"/>
        <v>9.692713156941723E-7</v>
      </c>
      <c r="H204" s="2">
        <v>-4.4408083649873973</v>
      </c>
      <c r="I204" s="2">
        <v>10.197034133151314</v>
      </c>
      <c r="J204" s="2">
        <v>3.2682000000000002</v>
      </c>
      <c r="K204" s="2">
        <v>7.5044776119402998</v>
      </c>
      <c r="L204" s="2">
        <v>-6.6824870266936429</v>
      </c>
      <c r="M204" s="2">
        <v>15.344401898263246</v>
      </c>
      <c r="N204" s="2">
        <v>0.91929658850983742</v>
      </c>
      <c r="O204" s="2">
        <v>2.1108991699422215</v>
      </c>
      <c r="P204" s="2">
        <v>7.3840694560608711</v>
      </c>
      <c r="Q204" s="2">
        <v>16.955383366385469</v>
      </c>
      <c r="R204" s="2">
        <v>2.1604264364892458</v>
      </c>
      <c r="S204" s="2">
        <v>4.9607954913645145</v>
      </c>
    </row>
    <row r="205" spans="1:19" ht="15.4" x14ac:dyDescent="0.4">
      <c r="A205" s="1">
        <v>25.6</v>
      </c>
      <c r="B205" s="40">
        <v>173</v>
      </c>
      <c r="C205" s="25">
        <v>1.2E-5</v>
      </c>
      <c r="D205" s="2">
        <v>48.19</v>
      </c>
      <c r="E205" s="43">
        <v>35</v>
      </c>
      <c r="F205" s="30">
        <v>3.7862160769303602E-8</v>
      </c>
      <c r="G205" s="30">
        <f t="shared" si="3"/>
        <v>9.692713156941723E-7</v>
      </c>
      <c r="H205" s="2">
        <v>-6.5408455473026947</v>
      </c>
      <c r="I205" s="2">
        <v>13.573034960163302</v>
      </c>
      <c r="J205" s="2">
        <v>3.6196000000000055</v>
      </c>
      <c r="K205" s="2">
        <v>7.5111018883585929</v>
      </c>
      <c r="L205" s="2">
        <v>-9.1150784998553362</v>
      </c>
      <c r="M205" s="2">
        <v>18.914875492540645</v>
      </c>
      <c r="N205" s="2">
        <v>0.3641278025606951</v>
      </c>
      <c r="O205" s="2">
        <v>0.75560863781011645</v>
      </c>
      <c r="P205" s="2">
        <v>10.116244485552194</v>
      </c>
      <c r="Q205" s="2">
        <v>20.992414371347156</v>
      </c>
      <c r="R205" s="2">
        <v>2.8143019811779979</v>
      </c>
      <c r="S205" s="2">
        <v>5.8400124116580159</v>
      </c>
    </row>
    <row r="206" spans="1:19" ht="15.4" x14ac:dyDescent="0.4">
      <c r="A206" s="1">
        <v>25.6</v>
      </c>
      <c r="B206" s="40">
        <v>173</v>
      </c>
      <c r="C206" s="25">
        <v>1.2E-5</v>
      </c>
      <c r="D206" s="2">
        <v>56.89</v>
      </c>
      <c r="E206" s="43">
        <v>40</v>
      </c>
      <c r="F206" s="30">
        <v>3.7862160769303602E-8</v>
      </c>
      <c r="G206" s="30">
        <f t="shared" si="3"/>
        <v>9.692713156941723E-7</v>
      </c>
      <c r="H206" s="2">
        <v>-12.707956754775104</v>
      </c>
      <c r="I206" s="2">
        <v>22.337768948453338</v>
      </c>
      <c r="J206" s="2">
        <v>0.41740000000000066</v>
      </c>
      <c r="K206" s="2">
        <v>0.73369660748813614</v>
      </c>
      <c r="L206" s="2">
        <v>-15.494167842178221</v>
      </c>
      <c r="M206" s="2">
        <v>27.235309970431043</v>
      </c>
      <c r="N206" s="2">
        <v>-3.8866594045025309</v>
      </c>
      <c r="O206" s="2">
        <v>6.8318850492222376</v>
      </c>
      <c r="P206" s="2">
        <v>10.096730529428058</v>
      </c>
      <c r="Q206" s="2">
        <v>17.74781249679743</v>
      </c>
      <c r="R206" s="2">
        <v>0.10518481224800524</v>
      </c>
      <c r="S206" s="2">
        <v>0.18489156661628625</v>
      </c>
    </row>
    <row r="207" spans="1:19" ht="15.4" x14ac:dyDescent="0.4">
      <c r="A207" s="1">
        <v>26</v>
      </c>
      <c r="B207" s="40">
        <v>200</v>
      </c>
      <c r="C207" s="25">
        <v>9.9999999999999995E-7</v>
      </c>
      <c r="D207" s="2">
        <v>28.763100000000001</v>
      </c>
      <c r="E207" s="43">
        <v>12.5</v>
      </c>
      <c r="F207" s="30">
        <v>4.38647541190105E-9</v>
      </c>
      <c r="G207" s="30">
        <f t="shared" si="3"/>
        <v>1.140483607094273E-7</v>
      </c>
      <c r="H207" s="2">
        <v>0.57010000000000005</v>
      </c>
      <c r="I207" s="2">
        <v>1.9820533948009775</v>
      </c>
      <c r="J207" s="2">
        <v>5.0503</v>
      </c>
      <c r="K207" s="2">
        <v>17.558260410039249</v>
      </c>
      <c r="L207" s="2">
        <v>1.0625277996943154</v>
      </c>
      <c r="M207" s="2">
        <v>3.6940656594536589</v>
      </c>
      <c r="N207" s="2">
        <v>4.6049781758957664</v>
      </c>
      <c r="O207" s="2">
        <v>16.010020393823218</v>
      </c>
      <c r="P207" s="2">
        <v>5.0759631939488727</v>
      </c>
      <c r="Q207" s="2">
        <v>17.647483038854897</v>
      </c>
      <c r="R207" s="2">
        <v>3.3122566575179704</v>
      </c>
      <c r="S207" s="2">
        <v>11.51564559285324</v>
      </c>
    </row>
    <row r="208" spans="1:19" ht="15.4" x14ac:dyDescent="0.4">
      <c r="A208" s="1">
        <v>26</v>
      </c>
      <c r="B208" s="40">
        <v>200</v>
      </c>
      <c r="C208" s="25">
        <v>9.9999999999999995E-7</v>
      </c>
      <c r="D208" s="2">
        <v>30.123799999999999</v>
      </c>
      <c r="E208" s="43">
        <v>15</v>
      </c>
      <c r="F208" s="30">
        <v>4.38647541190105E-9</v>
      </c>
      <c r="G208" s="30">
        <f t="shared" si="3"/>
        <v>1.140483607094273E-7</v>
      </c>
      <c r="H208" s="2">
        <v>-1.2499999999999289E-2</v>
      </c>
      <c r="I208" s="2">
        <v>4.1495428863554035E-2</v>
      </c>
      <c r="J208" s="2">
        <v>5.5419000000000018</v>
      </c>
      <c r="K208" s="2">
        <v>18.397081377515459</v>
      </c>
      <c r="L208" s="2">
        <v>0.51243155533551388</v>
      </c>
      <c r="M208" s="2">
        <v>1.70108537214931</v>
      </c>
      <c r="N208" s="2">
        <v>4.8881521912350614</v>
      </c>
      <c r="O208" s="2">
        <v>16.226877722050542</v>
      </c>
      <c r="P208" s="2">
        <v>5.910242680235644</v>
      </c>
      <c r="Q208" s="2">
        <v>19.619844376325844</v>
      </c>
      <c r="R208" s="2">
        <v>3.5377631920963886</v>
      </c>
      <c r="S208" s="2">
        <v>11.74408006989951</v>
      </c>
    </row>
    <row r="209" spans="1:19" ht="15.4" x14ac:dyDescent="0.4">
      <c r="A209" s="1">
        <v>26</v>
      </c>
      <c r="B209" s="40">
        <v>200</v>
      </c>
      <c r="C209" s="25">
        <v>9.9999999999999995E-7</v>
      </c>
      <c r="D209" s="2">
        <v>31.278099999999998</v>
      </c>
      <c r="E209" s="43">
        <v>20</v>
      </c>
      <c r="F209" s="30">
        <v>4.38647541190105E-9</v>
      </c>
      <c r="G209" s="30">
        <f t="shared" si="3"/>
        <v>1.140483607094273E-7</v>
      </c>
      <c r="H209" s="2">
        <v>0.5517000000000003</v>
      </c>
      <c r="I209" s="2">
        <v>1.7638539425348738</v>
      </c>
      <c r="J209" s="2">
        <v>8.4253000000000036</v>
      </c>
      <c r="K209" s="2">
        <v>26.936738484754517</v>
      </c>
      <c r="L209" s="2">
        <v>1.0284943460623701</v>
      </c>
      <c r="M209" s="2">
        <v>3.2882251353578709</v>
      </c>
      <c r="N209" s="2">
        <v>7.2191375690607806</v>
      </c>
      <c r="O209" s="2">
        <v>23.080486247760511</v>
      </c>
      <c r="P209" s="2">
        <v>9.8185858791488521</v>
      </c>
      <c r="Q209" s="2">
        <v>31.391247803251645</v>
      </c>
      <c r="R209" s="2">
        <v>5.9094083820197305</v>
      </c>
      <c r="S209" s="2">
        <v>18.893118130640065</v>
      </c>
    </row>
    <row r="210" spans="1:19" ht="15.4" x14ac:dyDescent="0.4">
      <c r="A210" s="1">
        <v>26</v>
      </c>
      <c r="B210" s="40">
        <v>200</v>
      </c>
      <c r="C210" s="25">
        <v>9.9999999999999995E-7</v>
      </c>
      <c r="D210" s="2">
        <v>33.129100000000001</v>
      </c>
      <c r="E210" s="43">
        <v>25</v>
      </c>
      <c r="F210" s="30">
        <v>4.38647541190105E-9</v>
      </c>
      <c r="G210" s="30">
        <f t="shared" si="3"/>
        <v>1.140483607094273E-7</v>
      </c>
      <c r="H210" s="2">
        <v>0.53569999999999851</v>
      </c>
      <c r="I210" s="2">
        <v>1.6170074043665494</v>
      </c>
      <c r="J210" s="2">
        <v>11.094099999999997</v>
      </c>
      <c r="K210" s="2">
        <v>33.487477776335602</v>
      </c>
      <c r="L210" s="2">
        <v>0.91677782880963576</v>
      </c>
      <c r="M210" s="2">
        <v>2.7672886640736869</v>
      </c>
      <c r="N210" s="2">
        <v>9.1442812949640242</v>
      </c>
      <c r="O210" s="2">
        <v>27.601961100555172</v>
      </c>
      <c r="P210" s="2">
        <v>14.036948094486846</v>
      </c>
      <c r="Q210" s="2">
        <v>42.370448018469695</v>
      </c>
      <c r="R210" s="2">
        <v>8.0772412672275422</v>
      </c>
      <c r="S210" s="2">
        <v>24.381106843311596</v>
      </c>
    </row>
    <row r="211" spans="1:19" ht="15.4" x14ac:dyDescent="0.4">
      <c r="A211" s="1">
        <v>26</v>
      </c>
      <c r="B211" s="40">
        <v>200</v>
      </c>
      <c r="C211" s="25">
        <v>5.0000000000000004E-6</v>
      </c>
      <c r="D211" s="2">
        <v>36.218699999999998</v>
      </c>
      <c r="E211" s="43">
        <v>20</v>
      </c>
      <c r="F211" s="30">
        <v>1.57578760320004E-8</v>
      </c>
      <c r="G211" s="30">
        <f t="shared" si="3"/>
        <v>4.0970477683201038E-7</v>
      </c>
      <c r="H211" s="2">
        <v>-0.11999999999999744</v>
      </c>
      <c r="I211" s="2">
        <v>0.33132056092570261</v>
      </c>
      <c r="J211" s="2">
        <v>3.4847000000000037</v>
      </c>
      <c r="K211" s="2">
        <v>9.621272988815182</v>
      </c>
      <c r="L211" s="2">
        <v>-2.6036733556927842</v>
      </c>
      <c r="M211" s="2">
        <v>7.1887543056288168</v>
      </c>
      <c r="N211" s="2">
        <v>2.2785375690607808</v>
      </c>
      <c r="O211" s="2">
        <v>6.2910528789293405</v>
      </c>
      <c r="P211" s="2">
        <v>4.8779858791488522</v>
      </c>
      <c r="Q211" s="2">
        <v>13.468141813894071</v>
      </c>
      <c r="R211" s="2">
        <v>2.0637763511122813</v>
      </c>
      <c r="S211" s="2">
        <v>5.6980961522977953</v>
      </c>
    </row>
    <row r="212" spans="1:19" ht="15.4" x14ac:dyDescent="0.4">
      <c r="A212" s="1">
        <v>26</v>
      </c>
      <c r="B212" s="40">
        <v>200</v>
      </c>
      <c r="C212" s="25">
        <v>5.0000000000000004E-6</v>
      </c>
      <c r="D212" s="2">
        <v>38.875300000000003</v>
      </c>
      <c r="E212" s="43">
        <v>25</v>
      </c>
      <c r="F212" s="30">
        <v>1.57578760320004E-8</v>
      </c>
      <c r="G212" s="30">
        <f t="shared" si="3"/>
        <v>4.0970477683201038E-7</v>
      </c>
      <c r="H212" s="2">
        <v>-4.0500000000001535E-2</v>
      </c>
      <c r="I212" s="2">
        <v>0.10417926035297871</v>
      </c>
      <c r="J212" s="2">
        <v>5.3478999999999957</v>
      </c>
      <c r="K212" s="2">
        <v>13.756549788683289</v>
      </c>
      <c r="L212" s="2">
        <v>-3.1183781699287465</v>
      </c>
      <c r="M212" s="2">
        <v>8.0214896603466634</v>
      </c>
      <c r="N212" s="2">
        <v>3.3980812949640224</v>
      </c>
      <c r="O212" s="2">
        <v>8.740977677250136</v>
      </c>
      <c r="P212" s="2">
        <v>8.2907480944868439</v>
      </c>
      <c r="Q212" s="2">
        <v>21.32651862361665</v>
      </c>
      <c r="R212" s="2">
        <v>3.9633574520049493</v>
      </c>
      <c r="S212" s="2">
        <v>10.195053033687069</v>
      </c>
    </row>
    <row r="213" spans="1:19" ht="15.4" x14ac:dyDescent="0.4">
      <c r="A213" s="1">
        <v>26</v>
      </c>
      <c r="B213" s="40">
        <v>200</v>
      </c>
      <c r="C213" s="25">
        <v>5.0000000000000004E-6</v>
      </c>
      <c r="D213" s="2">
        <v>42.396500000000003</v>
      </c>
      <c r="E213" s="43">
        <v>30</v>
      </c>
      <c r="F213" s="30">
        <v>1.57578760320004E-8</v>
      </c>
      <c r="G213" s="30">
        <f t="shared" si="3"/>
        <v>4.0970477683201038E-7</v>
      </c>
      <c r="H213" s="2">
        <v>-0.81270000000000664</v>
      </c>
      <c r="I213" s="2">
        <v>1.9169035179790941</v>
      </c>
      <c r="J213" s="2">
        <v>6.8761999999999972</v>
      </c>
      <c r="K213" s="2">
        <v>16.218791645536772</v>
      </c>
      <c r="L213" s="2">
        <v>-4.3877622250740558</v>
      </c>
      <c r="M213" s="2">
        <v>10.349350123415979</v>
      </c>
      <c r="N213" s="2">
        <v>3.9818783783783687</v>
      </c>
      <c r="O213" s="2">
        <v>9.3919978733583385</v>
      </c>
      <c r="P213" s="2">
        <v>12.024328963385003</v>
      </c>
      <c r="Q213" s="2">
        <v>28.361607593515981</v>
      </c>
      <c r="R213" s="2">
        <v>5.6768348436271339</v>
      </c>
      <c r="S213" s="2">
        <v>13.389866719250726</v>
      </c>
    </row>
    <row r="214" spans="1:19" ht="15.4" x14ac:dyDescent="0.4">
      <c r="A214" s="1">
        <v>26</v>
      </c>
      <c r="B214" s="40">
        <v>200</v>
      </c>
      <c r="C214" s="25">
        <v>5.0000000000000004E-6</v>
      </c>
      <c r="D214" s="2">
        <v>46.227600000000002</v>
      </c>
      <c r="E214" s="43">
        <v>35</v>
      </c>
      <c r="F214" s="30">
        <v>1.57578760320004E-8</v>
      </c>
      <c r="G214" s="30">
        <f t="shared" si="3"/>
        <v>4.0970477683201038E-7</v>
      </c>
      <c r="H214" s="2">
        <v>-1.9039000000000001</v>
      </c>
      <c r="I214" s="2">
        <v>4.1185352473414145</v>
      </c>
      <c r="J214" s="2">
        <v>8.6674999999999969</v>
      </c>
      <c r="K214" s="2">
        <v>18.749621438274964</v>
      </c>
      <c r="L214" s="2">
        <v>-5.8484410812196757</v>
      </c>
      <c r="M214" s="2">
        <v>12.651405396818513</v>
      </c>
      <c r="N214" s="2">
        <v>4.6295428571428587</v>
      </c>
      <c r="O214" s="2">
        <v>10.01467274343219</v>
      </c>
      <c r="P214" s="2">
        <v>16.877195270587912</v>
      </c>
      <c r="Q214" s="2">
        <v>36.508915173160425</v>
      </c>
      <c r="R214" s="2">
        <v>7.8438956196640461</v>
      </c>
      <c r="S214" s="2">
        <v>16.967992324204687</v>
      </c>
    </row>
    <row r="215" spans="1:19" ht="15.4" x14ac:dyDescent="0.4">
      <c r="A215" s="1">
        <v>26</v>
      </c>
      <c r="B215" s="40">
        <v>200</v>
      </c>
      <c r="C215" s="25">
        <v>3.0000000000000001E-5</v>
      </c>
      <c r="D215" s="2">
        <v>57.127099999999999</v>
      </c>
      <c r="E215" s="43">
        <v>37.5</v>
      </c>
      <c r="F215" s="30">
        <v>5.7024127449739402E-8</v>
      </c>
      <c r="G215" s="30">
        <f t="shared" si="3"/>
        <v>1.4826273136932243E-6</v>
      </c>
      <c r="H215" s="2">
        <v>-0.51039999999999708</v>
      </c>
      <c r="I215" s="2">
        <v>0.89344636783592557</v>
      </c>
      <c r="J215" s="2">
        <v>0.82019999999999982</v>
      </c>
      <c r="K215" s="2">
        <v>1.4357459069338367</v>
      </c>
      <c r="L215" s="2">
        <v>-11.823386029343467</v>
      </c>
      <c r="M215" s="2">
        <v>20.6966326478037</v>
      </c>
      <c r="N215" s="2">
        <v>-3.8740879518072262</v>
      </c>
      <c r="O215" s="2">
        <v>6.7815239208838296</v>
      </c>
      <c r="P215" s="2">
        <v>10.954896077304241</v>
      </c>
      <c r="Q215" s="2">
        <v>19.176356015453681</v>
      </c>
      <c r="R215" s="2">
        <v>4.6952673341429971</v>
      </c>
      <c r="S215" s="2">
        <v>8.2189842196488136</v>
      </c>
    </row>
    <row r="216" spans="1:19" ht="15.4" x14ac:dyDescent="0.4">
      <c r="A216" s="1">
        <v>26</v>
      </c>
      <c r="B216" s="40">
        <v>200</v>
      </c>
      <c r="C216" s="25">
        <v>3.0000000000000001E-5</v>
      </c>
      <c r="D216" s="2">
        <v>60.5289</v>
      </c>
      <c r="E216" s="43">
        <v>40</v>
      </c>
      <c r="F216" s="30">
        <v>5.7024127449739402E-8</v>
      </c>
      <c r="G216" s="30">
        <f t="shared" si="3"/>
        <v>1.4826273136932243E-6</v>
      </c>
      <c r="H216" s="2">
        <v>-1.9307000000000016</v>
      </c>
      <c r="I216" s="2">
        <v>3.1897159869087357</v>
      </c>
      <c r="J216" s="2">
        <v>0.62769999999999726</v>
      </c>
      <c r="K216" s="2">
        <v>1.0370252887463629</v>
      </c>
      <c r="L216" s="2">
        <v>-13.592849951112456</v>
      </c>
      <c r="M216" s="2">
        <v>22.456793285707249</v>
      </c>
      <c r="N216" s="2">
        <v>-4.7657421052631506</v>
      </c>
      <c r="O216" s="2">
        <v>7.8734986184502782</v>
      </c>
      <c r="P216" s="2">
        <v>13.020518002270926</v>
      </c>
      <c r="Q216" s="2">
        <v>21.511241741169798</v>
      </c>
      <c r="R216" s="2">
        <v>5.5936894622518807</v>
      </c>
      <c r="S216" s="2">
        <v>9.2413532415951405</v>
      </c>
    </row>
    <row r="217" spans="1:19" ht="15.4" x14ac:dyDescent="0.4">
      <c r="A217" s="1">
        <v>26</v>
      </c>
      <c r="B217" s="40">
        <v>200</v>
      </c>
      <c r="C217" s="25">
        <v>3.0000000000000001E-5</v>
      </c>
      <c r="D217" s="2">
        <v>64.156700000000001</v>
      </c>
      <c r="E217" s="43">
        <v>42</v>
      </c>
      <c r="F217" s="30">
        <v>5.7024127449739402E-8</v>
      </c>
      <c r="G217" s="30">
        <f t="shared" si="3"/>
        <v>1.4826273136932243E-6</v>
      </c>
      <c r="H217" s="2">
        <v>-3.9883999999999986</v>
      </c>
      <c r="I217" s="2">
        <v>6.2166539114387094</v>
      </c>
      <c r="J217" s="2">
        <v>-0.31080000000000041</v>
      </c>
      <c r="K217" s="2">
        <v>0.48443888167564791</v>
      </c>
      <c r="L217" s="2">
        <v>-15.874812375273876</v>
      </c>
      <c r="M217" s="2">
        <v>24.743810662446599</v>
      </c>
      <c r="N217" s="2">
        <v>-6.2975450704225437</v>
      </c>
      <c r="O217" s="2">
        <v>9.815880602372852</v>
      </c>
      <c r="P217" s="2">
        <v>14.160375942060114</v>
      </c>
      <c r="Q217" s="2">
        <v>22.071546607073174</v>
      </c>
      <c r="R217" s="2">
        <v>5.6612304556126247</v>
      </c>
      <c r="S217" s="2">
        <v>8.8240674093471529</v>
      </c>
    </row>
    <row r="218" spans="1:19" ht="15.4" x14ac:dyDescent="0.4">
      <c r="A218" s="1">
        <v>26</v>
      </c>
      <c r="B218" s="40">
        <v>200</v>
      </c>
      <c r="C218" s="25">
        <v>8.0000000000000007E-5</v>
      </c>
      <c r="D218" s="2">
        <v>66.379099999999994</v>
      </c>
      <c r="E218" s="43">
        <v>42.5</v>
      </c>
      <c r="F218" s="30">
        <v>1.2036325508974701E-7</v>
      </c>
      <c r="G218" s="30">
        <f t="shared" si="3"/>
        <v>3.129444632333422E-6</v>
      </c>
      <c r="H218" s="2">
        <v>-0.52309999999999945</v>
      </c>
      <c r="I218" s="2">
        <v>0.78804925044177987</v>
      </c>
      <c r="J218" s="2">
        <v>-1.843599999999995</v>
      </c>
      <c r="K218" s="2">
        <v>2.7773802296204608</v>
      </c>
      <c r="L218" s="2">
        <v>-16.075730426806601</v>
      </c>
      <c r="M218" s="2">
        <v>24.218060243068379</v>
      </c>
      <c r="N218" s="2">
        <v>-7.9831438079191201</v>
      </c>
      <c r="O218" s="2">
        <v>12.026592418274911</v>
      </c>
      <c r="P218" s="2">
        <v>13.189152578954776</v>
      </c>
      <c r="Q218" s="2">
        <v>19.869435679234542</v>
      </c>
      <c r="R218" s="2">
        <v>6.5905575771490845</v>
      </c>
      <c r="S218" s="2">
        <v>9.9286636564055328</v>
      </c>
    </row>
    <row r="219" spans="1:19" ht="15.4" x14ac:dyDescent="0.4">
      <c r="A219" s="1">
        <v>26</v>
      </c>
      <c r="B219" s="40">
        <v>200</v>
      </c>
      <c r="C219" s="25">
        <v>3.0000000000000001E-5</v>
      </c>
      <c r="D219" s="2">
        <v>68.2179</v>
      </c>
      <c r="E219" s="43">
        <v>45</v>
      </c>
      <c r="F219" s="30">
        <v>5.7024127449739402E-8</v>
      </c>
      <c r="G219" s="30">
        <f t="shared" si="3"/>
        <v>1.4826273136932243E-6</v>
      </c>
      <c r="H219" s="2">
        <v>-5.7203000000000017</v>
      </c>
      <c r="I219" s="2">
        <v>8.3853358136207667</v>
      </c>
      <c r="J219" s="2">
        <v>-0.12890000000000157</v>
      </c>
      <c r="K219" s="2">
        <v>0.18895333922621713</v>
      </c>
      <c r="L219" s="2">
        <v>-17.84717259122273</v>
      </c>
      <c r="M219" s="2">
        <v>26.162008199054398</v>
      </c>
      <c r="N219" s="2">
        <v>-7.057278238341965</v>
      </c>
      <c r="O219" s="2">
        <v>10.345200069691336</v>
      </c>
      <c r="P219" s="2">
        <v>17.993062804923795</v>
      </c>
      <c r="Q219" s="2">
        <v>26.375867338226179</v>
      </c>
      <c r="R219" s="2">
        <v>7.6111991080587273</v>
      </c>
      <c r="S219" s="2">
        <v>11.157187641452943</v>
      </c>
    </row>
    <row r="220" spans="1:19" ht="15.4" x14ac:dyDescent="0.4">
      <c r="A220" s="1">
        <v>26</v>
      </c>
      <c r="B220" s="40">
        <v>200</v>
      </c>
      <c r="C220" s="25">
        <v>8.0000000000000007E-5</v>
      </c>
      <c r="D220" s="2">
        <v>69.976600000000005</v>
      </c>
      <c r="E220" s="43">
        <v>45</v>
      </c>
      <c r="F220" s="30">
        <v>1.2036325508974701E-7</v>
      </c>
      <c r="G220" s="30">
        <f t="shared" si="3"/>
        <v>3.129444632333422E-6</v>
      </c>
      <c r="H220" s="2">
        <v>-1.88900000000001</v>
      </c>
      <c r="I220" s="2">
        <v>2.6994738241069296</v>
      </c>
      <c r="J220" s="2">
        <v>-1.8876000000000062</v>
      </c>
      <c r="K220" s="2">
        <v>2.6974731553119269</v>
      </c>
      <c r="L220" s="2">
        <v>-17.763172014421315</v>
      </c>
      <c r="M220" s="2">
        <v>25.384445678157146</v>
      </c>
      <c r="N220" s="2">
        <v>-8.8159782383419696</v>
      </c>
      <c r="O220" s="2">
        <v>12.598466113446449</v>
      </c>
      <c r="P220" s="2">
        <v>16.234362804923791</v>
      </c>
      <c r="Q220" s="2">
        <v>23.199702193195709</v>
      </c>
      <c r="R220" s="2">
        <v>8.4201859529451752</v>
      </c>
      <c r="S220" s="2">
        <v>12.032859488665032</v>
      </c>
    </row>
    <row r="221" spans="1:19" ht="15.4" x14ac:dyDescent="0.4">
      <c r="A221" s="1">
        <v>26</v>
      </c>
      <c r="B221" s="40">
        <v>200</v>
      </c>
      <c r="C221" s="25">
        <v>8.0000000000000007E-5</v>
      </c>
      <c r="D221" s="2">
        <v>74.287899999999993</v>
      </c>
      <c r="E221" s="43">
        <v>47.5</v>
      </c>
      <c r="F221" s="30">
        <v>1.2036325508974701E-7</v>
      </c>
      <c r="G221" s="30">
        <f t="shared" si="3"/>
        <v>3.129444632333422E-6</v>
      </c>
      <c r="H221" s="2">
        <v>-3.992999999999995</v>
      </c>
      <c r="I221" s="2">
        <v>5.375034157648817</v>
      </c>
      <c r="J221" s="2">
        <v>-2.4656999999999982</v>
      </c>
      <c r="K221" s="2">
        <v>3.3191138799185311</v>
      </c>
      <c r="L221" s="2">
        <v>-20.091733000180383</v>
      </c>
      <c r="M221" s="2">
        <v>27.045767884380073</v>
      </c>
      <c r="N221" s="2">
        <v>-10.220583790965463</v>
      </c>
      <c r="O221" s="2">
        <v>13.758073375294583</v>
      </c>
      <c r="P221" s="2">
        <v>19.276015069980161</v>
      </c>
      <c r="Q221" s="2">
        <v>25.947718363259913</v>
      </c>
      <c r="R221" s="2">
        <v>10.030293876498703</v>
      </c>
      <c r="S221" s="2">
        <v>13.501921411829793</v>
      </c>
    </row>
    <row r="222" spans="1:19" ht="15.4" x14ac:dyDescent="0.4">
      <c r="A222" s="1">
        <v>26</v>
      </c>
      <c r="B222" s="40">
        <v>200</v>
      </c>
      <c r="C222" s="25">
        <v>8.0000000000000007E-5</v>
      </c>
      <c r="D222" s="2">
        <v>78.462800000000001</v>
      </c>
      <c r="E222" s="43">
        <v>50</v>
      </c>
      <c r="F222" s="30">
        <v>1.2036325508974701E-7</v>
      </c>
      <c r="G222" s="30">
        <f t="shared" si="3"/>
        <v>3.129444632333422E-6</v>
      </c>
      <c r="H222" s="2">
        <v>-5.9846000000000004</v>
      </c>
      <c r="I222" s="2">
        <v>7.6273087373889288</v>
      </c>
      <c r="J222" s="2">
        <v>-2.7180000000000035</v>
      </c>
      <c r="K222" s="2">
        <v>3.4640619503764887</v>
      </c>
      <c r="L222" s="2">
        <v>-22.206984517008955</v>
      </c>
      <c r="M222" s="2">
        <v>28.302564421622673</v>
      </c>
      <c r="N222" s="2">
        <v>-11.335527272727276</v>
      </c>
      <c r="O222" s="2">
        <v>14.447008356478836</v>
      </c>
      <c r="P222" s="2">
        <v>23.268001358705021</v>
      </c>
      <c r="Q222" s="2">
        <v>29.654819046357026</v>
      </c>
      <c r="R222" s="2">
        <v>12.329852322952078</v>
      </c>
      <c r="S222" s="2">
        <v>15.714265005776085</v>
      </c>
    </row>
    <row r="223" spans="1:19" ht="15.4" x14ac:dyDescent="0.4">
      <c r="A223" s="1">
        <v>26.4</v>
      </c>
      <c r="B223" s="40">
        <v>401</v>
      </c>
      <c r="C223" s="25">
        <v>8.6000000000000003E-5</v>
      </c>
      <c r="D223" s="2">
        <v>33.880000000000003</v>
      </c>
      <c r="E223" s="43">
        <v>25.8</v>
      </c>
      <c r="F223" s="30">
        <v>5.3157133469765097E-7</v>
      </c>
      <c r="G223" s="30">
        <f t="shared" si="3"/>
        <v>1.4033483236017984E-5</v>
      </c>
      <c r="H223" s="2">
        <v>-1.7787321193800665E-2</v>
      </c>
      <c r="I223" s="2">
        <v>5.2500948033650123E-2</v>
      </c>
      <c r="J223" s="2">
        <v>18.299099999999996</v>
      </c>
      <c r="K223" s="2">
        <v>54.011511216056654</v>
      </c>
      <c r="L223" s="2">
        <v>0.15074876407842197</v>
      </c>
      <c r="M223" s="2">
        <v>0.44494912655968699</v>
      </c>
      <c r="N223" s="2">
        <v>13.951773703833538</v>
      </c>
      <c r="O223" s="2">
        <v>41.179969609898279</v>
      </c>
      <c r="P223" s="2">
        <v>24.474298745201644</v>
      </c>
      <c r="Q223" s="2">
        <v>72.23818992090213</v>
      </c>
      <c r="R223" s="2">
        <v>10.787255768707226</v>
      </c>
      <c r="S223" s="2">
        <v>31.839597900552612</v>
      </c>
    </row>
    <row r="224" spans="1:19" ht="15.4" x14ac:dyDescent="0.4">
      <c r="A224" s="1">
        <v>26.4</v>
      </c>
      <c r="B224" s="40">
        <v>401</v>
      </c>
      <c r="C224" s="25">
        <v>8.6000000000000003E-5</v>
      </c>
      <c r="D224" s="2">
        <v>41.21</v>
      </c>
      <c r="E224" s="43">
        <v>41.099999999999994</v>
      </c>
      <c r="F224" s="30">
        <v>4.8882256830186603E-7</v>
      </c>
      <c r="G224" s="30">
        <f t="shared" si="3"/>
        <v>1.2904915803169263E-5</v>
      </c>
      <c r="H224" s="2">
        <v>-3.11091541010029E-2</v>
      </c>
      <c r="I224" s="2">
        <v>7.5489332931334377E-2</v>
      </c>
      <c r="J224" s="2">
        <v>39.511800000000001</v>
      </c>
      <c r="K224" s="2">
        <v>95.879155544770683</v>
      </c>
      <c r="L224" s="2">
        <v>-0.782249259199844</v>
      </c>
      <c r="M224" s="2">
        <v>1.8982025217176508</v>
      </c>
      <c r="N224" s="2">
        <v>25.857368998203704</v>
      </c>
      <c r="O224" s="2">
        <v>62.745374904643782</v>
      </c>
      <c r="P224" s="2">
        <v>72.17251114418201</v>
      </c>
      <c r="Q224" s="2">
        <v>175.13348979418103</v>
      </c>
      <c r="R224" s="2">
        <v>25.555340915225436</v>
      </c>
      <c r="S224" s="2">
        <v>62.012474921682696</v>
      </c>
    </row>
    <row r="225" spans="1:19" ht="15.4" x14ac:dyDescent="0.4">
      <c r="A225" s="1">
        <v>26.4</v>
      </c>
      <c r="B225" s="40">
        <v>401</v>
      </c>
      <c r="C225" s="25">
        <v>8.6000000000000003E-5</v>
      </c>
      <c r="D225" s="2">
        <v>42.19</v>
      </c>
      <c r="E225" s="43">
        <v>41.099999999999994</v>
      </c>
      <c r="F225" s="30">
        <v>5.3157133469765097E-7</v>
      </c>
      <c r="G225" s="30">
        <f t="shared" si="3"/>
        <v>1.4033483236017984E-5</v>
      </c>
      <c r="H225" s="2">
        <v>-3.5302687615139945</v>
      </c>
      <c r="I225" s="2">
        <v>8.367548617004017</v>
      </c>
      <c r="J225" s="2">
        <v>38.531800000000004</v>
      </c>
      <c r="K225" s="2">
        <v>91.329224934818683</v>
      </c>
      <c r="L225" s="2">
        <v>-2.8974017070827784</v>
      </c>
      <c r="M225" s="2">
        <v>6.8675081940810108</v>
      </c>
      <c r="N225" s="2">
        <v>24.877368998203707</v>
      </c>
      <c r="O225" s="2">
        <v>58.965084138904267</v>
      </c>
      <c r="P225" s="2">
        <v>71.192511144182021</v>
      </c>
      <c r="Q225" s="2">
        <v>168.74261944579766</v>
      </c>
      <c r="R225" s="2">
        <v>22.3549530748476</v>
      </c>
      <c r="S225" s="2">
        <v>52.986378466100028</v>
      </c>
    </row>
    <row r="226" spans="1:19" ht="15.4" x14ac:dyDescent="0.4">
      <c r="A226" s="1">
        <v>26.4</v>
      </c>
      <c r="B226" s="40">
        <v>401</v>
      </c>
      <c r="C226" s="25">
        <v>8.6000000000000003E-5</v>
      </c>
      <c r="D226" s="2">
        <v>51.14</v>
      </c>
      <c r="E226" s="43">
        <v>51.2</v>
      </c>
      <c r="F226" s="30">
        <v>4.8882256830186603E-7</v>
      </c>
      <c r="G226" s="30">
        <f t="shared" si="3"/>
        <v>1.2904915803169263E-5</v>
      </c>
      <c r="H226" s="2">
        <v>-6.5944352783107973</v>
      </c>
      <c r="I226" s="2">
        <v>12.894867575891272</v>
      </c>
      <c r="J226" s="2">
        <v>57.137799999999999</v>
      </c>
      <c r="K226" s="2">
        <v>111.72819710598357</v>
      </c>
      <c r="L226" s="2">
        <v>-6.4698243984237749</v>
      </c>
      <c r="M226" s="2">
        <v>12.651201404817705</v>
      </c>
      <c r="N226" s="2">
        <v>33.236723479875181</v>
      </c>
      <c r="O226" s="2">
        <v>64.99163762196946</v>
      </c>
      <c r="P226" s="2">
        <v>148.53291605530109</v>
      </c>
      <c r="Q226" s="2">
        <v>290.44371539949367</v>
      </c>
      <c r="R226" s="2">
        <v>36.126944180203893</v>
      </c>
      <c r="S226" s="2">
        <v>70.64322287877178</v>
      </c>
    </row>
    <row r="227" spans="1:19" ht="15.4" x14ac:dyDescent="0.4">
      <c r="A227" s="1">
        <v>26.4</v>
      </c>
      <c r="B227" s="40">
        <v>401</v>
      </c>
      <c r="C227" s="25">
        <v>8.6000000000000003E-5</v>
      </c>
      <c r="D227" s="2">
        <v>64.61</v>
      </c>
      <c r="E227" s="43">
        <v>51.2</v>
      </c>
      <c r="F227" s="30">
        <v>5.3157133469765097E-7</v>
      </c>
      <c r="G227" s="30">
        <f t="shared" si="3"/>
        <v>1.4033483236017984E-5</v>
      </c>
      <c r="H227" s="2">
        <v>-22.914268620332599</v>
      </c>
      <c r="I227" s="2">
        <v>35.465514038589383</v>
      </c>
      <c r="J227" s="2">
        <v>43.6678</v>
      </c>
      <c r="K227" s="2">
        <v>67.586751276892116</v>
      </c>
      <c r="L227" s="2">
        <v>-21.479889534854031</v>
      </c>
      <c r="M227" s="2">
        <v>33.24545663961311</v>
      </c>
      <c r="N227" s="2">
        <v>19.766723479875182</v>
      </c>
      <c r="O227" s="2">
        <v>30.593907258745055</v>
      </c>
      <c r="P227" s="2">
        <v>135.06291605530106</v>
      </c>
      <c r="Q227" s="2">
        <v>209.04336179430595</v>
      </c>
      <c r="R227" s="2">
        <v>18.650602827603961</v>
      </c>
      <c r="S227" s="2">
        <v>28.866433721721034</v>
      </c>
    </row>
    <row r="228" spans="1:19" ht="15.4" x14ac:dyDescent="0.4">
      <c r="A228" s="1">
        <v>29</v>
      </c>
      <c r="B228" s="40">
        <v>2000</v>
      </c>
      <c r="C228" s="25">
        <v>5.0000000000000002E-5</v>
      </c>
      <c r="D228" s="2">
        <v>34.75</v>
      </c>
      <c r="E228" s="43">
        <v>10</v>
      </c>
      <c r="F228" s="30">
        <v>3.5471480621872E-7</v>
      </c>
      <c r="G228" s="30">
        <f t="shared" si="3"/>
        <v>1.0286729380342879E-5</v>
      </c>
      <c r="H228" s="2">
        <v>0.75072220284739899</v>
      </c>
      <c r="I228" s="2">
        <v>2.1603516628702129</v>
      </c>
      <c r="J228" s="2">
        <v>4.4179999999999993</v>
      </c>
      <c r="K228" s="2">
        <v>12.713669064748197</v>
      </c>
      <c r="L228" s="2">
        <v>-2.9670688061488946</v>
      </c>
      <c r="M228" s="2">
        <v>8.5383274997090481</v>
      </c>
      <c r="N228" s="2">
        <v>3.4647348057391483</v>
      </c>
      <c r="O228" s="2">
        <v>9.9704598726306415</v>
      </c>
      <c r="P228" s="2">
        <v>3.9956890868654824</v>
      </c>
      <c r="Q228" s="2">
        <v>11.498385861483403</v>
      </c>
      <c r="R228" s="2">
        <v>0.3057302787598033</v>
      </c>
      <c r="S228" s="2">
        <v>0.87979936333756337</v>
      </c>
    </row>
    <row r="229" spans="1:19" ht="15.4" x14ac:dyDescent="0.4">
      <c r="A229" s="1">
        <v>29</v>
      </c>
      <c r="B229" s="40">
        <v>2000</v>
      </c>
      <c r="C229" s="25">
        <v>1.5E-5</v>
      </c>
      <c r="D229" s="2">
        <v>42.04</v>
      </c>
      <c r="E229" s="43">
        <v>64.004096262160772</v>
      </c>
      <c r="F229" s="30">
        <v>1.16265344045781E-7</v>
      </c>
      <c r="G229" s="30">
        <f t="shared" si="3"/>
        <v>3.371694977327649E-6</v>
      </c>
      <c r="H229" s="2">
        <v>-0.31079332708699781</v>
      </c>
      <c r="I229" s="2">
        <v>0.73928003588724511</v>
      </c>
      <c r="J229" s="2">
        <v>310.41589999999997</v>
      </c>
      <c r="K229" s="2">
        <v>738.38225499524253</v>
      </c>
      <c r="L229" s="2">
        <v>5.7873210748428789</v>
      </c>
      <c r="M229" s="2">
        <v>13.766225201814649</v>
      </c>
      <c r="N229" s="2">
        <v>124.75681316392414</v>
      </c>
      <c r="O229" s="2">
        <v>296.7574052424456</v>
      </c>
      <c r="P229" s="2">
        <v>-605.50753138099776</v>
      </c>
      <c r="Q229" s="2">
        <v>1440.312871981441</v>
      </c>
      <c r="R229" s="2">
        <v>95.003678263716267</v>
      </c>
      <c r="S229" s="2">
        <v>225.98401109352108</v>
      </c>
    </row>
    <row r="230" spans="1:19" ht="15.4" x14ac:dyDescent="0.4">
      <c r="A230" s="1">
        <v>29</v>
      </c>
      <c r="B230" s="40">
        <v>2000</v>
      </c>
      <c r="C230" s="25">
        <v>5.0000000000000002E-5</v>
      </c>
      <c r="D230" s="2">
        <v>82.06</v>
      </c>
      <c r="E230" s="43">
        <v>40</v>
      </c>
      <c r="F230" s="30">
        <v>1.6527691763413399E-7</v>
      </c>
      <c r="G230" s="30">
        <f t="shared" si="3"/>
        <v>4.7930306113898857E-6</v>
      </c>
      <c r="H230" s="2">
        <v>13.460861792800202</v>
      </c>
      <c r="I230" s="2">
        <v>16.403682418718258</v>
      </c>
      <c r="J230" s="2">
        <v>34.972499999999997</v>
      </c>
      <c r="K230" s="2">
        <v>42.618206190592247</v>
      </c>
      <c r="L230" s="2">
        <v>-27.831466936619641</v>
      </c>
      <c r="M230" s="2">
        <v>33.915996754350033</v>
      </c>
      <c r="N230" s="2">
        <v>0.9655198487712795</v>
      </c>
      <c r="O230" s="2">
        <v>1.1766023016954417</v>
      </c>
      <c r="P230" s="2">
        <v>107.93590824553496</v>
      </c>
      <c r="Q230" s="2">
        <v>131.53291280226048</v>
      </c>
      <c r="R230" s="2">
        <v>26.417752068564525</v>
      </c>
      <c r="S230" s="2">
        <v>32.19321480449004</v>
      </c>
    </row>
    <row r="231" spans="1:19" ht="15.4" x14ac:dyDescent="0.4">
      <c r="A231" s="1">
        <v>29</v>
      </c>
      <c r="B231" s="40">
        <v>2000</v>
      </c>
      <c r="C231" s="25">
        <v>5.0000000000000002E-5</v>
      </c>
      <c r="D231" s="2">
        <v>87.02</v>
      </c>
      <c r="E231" s="43">
        <v>50</v>
      </c>
      <c r="F231" s="30">
        <v>1.6527691763413399E-7</v>
      </c>
      <c r="G231" s="30">
        <f t="shared" si="3"/>
        <v>4.7930306113898857E-6</v>
      </c>
      <c r="H231" s="2">
        <v>16.402511885435999</v>
      </c>
      <c r="I231" s="2">
        <v>18.849128804224318</v>
      </c>
      <c r="J231" s="2">
        <v>94.512299999999996</v>
      </c>
      <c r="K231" s="2">
        <v>108.6098598023443</v>
      </c>
      <c r="L231" s="2">
        <v>-24.019436112717386</v>
      </c>
      <c r="M231" s="2">
        <v>27.602201922221774</v>
      </c>
      <c r="N231" s="2">
        <v>21.922657342657345</v>
      </c>
      <c r="O231" s="2">
        <v>25.192665298388121</v>
      </c>
      <c r="P231" s="2">
        <v>522.15701540462624</v>
      </c>
      <c r="Q231" s="2">
        <v>600.04253666355578</v>
      </c>
      <c r="R231" s="2">
        <v>88.602160041944231</v>
      </c>
      <c r="S231" s="2">
        <v>101.81815679377641</v>
      </c>
    </row>
    <row r="232" spans="1:19" ht="15.4" x14ac:dyDescent="0.4">
      <c r="A232" s="1">
        <v>29</v>
      </c>
      <c r="B232" s="40">
        <v>2000</v>
      </c>
      <c r="C232" s="25">
        <v>3.0000000000000001E-5</v>
      </c>
      <c r="D232" s="2">
        <v>103.34</v>
      </c>
      <c r="E232" s="43">
        <v>64.004096262160772</v>
      </c>
      <c r="F232" s="30">
        <v>1.16265344045781E-7</v>
      </c>
      <c r="G232" s="30">
        <f t="shared" si="3"/>
        <v>3.371694977327649E-6</v>
      </c>
      <c r="H232" s="2">
        <v>-22.56684182363901</v>
      </c>
      <c r="I232" s="2">
        <v>21.837470315114192</v>
      </c>
      <c r="J232" s="2">
        <v>249.11589999999998</v>
      </c>
      <c r="K232" s="2">
        <v>241.06435068705241</v>
      </c>
      <c r="L232" s="2">
        <v>-31.624438584014641</v>
      </c>
      <c r="M232" s="2">
        <v>30.602321060590903</v>
      </c>
      <c r="N232" s="2">
        <v>63.456813163924124</v>
      </c>
      <c r="O232" s="2">
        <v>61.405857522667041</v>
      </c>
      <c r="P232" s="2">
        <v>-666.80753138099783</v>
      </c>
      <c r="Q232" s="2">
        <v>645.25598159570143</v>
      </c>
      <c r="R232" s="2">
        <v>251.34968195720856</v>
      </c>
      <c r="S232" s="2">
        <v>243.22593570467248</v>
      </c>
    </row>
    <row r="233" spans="1:19" ht="15.4" x14ac:dyDescent="0.4">
      <c r="A233" s="1">
        <v>29</v>
      </c>
      <c r="B233" s="40">
        <v>2000</v>
      </c>
      <c r="C233" s="25">
        <v>5.0000000000000002E-5</v>
      </c>
      <c r="D233" s="2">
        <v>129.82</v>
      </c>
      <c r="E233" s="43">
        <v>64.004096262160772</v>
      </c>
      <c r="F233" s="30">
        <v>1.16265344045781E-7</v>
      </c>
      <c r="G233" s="30">
        <f t="shared" si="3"/>
        <v>3.371694977327649E-6</v>
      </c>
      <c r="H233" s="2">
        <v>-0.67910140380499229</v>
      </c>
      <c r="I233" s="2">
        <v>0.52311000139038077</v>
      </c>
      <c r="J233" s="2">
        <v>222.63589999999999</v>
      </c>
      <c r="K233" s="2">
        <v>171.49584039439222</v>
      </c>
      <c r="L233" s="2">
        <v>-38.024726990650493</v>
      </c>
      <c r="M233" s="2">
        <v>29.290345856301414</v>
      </c>
      <c r="N233" s="2">
        <v>36.976813163924135</v>
      </c>
      <c r="O233" s="2">
        <v>28.483140628504188</v>
      </c>
      <c r="P233" s="2">
        <v>-693.28753138099773</v>
      </c>
      <c r="Q233" s="2">
        <v>534.0375376529023</v>
      </c>
      <c r="R233" s="2">
        <v>876.04046258785115</v>
      </c>
      <c r="S233" s="2">
        <v>674.81163348317</v>
      </c>
    </row>
    <row r="234" spans="1:19" ht="15.4" x14ac:dyDescent="0.4">
      <c r="A234" s="1">
        <v>29</v>
      </c>
      <c r="B234" s="40">
        <v>2000</v>
      </c>
      <c r="C234" s="25">
        <v>1E-4</v>
      </c>
      <c r="D234" s="2">
        <v>155.25</v>
      </c>
      <c r="E234" s="43">
        <v>64.004096262160772</v>
      </c>
      <c r="F234" s="30">
        <v>1.16265344045781E-7</v>
      </c>
      <c r="G234" s="30">
        <f t="shared" si="3"/>
        <v>3.371694977327649E-6</v>
      </c>
      <c r="H234" s="2">
        <v>79.241201390573991</v>
      </c>
      <c r="I234" s="2">
        <v>51.041031491513031</v>
      </c>
      <c r="J234" s="2">
        <v>197.20589999999999</v>
      </c>
      <c r="K234" s="2">
        <v>127.02473429951691</v>
      </c>
      <c r="L234" s="2">
        <v>-37.53918814004443</v>
      </c>
      <c r="M234" s="2">
        <v>24.17983133014134</v>
      </c>
      <c r="N234" s="2">
        <v>11.546813163924128</v>
      </c>
      <c r="O234" s="2">
        <v>7.437560814121821</v>
      </c>
      <c r="P234" s="2">
        <v>-718.7175313809978</v>
      </c>
      <c r="Q234" s="2">
        <v>462.94204919871032</v>
      </c>
      <c r="R234" s="2">
        <v>-2733.7070805944691</v>
      </c>
      <c r="S234" s="2">
        <v>1760.8419198676127</v>
      </c>
    </row>
    <row r="235" spans="1:19" ht="15.4" x14ac:dyDescent="0.4">
      <c r="A235" s="1">
        <v>29</v>
      </c>
      <c r="B235" s="40">
        <v>2000</v>
      </c>
      <c r="C235" s="25">
        <v>1.4999999999999999E-4</v>
      </c>
      <c r="D235" s="2">
        <v>237.9</v>
      </c>
      <c r="E235" s="43">
        <v>64.004096262160772</v>
      </c>
      <c r="F235" s="30">
        <v>1.16265344045781E-7</v>
      </c>
      <c r="G235" s="30">
        <f t="shared" si="3"/>
        <v>3.371694977327649E-6</v>
      </c>
      <c r="H235" s="2">
        <v>84.19577012511499</v>
      </c>
      <c r="I235" s="2">
        <v>35.391244272852035</v>
      </c>
      <c r="J235" s="2">
        <v>114.55589999999998</v>
      </c>
      <c r="K235" s="2">
        <v>48.152963430012605</v>
      </c>
      <c r="L235" s="2">
        <v>-107.58388697245326</v>
      </c>
      <c r="M235" s="2">
        <v>45.222314826588168</v>
      </c>
      <c r="N235" s="2">
        <v>-71.103186836075878</v>
      </c>
      <c r="O235" s="2">
        <v>29.887846505286202</v>
      </c>
      <c r="P235" s="2">
        <v>-801.36753138099778</v>
      </c>
      <c r="Q235" s="2">
        <v>336.85058065615709</v>
      </c>
      <c r="R235" s="2">
        <v>-1412.9597881976349</v>
      </c>
      <c r="S235" s="2">
        <v>593.9301337526839</v>
      </c>
    </row>
    <row r="236" spans="1:19" ht="15.4" x14ac:dyDescent="0.4">
      <c r="A236" s="1">
        <v>401</v>
      </c>
      <c r="B236" s="40">
        <v>1481</v>
      </c>
      <c r="C236" s="25">
        <v>6.6000000000000005E-5</v>
      </c>
      <c r="D236" s="2">
        <v>442.68</v>
      </c>
      <c r="E236" s="43">
        <v>64.600000000000009</v>
      </c>
      <c r="F236" s="30">
        <v>3.0976493754882599E-8</v>
      </c>
      <c r="G236" s="30">
        <f t="shared" si="3"/>
        <v>1.2421573995707922E-5</v>
      </c>
      <c r="H236" s="2">
        <v>-12.325850818877029</v>
      </c>
      <c r="I236" s="2">
        <v>2.7843703846744896</v>
      </c>
      <c r="J236" s="2">
        <v>519.42421721501091</v>
      </c>
      <c r="K236" s="2">
        <v>117.33627388068378</v>
      </c>
      <c r="L236" s="2">
        <v>91.010256266384033</v>
      </c>
      <c r="M236" s="2">
        <v>20.558926598532583</v>
      </c>
      <c r="N236" s="2">
        <v>487.7456301566877</v>
      </c>
      <c r="O236" s="2">
        <v>110.18018210822437</v>
      </c>
      <c r="P236" s="2">
        <v>593.88391889469722</v>
      </c>
      <c r="Q236" s="2">
        <v>134.1564829887723</v>
      </c>
      <c r="R236" s="2">
        <v>302.26849355800408</v>
      </c>
      <c r="S236" s="2">
        <v>68.281488560134648</v>
      </c>
    </row>
    <row r="237" spans="1:19" ht="15.4" x14ac:dyDescent="0.4">
      <c r="A237" s="1">
        <v>401</v>
      </c>
      <c r="B237" s="40">
        <v>2000</v>
      </c>
      <c r="C237" s="25">
        <v>5.0000000000000002E-5</v>
      </c>
      <c r="D237" s="2">
        <v>537.78</v>
      </c>
      <c r="E237" s="43">
        <v>60</v>
      </c>
      <c r="F237" s="30">
        <v>1.9144429778400399E-8</v>
      </c>
      <c r="G237" s="30">
        <f t="shared" si="3"/>
        <v>7.6769163411385602E-6</v>
      </c>
      <c r="H237" s="2">
        <v>0.74050101059697226</v>
      </c>
      <c r="I237" s="2">
        <v>0.13769589992133816</v>
      </c>
      <c r="J237" s="2">
        <v>564.84042141883992</v>
      </c>
      <c r="K237" s="2">
        <v>105.03187575195061</v>
      </c>
      <c r="L237" s="2">
        <v>69.902163274969439</v>
      </c>
      <c r="M237" s="2">
        <v>12.998282434261119</v>
      </c>
      <c r="N237" s="2">
        <v>489.59479648323031</v>
      </c>
      <c r="O237" s="2">
        <v>91.039978519697712</v>
      </c>
      <c r="P237" s="2">
        <v>803.90657921809611</v>
      </c>
      <c r="Q237" s="2">
        <v>149.48614288707208</v>
      </c>
      <c r="R237" s="2">
        <v>379.96986383971876</v>
      </c>
      <c r="S237" s="2">
        <v>70.655261229446751</v>
      </c>
    </row>
    <row r="238" spans="1:19" ht="15.4" x14ac:dyDescent="0.4">
      <c r="A238" s="1">
        <v>401</v>
      </c>
      <c r="B238" s="40">
        <v>2000</v>
      </c>
      <c r="C238" s="25">
        <v>5.0000000000000002E-5</v>
      </c>
      <c r="D238" s="2">
        <v>577.66</v>
      </c>
      <c r="E238" s="43">
        <v>65</v>
      </c>
      <c r="F238" s="30">
        <v>1.9144429778400399E-8</v>
      </c>
      <c r="G238" s="30">
        <f t="shared" si="3"/>
        <v>7.6769163411385602E-6</v>
      </c>
      <c r="H238" s="2">
        <v>-25.154364551450954</v>
      </c>
      <c r="I238" s="2">
        <v>4.3545276722381603</v>
      </c>
      <c r="J238" s="2">
        <v>594.41514595248998</v>
      </c>
      <c r="K238" s="2">
        <v>102.90052036708271</v>
      </c>
      <c r="L238" s="2">
        <v>50.497927635495557</v>
      </c>
      <c r="M238" s="2">
        <v>8.7418079208350168</v>
      </c>
      <c r="N238" s="2">
        <v>532.69128925197867</v>
      </c>
      <c r="O238" s="2">
        <v>92.215367041508628</v>
      </c>
      <c r="P238" s="2">
        <v>923.56239011976584</v>
      </c>
      <c r="Q238" s="2">
        <v>159.87992765982858</v>
      </c>
      <c r="R238" s="2">
        <v>406.79099308972059</v>
      </c>
      <c r="S238" s="2">
        <v>70.420488365079919</v>
      </c>
    </row>
    <row r="239" spans="1:19" ht="15.4" x14ac:dyDescent="0.4">
      <c r="A239" s="1">
        <v>401</v>
      </c>
      <c r="B239" s="40">
        <v>1481</v>
      </c>
      <c r="C239" s="25">
        <v>1.16E-4</v>
      </c>
      <c r="D239" s="2">
        <v>672.03</v>
      </c>
      <c r="E239" s="43">
        <v>66.2</v>
      </c>
      <c r="F239" s="30">
        <v>3.0976493754882599E-8</v>
      </c>
      <c r="G239" s="30">
        <f t="shared" si="3"/>
        <v>1.2421573995707922E-5</v>
      </c>
      <c r="H239" s="2">
        <v>-83.324922743782963</v>
      </c>
      <c r="I239" s="2">
        <v>12.398988548693209</v>
      </c>
      <c r="J239" s="2">
        <v>304.54341329484203</v>
      </c>
      <c r="K239" s="2">
        <v>45.316937234177352</v>
      </c>
      <c r="L239" s="2">
        <v>-19.202701023334498</v>
      </c>
      <c r="M239" s="2">
        <v>2.8574172318697824</v>
      </c>
      <c r="N239" s="2">
        <v>277.48718068416622</v>
      </c>
      <c r="O239" s="2">
        <v>41.290891877470685</v>
      </c>
      <c r="P239" s="2">
        <v>389.76805576951165</v>
      </c>
      <c r="Q239" s="2">
        <v>57.998609551584259</v>
      </c>
      <c r="R239" s="2">
        <v>234.84368942227934</v>
      </c>
      <c r="S239" s="2">
        <v>34.945417529318533</v>
      </c>
    </row>
    <row r="240" spans="1:19" ht="15.4" x14ac:dyDescent="0.4">
      <c r="A240" s="1">
        <v>401</v>
      </c>
      <c r="B240" s="40">
        <v>2000</v>
      </c>
      <c r="C240" s="25">
        <v>5.0000000000000002E-5</v>
      </c>
      <c r="D240" s="2">
        <v>744.63</v>
      </c>
      <c r="E240" s="43">
        <v>70</v>
      </c>
      <c r="F240" s="30">
        <v>1.9144429778400399E-8</v>
      </c>
      <c r="G240" s="30">
        <f t="shared" si="3"/>
        <v>7.6769163411385602E-6</v>
      </c>
      <c r="H240" s="2">
        <v>-171.02256442384999</v>
      </c>
      <c r="I240" s="2">
        <v>22.967455571740324</v>
      </c>
      <c r="J240" s="2">
        <v>523.75654280564993</v>
      </c>
      <c r="K240" s="2">
        <v>70.337824531062395</v>
      </c>
      <c r="L240" s="2">
        <v>-95.392716015811402</v>
      </c>
      <c r="M240" s="2">
        <v>12.810753799311255</v>
      </c>
      <c r="N240" s="2">
        <v>456.58269388482802</v>
      </c>
      <c r="O240" s="2">
        <v>61.316720234858657</v>
      </c>
      <c r="P240" s="2">
        <v>938.18196781717381</v>
      </c>
      <c r="Q240" s="2">
        <v>125.9930392029832</v>
      </c>
      <c r="R240" s="2">
        <v>310.95900432634073</v>
      </c>
      <c r="S240" s="2">
        <v>41.760203634871104</v>
      </c>
    </row>
    <row r="241" spans="1:19" ht="15.4" x14ac:dyDescent="0.4">
      <c r="A241" s="1">
        <v>401</v>
      </c>
      <c r="B241" s="40">
        <v>1481</v>
      </c>
      <c r="C241" s="25">
        <v>2.72E-4</v>
      </c>
      <c r="D241" s="2">
        <v>851.13</v>
      </c>
      <c r="E241" s="43">
        <v>68.300000000000011</v>
      </c>
      <c r="F241" s="30">
        <v>3.0976493754882599E-8</v>
      </c>
      <c r="G241" s="30">
        <f t="shared" si="3"/>
        <v>1.2421573995707922E-5</v>
      </c>
      <c r="H241" s="2">
        <v>-32.869484720347032</v>
      </c>
      <c r="I241" s="2">
        <v>3.8618641946996388</v>
      </c>
      <c r="J241" s="2">
        <v>162.19429775339995</v>
      </c>
      <c r="K241" s="2">
        <v>19.056348354939896</v>
      </c>
      <c r="L241" s="2">
        <v>-43.356454567427249</v>
      </c>
      <c r="M241" s="2">
        <v>5.0939873541559164</v>
      </c>
      <c r="N241" s="2">
        <v>124.09278304084489</v>
      </c>
      <c r="O241" s="2">
        <v>14.579768430303819</v>
      </c>
      <c r="P241" s="2">
        <v>244.67647432984461</v>
      </c>
      <c r="Q241" s="2">
        <v>28.747250635019867</v>
      </c>
      <c r="R241" s="2">
        <v>253.95466710900621</v>
      </c>
      <c r="S241" s="2">
        <v>29.837353531071187</v>
      </c>
    </row>
    <row r="242" spans="1:19" ht="15.4" x14ac:dyDescent="0.4">
      <c r="A242" s="1">
        <v>401</v>
      </c>
      <c r="B242" s="40">
        <v>1481</v>
      </c>
      <c r="C242" s="25">
        <v>5.2800000000000004E-4</v>
      </c>
      <c r="D242" s="2">
        <v>888.17</v>
      </c>
      <c r="E242" s="43">
        <v>68</v>
      </c>
      <c r="F242" s="30">
        <v>3.0976493754882599E-8</v>
      </c>
      <c r="G242" s="30">
        <f t="shared" si="3"/>
        <v>1.2421573995707922E-5</v>
      </c>
      <c r="H242" s="2">
        <v>52.807940341966059</v>
      </c>
      <c r="I242" s="2">
        <v>5.9457018748624764</v>
      </c>
      <c r="J242" s="2">
        <v>121.49734671365002</v>
      </c>
      <c r="K242" s="2">
        <v>13.679514812890552</v>
      </c>
      <c r="L242" s="2">
        <v>-10.909188620665077</v>
      </c>
      <c r="M242" s="2">
        <v>1.2282770889204857</v>
      </c>
      <c r="N242" s="2">
        <v>83.334455637349947</v>
      </c>
      <c r="O242" s="2">
        <v>9.3827145295776653</v>
      </c>
      <c r="P242" s="2">
        <v>202.71533422450568</v>
      </c>
      <c r="Q242" s="2">
        <v>22.823933956844488</v>
      </c>
      <c r="R242" s="2">
        <v>291.75157892127447</v>
      </c>
      <c r="S242" s="2">
        <v>32.848618949218562</v>
      </c>
    </row>
    <row r="243" spans="1:19" ht="15.4" x14ac:dyDescent="0.4">
      <c r="A243" s="1">
        <v>401</v>
      </c>
      <c r="B243" s="40">
        <v>1481</v>
      </c>
      <c r="C243" s="25">
        <v>7.0100000000000002E-4</v>
      </c>
      <c r="D243" s="2">
        <v>904</v>
      </c>
      <c r="E243" s="43">
        <v>68.7</v>
      </c>
      <c r="F243" s="30">
        <v>3.0976493754882599E-8</v>
      </c>
      <c r="G243" s="30">
        <f t="shared" si="3"/>
        <v>1.2421573995707922E-5</v>
      </c>
      <c r="H243" s="2">
        <v>82.605758474238996</v>
      </c>
      <c r="I243" s="2">
        <v>9.137805140955642</v>
      </c>
      <c r="J243" s="2">
        <v>114.18731228876004</v>
      </c>
      <c r="K243" s="2">
        <v>12.631339854951332</v>
      </c>
      <c r="L243" s="2">
        <v>1.8542909360937756</v>
      </c>
      <c r="M243" s="2">
        <v>0.20512067877143536</v>
      </c>
      <c r="N243" s="2">
        <v>76.204874630119889</v>
      </c>
      <c r="O243" s="2">
        <v>8.4297427688185707</v>
      </c>
      <c r="P243" s="2">
        <v>198.40096021387171</v>
      </c>
      <c r="Q243" s="2">
        <v>21.947008873215896</v>
      </c>
      <c r="R243" s="2">
        <v>313.08673952139475</v>
      </c>
      <c r="S243" s="2">
        <v>34.633488885110033</v>
      </c>
    </row>
    <row r="244" spans="1:19" x14ac:dyDescent="0.4">
      <c r="F244" s="9"/>
      <c r="G244" s="9"/>
    </row>
    <row r="245" spans="1:19" x14ac:dyDescent="0.4">
      <c r="F245" s="9"/>
      <c r="G245" s="9"/>
    </row>
    <row r="246" spans="1:19" x14ac:dyDescent="0.4">
      <c r="F246" s="9"/>
      <c r="G246" s="9"/>
    </row>
    <row r="248" spans="1:19" x14ac:dyDescent="0.4">
      <c r="F248" s="9"/>
      <c r="G248" s="9"/>
    </row>
    <row r="249" spans="1:19" x14ac:dyDescent="0.4">
      <c r="F249" s="9"/>
      <c r="G249" s="9"/>
    </row>
    <row r="250" spans="1:19" x14ac:dyDescent="0.4">
      <c r="F250" s="9"/>
      <c r="G250" s="9"/>
    </row>
    <row r="251" spans="1:19" x14ac:dyDescent="0.4">
      <c r="F251" s="9"/>
      <c r="G251" s="9"/>
    </row>
    <row r="252" spans="1:19" x14ac:dyDescent="0.4">
      <c r="F252" s="9"/>
      <c r="G252" s="9"/>
    </row>
    <row r="253" spans="1:19" x14ac:dyDescent="0.4">
      <c r="F253" s="9"/>
      <c r="G253" s="9"/>
    </row>
    <row r="255" spans="1:19" ht="15.4" x14ac:dyDescent="0.4">
      <c r="A255" s="4"/>
      <c r="B255" s="28"/>
      <c r="F255" s="33"/>
      <c r="G255" s="33"/>
    </row>
    <row r="257" spans="6:7" x14ac:dyDescent="0.4">
      <c r="F257" s="9"/>
      <c r="G257" s="9"/>
    </row>
    <row r="259" spans="6:7" x14ac:dyDescent="0.4">
      <c r="F259" s="34"/>
      <c r="G259" s="34"/>
    </row>
    <row r="260" spans="6:7" x14ac:dyDescent="0.4">
      <c r="F260" s="34"/>
      <c r="G260" s="34"/>
    </row>
    <row r="261" spans="6:7" x14ac:dyDescent="0.4">
      <c r="F261" s="34"/>
      <c r="G261" s="34"/>
    </row>
    <row r="262" spans="6:7" x14ac:dyDescent="0.4">
      <c r="F262" s="34"/>
      <c r="G262" s="34"/>
    </row>
    <row r="263" spans="6:7" x14ac:dyDescent="0.4">
      <c r="F263" s="34"/>
      <c r="G263" s="34"/>
    </row>
    <row r="264" spans="6:7" x14ac:dyDescent="0.4">
      <c r="F264" s="34"/>
      <c r="G264" s="34"/>
    </row>
    <row r="265" spans="6:7" x14ac:dyDescent="0.4">
      <c r="F265" s="34"/>
      <c r="G265" s="34"/>
    </row>
    <row r="266" spans="6:7" x14ac:dyDescent="0.4">
      <c r="F266" s="34"/>
      <c r="G266" s="34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2499-50F0-4D91-B337-C7C81906EB38}">
  <dimension ref="A1:AA246"/>
  <sheetViews>
    <sheetView tabSelected="1" zoomScale="85" zoomScaleNormal="85" workbookViewId="0">
      <selection activeCell="J2" sqref="J2"/>
    </sheetView>
  </sheetViews>
  <sheetFormatPr defaultRowHeight="13.9" x14ac:dyDescent="0.4"/>
  <cols>
    <col min="1" max="1" width="11.265625" style="5" customWidth="1"/>
    <col min="2" max="2" width="17.3984375" style="5" customWidth="1"/>
    <col min="3" max="3" width="19.86328125" style="5" customWidth="1"/>
    <col min="4" max="4" width="16.3984375" style="5" customWidth="1"/>
    <col min="5" max="5" width="16.265625" style="5" customWidth="1"/>
    <col min="6" max="6" width="14.73046875" style="5" customWidth="1"/>
    <col min="7" max="7" width="21.265625" style="5" customWidth="1"/>
    <col min="9" max="9" width="11.73046875" customWidth="1"/>
    <col min="10" max="10" width="13.46484375" bestFit="1" customWidth="1"/>
    <col min="11" max="11" width="11" bestFit="1" customWidth="1"/>
    <col min="12" max="12" width="9.1328125" bestFit="1" customWidth="1"/>
    <col min="13" max="13" width="18.46484375" bestFit="1" customWidth="1"/>
    <col min="14" max="14" width="11" bestFit="1" customWidth="1"/>
    <col min="15" max="15" width="9.1328125" bestFit="1" customWidth="1"/>
    <col min="16" max="16" width="13.46484375" bestFit="1" customWidth="1"/>
    <col min="17" max="17" width="11" bestFit="1" customWidth="1"/>
    <col min="18" max="18" width="9.1328125" bestFit="1" customWidth="1"/>
    <col min="19" max="19" width="13.46484375" bestFit="1" customWidth="1"/>
    <col min="20" max="20" width="11" bestFit="1" customWidth="1"/>
    <col min="21" max="21" width="9.1328125" bestFit="1" customWidth="1"/>
    <col min="22" max="22" width="13.46484375" bestFit="1" customWidth="1"/>
    <col min="23" max="23" width="11" bestFit="1" customWidth="1"/>
    <col min="24" max="24" width="9.1328125" bestFit="1" customWidth="1"/>
    <col min="25" max="25" width="13.46484375" bestFit="1" customWidth="1"/>
    <col min="26" max="26" width="11" bestFit="1" customWidth="1"/>
    <col min="27" max="27" width="9.1328125" bestFit="1" customWidth="1"/>
  </cols>
  <sheetData>
    <row r="1" spans="1:27" ht="45" x14ac:dyDescent="0.4">
      <c r="A1" s="35" t="s">
        <v>0</v>
      </c>
      <c r="B1" s="35" t="s">
        <v>1</v>
      </c>
      <c r="C1" s="35" t="s">
        <v>4</v>
      </c>
      <c r="D1" s="35" t="s">
        <v>3</v>
      </c>
      <c r="E1" s="35" t="s">
        <v>37</v>
      </c>
      <c r="F1" s="35" t="s">
        <v>38</v>
      </c>
      <c r="G1" s="35" t="s">
        <v>39</v>
      </c>
      <c r="I1" s="35" t="s">
        <v>40</v>
      </c>
      <c r="J1" s="35" t="s">
        <v>44</v>
      </c>
      <c r="K1" s="35" t="s">
        <v>41</v>
      </c>
      <c r="L1" s="35" t="s">
        <v>42</v>
      </c>
      <c r="M1" s="35" t="s">
        <v>45</v>
      </c>
      <c r="N1" s="35" t="s">
        <v>41</v>
      </c>
      <c r="O1" s="35" t="s">
        <v>42</v>
      </c>
      <c r="P1" s="35" t="s">
        <v>43</v>
      </c>
      <c r="Q1" s="35" t="s">
        <v>41</v>
      </c>
      <c r="R1" s="35" t="s">
        <v>42</v>
      </c>
      <c r="S1" s="35" t="s">
        <v>46</v>
      </c>
      <c r="T1" s="35" t="s">
        <v>41</v>
      </c>
      <c r="U1" s="35" t="s">
        <v>42</v>
      </c>
      <c r="V1" s="35" t="s">
        <v>47</v>
      </c>
      <c r="W1" s="35" t="s">
        <v>41</v>
      </c>
      <c r="X1" s="35" t="s">
        <v>42</v>
      </c>
      <c r="Y1" s="35" t="s">
        <v>48</v>
      </c>
      <c r="Z1" s="35" t="s">
        <v>41</v>
      </c>
      <c r="AA1" s="35" t="s">
        <v>42</v>
      </c>
    </row>
    <row r="2" spans="1:27" ht="15.4" x14ac:dyDescent="0.4">
      <c r="A2" s="2">
        <v>0.17</v>
      </c>
      <c r="B2" s="2">
        <v>0.20119999999999999</v>
      </c>
      <c r="C2" s="2">
        <v>0.191060391783369</v>
      </c>
      <c r="D2" s="2">
        <v>0.15910874504887837</v>
      </c>
      <c r="E2" s="2">
        <v>0.18594856012310401</v>
      </c>
      <c r="F2" s="2">
        <v>0.18870503029265945</v>
      </c>
      <c r="G2" s="2">
        <v>0.17451360621079626</v>
      </c>
      <c r="I2" s="29">
        <f>AVERAGE(A2:A243)</f>
        <v>36.920426327107378</v>
      </c>
      <c r="J2" s="7">
        <f t="shared" ref="J2:J65" si="0">(B2-A2)^2</f>
        <v>9.7343999999999859E-4</v>
      </c>
      <c r="K2" s="7">
        <f>(A2-$I$2)^2</f>
        <v>1350.5938352241469</v>
      </c>
      <c r="L2" s="7">
        <f>1-SUM(J2:J243)/SUM(K2:K243)</f>
        <v>0.98399656769536115</v>
      </c>
      <c r="M2" s="7">
        <f>(A2-C2)^2</f>
        <v>4.4354010206899618E-4</v>
      </c>
      <c r="N2" s="7">
        <f t="shared" ref="N2:N65" si="1">(A2-$I$2)^2</f>
        <v>1350.5938352241469</v>
      </c>
      <c r="O2" s="7">
        <f>1-SUM(M2:M243)/SUM(N2:N243)</f>
        <v>0.58376370864106375</v>
      </c>
      <c r="P2" s="7">
        <f t="shared" ref="P2:P65" si="2">(D2-A2)^2</f>
        <v>1.1861943441033169E-4</v>
      </c>
      <c r="Q2" s="7">
        <f t="shared" ref="Q2:Q65" si="3">(D2-$I$2)^2</f>
        <v>1351.3944703689635</v>
      </c>
      <c r="R2" s="7">
        <f>1-SUM(P2:P243)/SUM(Q2:Q243)</f>
        <v>0.98711019916756415</v>
      </c>
      <c r="S2" s="7">
        <f>(E2-A2)^2</f>
        <v>2.5435657000026304E-4</v>
      </c>
      <c r="T2" s="7">
        <f>(A2-$I$2)^2</f>
        <v>1350.5938352241469</v>
      </c>
      <c r="U2" s="7">
        <f>1-SUM(S2:S243)/SUM(T2:T243)</f>
        <v>0.72648971515651928</v>
      </c>
      <c r="V2" s="7">
        <f>(F2-A2)^2</f>
        <v>3.4987815824930713E-4</v>
      </c>
      <c r="W2" s="7">
        <f>(A2-$I$2)^2</f>
        <v>1350.5938352241469</v>
      </c>
      <c r="X2" s="7">
        <f>1-SUM(V2:V243)/SUM(W2:W243)</f>
        <v>-0.52146155905349256</v>
      </c>
      <c r="Y2" s="7">
        <f>(G2-A2)^2</f>
        <v>2.0372641026138435E-5</v>
      </c>
      <c r="Z2" s="7">
        <f>(A2-$I$2)^2</f>
        <v>1350.5938352241469</v>
      </c>
      <c r="AA2" s="7">
        <f>1-SUM(Y2:Y243)/SUM(Z2:Z243)</f>
        <v>-2.010199966365696</v>
      </c>
    </row>
    <row r="3" spans="1:27" ht="15.4" x14ac:dyDescent="0.4">
      <c r="A3" s="2">
        <v>0.18890000000000001</v>
      </c>
      <c r="B3" s="2">
        <v>0.249</v>
      </c>
      <c r="C3" s="2">
        <v>0.18616870085693901</v>
      </c>
      <c r="D3" s="2">
        <v>0.1800111808386381</v>
      </c>
      <c r="E3" s="2">
        <v>0.18532479507867242</v>
      </c>
      <c r="F3" s="2">
        <v>0.18191184142216771</v>
      </c>
      <c r="G3" s="2">
        <v>0.18047322897687376</v>
      </c>
      <c r="I3" s="8"/>
      <c r="J3" s="7">
        <f t="shared" si="0"/>
        <v>3.6120099999999984E-3</v>
      </c>
      <c r="K3" s="7">
        <f t="shared" ref="K3:K66" si="4">(A3-$I$2)^2</f>
        <v>1349.2050263189826</v>
      </c>
      <c r="L3" s="8"/>
      <c r="M3" s="7">
        <f t="shared" ref="M3:M66" si="5">(A3-C3)^2</f>
        <v>7.4599950088857536E-6</v>
      </c>
      <c r="N3" s="7">
        <f t="shared" si="1"/>
        <v>1349.2050263189826</v>
      </c>
      <c r="O3" s="8"/>
      <c r="P3" s="7">
        <f t="shared" si="2"/>
        <v>7.9011106083394761E-5</v>
      </c>
      <c r="Q3" s="7">
        <f t="shared" si="3"/>
        <v>1349.8581051201734</v>
      </c>
      <c r="R3" s="8"/>
      <c r="S3" s="7">
        <f t="shared" ref="S3:S66" si="6">(E3-A3)^2</f>
        <v>1.2782090229485063E-5</v>
      </c>
      <c r="T3" s="7">
        <f t="shared" ref="T3:T66" si="7">(A3-$I$2)^2</f>
        <v>1349.2050263189826</v>
      </c>
      <c r="U3" s="8"/>
      <c r="V3" s="7">
        <f t="shared" ref="V3:V66" si="8">(F3-A3)^2</f>
        <v>4.883436030893121E-5</v>
      </c>
      <c r="W3" s="7">
        <f t="shared" ref="W3:W66" si="9">(A3-$I$2)^2</f>
        <v>1349.2050263189826</v>
      </c>
      <c r="X3" s="8"/>
      <c r="Y3" s="7">
        <f t="shared" ref="Y3:Y66" si="10">(G3-A3)^2</f>
        <v>7.1010469876200231E-5</v>
      </c>
      <c r="Z3" s="7">
        <f t="shared" ref="Z3:Z66" si="11">(A3-$I$2)^2</f>
        <v>1349.2050263189826</v>
      </c>
      <c r="AA3" s="8"/>
    </row>
    <row r="4" spans="1:27" ht="15.4" x14ac:dyDescent="0.4">
      <c r="A4" s="2">
        <v>0.189</v>
      </c>
      <c r="B4" s="2">
        <v>0.19699509719563069</v>
      </c>
      <c r="C4" s="2">
        <v>0.199036108437428</v>
      </c>
      <c r="D4" s="2">
        <v>0.19722348416348534</v>
      </c>
      <c r="E4" s="2">
        <v>0.19890050122920702</v>
      </c>
      <c r="F4" s="2">
        <v>0.19641226028213557</v>
      </c>
      <c r="G4" s="2">
        <v>0.19608321183456229</v>
      </c>
      <c r="I4" s="8"/>
      <c r="J4" s="7">
        <f t="shared" si="0"/>
        <v>6.3921579167581637E-5</v>
      </c>
      <c r="K4" s="7">
        <f t="shared" si="4"/>
        <v>1349.1976800237171</v>
      </c>
      <c r="L4" s="8"/>
      <c r="M4" s="7">
        <f t="shared" si="5"/>
        <v>1.0072347256781346E-4</v>
      </c>
      <c r="N4" s="7">
        <f t="shared" si="1"/>
        <v>1349.1976800237171</v>
      </c>
      <c r="O4" s="8"/>
      <c r="P4" s="7">
        <f t="shared" si="2"/>
        <v>6.7625691787094179E-5</v>
      </c>
      <c r="Q4" s="7">
        <f t="shared" si="3"/>
        <v>1348.5936270440022</v>
      </c>
      <c r="R4" s="8"/>
      <c r="S4" s="7">
        <f t="shared" si="6"/>
        <v>9.8019924589529719E-5</v>
      </c>
      <c r="T4" s="7">
        <f t="shared" si="7"/>
        <v>1349.1976800237171</v>
      </c>
      <c r="U4" s="8"/>
      <c r="V4" s="7">
        <f t="shared" si="8"/>
        <v>5.4941602490124463E-5</v>
      </c>
      <c r="W4" s="7">
        <f t="shared" si="9"/>
        <v>1349.1976800237171</v>
      </c>
      <c r="X4" s="8"/>
      <c r="Y4" s="7">
        <f t="shared" si="10"/>
        <v>5.0171889893283233E-5</v>
      </c>
      <c r="Z4" s="7">
        <f t="shared" si="11"/>
        <v>1349.1976800237171</v>
      </c>
      <c r="AA4" s="8"/>
    </row>
    <row r="5" spans="1:27" ht="15.4" x14ac:dyDescent="0.4">
      <c r="A5" s="2">
        <v>0.19</v>
      </c>
      <c r="B5" s="2">
        <v>0.19439999999999999</v>
      </c>
      <c r="C5" s="2">
        <v>0.16164747171357299</v>
      </c>
      <c r="D5" s="2">
        <v>0.15915492957746477</v>
      </c>
      <c r="E5" s="2">
        <v>0.16136277122192613</v>
      </c>
      <c r="F5" s="2">
        <v>0.15872399367709653</v>
      </c>
      <c r="G5" s="2">
        <v>0.15823296154901847</v>
      </c>
      <c r="I5" s="8"/>
      <c r="J5" s="7">
        <f t="shared" si="0"/>
        <v>1.9359999999999889E-5</v>
      </c>
      <c r="K5" s="7">
        <f t="shared" si="4"/>
        <v>1349.1242181710629</v>
      </c>
      <c r="L5" s="8"/>
      <c r="M5" s="7">
        <f t="shared" si="5"/>
        <v>8.0386586023264365E-4</v>
      </c>
      <c r="N5" s="7">
        <f t="shared" si="1"/>
        <v>1349.1242181710629</v>
      </c>
      <c r="O5" s="8"/>
      <c r="P5" s="7">
        <f t="shared" si="2"/>
        <v>9.5141836937115778E-4</v>
      </c>
      <c r="Q5" s="7">
        <f t="shared" si="3"/>
        <v>1351.3910747628513</v>
      </c>
      <c r="R5" s="8"/>
      <c r="S5" s="7">
        <f t="shared" si="6"/>
        <v>8.2009087208774218E-4</v>
      </c>
      <c r="T5" s="7">
        <f t="shared" si="7"/>
        <v>1349.1242181710629</v>
      </c>
      <c r="U5" s="8"/>
      <c r="V5" s="7">
        <f t="shared" si="8"/>
        <v>9.7818857151029835E-4</v>
      </c>
      <c r="W5" s="7">
        <f t="shared" si="9"/>
        <v>1349.1242181710629</v>
      </c>
      <c r="X5" s="8"/>
      <c r="Y5" s="7">
        <f t="shared" si="10"/>
        <v>1.0091447319461389E-3</v>
      </c>
      <c r="Z5" s="7">
        <f t="shared" si="11"/>
        <v>1349.1242181710629</v>
      </c>
      <c r="AA5" s="8"/>
    </row>
    <row r="6" spans="1:27" ht="15.4" x14ac:dyDescent="0.4">
      <c r="A6" s="2">
        <v>0.20399999999999999</v>
      </c>
      <c r="B6" s="2">
        <v>0.20549394754081046</v>
      </c>
      <c r="C6" s="2">
        <v>0.20900704814802001</v>
      </c>
      <c r="D6" s="2">
        <v>0.20490608114319078</v>
      </c>
      <c r="E6" s="2">
        <v>0.20842363227474928</v>
      </c>
      <c r="F6" s="2">
        <v>0.20481400439610936</v>
      </c>
      <c r="G6" s="2">
        <v>0.20395751549406388</v>
      </c>
      <c r="I6" s="8"/>
      <c r="J6" s="7">
        <f t="shared" si="0"/>
        <v>2.2318792546936663E-6</v>
      </c>
      <c r="K6" s="7">
        <f t="shared" si="4"/>
        <v>1348.0959622339037</v>
      </c>
      <c r="L6" s="8"/>
      <c r="M6" s="7">
        <f t="shared" si="5"/>
        <v>2.5070531156590779E-5</v>
      </c>
      <c r="N6" s="7">
        <f t="shared" si="1"/>
        <v>1348.0959622339037</v>
      </c>
      <c r="O6" s="8"/>
      <c r="P6" s="7">
        <f t="shared" si="2"/>
        <v>8.2098303804593898E-7</v>
      </c>
      <c r="Q6" s="7">
        <f t="shared" si="3"/>
        <v>1348.029426931806</v>
      </c>
      <c r="R6" s="8"/>
      <c r="S6" s="7">
        <f t="shared" si="6"/>
        <v>1.9568522502203575E-5</v>
      </c>
      <c r="T6" s="7">
        <f t="shared" si="7"/>
        <v>1348.0959622339037</v>
      </c>
      <c r="U6" s="8"/>
      <c r="V6" s="7">
        <f t="shared" si="8"/>
        <v>6.6260315688538758E-7</v>
      </c>
      <c r="W6" s="7">
        <f t="shared" si="9"/>
        <v>1348.0959622339037</v>
      </c>
      <c r="X6" s="8"/>
      <c r="Y6" s="7">
        <f t="shared" si="10"/>
        <v>1.8049332446351844E-9</v>
      </c>
      <c r="Z6" s="7">
        <f t="shared" si="11"/>
        <v>1348.0959622339037</v>
      </c>
      <c r="AA6" s="8"/>
    </row>
    <row r="7" spans="1:27" ht="15.4" x14ac:dyDescent="0.4">
      <c r="A7" s="2">
        <v>0.21</v>
      </c>
      <c r="B7" s="2">
        <v>0.2722</v>
      </c>
      <c r="C7" s="2">
        <v>0.31165639370777998</v>
      </c>
      <c r="D7" s="2">
        <v>0.21000000000000002</v>
      </c>
      <c r="E7" s="2">
        <v>0.28248542815967986</v>
      </c>
      <c r="F7" s="2">
        <v>0.33208512100571141</v>
      </c>
      <c r="G7" s="2">
        <v>0.26751119519114791</v>
      </c>
      <c r="I7" s="8"/>
      <c r="J7" s="7">
        <f t="shared" si="0"/>
        <v>3.8688400000000006E-3</v>
      </c>
      <c r="K7" s="7">
        <f t="shared" si="4"/>
        <v>1347.6554011179785</v>
      </c>
      <c r="L7" s="8"/>
      <c r="M7" s="7">
        <f t="shared" si="5"/>
        <v>1.033402238167117E-2</v>
      </c>
      <c r="N7" s="7">
        <f t="shared" si="1"/>
        <v>1347.6554011179785</v>
      </c>
      <c r="O7" s="8"/>
      <c r="P7" s="7">
        <f t="shared" si="2"/>
        <v>7.7037197775489434E-34</v>
      </c>
      <c r="Q7" s="7">
        <f t="shared" si="3"/>
        <v>1347.6554011179785</v>
      </c>
      <c r="R7" s="8"/>
      <c r="S7" s="7">
        <f t="shared" si="6"/>
        <v>5.2541372954921116E-3</v>
      </c>
      <c r="T7" s="7">
        <f t="shared" si="7"/>
        <v>1347.6554011179785</v>
      </c>
      <c r="U7" s="8"/>
      <c r="V7" s="7">
        <f t="shared" si="8"/>
        <v>1.49047767709792E-2</v>
      </c>
      <c r="W7" s="7">
        <f t="shared" si="9"/>
        <v>1347.6554011179785</v>
      </c>
      <c r="X7" s="8"/>
      <c r="Y7" s="7">
        <f t="shared" si="10"/>
        <v>3.3075375723143154E-3</v>
      </c>
      <c r="Z7" s="7">
        <f t="shared" si="11"/>
        <v>1347.6554011179785</v>
      </c>
      <c r="AA7" s="8"/>
    </row>
    <row r="8" spans="1:27" ht="15.4" x14ac:dyDescent="0.4">
      <c r="A8" s="2">
        <v>0.215</v>
      </c>
      <c r="B8" s="2">
        <v>0.215023200896409</v>
      </c>
      <c r="C8" s="2">
        <v>0.21978240334544599</v>
      </c>
      <c r="D8" s="2">
        <v>0.21289650570182242</v>
      </c>
      <c r="E8" s="2">
        <v>0.21839117067016181</v>
      </c>
      <c r="F8" s="2">
        <v>0.21479571237952033</v>
      </c>
      <c r="G8" s="2">
        <v>0.2132217317858201</v>
      </c>
      <c r="I8" s="8"/>
      <c r="J8" s="7">
        <f t="shared" si="0"/>
        <v>5.3828159418131515E-10</v>
      </c>
      <c r="K8" s="7">
        <f t="shared" si="4"/>
        <v>1347.2883218547072</v>
      </c>
      <c r="L8" s="8"/>
      <c r="M8" s="7">
        <f t="shared" si="5"/>
        <v>2.2871381758533052E-5</v>
      </c>
      <c r="N8" s="7">
        <f t="shared" si="1"/>
        <v>1347.2883218547072</v>
      </c>
      <c r="O8" s="8"/>
      <c r="P8" s="7">
        <f t="shared" si="2"/>
        <v>4.4246882624655786E-6</v>
      </c>
      <c r="Q8" s="7">
        <f t="shared" si="3"/>
        <v>1347.4427455893783</v>
      </c>
      <c r="R8" s="8"/>
      <c r="S8" s="7">
        <f t="shared" si="6"/>
        <v>1.1500038514165725E-5</v>
      </c>
      <c r="T8" s="7">
        <f t="shared" si="7"/>
        <v>1347.2883218547072</v>
      </c>
      <c r="U8" s="8"/>
      <c r="V8" s="7">
        <f t="shared" si="8"/>
        <v>4.1733431881243677E-8</v>
      </c>
      <c r="W8" s="7">
        <f t="shared" si="9"/>
        <v>1347.2883218547072</v>
      </c>
      <c r="X8" s="8"/>
      <c r="Y8" s="7">
        <f t="shared" si="10"/>
        <v>3.1622378415625547E-6</v>
      </c>
      <c r="Z8" s="7">
        <f t="shared" si="11"/>
        <v>1347.2883218547072</v>
      </c>
      <c r="AA8" s="8"/>
    </row>
    <row r="9" spans="1:27" ht="15.4" x14ac:dyDescent="0.4">
      <c r="A9" s="2">
        <v>0.22</v>
      </c>
      <c r="B9" s="2">
        <v>0.23719999999999999</v>
      </c>
      <c r="C9" s="2">
        <v>0.26988480907740298</v>
      </c>
      <c r="D9" s="2">
        <v>0.18003915187178349</v>
      </c>
      <c r="E9" s="2">
        <v>0.24318578245844993</v>
      </c>
      <c r="F9" s="2">
        <v>0.28920971622765845</v>
      </c>
      <c r="G9" s="2">
        <v>0.2315487962035182</v>
      </c>
      <c r="I9" s="8"/>
      <c r="J9" s="7">
        <f t="shared" si="0"/>
        <v>2.9583999999999974E-4</v>
      </c>
      <c r="K9" s="7">
        <f t="shared" si="4"/>
        <v>1346.9212925914364</v>
      </c>
      <c r="L9" s="8"/>
      <c r="M9" s="7">
        <f t="shared" si="5"/>
        <v>2.4884941766889464E-3</v>
      </c>
      <c r="N9" s="7">
        <f t="shared" si="1"/>
        <v>1346.9212925914364</v>
      </c>
      <c r="O9" s="8"/>
      <c r="P9" s="7">
        <f t="shared" si="2"/>
        <v>1.5968693831263853E-3</v>
      </c>
      <c r="Q9" s="7">
        <f t="shared" si="3"/>
        <v>1349.8560497862163</v>
      </c>
      <c r="R9" s="8"/>
      <c r="S9" s="7">
        <f t="shared" si="6"/>
        <v>5.3758050821056463E-4</v>
      </c>
      <c r="T9" s="7">
        <f t="shared" si="7"/>
        <v>1346.9212925914364</v>
      </c>
      <c r="U9" s="8"/>
      <c r="V9" s="7">
        <f t="shared" si="8"/>
        <v>4.78998482031301E-3</v>
      </c>
      <c r="W9" s="7">
        <f t="shared" si="9"/>
        <v>1346.9212925914364</v>
      </c>
      <c r="X9" s="8"/>
      <c r="Y9" s="7">
        <f t="shared" si="10"/>
        <v>1.3337469375039645E-4</v>
      </c>
      <c r="Z9" s="7">
        <f t="shared" si="11"/>
        <v>1346.9212925914364</v>
      </c>
      <c r="AA9" s="8"/>
    </row>
    <row r="10" spans="1:27" ht="15.4" x14ac:dyDescent="0.4">
      <c r="A10" s="2">
        <v>0.22700000000000001</v>
      </c>
      <c r="B10" s="2">
        <v>0.22156028891849094</v>
      </c>
      <c r="C10" s="2">
        <v>0.22706574808103899</v>
      </c>
      <c r="D10" s="2">
        <v>0.21812759029724346</v>
      </c>
      <c r="E10" s="2">
        <v>0.22495160561201422</v>
      </c>
      <c r="F10" s="2">
        <v>0.22194650918296915</v>
      </c>
      <c r="G10" s="2">
        <v>0.21980880420411289</v>
      </c>
      <c r="I10" s="8"/>
      <c r="J10" s="7">
        <f t="shared" si="0"/>
        <v>2.9590456650292503E-5</v>
      </c>
      <c r="K10" s="7">
        <f t="shared" si="4"/>
        <v>1346.407535622857</v>
      </c>
      <c r="L10" s="8"/>
      <c r="M10" s="7">
        <f t="shared" si="5"/>
        <v>4.3228101603089964E-9</v>
      </c>
      <c r="N10" s="7">
        <f t="shared" si="1"/>
        <v>1346.407535622857</v>
      </c>
      <c r="O10" s="8"/>
      <c r="P10" s="7">
        <f t="shared" si="2"/>
        <v>7.8719653933568485E-5</v>
      </c>
      <c r="Q10" s="7">
        <f t="shared" si="3"/>
        <v>1347.0587325660549</v>
      </c>
      <c r="R10" s="8"/>
      <c r="S10" s="7">
        <f t="shared" si="6"/>
        <v>4.1959195687316846E-6</v>
      </c>
      <c r="T10" s="7">
        <f t="shared" si="7"/>
        <v>1346.407535622857</v>
      </c>
      <c r="U10" s="8"/>
      <c r="V10" s="7">
        <f t="shared" si="8"/>
        <v>2.5537769437815162E-5</v>
      </c>
      <c r="W10" s="7">
        <f t="shared" si="9"/>
        <v>1346.407535622857</v>
      </c>
      <c r="X10" s="8"/>
      <c r="Y10" s="7">
        <f t="shared" si="10"/>
        <v>5.1713296974784551E-5</v>
      </c>
      <c r="Z10" s="7">
        <f t="shared" si="11"/>
        <v>1346.407535622857</v>
      </c>
      <c r="AA10" s="8"/>
    </row>
    <row r="11" spans="1:27" ht="15.4" x14ac:dyDescent="0.4">
      <c r="A11" s="2">
        <v>0.22700000000000001</v>
      </c>
      <c r="B11" s="2">
        <v>0.22722292703562214</v>
      </c>
      <c r="C11" s="2">
        <v>0.233154047258574</v>
      </c>
      <c r="D11" s="2">
        <v>0.22385712958378923</v>
      </c>
      <c r="E11" s="2">
        <v>0.23147943910508903</v>
      </c>
      <c r="F11" s="2">
        <v>0.22755204977065785</v>
      </c>
      <c r="G11" s="2">
        <v>0.22530486508251141</v>
      </c>
      <c r="I11" s="8"/>
      <c r="J11" s="7">
        <f t="shared" si="0"/>
        <v>4.9696463211269534E-8</v>
      </c>
      <c r="K11" s="7">
        <f t="shared" si="4"/>
        <v>1346.407535622857</v>
      </c>
      <c r="L11" s="8"/>
      <c r="M11" s="7">
        <f t="shared" si="5"/>
        <v>3.7872297660762059E-5</v>
      </c>
      <c r="N11" s="7">
        <f t="shared" si="1"/>
        <v>1346.407535622857</v>
      </c>
      <c r="O11" s="8"/>
      <c r="P11" s="7">
        <f t="shared" si="2"/>
        <v>9.8776344530929225E-6</v>
      </c>
      <c r="Q11" s="7">
        <f t="shared" si="3"/>
        <v>1346.6381908686369</v>
      </c>
      <c r="R11" s="8"/>
      <c r="S11" s="7">
        <f t="shared" si="6"/>
        <v>2.0065374696200742E-5</v>
      </c>
      <c r="T11" s="7">
        <f t="shared" si="7"/>
        <v>1346.407535622857</v>
      </c>
      <c r="U11" s="8"/>
      <c r="V11" s="7">
        <f t="shared" si="8"/>
        <v>3.0475894928337597E-7</v>
      </c>
      <c r="W11" s="7">
        <f t="shared" si="9"/>
        <v>1346.407535622857</v>
      </c>
      <c r="X11" s="8"/>
      <c r="Y11" s="7">
        <f t="shared" si="10"/>
        <v>2.8734823884890825E-6</v>
      </c>
      <c r="Z11" s="7">
        <f t="shared" si="11"/>
        <v>1346.407535622857</v>
      </c>
      <c r="AA11" s="8"/>
    </row>
    <row r="12" spans="1:27" ht="15.4" x14ac:dyDescent="0.4">
      <c r="A12" s="2">
        <v>0.23</v>
      </c>
      <c r="B12" s="2">
        <v>0.24210000000000001</v>
      </c>
      <c r="C12" s="2">
        <v>0.219530150620216</v>
      </c>
      <c r="D12" s="2">
        <v>0.20999999999999996</v>
      </c>
      <c r="E12" s="2">
        <v>0.21892870000189477</v>
      </c>
      <c r="F12" s="2">
        <v>0.21500926286776995</v>
      </c>
      <c r="G12" s="2">
        <v>0.21244126478287984</v>
      </c>
      <c r="I12" s="8"/>
      <c r="J12" s="7">
        <f t="shared" si="0"/>
        <v>1.4641E-4</v>
      </c>
      <c r="K12" s="7">
        <f t="shared" si="4"/>
        <v>1346.1873840648946</v>
      </c>
      <c r="L12" s="8"/>
      <c r="M12" s="7">
        <f t="shared" si="5"/>
        <v>1.0961774603536368E-4</v>
      </c>
      <c r="N12" s="7">
        <f t="shared" si="1"/>
        <v>1346.1873840648946</v>
      </c>
      <c r="O12" s="8"/>
      <c r="P12" s="7">
        <f t="shared" si="2"/>
        <v>4.0000000000000181E-4</v>
      </c>
      <c r="Q12" s="7">
        <f t="shared" si="3"/>
        <v>1347.6554011179785</v>
      </c>
      <c r="R12" s="8"/>
      <c r="S12" s="7">
        <f t="shared" si="6"/>
        <v>1.2257368364804516E-4</v>
      </c>
      <c r="T12" s="7">
        <f t="shared" si="7"/>
        <v>1346.1873840648946</v>
      </c>
      <c r="U12" s="8"/>
      <c r="V12" s="7">
        <f t="shared" si="8"/>
        <v>2.2472219976762126E-4</v>
      </c>
      <c r="W12" s="7">
        <f t="shared" si="9"/>
        <v>1346.1873840648946</v>
      </c>
      <c r="X12" s="8"/>
      <c r="Y12" s="7">
        <f t="shared" si="10"/>
        <v>3.0830918242493626E-4</v>
      </c>
      <c r="Z12" s="7">
        <f t="shared" si="11"/>
        <v>1346.1873840648946</v>
      </c>
      <c r="AA12" s="8"/>
    </row>
    <row r="13" spans="1:27" ht="15.4" x14ac:dyDescent="0.4">
      <c r="A13" s="2">
        <v>0.23400000000000001</v>
      </c>
      <c r="B13" s="2">
        <v>0.24254825181355716</v>
      </c>
      <c r="C13" s="2">
        <v>0.25031177173622299</v>
      </c>
      <c r="D13" s="2">
        <v>0.23400000000000004</v>
      </c>
      <c r="E13" s="2">
        <v>0.24502909149956817</v>
      </c>
      <c r="F13" s="2">
        <v>0.24645326801190495</v>
      </c>
      <c r="G13" s="2">
        <v>0.24211896691614149</v>
      </c>
      <c r="I13" s="8"/>
      <c r="J13" s="7">
        <f t="shared" si="0"/>
        <v>7.3072609067983014E-5</v>
      </c>
      <c r="K13" s="7">
        <f t="shared" si="4"/>
        <v>1345.8938766542772</v>
      </c>
      <c r="L13" s="8"/>
      <c r="M13" s="7">
        <f t="shared" si="5"/>
        <v>2.6607389717464265E-4</v>
      </c>
      <c r="N13" s="7">
        <f t="shared" si="1"/>
        <v>1345.8938766542772</v>
      </c>
      <c r="O13" s="8"/>
      <c r="P13" s="7">
        <f t="shared" si="2"/>
        <v>7.7037197775489434E-34</v>
      </c>
      <c r="Q13" s="7">
        <f t="shared" si="3"/>
        <v>1345.8938766542772</v>
      </c>
      <c r="R13" s="8"/>
      <c r="S13" s="7">
        <f t="shared" si="6"/>
        <v>1.2164085930584654E-4</v>
      </c>
      <c r="T13" s="7">
        <f t="shared" si="7"/>
        <v>1345.8938766542772</v>
      </c>
      <c r="U13" s="8"/>
      <c r="V13" s="7">
        <f t="shared" si="8"/>
        <v>1.5508388417633477E-4</v>
      </c>
      <c r="W13" s="7">
        <f t="shared" si="9"/>
        <v>1345.8938766542772</v>
      </c>
      <c r="X13" s="8"/>
      <c r="Y13" s="7">
        <f t="shared" si="10"/>
        <v>6.5917623785399784E-5</v>
      </c>
      <c r="Z13" s="7">
        <f t="shared" si="11"/>
        <v>1345.8938766542772</v>
      </c>
      <c r="AA13" s="8"/>
    </row>
    <row r="14" spans="1:27" ht="15.4" x14ac:dyDescent="0.4">
      <c r="A14" s="2">
        <v>0.23499999999999999</v>
      </c>
      <c r="B14" s="2">
        <v>0.31459999999999999</v>
      </c>
      <c r="C14" s="2">
        <v>0.23692416860118401</v>
      </c>
      <c r="D14" s="2">
        <v>0.22892694088082755</v>
      </c>
      <c r="E14" s="2">
        <v>0.23585213209815428</v>
      </c>
      <c r="F14" s="2">
        <v>0.23151322022177176</v>
      </c>
      <c r="G14" s="2">
        <v>0.22962962760631894</v>
      </c>
      <c r="I14" s="8"/>
      <c r="J14" s="7">
        <f t="shared" si="0"/>
        <v>6.3361600000000004E-3</v>
      </c>
      <c r="K14" s="7">
        <f t="shared" si="4"/>
        <v>1345.8205048016232</v>
      </c>
      <c r="L14" s="8"/>
      <c r="M14" s="7">
        <f t="shared" si="5"/>
        <v>3.7024248057824801E-6</v>
      </c>
      <c r="N14" s="7">
        <f t="shared" si="1"/>
        <v>1345.8205048016232</v>
      </c>
      <c r="O14" s="8"/>
      <c r="P14" s="7">
        <f t="shared" si="2"/>
        <v>3.688204706496355E-5</v>
      </c>
      <c r="Q14" s="7">
        <f t="shared" si="3"/>
        <v>1346.2661272094635</v>
      </c>
      <c r="R14" s="8"/>
      <c r="S14" s="7">
        <f t="shared" si="6"/>
        <v>7.2612911270484223E-7</v>
      </c>
      <c r="T14" s="7">
        <f t="shared" si="7"/>
        <v>1345.8205048016232</v>
      </c>
      <c r="U14" s="8"/>
      <c r="V14" s="7">
        <f t="shared" si="8"/>
        <v>1.2157633221861286E-5</v>
      </c>
      <c r="W14" s="7">
        <f t="shared" si="9"/>
        <v>1345.8205048016232</v>
      </c>
      <c r="X14" s="8"/>
      <c r="Y14" s="7">
        <f t="shared" si="10"/>
        <v>2.8840899646811469E-5</v>
      </c>
      <c r="Z14" s="7">
        <f t="shared" si="11"/>
        <v>1345.8205048016232</v>
      </c>
      <c r="AA14" s="8"/>
    </row>
    <row r="15" spans="1:27" ht="15.4" x14ac:dyDescent="0.4">
      <c r="A15" s="2">
        <v>0.24199999999999999</v>
      </c>
      <c r="B15" s="2">
        <v>0.25530000000000003</v>
      </c>
      <c r="C15" s="2">
        <v>0.23443596612395301</v>
      </c>
      <c r="D15" s="2">
        <v>0.22150554015587168</v>
      </c>
      <c r="E15" s="2">
        <v>0.23354796142805734</v>
      </c>
      <c r="F15" s="2">
        <v>0.22925316985544245</v>
      </c>
      <c r="G15" s="2">
        <v>0.22547194394518605</v>
      </c>
      <c r="I15" s="8"/>
      <c r="J15" s="7">
        <f t="shared" si="0"/>
        <v>1.7689000000000092E-4</v>
      </c>
      <c r="K15" s="7">
        <f t="shared" si="4"/>
        <v>1345.306957833044</v>
      </c>
      <c r="L15" s="8"/>
      <c r="M15" s="7">
        <f t="shared" si="5"/>
        <v>5.7214608477986345E-5</v>
      </c>
      <c r="N15" s="7">
        <f t="shared" si="1"/>
        <v>1345.306957833044</v>
      </c>
      <c r="O15" s="8"/>
      <c r="P15" s="7">
        <f t="shared" si="2"/>
        <v>4.2002288430258801E-4</v>
      </c>
      <c r="Q15" s="7">
        <f t="shared" si="3"/>
        <v>1346.8107869269413</v>
      </c>
      <c r="R15" s="8"/>
      <c r="S15" s="7">
        <f t="shared" si="6"/>
        <v>7.1436956021606428E-5</v>
      </c>
      <c r="T15" s="7">
        <f t="shared" si="7"/>
        <v>1345.306957833044</v>
      </c>
      <c r="U15" s="8"/>
      <c r="V15" s="7">
        <f t="shared" si="8"/>
        <v>1.6248167873420097E-4</v>
      </c>
      <c r="W15" s="7">
        <f t="shared" si="9"/>
        <v>1345.306957833044</v>
      </c>
      <c r="X15" s="8"/>
      <c r="Y15" s="7">
        <f t="shared" si="10"/>
        <v>2.7317663695107188E-4</v>
      </c>
      <c r="Z15" s="7">
        <f t="shared" si="11"/>
        <v>1345.306957833044</v>
      </c>
      <c r="AA15" s="8"/>
    </row>
    <row r="16" spans="1:27" ht="15.4" x14ac:dyDescent="0.4">
      <c r="A16" s="2">
        <v>0.24529100529100534</v>
      </c>
      <c r="B16" s="2">
        <v>0.34039999999999998</v>
      </c>
      <c r="C16" s="2">
        <v>0.34789999999999999</v>
      </c>
      <c r="D16" s="2">
        <v>0.30497326581682782</v>
      </c>
      <c r="E16" s="2">
        <v>0.33895345999651388</v>
      </c>
      <c r="F16" s="2">
        <v>0.34385505010321726</v>
      </c>
      <c r="G16" s="2">
        <v>0.3278179920436417</v>
      </c>
      <c r="I16" s="8"/>
      <c r="J16" s="7">
        <f t="shared" si="0"/>
        <v>9.0457208745555705E-3</v>
      </c>
      <c r="K16" s="7">
        <f t="shared" si="4"/>
        <v>1345.0655508735426</v>
      </c>
      <c r="L16" s="8"/>
      <c r="M16" s="7">
        <f t="shared" si="5"/>
        <v>1.0528605795190491E-2</v>
      </c>
      <c r="N16" s="7">
        <f t="shared" si="1"/>
        <v>1345.0655508735426</v>
      </c>
      <c r="O16" s="8"/>
      <c r="P16" s="7">
        <f t="shared" si="2"/>
        <v>3.5619722214721488E-3</v>
      </c>
      <c r="Q16" s="7">
        <f t="shared" si="3"/>
        <v>1340.6914028835715</v>
      </c>
      <c r="R16" s="8"/>
      <c r="S16" s="7">
        <f t="shared" si="6"/>
        <v>8.7726554214614394E-3</v>
      </c>
      <c r="T16" s="7">
        <f t="shared" si="7"/>
        <v>1345.0655508735426</v>
      </c>
      <c r="U16" s="8"/>
      <c r="V16" s="7">
        <f t="shared" si="8"/>
        <v>9.71487092974372E-3</v>
      </c>
      <c r="W16" s="7">
        <f t="shared" si="9"/>
        <v>1345.0655508735426</v>
      </c>
      <c r="X16" s="8"/>
      <c r="Y16" s="7">
        <f t="shared" si="10"/>
        <v>6.8107035424698186E-3</v>
      </c>
      <c r="Z16" s="7">
        <f t="shared" si="11"/>
        <v>1345.0655508735426</v>
      </c>
      <c r="AA16" s="8"/>
    </row>
    <row r="17" spans="1:27" ht="15.4" x14ac:dyDescent="0.4">
      <c r="A17" s="2">
        <v>0.25738303876429502</v>
      </c>
      <c r="B17" s="2">
        <v>0.31319999999999998</v>
      </c>
      <c r="C17" s="2">
        <v>0.347920320792521</v>
      </c>
      <c r="D17" s="2">
        <v>0.28323294915596625</v>
      </c>
      <c r="E17" s="2">
        <v>0.33895345999651388</v>
      </c>
      <c r="F17" s="2">
        <v>0.34385505010321726</v>
      </c>
      <c r="G17" s="2">
        <v>0.31248881995744082</v>
      </c>
      <c r="I17" s="8"/>
      <c r="J17" s="7">
        <f t="shared" si="0"/>
        <v>3.1155331615881896E-3</v>
      </c>
      <c r="K17" s="7">
        <f t="shared" si="4"/>
        <v>1344.1787431629189</v>
      </c>
      <c r="L17" s="8"/>
      <c r="M17" s="7">
        <f t="shared" si="5"/>
        <v>8.1969994370585299E-3</v>
      </c>
      <c r="N17" s="7">
        <f t="shared" si="1"/>
        <v>1344.1787431629189</v>
      </c>
      <c r="O17" s="8"/>
      <c r="P17" s="7">
        <f t="shared" si="2"/>
        <v>6.6821786725743213E-4</v>
      </c>
      <c r="Q17" s="7">
        <f t="shared" si="3"/>
        <v>1342.2839386134069</v>
      </c>
      <c r="R17" s="8"/>
      <c r="S17" s="7">
        <f t="shared" si="6"/>
        <v>6.6537336200016214E-3</v>
      </c>
      <c r="T17" s="7">
        <f t="shared" si="7"/>
        <v>1344.1787431629189</v>
      </c>
      <c r="U17" s="8"/>
      <c r="V17" s="7">
        <f t="shared" si="8"/>
        <v>7.477408744998696E-3</v>
      </c>
      <c r="W17" s="7">
        <f t="shared" si="9"/>
        <v>1344.1787431629189</v>
      </c>
      <c r="X17" s="8"/>
      <c r="Y17" s="7">
        <f t="shared" si="10"/>
        <v>3.0366471209068609E-3</v>
      </c>
      <c r="Z17" s="7">
        <f t="shared" si="11"/>
        <v>1344.1787431629189</v>
      </c>
      <c r="AA17" s="8"/>
    </row>
    <row r="18" spans="1:27" ht="15.4" x14ac:dyDescent="0.4">
      <c r="A18" s="2">
        <v>0.25800000000000001</v>
      </c>
      <c r="B18" s="2">
        <v>0.30149999999999999</v>
      </c>
      <c r="C18" s="2">
        <v>0.26068384792805599</v>
      </c>
      <c r="D18" s="2">
        <v>0.23259217804423749</v>
      </c>
      <c r="E18" s="2">
        <v>0.25709037261697359</v>
      </c>
      <c r="F18" s="2">
        <v>0.25477592394496923</v>
      </c>
      <c r="G18" s="2">
        <v>0.24459053354512295</v>
      </c>
      <c r="I18" s="8"/>
      <c r="J18" s="7">
        <f t="shared" si="0"/>
        <v>1.8922499999999985E-3</v>
      </c>
      <c r="K18" s="7">
        <f t="shared" si="4"/>
        <v>1344.1335041905761</v>
      </c>
      <c r="L18" s="8"/>
      <c r="M18" s="7">
        <f t="shared" si="5"/>
        <v>7.2030397009303894E-6</v>
      </c>
      <c r="N18" s="7">
        <f t="shared" si="1"/>
        <v>1344.1335041905761</v>
      </c>
      <c r="O18" s="8"/>
      <c r="P18" s="7">
        <f t="shared" si="2"/>
        <v>6.4555741653572806E-4</v>
      </c>
      <c r="Q18" s="7">
        <f t="shared" si="3"/>
        <v>1345.9971745491637</v>
      </c>
      <c r="R18" s="8"/>
      <c r="S18" s="7">
        <f t="shared" si="6"/>
        <v>8.2742197595147941E-7</v>
      </c>
      <c r="T18" s="7">
        <f t="shared" si="7"/>
        <v>1344.1335041905761</v>
      </c>
      <c r="U18" s="8"/>
      <c r="V18" s="7">
        <f t="shared" si="8"/>
        <v>1.0394666408622823E-5</v>
      </c>
      <c r="W18" s="7">
        <f t="shared" si="9"/>
        <v>1344.1335041905761</v>
      </c>
      <c r="X18" s="8"/>
      <c r="Y18" s="7">
        <f t="shared" si="10"/>
        <v>1.7981379060447319E-4</v>
      </c>
      <c r="Z18" s="7">
        <f t="shared" si="11"/>
        <v>1344.1335041905761</v>
      </c>
      <c r="AA18" s="8"/>
    </row>
    <row r="19" spans="1:27" ht="15.4" x14ac:dyDescent="0.4">
      <c r="A19" s="2">
        <v>0.26400000000000001</v>
      </c>
      <c r="B19" s="2">
        <v>0.28070000000000001</v>
      </c>
      <c r="C19" s="2">
        <v>0.27049630658988399</v>
      </c>
      <c r="D19" s="2">
        <v>0.24453658817490703</v>
      </c>
      <c r="E19" s="2">
        <v>0.26804037197304326</v>
      </c>
      <c r="F19" s="2">
        <v>0.26429312402676863</v>
      </c>
      <c r="G19" s="2">
        <v>0.25489070635012812</v>
      </c>
      <c r="I19" s="8"/>
      <c r="J19" s="7">
        <f t="shared" si="0"/>
        <v>2.7888999999999974E-4</v>
      </c>
      <c r="K19" s="7">
        <f t="shared" si="4"/>
        <v>1343.6935910746506</v>
      </c>
      <c r="L19" s="8"/>
      <c r="M19" s="7">
        <f t="shared" si="5"/>
        <v>4.2201999309770056E-5</v>
      </c>
      <c r="N19" s="7">
        <f t="shared" si="1"/>
        <v>1343.6935910746506</v>
      </c>
      <c r="O19" s="8"/>
      <c r="P19" s="7">
        <f t="shared" si="2"/>
        <v>3.7882439987316923E-4</v>
      </c>
      <c r="Q19" s="7">
        <f t="shared" si="3"/>
        <v>1345.120888142332</v>
      </c>
      <c r="R19" s="8"/>
      <c r="S19" s="7">
        <f t="shared" si="6"/>
        <v>1.6324605680553358E-5</v>
      </c>
      <c r="T19" s="7">
        <f t="shared" si="7"/>
        <v>1343.6935910746506</v>
      </c>
      <c r="U19" s="8"/>
      <c r="V19" s="7">
        <f t="shared" si="8"/>
        <v>8.592169506905113E-8</v>
      </c>
      <c r="W19" s="7">
        <f t="shared" si="9"/>
        <v>1343.6935910746506</v>
      </c>
      <c r="X19" s="8"/>
      <c r="Y19" s="7">
        <f t="shared" si="10"/>
        <v>8.2979230799596468E-5</v>
      </c>
      <c r="Z19" s="7">
        <f t="shared" si="11"/>
        <v>1343.6935910746506</v>
      </c>
      <c r="AA19" s="8"/>
    </row>
    <row r="20" spans="1:27" ht="15.4" x14ac:dyDescent="0.4">
      <c r="A20" s="2">
        <v>0.27</v>
      </c>
      <c r="B20" s="2">
        <v>0.28770000000000001</v>
      </c>
      <c r="C20" s="2">
        <v>0.241683314331291</v>
      </c>
      <c r="D20" s="2">
        <v>0.22033898305084745</v>
      </c>
      <c r="E20" s="2">
        <v>0.23909062451087809</v>
      </c>
      <c r="F20" s="2">
        <v>0.23593521348489394</v>
      </c>
      <c r="G20" s="2">
        <v>0.22881517562256817</v>
      </c>
      <c r="I20" s="8"/>
      <c r="J20" s="7">
        <f t="shared" si="0"/>
        <v>3.1328999999999976E-4</v>
      </c>
      <c r="K20" s="7">
        <f t="shared" si="4"/>
        <v>1343.2537499587254</v>
      </c>
      <c r="L20" s="8"/>
      <c r="M20" s="7">
        <f t="shared" si="5"/>
        <v>8.018346872604704E-4</v>
      </c>
      <c r="N20" s="7">
        <f t="shared" si="1"/>
        <v>1343.2537499587254</v>
      </c>
      <c r="O20" s="8"/>
      <c r="P20" s="7">
        <f t="shared" si="2"/>
        <v>2.4662166044240185E-3</v>
      </c>
      <c r="Q20" s="7">
        <f t="shared" si="3"/>
        <v>1346.8964110613786</v>
      </c>
      <c r="R20" s="8"/>
      <c r="S20" s="7">
        <f t="shared" si="6"/>
        <v>9.5538949312753128E-4</v>
      </c>
      <c r="T20" s="7">
        <f t="shared" si="7"/>
        <v>1343.2537499587254</v>
      </c>
      <c r="U20" s="8"/>
      <c r="V20" s="7">
        <f t="shared" si="8"/>
        <v>1.1604096803197533E-3</v>
      </c>
      <c r="W20" s="7">
        <f t="shared" si="9"/>
        <v>1343.2537499587254</v>
      </c>
      <c r="X20" s="8"/>
      <c r="Y20" s="7">
        <f t="shared" si="10"/>
        <v>1.6961897589999042E-3</v>
      </c>
      <c r="Z20" s="7">
        <f t="shared" si="11"/>
        <v>1343.2537499587254</v>
      </c>
      <c r="AA20" s="8"/>
    </row>
    <row r="21" spans="1:27" ht="15.4" x14ac:dyDescent="0.4">
      <c r="A21" s="2">
        <v>0.27500000000000002</v>
      </c>
      <c r="B21" s="2">
        <v>0.25659999999999999</v>
      </c>
      <c r="C21" s="2">
        <v>0.17452179702906201</v>
      </c>
      <c r="D21" s="2">
        <v>0.16869009584664538</v>
      </c>
      <c r="E21" s="2">
        <v>0.1733142410830513</v>
      </c>
      <c r="F21" s="2">
        <v>0.17043676452824127</v>
      </c>
      <c r="G21" s="2">
        <v>0.16910230214804414</v>
      </c>
      <c r="I21" s="8"/>
      <c r="J21" s="7">
        <f t="shared" si="0"/>
        <v>3.3856000000000099E-4</v>
      </c>
      <c r="K21" s="7">
        <f t="shared" si="4"/>
        <v>1342.8872706954546</v>
      </c>
      <c r="L21" s="8"/>
      <c r="M21" s="7">
        <f t="shared" si="5"/>
        <v>1.0095869272269017E-2</v>
      </c>
      <c r="N21" s="7">
        <f t="shared" si="1"/>
        <v>1342.8872706954546</v>
      </c>
      <c r="O21" s="8"/>
      <c r="P21" s="7">
        <f t="shared" si="2"/>
        <v>1.1301795721095451E-2</v>
      </c>
      <c r="Q21" s="7">
        <f t="shared" si="3"/>
        <v>1350.6901160121631</v>
      </c>
      <c r="R21" s="8"/>
      <c r="S21" s="7">
        <f t="shared" si="6"/>
        <v>1.0339993566515817E-2</v>
      </c>
      <c r="T21" s="7">
        <f t="shared" si="7"/>
        <v>1342.8872706954546</v>
      </c>
      <c r="U21" s="8"/>
      <c r="V21" s="7">
        <f t="shared" si="8"/>
        <v>1.0933470212322468E-2</v>
      </c>
      <c r="W21" s="7">
        <f t="shared" si="9"/>
        <v>1342.8872706954546</v>
      </c>
      <c r="X21" s="8"/>
      <c r="Y21" s="7">
        <f t="shared" si="10"/>
        <v>1.1214322410344141E-2</v>
      </c>
      <c r="Z21" s="7">
        <f t="shared" si="11"/>
        <v>1342.8872706954546</v>
      </c>
      <c r="AA21" s="8"/>
    </row>
    <row r="22" spans="1:27" ht="15.4" x14ac:dyDescent="0.4">
      <c r="A22" s="2">
        <v>0.27590116279069798</v>
      </c>
      <c r="B22" s="2">
        <v>0.39739999999999998</v>
      </c>
      <c r="C22" s="2">
        <v>0.34999872806735599</v>
      </c>
      <c r="D22" s="2">
        <v>0.29428966526966921</v>
      </c>
      <c r="E22" s="2">
        <v>0.34048263185769029</v>
      </c>
      <c r="F22" s="2">
        <v>0.34558237121609492</v>
      </c>
      <c r="G22" s="2">
        <v>0.32178050789284374</v>
      </c>
      <c r="I22" s="8"/>
      <c r="J22" s="7">
        <f t="shared" si="0"/>
        <v>1.4761967443212466E-2</v>
      </c>
      <c r="K22" s="7">
        <f t="shared" si="4"/>
        <v>1342.8212245182385</v>
      </c>
      <c r="L22" s="8"/>
      <c r="M22" s="7">
        <f t="shared" si="5"/>
        <v>5.4904491799285943E-3</v>
      </c>
      <c r="N22" s="7">
        <f t="shared" si="1"/>
        <v>1342.8212245182385</v>
      </c>
      <c r="O22" s="8"/>
      <c r="P22" s="7">
        <f t="shared" si="2"/>
        <v>3.3813702341913086E-4</v>
      </c>
      <c r="Q22" s="7">
        <f t="shared" si="3"/>
        <v>1341.4738867716126</v>
      </c>
      <c r="R22" s="8"/>
      <c r="S22" s="7">
        <f t="shared" si="6"/>
        <v>4.1707661468508841E-3</v>
      </c>
      <c r="T22" s="7">
        <f t="shared" si="7"/>
        <v>1342.8212245182385</v>
      </c>
      <c r="U22" s="8"/>
      <c r="V22" s="7">
        <f t="shared" si="8"/>
        <v>4.8554708076236084E-3</v>
      </c>
      <c r="W22" s="7">
        <f t="shared" si="9"/>
        <v>1342.8212245182385</v>
      </c>
      <c r="X22" s="8"/>
      <c r="Y22" s="7">
        <f t="shared" si="10"/>
        <v>2.1049143070017854E-3</v>
      </c>
      <c r="Z22" s="7">
        <f t="shared" si="11"/>
        <v>1342.8212245182385</v>
      </c>
      <c r="AA22" s="8"/>
    </row>
    <row r="23" spans="1:27" ht="15.4" x14ac:dyDescent="0.4">
      <c r="A23" s="2">
        <v>0.28299999999999997</v>
      </c>
      <c r="B23" s="2">
        <v>0.259480831124421</v>
      </c>
      <c r="C23" s="2">
        <v>0.26920904280042102</v>
      </c>
      <c r="D23" s="2">
        <v>0.24608383000516618</v>
      </c>
      <c r="E23" s="2">
        <v>0.26048960344626626</v>
      </c>
      <c r="F23" s="2">
        <v>0.26789884216073195</v>
      </c>
      <c r="G23" s="2">
        <v>0.26134898095926767</v>
      </c>
      <c r="I23" s="8"/>
      <c r="J23" s="7">
        <f t="shared" si="0"/>
        <v>5.5315130459800295E-4</v>
      </c>
      <c r="K23" s="7">
        <f t="shared" si="4"/>
        <v>1342.3010078742207</v>
      </c>
      <c r="L23" s="8"/>
      <c r="M23" s="7">
        <f t="shared" si="5"/>
        <v>1.9019050048061867E-4</v>
      </c>
      <c r="N23" s="7">
        <f t="shared" si="1"/>
        <v>1342.3010078742207</v>
      </c>
      <c r="O23" s="8"/>
      <c r="P23" s="7">
        <f t="shared" si="2"/>
        <v>1.3628036070874672E-3</v>
      </c>
      <c r="Q23" s="7">
        <f t="shared" si="3"/>
        <v>1345.0073975947571</v>
      </c>
      <c r="R23" s="8"/>
      <c r="S23" s="7">
        <f t="shared" si="6"/>
        <v>5.0671795300634664E-4</v>
      </c>
      <c r="T23" s="7">
        <f t="shared" si="7"/>
        <v>1342.3010078742207</v>
      </c>
      <c r="U23" s="8"/>
      <c r="V23" s="7">
        <f t="shared" si="8"/>
        <v>2.2804496808648598E-4</v>
      </c>
      <c r="W23" s="7">
        <f t="shared" si="9"/>
        <v>1342.3010078742207</v>
      </c>
      <c r="X23" s="8"/>
      <c r="Y23" s="7">
        <f t="shared" si="10"/>
        <v>4.6876662550215259E-4</v>
      </c>
      <c r="Z23" s="7">
        <f t="shared" si="11"/>
        <v>1342.3010078742207</v>
      </c>
      <c r="AA23" s="8"/>
    </row>
    <row r="24" spans="1:27" ht="15.4" x14ac:dyDescent="0.4">
      <c r="A24" s="2">
        <v>0.29399999999999998</v>
      </c>
      <c r="B24" s="2">
        <v>0.34620000000000001</v>
      </c>
      <c r="C24" s="2">
        <v>0.28880542177103202</v>
      </c>
      <c r="D24" s="2">
        <v>0.24328238219777276</v>
      </c>
      <c r="E24" s="2">
        <v>0.28062723552879898</v>
      </c>
      <c r="F24" s="2">
        <v>0.28520768102687916</v>
      </c>
      <c r="G24" s="2">
        <v>0.26607395517801036</v>
      </c>
      <c r="I24" s="8"/>
      <c r="J24" s="7">
        <f t="shared" si="0"/>
        <v>2.7248400000000027E-3</v>
      </c>
      <c r="K24" s="7">
        <f t="shared" si="4"/>
        <v>1341.4951054950247</v>
      </c>
      <c r="L24" s="8"/>
      <c r="M24" s="7">
        <f t="shared" si="5"/>
        <v>2.6983642976867918E-5</v>
      </c>
      <c r="N24" s="7">
        <f t="shared" si="1"/>
        <v>1341.4951054950247</v>
      </c>
      <c r="O24" s="8"/>
      <c r="P24" s="7">
        <f t="shared" si="2"/>
        <v>2.5722767555327957E-3</v>
      </c>
      <c r="Q24" s="7">
        <f t="shared" si="3"/>
        <v>1345.2128879556192</v>
      </c>
      <c r="R24" s="8"/>
      <c r="S24" s="7">
        <f t="shared" si="6"/>
        <v>1.7883082960221588E-4</v>
      </c>
      <c r="T24" s="7">
        <f t="shared" si="7"/>
        <v>1341.4951054950247</v>
      </c>
      <c r="U24" s="8"/>
      <c r="V24" s="7">
        <f t="shared" si="8"/>
        <v>7.730487292510048E-5</v>
      </c>
      <c r="W24" s="7">
        <f t="shared" si="9"/>
        <v>1341.4951054950247</v>
      </c>
      <c r="X24" s="8"/>
      <c r="Y24" s="7">
        <f t="shared" si="10"/>
        <v>7.7986397939977363E-4</v>
      </c>
      <c r="Z24" s="7">
        <f t="shared" si="11"/>
        <v>1341.4951054950247</v>
      </c>
      <c r="AA24" s="8"/>
    </row>
    <row r="25" spans="1:27" ht="15.4" x14ac:dyDescent="0.4">
      <c r="A25" s="2">
        <v>0.29599999999999999</v>
      </c>
      <c r="B25" s="2">
        <v>0.3085</v>
      </c>
      <c r="C25" s="2">
        <v>0.29315247378019099</v>
      </c>
      <c r="D25" s="2">
        <v>0.2820593423440057</v>
      </c>
      <c r="E25" s="2">
        <v>0.29263394907435636</v>
      </c>
      <c r="F25" s="2">
        <v>0.28783695049052888</v>
      </c>
      <c r="G25" s="2">
        <v>0.2848705055587038</v>
      </c>
      <c r="I25" s="8"/>
      <c r="J25" s="7">
        <f t="shared" si="0"/>
        <v>1.5625000000000027E-4</v>
      </c>
      <c r="K25" s="7">
        <f t="shared" si="4"/>
        <v>1341.3486037897162</v>
      </c>
      <c r="L25" s="8"/>
      <c r="M25" s="7">
        <f t="shared" si="5"/>
        <v>8.1084055724996965E-6</v>
      </c>
      <c r="N25" s="7">
        <f t="shared" si="1"/>
        <v>1341.3486037897162</v>
      </c>
      <c r="O25" s="8"/>
      <c r="P25" s="7">
        <f t="shared" si="2"/>
        <v>1.9434193588163199E-4</v>
      </c>
      <c r="Q25" s="7">
        <f t="shared" si="3"/>
        <v>1342.3699353101988</v>
      </c>
      <c r="R25" s="8"/>
      <c r="S25" s="7">
        <f t="shared" si="6"/>
        <v>1.1330298834026316E-5</v>
      </c>
      <c r="T25" s="7">
        <f t="shared" si="7"/>
        <v>1341.3486037897162</v>
      </c>
      <c r="U25" s="8"/>
      <c r="V25" s="7">
        <f t="shared" si="8"/>
        <v>6.663537729407653E-5</v>
      </c>
      <c r="W25" s="7">
        <f t="shared" si="9"/>
        <v>1341.3486037897162</v>
      </c>
      <c r="X25" s="8"/>
      <c r="Y25" s="7">
        <f t="shared" si="10"/>
        <v>1.2386564651884266E-4</v>
      </c>
      <c r="Z25" s="7">
        <f t="shared" si="11"/>
        <v>1341.3486037897162</v>
      </c>
      <c r="AA25" s="8"/>
    </row>
    <row r="26" spans="1:27" ht="15.4" x14ac:dyDescent="0.4">
      <c r="A26" s="2">
        <v>0.29899999999999999</v>
      </c>
      <c r="B26" s="2">
        <v>0.27526189630324521</v>
      </c>
      <c r="C26" s="2">
        <v>0.28040538625716899</v>
      </c>
      <c r="D26" s="2">
        <v>0.2738260383533952</v>
      </c>
      <c r="E26" s="2">
        <v>0.2796710014073896</v>
      </c>
      <c r="F26" s="2">
        <v>0.27469651181014271</v>
      </c>
      <c r="G26" s="2">
        <v>0.27327855921421756</v>
      </c>
      <c r="I26" s="8"/>
      <c r="J26" s="7">
        <f t="shared" si="0"/>
        <v>5.6349756711788275E-4</v>
      </c>
      <c r="K26" s="7">
        <f t="shared" si="4"/>
        <v>1341.1288662317534</v>
      </c>
      <c r="L26" s="8"/>
      <c r="M26" s="7">
        <f t="shared" si="5"/>
        <v>3.4575966024507954E-4</v>
      </c>
      <c r="N26" s="7">
        <f t="shared" si="1"/>
        <v>1341.1288662317534</v>
      </c>
      <c r="O26" s="8"/>
      <c r="P26" s="7">
        <f t="shared" si="2"/>
        <v>6.3372834498472911E-4</v>
      </c>
      <c r="Q26" s="7">
        <f t="shared" si="3"/>
        <v>1342.9733127237032</v>
      </c>
      <c r="R26" s="8"/>
      <c r="S26" s="7">
        <f t="shared" si="6"/>
        <v>3.7361018659313447E-4</v>
      </c>
      <c r="T26" s="7">
        <f t="shared" si="7"/>
        <v>1341.1288662317534</v>
      </c>
      <c r="U26" s="8"/>
      <c r="V26" s="7">
        <f t="shared" si="8"/>
        <v>5.9065953819453234E-4</v>
      </c>
      <c r="W26" s="7">
        <f t="shared" si="9"/>
        <v>1341.1288662317534</v>
      </c>
      <c r="X26" s="8"/>
      <c r="Y26" s="7">
        <f t="shared" si="10"/>
        <v>6.6159251609651157E-4</v>
      </c>
      <c r="Z26" s="7">
        <f t="shared" si="11"/>
        <v>1341.1288662317534</v>
      </c>
      <c r="AA26" s="8"/>
    </row>
    <row r="27" spans="1:27" ht="15.4" x14ac:dyDescent="0.4">
      <c r="A27" s="2">
        <v>0.3</v>
      </c>
      <c r="B27" s="2">
        <v>0.25340000000000001</v>
      </c>
      <c r="C27" s="2">
        <v>0.39768704376702702</v>
      </c>
      <c r="D27" s="2">
        <v>0.20306475057684473</v>
      </c>
      <c r="E27" s="2">
        <v>0.31645436638214047</v>
      </c>
      <c r="F27" s="2">
        <v>0.49697443360497806</v>
      </c>
      <c r="G27" s="2">
        <v>0.31808082220384926</v>
      </c>
      <c r="I27" s="8"/>
      <c r="J27" s="7">
        <f t="shared" si="0"/>
        <v>2.1715599999999977E-3</v>
      </c>
      <c r="K27" s="7">
        <f t="shared" si="4"/>
        <v>1341.0556243790993</v>
      </c>
      <c r="L27" s="8"/>
      <c r="M27" s="7">
        <f t="shared" si="5"/>
        <v>9.5427585199410539E-3</v>
      </c>
      <c r="N27" s="7">
        <f t="shared" si="1"/>
        <v>1341.0556243790993</v>
      </c>
      <c r="O27" s="8"/>
      <c r="P27" s="7">
        <f t="shared" si="2"/>
        <v>9.3964425807293219E-3</v>
      </c>
      <c r="Q27" s="7">
        <f t="shared" si="3"/>
        <v>1348.1646411416809</v>
      </c>
      <c r="R27" s="8"/>
      <c r="S27" s="7">
        <f t="shared" si="6"/>
        <v>2.7074617303771489E-4</v>
      </c>
      <c r="T27" s="7">
        <f t="shared" si="7"/>
        <v>1341.0556243790993</v>
      </c>
      <c r="U27" s="8"/>
      <c r="V27" s="7">
        <f t="shared" si="8"/>
        <v>3.8798927494001913E-2</v>
      </c>
      <c r="W27" s="7">
        <f t="shared" si="9"/>
        <v>1341.0556243790993</v>
      </c>
      <c r="X27" s="8"/>
      <c r="Y27" s="7">
        <f t="shared" si="10"/>
        <v>3.2691613156720869E-4</v>
      </c>
      <c r="Z27" s="7">
        <f t="shared" si="11"/>
        <v>1341.0556243790993</v>
      </c>
      <c r="AA27" s="8"/>
    </row>
    <row r="28" spans="1:27" ht="15.4" x14ac:dyDescent="0.4">
      <c r="A28" s="2">
        <v>0.309</v>
      </c>
      <c r="B28" s="2">
        <v>0.26055266111649938</v>
      </c>
      <c r="C28" s="2">
        <v>0.27133230742185299</v>
      </c>
      <c r="D28" s="2">
        <v>0.24807987287955113</v>
      </c>
      <c r="E28" s="2">
        <v>0.26423819767384049</v>
      </c>
      <c r="F28" s="2">
        <v>0.26744897236321258</v>
      </c>
      <c r="G28" s="2">
        <v>0.26065222438203273</v>
      </c>
      <c r="I28" s="8"/>
      <c r="J28" s="7">
        <f t="shared" si="0"/>
        <v>2.3471446448927505E-3</v>
      </c>
      <c r="K28" s="7">
        <f t="shared" si="4"/>
        <v>1340.3965377052114</v>
      </c>
      <c r="L28" s="8"/>
      <c r="M28" s="7">
        <f t="shared" si="5"/>
        <v>1.418855064161791E-3</v>
      </c>
      <c r="N28" s="7">
        <f t="shared" si="1"/>
        <v>1340.3965377052114</v>
      </c>
      <c r="O28" s="8"/>
      <c r="P28" s="7">
        <f t="shared" si="2"/>
        <v>3.7112618883716492E-3</v>
      </c>
      <c r="Q28" s="7">
        <f t="shared" si="3"/>
        <v>1344.8609944589164</v>
      </c>
      <c r="R28" s="8"/>
      <c r="S28" s="7">
        <f t="shared" si="6"/>
        <v>2.0036189474861785E-3</v>
      </c>
      <c r="T28" s="7">
        <f t="shared" si="7"/>
        <v>1340.3965377052114</v>
      </c>
      <c r="U28" s="8"/>
      <c r="V28" s="7">
        <f t="shared" si="8"/>
        <v>1.7264878976730718E-3</v>
      </c>
      <c r="W28" s="7">
        <f t="shared" si="9"/>
        <v>1340.3965377052114</v>
      </c>
      <c r="X28" s="8"/>
      <c r="Y28" s="7">
        <f t="shared" si="10"/>
        <v>2.3375074072053107E-3</v>
      </c>
      <c r="Z28" s="7">
        <f t="shared" si="11"/>
        <v>1340.3965377052114</v>
      </c>
      <c r="AA28" s="8"/>
    </row>
    <row r="29" spans="1:27" ht="15.4" x14ac:dyDescent="0.4">
      <c r="A29" s="2">
        <v>0.31</v>
      </c>
      <c r="B29" s="2">
        <v>0.33900000000000002</v>
      </c>
      <c r="C29" s="2">
        <v>0.26691393511393102</v>
      </c>
      <c r="D29" s="2">
        <v>0.23103448275862065</v>
      </c>
      <c r="E29" s="2">
        <v>0.26061035047626752</v>
      </c>
      <c r="F29" s="2">
        <v>0.26255127716594961</v>
      </c>
      <c r="G29" s="2">
        <v>0.24861227535208064</v>
      </c>
      <c r="I29" s="8"/>
      <c r="J29" s="7">
        <f t="shared" si="0"/>
        <v>8.4100000000000147E-4</v>
      </c>
      <c r="K29" s="7">
        <f t="shared" si="4"/>
        <v>1340.3233158525568</v>
      </c>
      <c r="L29" s="8"/>
      <c r="M29" s="7">
        <f t="shared" si="5"/>
        <v>1.8564089873665459E-3</v>
      </c>
      <c r="N29" s="7">
        <f t="shared" si="1"/>
        <v>1340.3233158525568</v>
      </c>
      <c r="O29" s="8"/>
      <c r="P29" s="7">
        <f t="shared" si="2"/>
        <v>6.2355529131985785E-3</v>
      </c>
      <c r="Q29" s="7">
        <f t="shared" si="3"/>
        <v>1346.111473908165</v>
      </c>
      <c r="R29" s="8"/>
      <c r="S29" s="7">
        <f t="shared" si="6"/>
        <v>2.439337480077128E-3</v>
      </c>
      <c r="T29" s="7">
        <f t="shared" si="7"/>
        <v>1340.3233158525568</v>
      </c>
      <c r="U29" s="8"/>
      <c r="V29" s="7">
        <f t="shared" si="8"/>
        <v>2.2513812985825343E-3</v>
      </c>
      <c r="W29" s="7">
        <f t="shared" si="9"/>
        <v>1340.3233158525568</v>
      </c>
      <c r="X29" s="8"/>
      <c r="Y29" s="7">
        <f t="shared" si="10"/>
        <v>3.7684527374487664E-3</v>
      </c>
      <c r="Z29" s="7">
        <f t="shared" si="11"/>
        <v>1340.3233158525568</v>
      </c>
      <c r="AA29" s="8"/>
    </row>
    <row r="30" spans="1:27" ht="15.4" x14ac:dyDescent="0.4">
      <c r="A30" s="2">
        <v>0.311</v>
      </c>
      <c r="B30" s="2">
        <v>0.34660000000000002</v>
      </c>
      <c r="C30" s="2">
        <v>0.31653822524479502</v>
      </c>
      <c r="D30" s="2">
        <v>0.29236979590180284</v>
      </c>
      <c r="E30" s="2">
        <v>0.31433849917300238</v>
      </c>
      <c r="F30" s="2">
        <v>0.30910653385279063</v>
      </c>
      <c r="G30" s="2">
        <v>0.3012173748326944</v>
      </c>
      <c r="I30" s="8"/>
      <c r="J30" s="7">
        <f t="shared" si="0"/>
        <v>1.2673600000000014E-3</v>
      </c>
      <c r="K30" s="7">
        <f t="shared" si="4"/>
        <v>1340.2500959999029</v>
      </c>
      <c r="L30" s="8"/>
      <c r="M30" s="7">
        <f t="shared" si="5"/>
        <v>3.0671938862084917E-5</v>
      </c>
      <c r="N30" s="7">
        <f t="shared" si="1"/>
        <v>1340.2500959999029</v>
      </c>
      <c r="O30" s="8"/>
      <c r="P30" s="7">
        <f t="shared" si="2"/>
        <v>3.470845047404821E-4</v>
      </c>
      <c r="Q30" s="7">
        <f t="shared" si="3"/>
        <v>1341.6145252531912</v>
      </c>
      <c r="R30" s="8"/>
      <c r="S30" s="7">
        <f t="shared" si="6"/>
        <v>1.1145576728137609E-5</v>
      </c>
      <c r="T30" s="7">
        <f t="shared" si="7"/>
        <v>1340.2500959999029</v>
      </c>
      <c r="U30" s="8"/>
      <c r="V30" s="7">
        <f t="shared" si="8"/>
        <v>3.5852140506278809E-6</v>
      </c>
      <c r="W30" s="7">
        <f t="shared" si="9"/>
        <v>1340.2500959999029</v>
      </c>
      <c r="X30" s="8"/>
      <c r="Y30" s="7">
        <f t="shared" si="10"/>
        <v>9.5699755164000973E-5</v>
      </c>
      <c r="Z30" s="7">
        <f t="shared" si="11"/>
        <v>1340.2500959999029</v>
      </c>
      <c r="AA30" s="8"/>
    </row>
    <row r="31" spans="1:27" ht="15.4" x14ac:dyDescent="0.4">
      <c r="A31" s="2">
        <v>0.32300000000000001</v>
      </c>
      <c r="B31" s="2">
        <v>0.34139999999999998</v>
      </c>
      <c r="C31" s="2">
        <v>0.33179951320599199</v>
      </c>
      <c r="D31" s="2">
        <v>0.26485394985401151</v>
      </c>
      <c r="E31" s="2">
        <v>0.31918200243873829</v>
      </c>
      <c r="F31" s="2">
        <v>0.33180270280352653</v>
      </c>
      <c r="G31" s="2">
        <v>0.29919520346813244</v>
      </c>
      <c r="I31" s="8"/>
      <c r="J31" s="7">
        <f t="shared" si="0"/>
        <v>3.3855999999999898E-4</v>
      </c>
      <c r="K31" s="7">
        <f t="shared" si="4"/>
        <v>1339.3716137680522</v>
      </c>
      <c r="L31" s="8"/>
      <c r="M31" s="7">
        <f t="shared" si="5"/>
        <v>7.74314326624273E-5</v>
      </c>
      <c r="N31" s="7">
        <f t="shared" si="1"/>
        <v>1339.3716137680522</v>
      </c>
      <c r="O31" s="8"/>
      <c r="P31" s="7">
        <f t="shared" si="2"/>
        <v>3.3809631475798098E-3</v>
      </c>
      <c r="Q31" s="7">
        <f t="shared" si="3"/>
        <v>1343.6309863040599</v>
      </c>
      <c r="R31" s="8"/>
      <c r="S31" s="7">
        <f t="shared" si="6"/>
        <v>1.457710537780045E-5</v>
      </c>
      <c r="T31" s="7">
        <f t="shared" si="7"/>
        <v>1339.3716137680522</v>
      </c>
      <c r="U31" s="8"/>
      <c r="V31" s="7">
        <f t="shared" si="8"/>
        <v>7.7487576647213634E-5</v>
      </c>
      <c r="W31" s="7">
        <f t="shared" si="9"/>
        <v>1339.3716137680522</v>
      </c>
      <c r="X31" s="8"/>
      <c r="Y31" s="7">
        <f t="shared" si="10"/>
        <v>5.666683379236141E-4</v>
      </c>
      <c r="Z31" s="7">
        <f t="shared" si="11"/>
        <v>1339.3716137680522</v>
      </c>
      <c r="AA31" s="8"/>
    </row>
    <row r="32" spans="1:27" ht="15.4" x14ac:dyDescent="0.4">
      <c r="A32" s="2">
        <v>0.33659763313609464</v>
      </c>
      <c r="B32" s="2">
        <v>0.48110000000000003</v>
      </c>
      <c r="C32" s="2">
        <v>0.49576801150758498</v>
      </c>
      <c r="D32" s="2">
        <v>0.33659763313609459</v>
      </c>
      <c r="E32" s="2">
        <v>0.44584934192103065</v>
      </c>
      <c r="F32" s="2">
        <v>0.5312966299650832</v>
      </c>
      <c r="G32" s="2">
        <v>0.43292770513200174</v>
      </c>
      <c r="I32" s="8"/>
      <c r="J32" s="7">
        <f t="shared" si="0"/>
        <v>2.0880934029270701E-2</v>
      </c>
      <c r="K32" s="7">
        <f t="shared" si="4"/>
        <v>1338.3765219098366</v>
      </c>
      <c r="L32" s="8"/>
      <c r="M32" s="7">
        <f t="shared" si="5"/>
        <v>2.5335209350923399E-2</v>
      </c>
      <c r="N32" s="7">
        <f t="shared" si="1"/>
        <v>1338.3765219098366</v>
      </c>
      <c r="O32" s="8"/>
      <c r="P32" s="7">
        <f t="shared" si="2"/>
        <v>3.0814879110195774E-33</v>
      </c>
      <c r="Q32" s="7">
        <f t="shared" si="3"/>
        <v>1338.3765219098366</v>
      </c>
      <c r="R32" s="8"/>
      <c r="S32" s="7">
        <f t="shared" si="6"/>
        <v>1.1935935872428464E-2</v>
      </c>
      <c r="T32" s="7">
        <f t="shared" si="7"/>
        <v>1338.3765219098366</v>
      </c>
      <c r="U32" s="8"/>
      <c r="V32" s="7">
        <f t="shared" si="8"/>
        <v>3.7907699366214499E-2</v>
      </c>
      <c r="W32" s="7">
        <f t="shared" si="9"/>
        <v>1338.3765219098366</v>
      </c>
      <c r="X32" s="8"/>
      <c r="Y32" s="7">
        <f t="shared" si="10"/>
        <v>9.279482770736645E-3</v>
      </c>
      <c r="Z32" s="7">
        <f t="shared" si="11"/>
        <v>1338.3765219098366</v>
      </c>
      <c r="AA32" s="8"/>
    </row>
    <row r="33" spans="1:27" ht="15.4" x14ac:dyDescent="0.4">
      <c r="A33" s="2">
        <v>0.33857142857142858</v>
      </c>
      <c r="B33" s="2">
        <v>0.34570000000000001</v>
      </c>
      <c r="C33" s="2">
        <v>0.48837252222972599</v>
      </c>
      <c r="D33" s="2">
        <v>0.31246823769483678</v>
      </c>
      <c r="E33" s="2">
        <v>0.44199687337154764</v>
      </c>
      <c r="F33" s="2">
        <v>0.52322372735027634</v>
      </c>
      <c r="G33" s="2">
        <v>0.40087926033830068</v>
      </c>
      <c r="I33" s="8"/>
      <c r="J33" s="7">
        <f t="shared" si="0"/>
        <v>5.08165306122449E-5</v>
      </c>
      <c r="K33" s="7">
        <f t="shared" si="4"/>
        <v>1338.2321078175387</v>
      </c>
      <c r="L33" s="8"/>
      <c r="M33" s="7">
        <f t="shared" si="5"/>
        <v>2.2440367661221993E-2</v>
      </c>
      <c r="N33" s="7">
        <f t="shared" si="1"/>
        <v>1338.2321078175387</v>
      </c>
      <c r="O33" s="8"/>
      <c r="P33" s="7">
        <f t="shared" si="2"/>
        <v>6.8137657393978527E-4</v>
      </c>
      <c r="Q33" s="7">
        <f t="shared" si="3"/>
        <v>1340.1425954761851</v>
      </c>
      <c r="R33" s="8"/>
      <c r="S33" s="7">
        <f t="shared" si="6"/>
        <v>1.0696822632102474E-2</v>
      </c>
      <c r="T33" s="7">
        <f t="shared" si="7"/>
        <v>1338.2321078175387</v>
      </c>
      <c r="U33" s="8"/>
      <c r="V33" s="7">
        <f t="shared" si="8"/>
        <v>3.4096471444312861E-2</v>
      </c>
      <c r="W33" s="7">
        <f t="shared" si="9"/>
        <v>1338.2321078175387</v>
      </c>
      <c r="X33" s="8"/>
      <c r="Y33" s="7">
        <f t="shared" si="10"/>
        <v>3.882265899488836E-3</v>
      </c>
      <c r="Z33" s="7">
        <f t="shared" si="11"/>
        <v>1338.2321078175387</v>
      </c>
      <c r="AA33" s="8"/>
    </row>
    <row r="34" spans="1:27" ht="15.4" x14ac:dyDescent="0.4">
      <c r="A34" s="2">
        <v>0.34</v>
      </c>
      <c r="B34" s="2">
        <v>0.39689999999999998</v>
      </c>
      <c r="C34" s="2">
        <v>0.29577389072128102</v>
      </c>
      <c r="D34" s="2">
        <v>0.24210526315789466</v>
      </c>
      <c r="E34" s="2">
        <v>0.2836298187602026</v>
      </c>
      <c r="F34" s="2">
        <v>0.29561458448664735</v>
      </c>
      <c r="G34" s="2">
        <v>0.27195955809057315</v>
      </c>
      <c r="I34" s="8"/>
      <c r="J34" s="7">
        <f t="shared" si="0"/>
        <v>3.2376099999999945E-3</v>
      </c>
      <c r="K34" s="7">
        <f t="shared" si="4"/>
        <v>1338.1275902729303</v>
      </c>
      <c r="L34" s="8"/>
      <c r="M34" s="7">
        <f t="shared" si="5"/>
        <v>1.9559487419331953E-3</v>
      </c>
      <c r="N34" s="7">
        <f t="shared" si="1"/>
        <v>1338.1275902729303</v>
      </c>
      <c r="O34" s="8"/>
      <c r="P34" s="7">
        <f t="shared" si="2"/>
        <v>9.5833795013850614E-3</v>
      </c>
      <c r="Q34" s="7">
        <f t="shared" si="3"/>
        <v>1345.2992360701603</v>
      </c>
      <c r="R34" s="8"/>
      <c r="S34" s="7">
        <f t="shared" si="6"/>
        <v>3.1775973330076092E-3</v>
      </c>
      <c r="T34" s="7">
        <f t="shared" si="7"/>
        <v>1338.1275902729303</v>
      </c>
      <c r="U34" s="8"/>
      <c r="V34" s="7">
        <f t="shared" si="8"/>
        <v>1.9700651102929683E-3</v>
      </c>
      <c r="W34" s="7">
        <f t="shared" si="9"/>
        <v>1338.1275902729303</v>
      </c>
      <c r="X34" s="8"/>
      <c r="Y34" s="7">
        <f t="shared" si="10"/>
        <v>4.6295017352300932E-3</v>
      </c>
      <c r="Z34" s="7">
        <f t="shared" si="11"/>
        <v>1338.1275902729303</v>
      </c>
      <c r="AA34" s="8"/>
    </row>
    <row r="35" spans="1:27" ht="15.4" x14ac:dyDescent="0.4">
      <c r="A35" s="2">
        <v>0.34222000000000002</v>
      </c>
      <c r="B35" s="2">
        <v>0.31404997777405519</v>
      </c>
      <c r="C35" s="2">
        <v>0.32526847308772799</v>
      </c>
      <c r="D35" s="2">
        <v>0.30348005757157615</v>
      </c>
      <c r="E35" s="2">
        <v>0.31983813501133762</v>
      </c>
      <c r="F35" s="2">
        <v>0.31840102770496032</v>
      </c>
      <c r="G35" s="2">
        <v>0.31238412842608276</v>
      </c>
      <c r="I35" s="8"/>
      <c r="J35" s="7">
        <f t="shared" si="0"/>
        <v>7.9355015221022605E-4</v>
      </c>
      <c r="K35" s="7">
        <f t="shared" si="4"/>
        <v>1337.9651781084385</v>
      </c>
      <c r="L35" s="8"/>
      <c r="M35" s="7">
        <f t="shared" si="5"/>
        <v>2.8735426465748291E-4</v>
      </c>
      <c r="N35" s="7">
        <f t="shared" si="1"/>
        <v>1337.9651781084385</v>
      </c>
      <c r="O35" s="8"/>
      <c r="P35" s="7">
        <f t="shared" si="2"/>
        <v>1.5007831393575965E-3</v>
      </c>
      <c r="Q35" s="7">
        <f t="shared" si="3"/>
        <v>1340.800754106072</v>
      </c>
      <c r="R35" s="8"/>
      <c r="S35" s="7">
        <f t="shared" si="6"/>
        <v>5.0094788037071184E-4</v>
      </c>
      <c r="T35" s="7">
        <f t="shared" si="7"/>
        <v>1337.9651781084385</v>
      </c>
      <c r="U35" s="8"/>
      <c r="V35" s="7">
        <f t="shared" si="8"/>
        <v>5.6734344119186916E-4</v>
      </c>
      <c r="W35" s="7">
        <f t="shared" si="9"/>
        <v>1337.9651781084385</v>
      </c>
      <c r="X35" s="8"/>
      <c r="Y35" s="7">
        <f t="shared" si="10"/>
        <v>8.9017923257528407E-4</v>
      </c>
      <c r="Z35" s="7">
        <f t="shared" si="11"/>
        <v>1337.9651781084385</v>
      </c>
      <c r="AA35" s="8"/>
    </row>
    <row r="36" spans="1:27" ht="15.4" x14ac:dyDescent="0.4">
      <c r="A36" s="2">
        <v>0.34768292682926832</v>
      </c>
      <c r="B36" s="2">
        <v>0.48067619896058195</v>
      </c>
      <c r="C36" s="2">
        <v>0.4884</v>
      </c>
      <c r="D36" s="2">
        <v>0.36061771825508293</v>
      </c>
      <c r="E36" s="2">
        <v>0.44199687337154764</v>
      </c>
      <c r="F36" s="2">
        <v>0.52322372735027634</v>
      </c>
      <c r="G36" s="2">
        <v>0.45547999940821227</v>
      </c>
      <c r="I36" s="8"/>
      <c r="J36" s="7">
        <f t="shared" si="0"/>
        <v>1.768721043219364E-2</v>
      </c>
      <c r="K36" s="7">
        <f t="shared" si="4"/>
        <v>1337.5655598225858</v>
      </c>
      <c r="L36" s="8"/>
      <c r="M36" s="7">
        <f t="shared" si="5"/>
        <v>1.9801294681737053E-2</v>
      </c>
      <c r="N36" s="7">
        <f t="shared" si="1"/>
        <v>1337.5655598225858</v>
      </c>
      <c r="O36" s="8"/>
      <c r="P36" s="7">
        <f t="shared" si="2"/>
        <v>1.6730882922932707E-4</v>
      </c>
      <c r="Q36" s="7">
        <f t="shared" si="3"/>
        <v>1336.6196055159103</v>
      </c>
      <c r="R36" s="8"/>
      <c r="S36" s="7">
        <f t="shared" si="6"/>
        <v>8.8951205123799209E-3</v>
      </c>
      <c r="T36" s="7">
        <f t="shared" si="7"/>
        <v>1337.5655598225858</v>
      </c>
      <c r="U36" s="8"/>
      <c r="V36" s="7">
        <f t="shared" si="8"/>
        <v>3.0814572647556326E-2</v>
      </c>
      <c r="W36" s="7">
        <f t="shared" si="9"/>
        <v>1337.5655598225858</v>
      </c>
      <c r="X36" s="8"/>
      <c r="Y36" s="7">
        <f t="shared" si="10"/>
        <v>1.1620208856590108E-2</v>
      </c>
      <c r="Z36" s="7">
        <f t="shared" si="11"/>
        <v>1337.5655598225858</v>
      </c>
      <c r="AA36" s="8"/>
    </row>
    <row r="37" spans="1:27" ht="15.4" x14ac:dyDescent="0.4">
      <c r="A37" s="2">
        <v>0.35</v>
      </c>
      <c r="B37" s="2">
        <v>0.35200229428178409</v>
      </c>
      <c r="C37" s="2">
        <v>0.32505546728921703</v>
      </c>
      <c r="D37" s="2">
        <v>0.27775473831009279</v>
      </c>
      <c r="E37" s="2">
        <v>0.30550959338144701</v>
      </c>
      <c r="F37" s="2">
        <v>0.33147073836701924</v>
      </c>
      <c r="G37" s="2">
        <v>0.31519888737920765</v>
      </c>
      <c r="I37" s="8"/>
      <c r="J37" s="7">
        <f t="shared" si="0"/>
        <v>4.0091823908653513E-6</v>
      </c>
      <c r="K37" s="7">
        <f t="shared" si="4"/>
        <v>1337.3960817463883</v>
      </c>
      <c r="L37" s="8"/>
      <c r="M37" s="7">
        <f t="shared" si="5"/>
        <v>6.2222971215932063E-4</v>
      </c>
      <c r="N37" s="7">
        <f t="shared" si="1"/>
        <v>1337.3960817463883</v>
      </c>
      <c r="O37" s="8"/>
      <c r="P37" s="7">
        <f t="shared" si="2"/>
        <v>5.2193778366431721E-3</v>
      </c>
      <c r="Q37" s="7">
        <f t="shared" si="3"/>
        <v>1342.6853811644517</v>
      </c>
      <c r="R37" s="8"/>
      <c r="S37" s="7">
        <f t="shared" si="6"/>
        <v>1.979396281084182E-3</v>
      </c>
      <c r="T37" s="7">
        <f t="shared" si="7"/>
        <v>1337.3960817463883</v>
      </c>
      <c r="U37" s="8"/>
      <c r="V37" s="7">
        <f t="shared" si="8"/>
        <v>3.4333353666345215E-4</v>
      </c>
      <c r="W37" s="7">
        <f t="shared" si="9"/>
        <v>1337.3960817463883</v>
      </c>
      <c r="X37" s="8"/>
      <c r="Y37" s="7">
        <f t="shared" si="10"/>
        <v>1.2111174396450711E-3</v>
      </c>
      <c r="Z37" s="7">
        <f t="shared" si="11"/>
        <v>1337.3960817463883</v>
      </c>
      <c r="AA37" s="8"/>
    </row>
    <row r="38" spans="1:27" ht="15.4" x14ac:dyDescent="0.4">
      <c r="A38" s="2">
        <v>0.35</v>
      </c>
      <c r="B38" s="2">
        <v>0.42620000000000002</v>
      </c>
      <c r="C38" s="2">
        <v>0.32893832248207</v>
      </c>
      <c r="D38" s="2">
        <v>0.2535714285714285</v>
      </c>
      <c r="E38" s="2">
        <v>0.30831146865581027</v>
      </c>
      <c r="F38" s="2">
        <v>0.33638313809671394</v>
      </c>
      <c r="G38" s="2">
        <v>0.29917962603531401</v>
      </c>
      <c r="I38" s="8"/>
      <c r="J38" s="7">
        <f t="shared" si="0"/>
        <v>5.8064400000000073E-3</v>
      </c>
      <c r="K38" s="7">
        <f t="shared" si="4"/>
        <v>1337.3960817463883</v>
      </c>
      <c r="L38" s="8"/>
      <c r="M38" s="7">
        <f t="shared" si="5"/>
        <v>4.4359425986927704E-4</v>
      </c>
      <c r="N38" s="7">
        <f t="shared" si="1"/>
        <v>1337.3960817463883</v>
      </c>
      <c r="O38" s="8"/>
      <c r="P38" s="7">
        <f t="shared" si="2"/>
        <v>9.2984693877551112E-3</v>
      </c>
      <c r="Q38" s="7">
        <f t="shared" si="3"/>
        <v>1344.45824815029</v>
      </c>
      <c r="R38" s="8"/>
      <c r="S38" s="7">
        <f t="shared" si="6"/>
        <v>1.7379336456354874E-3</v>
      </c>
      <c r="T38" s="7">
        <f t="shared" si="7"/>
        <v>1337.3960817463883</v>
      </c>
      <c r="U38" s="8"/>
      <c r="V38" s="7">
        <f t="shared" si="8"/>
        <v>1.8541892809316264E-4</v>
      </c>
      <c r="W38" s="7">
        <f t="shared" si="9"/>
        <v>1337.3960817463883</v>
      </c>
      <c r="X38" s="8"/>
      <c r="Y38" s="7">
        <f t="shared" si="10"/>
        <v>2.5827104099105319E-3</v>
      </c>
      <c r="Z38" s="7">
        <f t="shared" si="11"/>
        <v>1337.3960817463883</v>
      </c>
      <c r="AA38" s="8"/>
    </row>
    <row r="39" spans="1:27" ht="15.4" x14ac:dyDescent="0.4">
      <c r="A39" s="2">
        <v>0.36</v>
      </c>
      <c r="B39" s="2">
        <v>0.43859999999999999</v>
      </c>
      <c r="C39" s="2">
        <v>0.367237352747805</v>
      </c>
      <c r="D39" s="2">
        <v>0.26545454545454533</v>
      </c>
      <c r="E39" s="2">
        <v>0.33484207684693607</v>
      </c>
      <c r="F39" s="2">
        <v>0.38668645877549568</v>
      </c>
      <c r="G39" s="2">
        <v>0.3307428648364843</v>
      </c>
      <c r="I39" s="8"/>
      <c r="J39" s="7">
        <f t="shared" si="0"/>
        <v>6.1779600000000006E-3</v>
      </c>
      <c r="K39" s="7">
        <f t="shared" si="4"/>
        <v>1336.6647732198464</v>
      </c>
      <c r="L39" s="8"/>
      <c r="M39" s="7">
        <f t="shared" si="5"/>
        <v>5.2379274796160796E-5</v>
      </c>
      <c r="N39" s="7">
        <f t="shared" si="1"/>
        <v>1336.6647732198464</v>
      </c>
      <c r="O39" s="8"/>
      <c r="P39" s="7">
        <f t="shared" si="2"/>
        <v>8.9388429752066314E-3</v>
      </c>
      <c r="Q39" s="7">
        <f t="shared" si="3"/>
        <v>1343.5869563137655</v>
      </c>
      <c r="R39" s="8"/>
      <c r="S39" s="7">
        <f t="shared" si="6"/>
        <v>6.3292109737546971E-4</v>
      </c>
      <c r="T39" s="7">
        <f t="shared" si="7"/>
        <v>1336.6647732198464</v>
      </c>
      <c r="U39" s="8"/>
      <c r="V39" s="7">
        <f t="shared" si="8"/>
        <v>7.1216708197623102E-4</v>
      </c>
      <c r="W39" s="7">
        <f t="shared" si="9"/>
        <v>1336.6647732198464</v>
      </c>
      <c r="X39" s="8"/>
      <c r="Y39" s="7">
        <f t="shared" si="10"/>
        <v>8.5597995797622633E-4</v>
      </c>
      <c r="Z39" s="7">
        <f t="shared" si="11"/>
        <v>1336.6647732198464</v>
      </c>
      <c r="AA39" s="8"/>
    </row>
    <row r="40" spans="1:27" ht="15.4" x14ac:dyDescent="0.4">
      <c r="A40" s="2">
        <v>0.36199999999999999</v>
      </c>
      <c r="B40" s="2">
        <v>0.37330000000000002</v>
      </c>
      <c r="C40" s="2">
        <v>0.35060000000000002</v>
      </c>
      <c r="D40" s="2">
        <v>0.3259043085677174</v>
      </c>
      <c r="E40" s="2">
        <v>0.33502760027192391</v>
      </c>
      <c r="F40" s="2">
        <v>0.32953276397933162</v>
      </c>
      <c r="G40" s="2">
        <v>0.32716974156845929</v>
      </c>
      <c r="I40" s="8"/>
      <c r="J40" s="7">
        <f t="shared" si="0"/>
        <v>1.2769000000000072E-4</v>
      </c>
      <c r="K40" s="7">
        <f t="shared" si="4"/>
        <v>1336.5185355145377</v>
      </c>
      <c r="L40" s="8"/>
      <c r="M40" s="7">
        <f t="shared" si="5"/>
        <v>1.2995999999999922E-4</v>
      </c>
      <c r="N40" s="7">
        <f t="shared" si="1"/>
        <v>1336.5185355145377</v>
      </c>
      <c r="O40" s="8"/>
      <c r="P40" s="7">
        <f t="shared" si="2"/>
        <v>1.3028989399745583E-3</v>
      </c>
      <c r="Q40" s="7">
        <f t="shared" si="3"/>
        <v>1339.1590417653842</v>
      </c>
      <c r="R40" s="8"/>
      <c r="S40" s="7">
        <f t="shared" si="6"/>
        <v>7.2751034709111855E-4</v>
      </c>
      <c r="T40" s="7">
        <f t="shared" si="7"/>
        <v>1336.5185355145377</v>
      </c>
      <c r="U40" s="8"/>
      <c r="V40" s="7">
        <f t="shared" si="8"/>
        <v>1.0541214148217855E-3</v>
      </c>
      <c r="W40" s="7">
        <f t="shared" si="9"/>
        <v>1336.5185355145377</v>
      </c>
      <c r="X40" s="8"/>
      <c r="Y40" s="7">
        <f t="shared" si="10"/>
        <v>1.2131469024079116E-3</v>
      </c>
      <c r="Z40" s="7">
        <f t="shared" si="11"/>
        <v>1336.5185355145377</v>
      </c>
      <c r="AA40" s="8"/>
    </row>
    <row r="41" spans="1:27" ht="15.4" x14ac:dyDescent="0.4">
      <c r="A41" s="2">
        <v>0.373</v>
      </c>
      <c r="B41" s="2">
        <v>0.42620000000000002</v>
      </c>
      <c r="C41" s="2">
        <v>0.37125679069936901</v>
      </c>
      <c r="D41" s="2">
        <v>0.31378261048978379</v>
      </c>
      <c r="E41" s="2">
        <v>0.36131093323951097</v>
      </c>
      <c r="F41" s="2">
        <v>0.36667144239407973</v>
      </c>
      <c r="G41" s="2">
        <v>0.34241640382368477</v>
      </c>
      <c r="I41" s="8"/>
      <c r="J41" s="7">
        <f t="shared" si="0"/>
        <v>2.8302400000000025E-3</v>
      </c>
      <c r="K41" s="7">
        <f t="shared" si="4"/>
        <v>1335.7143711353417</v>
      </c>
      <c r="L41" s="8"/>
      <c r="M41" s="7">
        <f t="shared" si="5"/>
        <v>3.0387786658063779E-6</v>
      </c>
      <c r="N41" s="7">
        <f t="shared" si="1"/>
        <v>1335.7143711353417</v>
      </c>
      <c r="O41" s="8"/>
      <c r="P41" s="7">
        <f t="shared" si="2"/>
        <v>3.5066992204046648E-3</v>
      </c>
      <c r="Q41" s="7">
        <f t="shared" si="3"/>
        <v>1340.0463641953786</v>
      </c>
      <c r="R41" s="8"/>
      <c r="S41" s="7">
        <f t="shared" si="6"/>
        <v>1.3663428173116951E-4</v>
      </c>
      <c r="T41" s="7">
        <f t="shared" si="7"/>
        <v>1335.7143711353417</v>
      </c>
      <c r="U41" s="8"/>
      <c r="V41" s="7">
        <f t="shared" si="8"/>
        <v>4.0050641371451308E-5</v>
      </c>
      <c r="W41" s="7">
        <f t="shared" si="9"/>
        <v>1335.7143711353417</v>
      </c>
      <c r="X41" s="8"/>
      <c r="Y41" s="7">
        <f t="shared" si="10"/>
        <v>9.3535635507592356E-4</v>
      </c>
      <c r="Z41" s="7">
        <f t="shared" si="11"/>
        <v>1335.7143711353417</v>
      </c>
      <c r="AA41" s="8"/>
    </row>
    <row r="42" spans="1:27" ht="15.4" x14ac:dyDescent="0.4">
      <c r="A42" s="2">
        <v>0.374</v>
      </c>
      <c r="B42" s="2">
        <v>0.33900000000000002</v>
      </c>
      <c r="C42" s="2">
        <v>0.18878695644298901</v>
      </c>
      <c r="D42" s="2">
        <v>0.17862969004893961</v>
      </c>
      <c r="E42" s="2">
        <v>0.18590137645329413</v>
      </c>
      <c r="F42" s="2">
        <v>0.18484174466924091</v>
      </c>
      <c r="G42" s="2">
        <v>0.18227882586459926</v>
      </c>
      <c r="I42" s="8"/>
      <c r="J42" s="7">
        <f t="shared" si="0"/>
        <v>1.2249999999999982E-3</v>
      </c>
      <c r="K42" s="7">
        <f t="shared" si="4"/>
        <v>1335.641277282687</v>
      </c>
      <c r="L42" s="8"/>
      <c r="M42" s="7">
        <f t="shared" si="5"/>
        <v>3.4303871503651252E-2</v>
      </c>
      <c r="N42" s="7">
        <f t="shared" si="1"/>
        <v>1335.641277282687</v>
      </c>
      <c r="O42" s="8"/>
      <c r="P42" s="7">
        <f t="shared" si="2"/>
        <v>3.8169558010373403E-2</v>
      </c>
      <c r="Q42" s="7">
        <f t="shared" si="3"/>
        <v>1349.959620118959</v>
      </c>
      <c r="R42" s="8"/>
      <c r="S42" s="7">
        <f t="shared" si="6"/>
        <v>3.5381092180165372E-2</v>
      </c>
      <c r="T42" s="7">
        <f t="shared" si="7"/>
        <v>1335.641277282687</v>
      </c>
      <c r="U42" s="8"/>
      <c r="V42" s="7">
        <f t="shared" si="8"/>
        <v>3.5780845559776647E-2</v>
      </c>
      <c r="W42" s="7">
        <f t="shared" si="9"/>
        <v>1335.641277282687</v>
      </c>
      <c r="X42" s="8"/>
      <c r="Y42" s="7">
        <f t="shared" si="10"/>
        <v>3.6757008611856656E-2</v>
      </c>
      <c r="Z42" s="7">
        <f t="shared" si="11"/>
        <v>1335.641277282687</v>
      </c>
      <c r="AA42" s="8"/>
    </row>
    <row r="43" spans="1:27" ht="15.4" x14ac:dyDescent="0.4">
      <c r="A43" s="2">
        <v>0.40100000000000002</v>
      </c>
      <c r="B43" s="2">
        <v>0.37480000000000002</v>
      </c>
      <c r="C43" s="2">
        <v>0.42238556009104</v>
      </c>
      <c r="D43" s="2">
        <v>0.28867046155317228</v>
      </c>
      <c r="E43" s="2">
        <v>0.38467757905493372</v>
      </c>
      <c r="F43" s="2">
        <v>0.4487146980103634</v>
      </c>
      <c r="G43" s="2">
        <v>0.36506021884599987</v>
      </c>
      <c r="I43" s="8"/>
      <c r="J43" s="7">
        <f t="shared" si="0"/>
        <v>6.8644000000000008E-4</v>
      </c>
      <c r="K43" s="7">
        <f t="shared" si="4"/>
        <v>1333.6684992610233</v>
      </c>
      <c r="L43" s="8"/>
      <c r="M43" s="7">
        <f t="shared" si="5"/>
        <v>4.5734218040748188E-4</v>
      </c>
      <c r="N43" s="7">
        <f t="shared" si="1"/>
        <v>1333.6684992610233</v>
      </c>
      <c r="O43" s="8"/>
      <c r="P43" s="7">
        <f t="shared" si="2"/>
        <v>1.2617925207677353E-2</v>
      </c>
      <c r="Q43" s="7">
        <f t="shared" si="3"/>
        <v>1341.8855377935649</v>
      </c>
      <c r="R43" s="8"/>
      <c r="S43" s="7">
        <f t="shared" si="6"/>
        <v>2.664214255079393E-4</v>
      </c>
      <c r="T43" s="7">
        <f t="shared" si="7"/>
        <v>1333.6684992610233</v>
      </c>
      <c r="U43" s="8"/>
      <c r="V43" s="7">
        <f t="shared" si="8"/>
        <v>2.276692406220175E-3</v>
      </c>
      <c r="W43" s="7">
        <f t="shared" si="9"/>
        <v>1333.6684992610233</v>
      </c>
      <c r="X43" s="8"/>
      <c r="Y43" s="7">
        <f t="shared" si="10"/>
        <v>1.2916678693974243E-3</v>
      </c>
      <c r="Z43" s="7">
        <f t="shared" si="11"/>
        <v>1333.6684992610233</v>
      </c>
      <c r="AA43" s="8"/>
    </row>
    <row r="44" spans="1:27" ht="15.4" x14ac:dyDescent="0.4">
      <c r="A44" s="2">
        <v>0.41499999999999998</v>
      </c>
      <c r="B44" s="2">
        <v>0.37722685272329315</v>
      </c>
      <c r="C44" s="2">
        <v>0.3337563903745</v>
      </c>
      <c r="D44" s="2">
        <v>0.28296043349628713</v>
      </c>
      <c r="E44" s="2">
        <v>0.30863321582706377</v>
      </c>
      <c r="F44" s="2">
        <v>0.34906809563393709</v>
      </c>
      <c r="G44" s="2">
        <v>0.33205625138086953</v>
      </c>
      <c r="I44" s="8"/>
      <c r="J44" s="7">
        <f t="shared" si="0"/>
        <v>1.4268106551877846E-3</v>
      </c>
      <c r="K44" s="7">
        <f t="shared" si="4"/>
        <v>1332.6461513238646</v>
      </c>
      <c r="L44" s="8"/>
      <c r="M44" s="7">
        <f t="shared" si="5"/>
        <v>6.6005241049806327E-3</v>
      </c>
      <c r="N44" s="7">
        <f t="shared" si="1"/>
        <v>1332.6461513238646</v>
      </c>
      <c r="O44" s="8"/>
      <c r="P44" s="7">
        <f t="shared" si="2"/>
        <v>1.7434447122488407E-2</v>
      </c>
      <c r="Q44" s="7">
        <f t="shared" si="3"/>
        <v>1342.3039071055161</v>
      </c>
      <c r="R44" s="8"/>
      <c r="S44" s="7">
        <f t="shared" si="6"/>
        <v>1.1313892775291993E-2</v>
      </c>
      <c r="T44" s="7">
        <f t="shared" si="7"/>
        <v>1332.6461513238646</v>
      </c>
      <c r="U44" s="8"/>
      <c r="V44" s="7">
        <f t="shared" si="8"/>
        <v>4.3470160133356629E-3</v>
      </c>
      <c r="W44" s="7">
        <f t="shared" si="9"/>
        <v>1332.6461513238646</v>
      </c>
      <c r="X44" s="8"/>
      <c r="Y44" s="7">
        <f t="shared" si="10"/>
        <v>6.8796654349935048E-3</v>
      </c>
      <c r="Z44" s="7">
        <f t="shared" si="11"/>
        <v>1332.6461513238646</v>
      </c>
      <c r="AA44" s="8"/>
    </row>
    <row r="45" spans="1:27" ht="15.4" x14ac:dyDescent="0.4">
      <c r="A45" s="2">
        <v>0.42699999999999999</v>
      </c>
      <c r="B45" s="2">
        <v>0.42058029900842497</v>
      </c>
      <c r="C45" s="2">
        <v>0.37359999999999999</v>
      </c>
      <c r="D45" s="2">
        <v>0.35748659453831971</v>
      </c>
      <c r="E45" s="2">
        <v>0.37252921867085093</v>
      </c>
      <c r="F45" s="2">
        <v>0.36605032937159893</v>
      </c>
      <c r="G45" s="2">
        <v>0.36160843733231351</v>
      </c>
      <c r="I45" s="8"/>
      <c r="J45" s="7">
        <f t="shared" si="0"/>
        <v>4.1212560821229257E-5</v>
      </c>
      <c r="K45" s="7">
        <f t="shared" si="4"/>
        <v>1331.7701650920139</v>
      </c>
      <c r="L45" s="8"/>
      <c r="M45" s="7">
        <f t="shared" si="5"/>
        <v>2.8515600000000004E-3</v>
      </c>
      <c r="N45" s="7">
        <f t="shared" si="1"/>
        <v>1331.7701650920139</v>
      </c>
      <c r="O45" s="8"/>
      <c r="P45" s="7">
        <f t="shared" si="2"/>
        <v>4.8321135388799613E-3</v>
      </c>
      <c r="Q45" s="7">
        <f t="shared" si="3"/>
        <v>1336.848561887477</v>
      </c>
      <c r="R45" s="8"/>
      <c r="S45" s="7">
        <f t="shared" si="6"/>
        <v>2.9670660186079745E-3</v>
      </c>
      <c r="T45" s="7">
        <f t="shared" si="7"/>
        <v>1331.7701650920139</v>
      </c>
      <c r="U45" s="8"/>
      <c r="V45" s="7">
        <f t="shared" si="8"/>
        <v>3.7148623497105754E-3</v>
      </c>
      <c r="W45" s="7">
        <f t="shared" si="9"/>
        <v>1331.7701650920139</v>
      </c>
      <c r="X45" s="8"/>
      <c r="Y45" s="7">
        <f t="shared" si="10"/>
        <v>4.2760564681219677E-3</v>
      </c>
      <c r="Z45" s="7">
        <f t="shared" si="11"/>
        <v>1331.7701650920139</v>
      </c>
      <c r="AA45" s="8"/>
    </row>
    <row r="46" spans="1:27" ht="15.4" x14ac:dyDescent="0.4">
      <c r="A46" s="2">
        <v>0.45</v>
      </c>
      <c r="B46" s="2">
        <v>0.57289999999999996</v>
      </c>
      <c r="C46" s="2">
        <v>0.27404352464052401</v>
      </c>
      <c r="D46" s="2">
        <v>0.24855714406176241</v>
      </c>
      <c r="E46" s="2">
        <v>0.26644496175590288</v>
      </c>
      <c r="F46" s="2">
        <v>0.27048543086970395</v>
      </c>
      <c r="G46" s="2">
        <v>0.26273449217671135</v>
      </c>
      <c r="I46" s="8"/>
      <c r="J46" s="7">
        <f t="shared" si="0"/>
        <v>1.5104409999999988E-2</v>
      </c>
      <c r="K46" s="7">
        <f t="shared" si="4"/>
        <v>1330.0919964809668</v>
      </c>
      <c r="L46" s="8"/>
      <c r="M46" s="7">
        <f t="shared" si="5"/>
        <v>3.0960681220929886E-2</v>
      </c>
      <c r="N46" s="7">
        <f t="shared" si="1"/>
        <v>1330.0919964809668</v>
      </c>
      <c r="O46" s="8"/>
      <c r="P46" s="7">
        <f t="shared" si="2"/>
        <v>4.0579224208553547E-2</v>
      </c>
      <c r="Q46" s="7">
        <f t="shared" si="3"/>
        <v>1344.8259893784107</v>
      </c>
      <c r="R46" s="8"/>
      <c r="S46" s="7">
        <f t="shared" si="6"/>
        <v>3.3692452064791961E-2</v>
      </c>
      <c r="T46" s="7">
        <f t="shared" si="7"/>
        <v>1330.0919964809668</v>
      </c>
      <c r="U46" s="8"/>
      <c r="V46" s="7">
        <f t="shared" si="8"/>
        <v>3.2225480530035842E-2</v>
      </c>
      <c r="W46" s="7">
        <f t="shared" si="9"/>
        <v>1330.0919964809668</v>
      </c>
      <c r="X46" s="8"/>
      <c r="Y46" s="7">
        <f t="shared" si="10"/>
        <v>3.5068370420314188E-2</v>
      </c>
      <c r="Z46" s="7">
        <f t="shared" si="11"/>
        <v>1330.0919964809668</v>
      </c>
      <c r="AA46" s="8"/>
    </row>
    <row r="47" spans="1:27" ht="15.4" x14ac:dyDescent="0.4">
      <c r="A47" s="2">
        <v>0.45</v>
      </c>
      <c r="B47" s="2">
        <v>0.30309999999999998</v>
      </c>
      <c r="C47" s="2">
        <v>0.60215992142814001</v>
      </c>
      <c r="D47" s="2">
        <v>0.25499999999999995</v>
      </c>
      <c r="E47" s="2">
        <v>0.43640172746485345</v>
      </c>
      <c r="F47" s="2">
        <v>0.87377176270931922</v>
      </c>
      <c r="G47" s="2">
        <v>0.45460269270375242</v>
      </c>
      <c r="I47" s="8"/>
      <c r="J47" s="7">
        <f t="shared" si="0"/>
        <v>2.1579610000000009E-2</v>
      </c>
      <c r="K47" s="7">
        <f t="shared" si="4"/>
        <v>1330.0919964809668</v>
      </c>
      <c r="L47" s="8"/>
      <c r="M47" s="7">
        <f t="shared" si="5"/>
        <v>2.3152641689017737E-2</v>
      </c>
      <c r="N47" s="7">
        <f t="shared" si="1"/>
        <v>1330.0919964809668</v>
      </c>
      <c r="O47" s="8"/>
      <c r="P47" s="7">
        <f t="shared" si="2"/>
        <v>3.8025000000000024E-2</v>
      </c>
      <c r="Q47" s="7">
        <f t="shared" si="3"/>
        <v>1344.3534877485388</v>
      </c>
      <c r="R47" s="8"/>
      <c r="S47" s="7">
        <f t="shared" si="6"/>
        <v>1.8491301594012128E-4</v>
      </c>
      <c r="T47" s="7">
        <f t="shared" si="7"/>
        <v>1330.0919964809668</v>
      </c>
      <c r="U47" s="8"/>
      <c r="V47" s="7">
        <f t="shared" si="8"/>
        <v>0.17958250686976354</v>
      </c>
      <c r="W47" s="7">
        <f t="shared" si="9"/>
        <v>1330.0919964809668</v>
      </c>
      <c r="X47" s="8"/>
      <c r="Y47" s="7">
        <f t="shared" si="10"/>
        <v>2.118478012517566E-5</v>
      </c>
      <c r="Z47" s="7">
        <f t="shared" si="11"/>
        <v>1330.0919964809668</v>
      </c>
      <c r="AA47" s="8"/>
    </row>
    <row r="48" spans="1:27" ht="15.4" x14ac:dyDescent="0.4">
      <c r="A48" s="2">
        <v>0.45100000000000001</v>
      </c>
      <c r="B48" s="2">
        <v>0.44075142521208999</v>
      </c>
      <c r="C48" s="2">
        <v>0.37359999999999999</v>
      </c>
      <c r="D48" s="2">
        <v>0.36052739017286217</v>
      </c>
      <c r="E48" s="2">
        <v>0.37252921867085093</v>
      </c>
      <c r="F48" s="2">
        <v>0.36605032937159893</v>
      </c>
      <c r="G48" s="2">
        <v>0.36271727720156727</v>
      </c>
      <c r="I48" s="8"/>
      <c r="J48" s="7">
        <f t="shared" si="0"/>
        <v>1.0503328518338501E-4</v>
      </c>
      <c r="K48" s="7">
        <f t="shared" si="4"/>
        <v>1330.0190566283127</v>
      </c>
      <c r="L48" s="8"/>
      <c r="M48" s="7">
        <f t="shared" si="5"/>
        <v>5.9907600000000038E-3</v>
      </c>
      <c r="N48" s="7">
        <f t="shared" si="1"/>
        <v>1330.0190566283127</v>
      </c>
      <c r="O48" s="8"/>
      <c r="P48" s="7">
        <f t="shared" si="2"/>
        <v>8.1852931289335181E-3</v>
      </c>
      <c r="Q48" s="7">
        <f t="shared" si="3"/>
        <v>1336.6262102788655</v>
      </c>
      <c r="R48" s="8"/>
      <c r="S48" s="7">
        <f t="shared" si="6"/>
        <v>6.157663522407133E-3</v>
      </c>
      <c r="T48" s="7">
        <f t="shared" si="7"/>
        <v>1330.0190566283127</v>
      </c>
      <c r="U48" s="8"/>
      <c r="V48" s="7">
        <f t="shared" si="8"/>
        <v>7.2164465398738302E-3</v>
      </c>
      <c r="W48" s="7">
        <f t="shared" si="9"/>
        <v>1330.0190566283127</v>
      </c>
      <c r="X48" s="8"/>
      <c r="Y48" s="7">
        <f t="shared" si="10"/>
        <v>7.7938391447049168E-3</v>
      </c>
      <c r="Z48" s="7">
        <f t="shared" si="11"/>
        <v>1330.0190566283127</v>
      </c>
      <c r="AA48" s="8"/>
    </row>
    <row r="49" spans="1:27" ht="15.4" x14ac:dyDescent="0.4">
      <c r="A49" s="2">
        <v>0.45400000000000001</v>
      </c>
      <c r="B49" s="2">
        <v>0.43655360762921203</v>
      </c>
      <c r="C49" s="2">
        <v>0.37359999999999999</v>
      </c>
      <c r="D49" s="2">
        <v>0.36089006636731541</v>
      </c>
      <c r="E49" s="2">
        <v>0.37252921867085093</v>
      </c>
      <c r="F49" s="2">
        <v>0.36605032937159893</v>
      </c>
      <c r="G49" s="2">
        <v>0.36284082814757962</v>
      </c>
      <c r="I49" s="8"/>
      <c r="J49" s="7">
        <f t="shared" si="0"/>
        <v>3.0437660675548936E-4</v>
      </c>
      <c r="K49" s="7">
        <f t="shared" si="4"/>
        <v>1329.80024907035</v>
      </c>
      <c r="L49" s="8"/>
      <c r="M49" s="7">
        <f t="shared" si="5"/>
        <v>6.4641600000000044E-3</v>
      </c>
      <c r="N49" s="7">
        <f t="shared" si="1"/>
        <v>1329.80024907035</v>
      </c>
      <c r="O49" s="8"/>
      <c r="P49" s="7">
        <f t="shared" si="2"/>
        <v>8.669459741082932E-3</v>
      </c>
      <c r="Q49" s="7">
        <f t="shared" si="3"/>
        <v>1336.5996916003674</v>
      </c>
      <c r="R49" s="8"/>
      <c r="S49" s="7">
        <f t="shared" si="6"/>
        <v>6.6374882103820282E-3</v>
      </c>
      <c r="T49" s="7">
        <f t="shared" si="7"/>
        <v>1329.80024907035</v>
      </c>
      <c r="U49" s="8"/>
      <c r="V49" s="7">
        <f t="shared" si="8"/>
        <v>7.7351445636442374E-3</v>
      </c>
      <c r="W49" s="7">
        <f t="shared" si="9"/>
        <v>1329.80024907035</v>
      </c>
      <c r="X49" s="8"/>
      <c r="Y49" s="7">
        <f t="shared" si="10"/>
        <v>8.3099946128191143E-3</v>
      </c>
      <c r="Z49" s="7">
        <f t="shared" si="11"/>
        <v>1329.80024907035</v>
      </c>
      <c r="AA49" s="8"/>
    </row>
    <row r="50" spans="1:27" ht="15.4" x14ac:dyDescent="0.4">
      <c r="A50" s="2">
        <v>0.45500000000000002</v>
      </c>
      <c r="B50" s="2">
        <v>0.5746</v>
      </c>
      <c r="C50" s="2">
        <v>0.488636047855603</v>
      </c>
      <c r="D50" s="2">
        <v>0.41223320535005115</v>
      </c>
      <c r="E50" s="2">
        <v>0.47521690178230747</v>
      </c>
      <c r="F50" s="2">
        <v>0.48238003416014563</v>
      </c>
      <c r="G50" s="2">
        <v>0.45023678622309649</v>
      </c>
      <c r="I50" s="8"/>
      <c r="J50" s="7">
        <f t="shared" si="0"/>
        <v>1.4304159999999996E-2</v>
      </c>
      <c r="K50" s="7">
        <f t="shared" si="4"/>
        <v>1329.7273172176961</v>
      </c>
      <c r="L50" s="8"/>
      <c r="M50" s="7">
        <f t="shared" si="5"/>
        <v>1.1313837153444138E-3</v>
      </c>
      <c r="N50" s="7">
        <f t="shared" si="1"/>
        <v>1329.7273172176961</v>
      </c>
      <c r="O50" s="8"/>
      <c r="P50" s="7">
        <f t="shared" si="2"/>
        <v>1.8289987246308953E-3</v>
      </c>
      <c r="Q50" s="7">
        <f t="shared" si="3"/>
        <v>1332.8481650155293</v>
      </c>
      <c r="R50" s="8"/>
      <c r="S50" s="7">
        <f t="shared" si="6"/>
        <v>4.0872311767546616E-4</v>
      </c>
      <c r="T50" s="7">
        <f t="shared" si="7"/>
        <v>1329.7273172176961</v>
      </c>
      <c r="U50" s="8"/>
      <c r="V50" s="7">
        <f t="shared" si="8"/>
        <v>7.4966627061074092E-4</v>
      </c>
      <c r="W50" s="7">
        <f t="shared" si="9"/>
        <v>1329.7273172176961</v>
      </c>
      <c r="X50" s="8"/>
      <c r="Y50" s="7">
        <f t="shared" si="10"/>
        <v>2.2688205484483589E-5</v>
      </c>
      <c r="Z50" s="7">
        <f t="shared" si="11"/>
        <v>1329.7273172176961</v>
      </c>
      <c r="AA50" s="8"/>
    </row>
    <row r="51" spans="1:27" ht="15.4" x14ac:dyDescent="0.4">
      <c r="A51" s="2">
        <v>0.45700000000000002</v>
      </c>
      <c r="B51" s="2">
        <v>0.6603843520012076</v>
      </c>
      <c r="C51" s="2">
        <v>0.498418914839107</v>
      </c>
      <c r="D51" s="2">
        <v>0.39283847353512169</v>
      </c>
      <c r="E51" s="2">
        <v>0.4472010541646439</v>
      </c>
      <c r="F51" s="2">
        <v>0.53415402052037997</v>
      </c>
      <c r="G51" s="2">
        <v>0.49109923627328445</v>
      </c>
      <c r="I51" s="8"/>
      <c r="J51" s="7">
        <f t="shared" si="0"/>
        <v>4.1365194638951108E-2</v>
      </c>
      <c r="K51" s="7">
        <f t="shared" si="4"/>
        <v>1329.5814595123875</v>
      </c>
      <c r="L51" s="8"/>
      <c r="M51" s="7">
        <f t="shared" si="5"/>
        <v>1.7155265064491964E-3</v>
      </c>
      <c r="N51" s="7">
        <f t="shared" si="1"/>
        <v>1329.5814595123875</v>
      </c>
      <c r="O51" s="8"/>
      <c r="P51" s="7">
        <f t="shared" si="2"/>
        <v>4.1167014783032819E-3</v>
      </c>
      <c r="Q51" s="7">
        <f t="shared" si="3"/>
        <v>1334.2646744004394</v>
      </c>
      <c r="R51" s="8"/>
      <c r="S51" s="7">
        <f t="shared" si="6"/>
        <v>9.6019339484243062E-5</v>
      </c>
      <c r="T51" s="7">
        <f t="shared" si="7"/>
        <v>1329.5814595123875</v>
      </c>
      <c r="U51" s="8"/>
      <c r="V51" s="7">
        <f t="shared" si="8"/>
        <v>5.9527428824592103E-3</v>
      </c>
      <c r="W51" s="7">
        <f t="shared" si="9"/>
        <v>1329.5814595123875</v>
      </c>
      <c r="X51" s="8"/>
      <c r="Y51" s="7">
        <f t="shared" si="10"/>
        <v>1.1627579144212765E-3</v>
      </c>
      <c r="Z51" s="7">
        <f t="shared" si="11"/>
        <v>1329.5814595123875</v>
      </c>
      <c r="AA51" s="8"/>
    </row>
    <row r="52" spans="1:27" ht="15.4" x14ac:dyDescent="0.4">
      <c r="A52" s="2">
        <v>0.46400000000000002</v>
      </c>
      <c r="B52" s="2">
        <v>0.46079999999999999</v>
      </c>
      <c r="C52" s="2">
        <v>0.498</v>
      </c>
      <c r="D52" s="2">
        <v>0.34532599418434801</v>
      </c>
      <c r="E52" s="2">
        <v>0.36625282672914339</v>
      </c>
      <c r="F52" s="2">
        <v>0.36129750906602565</v>
      </c>
      <c r="G52" s="2">
        <v>0.35399189791344671</v>
      </c>
      <c r="I52" s="8"/>
      <c r="J52" s="7">
        <f t="shared" si="0"/>
        <v>1.0240000000000231E-5</v>
      </c>
      <c r="K52" s="7">
        <f t="shared" si="4"/>
        <v>1329.0710205438081</v>
      </c>
      <c r="L52" s="8"/>
      <c r="M52" s="7">
        <f t="shared" si="5"/>
        <v>1.1559999999999982E-3</v>
      </c>
      <c r="N52" s="7">
        <f t="shared" si="1"/>
        <v>1329.0710205438081</v>
      </c>
      <c r="O52" s="8"/>
      <c r="P52" s="7">
        <f t="shared" si="2"/>
        <v>1.4083519656333409E-2</v>
      </c>
      <c r="Q52" s="7">
        <f t="shared" si="3"/>
        <v>1337.7379643633863</v>
      </c>
      <c r="R52" s="8"/>
      <c r="S52" s="7">
        <f t="shared" si="6"/>
        <v>9.5545098824428697E-3</v>
      </c>
      <c r="T52" s="7">
        <f t="shared" si="7"/>
        <v>1329.0710205438081</v>
      </c>
      <c r="U52" s="8"/>
      <c r="V52" s="7">
        <f t="shared" si="8"/>
        <v>1.0547801644043089E-2</v>
      </c>
      <c r="W52" s="7">
        <f t="shared" si="9"/>
        <v>1329.0710205438081</v>
      </c>
      <c r="X52" s="8"/>
      <c r="Y52" s="7">
        <f t="shared" si="10"/>
        <v>1.2101782524685537E-2</v>
      </c>
      <c r="Z52" s="7">
        <f t="shared" si="11"/>
        <v>1329.0710205438081</v>
      </c>
      <c r="AA52" s="8"/>
    </row>
    <row r="53" spans="1:27" ht="15.4" x14ac:dyDescent="0.4">
      <c r="A53" s="2">
        <v>0.47</v>
      </c>
      <c r="B53" s="2">
        <v>0.39610000000000001</v>
      </c>
      <c r="C53" s="2">
        <v>0.56452733109667297</v>
      </c>
      <c r="D53" s="2">
        <v>0.31697525981416547</v>
      </c>
      <c r="E53" s="2">
        <v>0.47155669498762465</v>
      </c>
      <c r="F53" s="2">
        <v>0.66666845508335248</v>
      </c>
      <c r="G53" s="2">
        <v>0.46402212756750538</v>
      </c>
      <c r="I53" s="8"/>
      <c r="J53" s="7">
        <f t="shared" si="0"/>
        <v>5.461209999999995E-3</v>
      </c>
      <c r="K53" s="7">
        <f t="shared" si="4"/>
        <v>1328.6335794278828</v>
      </c>
      <c r="L53" s="8"/>
      <c r="M53" s="7">
        <f t="shared" si="5"/>
        <v>8.9354163242600423E-3</v>
      </c>
      <c r="N53" s="7">
        <f t="shared" si="1"/>
        <v>1328.6335794278828</v>
      </c>
      <c r="O53" s="8"/>
      <c r="P53" s="7">
        <f t="shared" si="2"/>
        <v>2.3416571108942155E-2</v>
      </c>
      <c r="Q53" s="7">
        <f t="shared" si="3"/>
        <v>1339.8126300357287</v>
      </c>
      <c r="R53" s="8"/>
      <c r="S53" s="7">
        <f t="shared" si="6"/>
        <v>2.4232992844957833E-6</v>
      </c>
      <c r="T53" s="7">
        <f t="shared" si="7"/>
        <v>1328.6335794278828</v>
      </c>
      <c r="U53" s="8"/>
      <c r="V53" s="7">
        <f t="shared" si="8"/>
        <v>3.8678481224872642E-2</v>
      </c>
      <c r="W53" s="7">
        <f t="shared" si="9"/>
        <v>1328.6335794278828</v>
      </c>
      <c r="X53" s="8"/>
      <c r="Y53" s="7">
        <f t="shared" si="10"/>
        <v>3.5734958819178798E-5</v>
      </c>
      <c r="Z53" s="7">
        <f t="shared" si="11"/>
        <v>1328.6335794278828</v>
      </c>
      <c r="AA53" s="8"/>
    </row>
    <row r="54" spans="1:27" ht="15.4" x14ac:dyDescent="0.4">
      <c r="A54" s="2">
        <v>0.47020833333333334</v>
      </c>
      <c r="B54" s="2">
        <v>0.3629</v>
      </c>
      <c r="C54" s="2">
        <v>0.71251492664702298</v>
      </c>
      <c r="D54" s="2">
        <v>0.34393513121083602</v>
      </c>
      <c r="E54" s="2">
        <v>0.57343392870377241</v>
      </c>
      <c r="F54" s="2">
        <v>0.88757948085854199</v>
      </c>
      <c r="G54" s="2">
        <v>0.52699710351367046</v>
      </c>
      <c r="I54" s="8"/>
      <c r="J54" s="7">
        <f t="shared" si="0"/>
        <v>1.151507840277778E-2</v>
      </c>
      <c r="K54" s="7">
        <f t="shared" si="4"/>
        <v>1328.6183917936494</v>
      </c>
      <c r="L54" s="8"/>
      <c r="M54" s="7">
        <f t="shared" si="5"/>
        <v>5.8712485163285789E-2</v>
      </c>
      <c r="N54" s="7">
        <f t="shared" si="1"/>
        <v>1328.6183917936494</v>
      </c>
      <c r="O54" s="8"/>
      <c r="P54" s="7">
        <f t="shared" si="2"/>
        <v>1.594492157426906E-2</v>
      </c>
      <c r="Q54" s="7">
        <f t="shared" si="3"/>
        <v>1337.8397082034974</v>
      </c>
      <c r="R54" s="8"/>
      <c r="S54" s="7">
        <f t="shared" si="6"/>
        <v>1.0655523539581612E-2</v>
      </c>
      <c r="T54" s="7">
        <f t="shared" si="7"/>
        <v>1328.6183917936494</v>
      </c>
      <c r="U54" s="8"/>
      <c r="V54" s="7">
        <f t="shared" si="8"/>
        <v>0.17419867478650949</v>
      </c>
      <c r="W54" s="7">
        <f t="shared" si="9"/>
        <v>1328.6183917936494</v>
      </c>
      <c r="X54" s="8"/>
      <c r="Y54" s="7">
        <f t="shared" si="10"/>
        <v>3.2249644185951467E-3</v>
      </c>
      <c r="Z54" s="7">
        <f t="shared" si="11"/>
        <v>1328.6183917936494</v>
      </c>
      <c r="AA54" s="8"/>
    </row>
    <row r="55" spans="1:27" ht="15.4" x14ac:dyDescent="0.4">
      <c r="A55" s="2">
        <v>0.47299999999999998</v>
      </c>
      <c r="B55" s="2">
        <v>0.3821</v>
      </c>
      <c r="C55" s="2">
        <v>0.24799026520578199</v>
      </c>
      <c r="D55" s="2">
        <v>0.24500094951461088</v>
      </c>
      <c r="E55" s="2">
        <v>0.24688507787341307</v>
      </c>
      <c r="F55" s="2">
        <v>0.24235054660331723</v>
      </c>
      <c r="G55" s="2">
        <v>0.2418981563349063</v>
      </c>
      <c r="I55" s="8"/>
      <c r="J55" s="7">
        <f t="shared" si="0"/>
        <v>8.2628099999999972E-3</v>
      </c>
      <c r="K55" s="7">
        <f t="shared" si="4"/>
        <v>1328.4148858699202</v>
      </c>
      <c r="L55" s="8"/>
      <c r="M55" s="7">
        <f t="shared" si="5"/>
        <v>5.0629380752164312E-2</v>
      </c>
      <c r="N55" s="7">
        <f t="shared" si="1"/>
        <v>1328.4148858699202</v>
      </c>
      <c r="O55" s="8"/>
      <c r="P55" s="7">
        <f t="shared" si="2"/>
        <v>5.1983567022239004E-2</v>
      </c>
      <c r="Q55" s="7">
        <f t="shared" si="3"/>
        <v>1345.0868266273756</v>
      </c>
      <c r="R55" s="8"/>
      <c r="S55" s="7">
        <f t="shared" si="6"/>
        <v>5.1127958008312463E-2</v>
      </c>
      <c r="T55" s="7">
        <f t="shared" si="7"/>
        <v>1328.4148858699202</v>
      </c>
      <c r="U55" s="8"/>
      <c r="V55" s="7">
        <f t="shared" si="8"/>
        <v>5.3199170352188525E-2</v>
      </c>
      <c r="W55" s="7">
        <f t="shared" si="9"/>
        <v>1328.4148858699202</v>
      </c>
      <c r="X55" s="8"/>
      <c r="Y55" s="7">
        <f t="shared" si="10"/>
        <v>5.3408062145405395E-2</v>
      </c>
      <c r="Z55" s="7">
        <f t="shared" si="11"/>
        <v>1328.4148858699202</v>
      </c>
      <c r="AA55" s="8"/>
    </row>
    <row r="56" spans="1:27" ht="15.4" x14ac:dyDescent="0.4">
      <c r="A56" s="2">
        <v>0.47399999999999998</v>
      </c>
      <c r="B56" s="2">
        <v>0.40710000000000002</v>
      </c>
      <c r="C56" s="2">
        <v>0.35091415519276897</v>
      </c>
      <c r="D56" s="2">
        <v>0.26355560654803695</v>
      </c>
      <c r="E56" s="2">
        <v>0.32768432436475609</v>
      </c>
      <c r="F56" s="2">
        <v>0.36026753359920166</v>
      </c>
      <c r="G56" s="2">
        <v>0.31459631858007342</v>
      </c>
      <c r="I56" s="8"/>
      <c r="J56" s="7">
        <f t="shared" si="0"/>
        <v>4.4756099999999945E-3</v>
      </c>
      <c r="K56" s="7">
        <f t="shared" si="4"/>
        <v>1328.341992017266</v>
      </c>
      <c r="L56" s="8"/>
      <c r="M56" s="7">
        <f t="shared" si="5"/>
        <v>1.5150125191909756E-2</v>
      </c>
      <c r="N56" s="7">
        <f t="shared" si="1"/>
        <v>1328.341992017266</v>
      </c>
      <c r="O56" s="8"/>
      <c r="P56" s="7">
        <f t="shared" si="2"/>
        <v>4.4286842735364623E-2</v>
      </c>
      <c r="Q56" s="7">
        <f t="shared" si="3"/>
        <v>1343.7261710238006</v>
      </c>
      <c r="R56" s="8"/>
      <c r="S56" s="7">
        <f t="shared" si="6"/>
        <v>2.1408276936597904E-2</v>
      </c>
      <c r="T56" s="7">
        <f t="shared" si="7"/>
        <v>1328.341992017266</v>
      </c>
      <c r="U56" s="8"/>
      <c r="V56" s="7">
        <f t="shared" si="8"/>
        <v>1.2935073913608718E-2</v>
      </c>
      <c r="W56" s="7">
        <f t="shared" si="9"/>
        <v>1328.341992017266</v>
      </c>
      <c r="X56" s="8"/>
      <c r="Y56" s="7">
        <f t="shared" si="10"/>
        <v>2.5409533650225438E-2</v>
      </c>
      <c r="Z56" s="7">
        <f t="shared" si="11"/>
        <v>1328.341992017266</v>
      </c>
      <c r="AA56" s="8"/>
    </row>
    <row r="57" spans="1:27" ht="15.4" x14ac:dyDescent="0.4">
      <c r="A57" s="2">
        <v>0.499</v>
      </c>
      <c r="B57" s="2">
        <v>0.52390000000000003</v>
      </c>
      <c r="C57" s="2">
        <v>0.52453981458492505</v>
      </c>
      <c r="D57" s="2">
        <v>0.36007503066091656</v>
      </c>
      <c r="E57" s="2">
        <v>0.47257470204780405</v>
      </c>
      <c r="F57" s="2">
        <v>0.56210216128599266</v>
      </c>
      <c r="G57" s="2">
        <v>0.46188822253614548</v>
      </c>
      <c r="I57" s="8"/>
      <c r="J57" s="7">
        <f t="shared" si="0"/>
        <v>6.2001000000000168E-4</v>
      </c>
      <c r="K57" s="7">
        <f t="shared" si="4"/>
        <v>1326.5202957009103</v>
      </c>
      <c r="L57" s="8"/>
      <c r="M57" s="7">
        <f t="shared" si="5"/>
        <v>6.5228212903235014E-4</v>
      </c>
      <c r="N57" s="7">
        <f t="shared" si="1"/>
        <v>1326.5202957009103</v>
      </c>
      <c r="O57" s="8"/>
      <c r="P57" s="7">
        <f t="shared" si="2"/>
        <v>1.9300147105865272E-2</v>
      </c>
      <c r="Q57" s="7">
        <f t="shared" si="3"/>
        <v>1336.6592869195745</v>
      </c>
      <c r="R57" s="8"/>
      <c r="S57" s="7">
        <f t="shared" si="6"/>
        <v>6.9829637186233134E-4</v>
      </c>
      <c r="T57" s="7">
        <f t="shared" si="7"/>
        <v>1326.5202957009103</v>
      </c>
      <c r="U57" s="8"/>
      <c r="V57" s="7">
        <f t="shared" si="8"/>
        <v>3.9818827589634311E-3</v>
      </c>
      <c r="W57" s="7">
        <f t="shared" si="9"/>
        <v>1326.5202957009103</v>
      </c>
      <c r="X57" s="8"/>
      <c r="Y57" s="7">
        <f t="shared" si="10"/>
        <v>1.3772840265266605E-3</v>
      </c>
      <c r="Z57" s="7">
        <f t="shared" si="11"/>
        <v>1326.5202957009103</v>
      </c>
      <c r="AA57" s="8"/>
    </row>
    <row r="58" spans="1:27" ht="15.4" x14ac:dyDescent="0.4">
      <c r="A58" s="2">
        <v>0.51400000000000001</v>
      </c>
      <c r="B58" s="2">
        <v>0.83609999999999995</v>
      </c>
      <c r="C58" s="2">
        <v>0.28616205852805698</v>
      </c>
      <c r="D58" s="2">
        <v>0.27604889457896153</v>
      </c>
      <c r="E58" s="2">
        <v>0.28047945387854323</v>
      </c>
      <c r="F58" s="2">
        <v>0.28071874682521131</v>
      </c>
      <c r="G58" s="2">
        <v>0.27917033896677335</v>
      </c>
      <c r="I58" s="8"/>
      <c r="J58" s="7">
        <f t="shared" si="0"/>
        <v>0.10374840999999996</v>
      </c>
      <c r="K58" s="7">
        <f t="shared" si="4"/>
        <v>1325.4278779110971</v>
      </c>
      <c r="L58" s="8"/>
      <c r="M58" s="7">
        <f t="shared" si="5"/>
        <v>5.1910127574172536E-2</v>
      </c>
      <c r="N58" s="7">
        <f t="shared" si="1"/>
        <v>1325.4278779110971</v>
      </c>
      <c r="O58" s="8"/>
      <c r="P58" s="7">
        <f t="shared" si="2"/>
        <v>5.6620728571094167E-2</v>
      </c>
      <c r="Q58" s="7">
        <f t="shared" si="3"/>
        <v>1342.8103974175979</v>
      </c>
      <c r="R58" s="8"/>
      <c r="S58" s="7">
        <f t="shared" si="6"/>
        <v>5.4531845460863426E-2</v>
      </c>
      <c r="T58" s="7">
        <f t="shared" si="7"/>
        <v>1325.4278779110971</v>
      </c>
      <c r="U58" s="8"/>
      <c r="V58" s="7">
        <f t="shared" si="8"/>
        <v>5.4420143082799868E-2</v>
      </c>
      <c r="W58" s="7">
        <f t="shared" si="9"/>
        <v>1325.4278779110971</v>
      </c>
      <c r="X58" s="8"/>
      <c r="Y58" s="7">
        <f t="shared" si="10"/>
        <v>5.5144969700980137E-2</v>
      </c>
      <c r="Z58" s="7">
        <f t="shared" si="11"/>
        <v>1325.4278779110971</v>
      </c>
      <c r="AA58" s="8"/>
    </row>
    <row r="59" spans="1:27" ht="15.4" x14ac:dyDescent="0.4">
      <c r="A59" s="2">
        <v>0.51500000000000001</v>
      </c>
      <c r="B59" s="2">
        <v>0.48013206410805997</v>
      </c>
      <c r="C59" s="2">
        <v>0.49130000000000001</v>
      </c>
      <c r="D59" s="2">
        <v>0.39302033999705055</v>
      </c>
      <c r="E59" s="2">
        <v>0.47385976814843223</v>
      </c>
      <c r="F59" s="2">
        <v>0.49098895933692988</v>
      </c>
      <c r="G59" s="2">
        <v>0.44259316896740725</v>
      </c>
      <c r="I59" s="8"/>
      <c r="J59" s="7">
        <f t="shared" si="0"/>
        <v>1.2157729533644403E-3</v>
      </c>
      <c r="K59" s="7">
        <f t="shared" si="4"/>
        <v>1325.3550660584431</v>
      </c>
      <c r="L59" s="8"/>
      <c r="M59" s="7">
        <f t="shared" si="5"/>
        <v>5.6169E-4</v>
      </c>
      <c r="N59" s="7">
        <f t="shared" si="1"/>
        <v>1325.3550660584431</v>
      </c>
      <c r="O59" s="8"/>
      <c r="P59" s="7">
        <f t="shared" si="2"/>
        <v>1.4879037454435149E-2</v>
      </c>
      <c r="Q59" s="7">
        <f t="shared" si="3"/>
        <v>1334.2513881471834</v>
      </c>
      <c r="R59" s="8"/>
      <c r="S59" s="7">
        <f t="shared" si="6"/>
        <v>1.6925186768007527E-3</v>
      </c>
      <c r="T59" s="7">
        <f t="shared" si="7"/>
        <v>1325.3550660584431</v>
      </c>
      <c r="U59" s="8"/>
      <c r="V59" s="7">
        <f t="shared" si="8"/>
        <v>5.7653007372360763E-4</v>
      </c>
      <c r="W59" s="7">
        <f t="shared" si="9"/>
        <v>1325.3550660584431</v>
      </c>
      <c r="X59" s="8"/>
      <c r="Y59" s="7">
        <f t="shared" si="10"/>
        <v>5.242749180182439E-3</v>
      </c>
      <c r="Z59" s="7">
        <f t="shared" si="11"/>
        <v>1325.3550660584431</v>
      </c>
      <c r="AA59" s="8"/>
    </row>
    <row r="60" spans="1:27" ht="15.4" x14ac:dyDescent="0.4">
      <c r="A60" s="2">
        <v>0.53</v>
      </c>
      <c r="B60" s="2">
        <v>0.595075487910804</v>
      </c>
      <c r="C60" s="2">
        <v>0.42349999999999999</v>
      </c>
      <c r="D60" s="2">
        <v>0.38911245334445643</v>
      </c>
      <c r="E60" s="2">
        <v>0.41682123344413069</v>
      </c>
      <c r="F60" s="2">
        <v>0.41468837095658911</v>
      </c>
      <c r="G60" s="2">
        <v>0.40392646028644275</v>
      </c>
      <c r="I60" s="8"/>
      <c r="J60" s="7">
        <f t="shared" si="0"/>
        <v>4.2348191268291946E-3</v>
      </c>
      <c r="K60" s="7">
        <f t="shared" si="4"/>
        <v>1324.2631282686298</v>
      </c>
      <c r="L60" s="8"/>
      <c r="M60" s="7">
        <f t="shared" si="5"/>
        <v>1.1342250000000009E-2</v>
      </c>
      <c r="N60" s="7">
        <f t="shared" si="1"/>
        <v>1324.2631282686298</v>
      </c>
      <c r="O60" s="8"/>
      <c r="P60" s="7">
        <f t="shared" si="2"/>
        <v>1.9849300802617972E-2</v>
      </c>
      <c r="Q60" s="7">
        <f t="shared" si="3"/>
        <v>1334.5368933433831</v>
      </c>
      <c r="R60" s="8"/>
      <c r="S60" s="7">
        <f t="shared" si="6"/>
        <v>1.2809433199107968E-2</v>
      </c>
      <c r="T60" s="7">
        <f t="shared" si="7"/>
        <v>1324.2631282686298</v>
      </c>
      <c r="U60" s="8"/>
      <c r="V60" s="7">
        <f t="shared" si="8"/>
        <v>1.3296771792645207E-2</v>
      </c>
      <c r="W60" s="7">
        <f t="shared" si="9"/>
        <v>1324.2631282686298</v>
      </c>
      <c r="X60" s="8"/>
      <c r="Y60" s="7">
        <f t="shared" si="10"/>
        <v>1.5894537415905904E-2</v>
      </c>
      <c r="Z60" s="7">
        <f t="shared" si="11"/>
        <v>1324.2631282686298</v>
      </c>
      <c r="AA60" s="8"/>
    </row>
    <row r="61" spans="1:27" ht="15.4" x14ac:dyDescent="0.4">
      <c r="A61" s="2">
        <v>0.53300000000000003</v>
      </c>
      <c r="B61" s="2">
        <v>0.55960167353843104</v>
      </c>
      <c r="C61" s="2">
        <v>0.40440371404338399</v>
      </c>
      <c r="D61" s="2">
        <v>0.31480787094145785</v>
      </c>
      <c r="E61" s="2">
        <v>0.35888968834021284</v>
      </c>
      <c r="F61" s="2">
        <v>0.43860086893077044</v>
      </c>
      <c r="G61" s="2">
        <v>0.40167321056620431</v>
      </c>
      <c r="I61" s="8"/>
      <c r="J61" s="7">
        <f t="shared" si="0"/>
        <v>7.0764903504526083E-4</v>
      </c>
      <c r="K61" s="7">
        <f t="shared" si="4"/>
        <v>1324.044794710667</v>
      </c>
      <c r="L61" s="8"/>
      <c r="M61" s="7">
        <f t="shared" si="5"/>
        <v>1.6537004761835766E-2</v>
      </c>
      <c r="N61" s="7">
        <f t="shared" si="1"/>
        <v>1324.044794710667</v>
      </c>
      <c r="O61" s="8"/>
      <c r="P61" s="7">
        <f t="shared" si="2"/>
        <v>4.7607805183099532E-2</v>
      </c>
      <c r="Q61" s="7">
        <f t="shared" si="3"/>
        <v>1339.9713025583951</v>
      </c>
      <c r="R61" s="8"/>
      <c r="S61" s="7">
        <f t="shared" si="6"/>
        <v>3.0314400626268227E-2</v>
      </c>
      <c r="T61" s="7">
        <f t="shared" si="7"/>
        <v>1324.044794710667</v>
      </c>
      <c r="U61" s="8"/>
      <c r="V61" s="7">
        <f t="shared" si="8"/>
        <v>8.9111959466255872E-3</v>
      </c>
      <c r="W61" s="7">
        <f t="shared" si="9"/>
        <v>1324.044794710667</v>
      </c>
      <c r="X61" s="8"/>
      <c r="Y61" s="7">
        <f t="shared" si="10"/>
        <v>1.7246725622988519E-2</v>
      </c>
      <c r="Z61" s="7">
        <f t="shared" si="11"/>
        <v>1324.044794710667</v>
      </c>
      <c r="AA61" s="8"/>
    </row>
    <row r="62" spans="1:27" ht="15.4" x14ac:dyDescent="0.4">
      <c r="A62" s="2">
        <v>0.53600000000000003</v>
      </c>
      <c r="B62" s="2">
        <v>0.58171540154845403</v>
      </c>
      <c r="C62" s="2">
        <v>0.42349999999999999</v>
      </c>
      <c r="D62" s="2">
        <v>0.38993831831712589</v>
      </c>
      <c r="E62" s="2">
        <v>0.41682123344413069</v>
      </c>
      <c r="F62" s="2">
        <v>0.41468837095658911</v>
      </c>
      <c r="G62" s="2">
        <v>0.40431505255334987</v>
      </c>
      <c r="I62" s="8"/>
      <c r="J62" s="7">
        <f t="shared" si="0"/>
        <v>2.0898979387363897E-3</v>
      </c>
      <c r="K62" s="7">
        <f t="shared" si="4"/>
        <v>1323.8264791527045</v>
      </c>
      <c r="L62" s="8"/>
      <c r="M62" s="7">
        <f t="shared" si="5"/>
        <v>1.265625000000001E-2</v>
      </c>
      <c r="N62" s="7">
        <f t="shared" si="1"/>
        <v>1323.8264791527045</v>
      </c>
      <c r="O62" s="8"/>
      <c r="P62" s="7">
        <f t="shared" si="2"/>
        <v>2.1334014856029253E-2</v>
      </c>
      <c r="Q62" s="7">
        <f t="shared" si="3"/>
        <v>1334.4765541603683</v>
      </c>
      <c r="R62" s="8"/>
      <c r="S62" s="7">
        <f t="shared" si="6"/>
        <v>1.42035783977784E-2</v>
      </c>
      <c r="T62" s="7">
        <f t="shared" si="7"/>
        <v>1323.8264791527045</v>
      </c>
      <c r="U62" s="8"/>
      <c r="V62" s="7">
        <f t="shared" si="8"/>
        <v>1.4716511341166139E-2</v>
      </c>
      <c r="W62" s="7">
        <f t="shared" si="9"/>
        <v>1323.8264791527045</v>
      </c>
      <c r="X62" s="8"/>
      <c r="Y62" s="7">
        <f t="shared" si="10"/>
        <v>1.7340925384027015E-2</v>
      </c>
      <c r="Z62" s="7">
        <f t="shared" si="11"/>
        <v>1323.8264791527045</v>
      </c>
      <c r="AA62" s="8"/>
    </row>
    <row r="63" spans="1:27" ht="15.4" x14ac:dyDescent="0.4">
      <c r="A63" s="2">
        <v>0.55000000000000004</v>
      </c>
      <c r="B63" s="2">
        <v>0.60072503117531439</v>
      </c>
      <c r="C63" s="2">
        <v>0.43082251531240201</v>
      </c>
      <c r="D63" s="2">
        <v>0.32919573586131051</v>
      </c>
      <c r="E63" s="2">
        <v>0.3711257913722128</v>
      </c>
      <c r="F63" s="2">
        <v>0.4910238388998529</v>
      </c>
      <c r="G63" s="2">
        <v>0.44907789840980666</v>
      </c>
      <c r="I63" s="8"/>
      <c r="J63" s="7">
        <f t="shared" si="0"/>
        <v>2.5730287877366127E-3</v>
      </c>
      <c r="K63" s="7">
        <f t="shared" si="4"/>
        <v>1322.8079112155458</v>
      </c>
      <c r="L63" s="8"/>
      <c r="M63" s="7">
        <f t="shared" si="5"/>
        <v>1.4203272856462664E-2</v>
      </c>
      <c r="N63" s="7">
        <f t="shared" si="1"/>
        <v>1322.8079112155458</v>
      </c>
      <c r="O63" s="8"/>
      <c r="P63" s="7">
        <f t="shared" si="2"/>
        <v>4.8754523061828176E-2</v>
      </c>
      <c r="Q63" s="7">
        <f t="shared" si="3"/>
        <v>1338.918156181742</v>
      </c>
      <c r="R63" s="8"/>
      <c r="S63" s="7">
        <f t="shared" si="6"/>
        <v>3.1995982512217157E-2</v>
      </c>
      <c r="T63" s="7">
        <f t="shared" si="7"/>
        <v>1322.8079112155458</v>
      </c>
      <c r="U63" s="8"/>
      <c r="V63" s="7">
        <f t="shared" si="8"/>
        <v>3.4781875781105089E-3</v>
      </c>
      <c r="W63" s="7">
        <f t="shared" si="9"/>
        <v>1322.8079112155458</v>
      </c>
      <c r="X63" s="8"/>
      <c r="Y63" s="7">
        <f t="shared" si="10"/>
        <v>1.0185270589381313E-2</v>
      </c>
      <c r="Z63" s="7">
        <f t="shared" si="11"/>
        <v>1322.8079112155458</v>
      </c>
      <c r="AA63" s="8"/>
    </row>
    <row r="64" spans="1:27" ht="15.4" x14ac:dyDescent="0.4">
      <c r="A64" s="2">
        <v>0.56200000000000006</v>
      </c>
      <c r="B64" s="2">
        <v>0.82230000000000003</v>
      </c>
      <c r="C64" s="2">
        <v>0.42318754621141402</v>
      </c>
      <c r="D64" s="2">
        <v>0.28972480599401107</v>
      </c>
      <c r="E64" s="2">
        <v>0.34779383694363314</v>
      </c>
      <c r="F64" s="2">
        <v>0.50129733048944813</v>
      </c>
      <c r="G64" s="2">
        <v>0.42972157719978432</v>
      </c>
      <c r="I64" s="8"/>
      <c r="J64" s="7">
        <f t="shared" si="0"/>
        <v>6.7756089999999991E-2</v>
      </c>
      <c r="K64" s="7">
        <f t="shared" si="4"/>
        <v>1321.9351649836951</v>
      </c>
      <c r="L64" s="8"/>
      <c r="M64" s="7">
        <f t="shared" si="5"/>
        <v>1.9268897326808334E-2</v>
      </c>
      <c r="N64" s="7">
        <f t="shared" si="1"/>
        <v>1321.9351649836951</v>
      </c>
      <c r="O64" s="8"/>
      <c r="P64" s="7">
        <f t="shared" si="2"/>
        <v>7.4133781270998941E-2</v>
      </c>
      <c r="Q64" s="7">
        <f t="shared" si="3"/>
        <v>1341.808293928897</v>
      </c>
      <c r="R64" s="8"/>
      <c r="S64" s="7">
        <f t="shared" si="6"/>
        <v>4.5884280291330848E-2</v>
      </c>
      <c r="T64" s="7">
        <f t="shared" si="7"/>
        <v>1321.9351649836951</v>
      </c>
      <c r="U64" s="8"/>
      <c r="V64" s="7">
        <f t="shared" si="8"/>
        <v>3.6848140857072896E-3</v>
      </c>
      <c r="W64" s="7">
        <f t="shared" si="9"/>
        <v>1321.9351649836951</v>
      </c>
      <c r="X64" s="8"/>
      <c r="Y64" s="7">
        <f t="shared" si="10"/>
        <v>1.7497581138512634E-2</v>
      </c>
      <c r="Z64" s="7">
        <f t="shared" si="11"/>
        <v>1321.9351649836951</v>
      </c>
      <c r="AA64" s="8"/>
    </row>
    <row r="65" spans="1:27" ht="15.4" x14ac:dyDescent="0.4">
      <c r="A65" s="2">
        <v>0.56599999999999995</v>
      </c>
      <c r="B65" s="2">
        <v>0.57999999999999996</v>
      </c>
      <c r="C65" s="2">
        <v>0.74029999999999996</v>
      </c>
      <c r="D65" s="2">
        <v>0.36957697615067719</v>
      </c>
      <c r="E65" s="2">
        <v>0.40630308667092951</v>
      </c>
      <c r="F65" s="2">
        <v>0.41086932838147949</v>
      </c>
      <c r="G65" s="2">
        <v>0.39416369270304452</v>
      </c>
      <c r="I65" s="8"/>
      <c r="J65" s="7">
        <f t="shared" si="0"/>
        <v>1.9600000000000035E-4</v>
      </c>
      <c r="K65" s="7">
        <f t="shared" si="4"/>
        <v>1321.6443135730779</v>
      </c>
      <c r="L65" s="8"/>
      <c r="M65" s="7">
        <f t="shared" si="5"/>
        <v>3.0380490000000003E-2</v>
      </c>
      <c r="N65" s="7">
        <f t="shared" si="1"/>
        <v>1321.6443135730779</v>
      </c>
      <c r="O65" s="8"/>
      <c r="P65" s="7">
        <f t="shared" si="2"/>
        <v>3.8582004298111615E-2</v>
      </c>
      <c r="Q65" s="7">
        <f t="shared" si="3"/>
        <v>1335.9645882763321</v>
      </c>
      <c r="R65" s="8"/>
      <c r="S65" s="7">
        <f t="shared" si="6"/>
        <v>2.5503104126832633E-2</v>
      </c>
      <c r="T65" s="7">
        <f t="shared" si="7"/>
        <v>1321.6443135730779</v>
      </c>
      <c r="U65" s="8"/>
      <c r="V65" s="7">
        <f t="shared" si="8"/>
        <v>2.4065525276813229E-2</v>
      </c>
      <c r="W65" s="7">
        <f t="shared" si="9"/>
        <v>1321.6443135730779</v>
      </c>
      <c r="X65" s="8"/>
      <c r="Y65" s="7">
        <f t="shared" si="10"/>
        <v>2.9527716505453695E-2</v>
      </c>
      <c r="Z65" s="7">
        <f t="shared" si="11"/>
        <v>1321.6443135730779</v>
      </c>
      <c r="AA65" s="8"/>
    </row>
    <row r="66" spans="1:27" ht="15.4" x14ac:dyDescent="0.4">
      <c r="A66" s="2">
        <v>0.57599999999999996</v>
      </c>
      <c r="B66" s="2">
        <v>0.53362512116458105</v>
      </c>
      <c r="C66" s="2">
        <v>0.42349999999999999</v>
      </c>
      <c r="D66" s="2">
        <v>0.38221571050668107</v>
      </c>
      <c r="E66" s="2">
        <v>0.41682123344413069</v>
      </c>
      <c r="F66" s="2">
        <v>0.41468837095658911</v>
      </c>
      <c r="G66" s="2">
        <v>0.40047328903239154</v>
      </c>
      <c r="I66" s="8"/>
      <c r="J66" s="7">
        <f t="shared" ref="J66:J129" si="12">(B66-A66)^2</f>
        <v>1.7956303563164331E-3</v>
      </c>
      <c r="K66" s="7">
        <f t="shared" si="4"/>
        <v>1320.9173250465358</v>
      </c>
      <c r="L66" s="8"/>
      <c r="M66" s="7">
        <f t="shared" si="5"/>
        <v>2.3256249999999992E-2</v>
      </c>
      <c r="N66" s="7">
        <f t="shared" ref="N66:N129" si="13">(A66-$I$2)^2</f>
        <v>1320.9173250465358</v>
      </c>
      <c r="O66" s="8"/>
      <c r="P66" s="7">
        <f t="shared" ref="P66:P129" si="14">(D66-A66)^2</f>
        <v>3.755235085443042E-2</v>
      </c>
      <c r="Q66" s="7">
        <f t="shared" ref="Q66:Q129" si="15">(D66-$I$2)^2</f>
        <v>1335.0408350630721</v>
      </c>
      <c r="R66" s="8"/>
      <c r="S66" s="7">
        <f t="shared" si="6"/>
        <v>2.5337879722247925E-2</v>
      </c>
      <c r="T66" s="7">
        <f t="shared" si="7"/>
        <v>1320.9173250465358</v>
      </c>
      <c r="U66" s="8"/>
      <c r="V66" s="7">
        <f t="shared" si="8"/>
        <v>2.6021441664638989E-2</v>
      </c>
      <c r="W66" s="7">
        <f t="shared" si="9"/>
        <v>1320.9173250465358</v>
      </c>
      <c r="X66" s="8"/>
      <c r="Y66" s="7">
        <f t="shared" si="10"/>
        <v>3.0809626263106342E-2</v>
      </c>
      <c r="Z66" s="7">
        <f t="shared" si="11"/>
        <v>1320.9173250465358</v>
      </c>
      <c r="AA66" s="8"/>
    </row>
    <row r="67" spans="1:27" ht="15.4" x14ac:dyDescent="0.4">
      <c r="A67" s="2">
        <v>0.61596958174904948</v>
      </c>
      <c r="B67" s="2">
        <v>0.73099999999999998</v>
      </c>
      <c r="C67" s="2">
        <v>0.71250000000000002</v>
      </c>
      <c r="D67" s="2">
        <v>0.42439612026346574</v>
      </c>
      <c r="E67" s="2">
        <v>0.57343392870377241</v>
      </c>
      <c r="F67" s="2">
        <v>0.88757948085854199</v>
      </c>
      <c r="G67" s="2">
        <v>0.66742677723593768</v>
      </c>
      <c r="I67" s="8"/>
      <c r="J67" s="7">
        <f t="shared" si="12"/>
        <v>1.3231997122988608E-2</v>
      </c>
      <c r="K67" s="7">
        <f t="shared" ref="K67:K130" si="16">(A67-$I$2)^2</f>
        <v>1318.0135795755939</v>
      </c>
      <c r="L67" s="8"/>
      <c r="M67" s="7">
        <f t="shared" ref="M67:M130" si="17">(A67-C67)^2</f>
        <v>9.3181216477034468E-3</v>
      </c>
      <c r="N67" s="7">
        <f t="shared" si="13"/>
        <v>1318.0135795755939</v>
      </c>
      <c r="O67" s="8"/>
      <c r="P67" s="7">
        <f t="shared" si="14"/>
        <v>3.6700391145568438E-2</v>
      </c>
      <c r="Q67" s="7">
        <f t="shared" si="15"/>
        <v>1331.9602208588633</v>
      </c>
      <c r="R67" s="8"/>
      <c r="S67" s="7">
        <f t="shared" ref="S67:S130" si="18">(E67-A67)^2</f>
        <v>1.8092817799881882E-3</v>
      </c>
      <c r="T67" s="7">
        <f t="shared" ref="T67:T130" si="19">(A67-$I$2)^2</f>
        <v>1318.0135795755939</v>
      </c>
      <c r="U67" s="8"/>
      <c r="V67" s="7">
        <f t="shared" ref="V67:V130" si="20">(F67-A67)^2</f>
        <v>7.3771937294268702E-2</v>
      </c>
      <c r="W67" s="7">
        <f t="shared" ref="W67:W130" si="21">(A67-$I$2)^2</f>
        <v>1318.0135795755939</v>
      </c>
      <c r="X67" s="8"/>
      <c r="Y67" s="7">
        <f t="shared" ref="Y67:Y130" si="22">(G67-A67)^2</f>
        <v>2.647842967375828E-3</v>
      </c>
      <c r="Z67" s="7">
        <f t="shared" ref="Z67:Z130" si="23">(A67-$I$2)^2</f>
        <v>1318.0135795755939</v>
      </c>
      <c r="AA67" s="8"/>
    </row>
    <row r="68" spans="1:27" ht="15.4" x14ac:dyDescent="0.4">
      <c r="A68" s="2">
        <v>0.61719190000000002</v>
      </c>
      <c r="B68" s="2">
        <v>0.54579999999999995</v>
      </c>
      <c r="C68" s="2">
        <v>0.74610583488789595</v>
      </c>
      <c r="D68" s="2">
        <v>0.61719190000000013</v>
      </c>
      <c r="E68" s="2">
        <v>0.73712114176394505</v>
      </c>
      <c r="F68" s="2">
        <v>0.72874338276127704</v>
      </c>
      <c r="G68" s="2">
        <v>0.65861352297440479</v>
      </c>
      <c r="I68" s="8"/>
      <c r="J68" s="7">
        <f t="shared" si="12"/>
        <v>5.0968033856100088E-3</v>
      </c>
      <c r="K68" s="7">
        <f t="shared" si="16"/>
        <v>1317.9248298695143</v>
      </c>
      <c r="L68" s="8"/>
      <c r="M68" s="7">
        <f t="shared" si="17"/>
        <v>1.6618802608280671E-2</v>
      </c>
      <c r="N68" s="7">
        <f t="shared" si="13"/>
        <v>1317.9248298695143</v>
      </c>
      <c r="O68" s="8"/>
      <c r="P68" s="7">
        <f t="shared" si="14"/>
        <v>1.2325951644078309E-32</v>
      </c>
      <c r="Q68" s="7">
        <f t="shared" si="15"/>
        <v>1317.9248298695143</v>
      </c>
      <c r="R68" s="8"/>
      <c r="S68" s="7">
        <f t="shared" si="18"/>
        <v>1.4383023030074779E-2</v>
      </c>
      <c r="T68" s="7">
        <f t="shared" si="19"/>
        <v>1317.9248298695143</v>
      </c>
      <c r="U68" s="8"/>
      <c r="V68" s="7">
        <f t="shared" si="20"/>
        <v>1.2443733306239484E-2</v>
      </c>
      <c r="W68" s="7">
        <f t="shared" si="21"/>
        <v>1317.9248298695143</v>
      </c>
      <c r="X68" s="8"/>
      <c r="Y68" s="7">
        <f t="shared" si="22"/>
        <v>1.7157508498337371E-3</v>
      </c>
      <c r="Z68" s="7">
        <f t="shared" si="23"/>
        <v>1317.9248298695143</v>
      </c>
      <c r="AA68" s="8"/>
    </row>
    <row r="69" spans="1:27" ht="15.4" x14ac:dyDescent="0.4">
      <c r="A69" s="2">
        <v>0.621</v>
      </c>
      <c r="B69" s="2">
        <v>0.42009999999999997</v>
      </c>
      <c r="C69" s="2">
        <v>0.80558931013746105</v>
      </c>
      <c r="D69" s="2">
        <v>0.35116907513657492</v>
      </c>
      <c r="E69" s="2">
        <v>0.59233460544666316</v>
      </c>
      <c r="F69" s="2">
        <v>1.1537901471881093</v>
      </c>
      <c r="G69" s="2">
        <v>0.61907035503349062</v>
      </c>
      <c r="I69" s="8"/>
      <c r="J69" s="7">
        <f t="shared" si="12"/>
        <v>4.0360810000000011E-2</v>
      </c>
      <c r="K69" s="7">
        <f t="shared" si="16"/>
        <v>1317.6483516770961</v>
      </c>
      <c r="L69" s="8"/>
      <c r="M69" s="7">
        <f t="shared" si="17"/>
        <v>3.4073213417023782E-2</v>
      </c>
      <c r="N69" s="7">
        <f t="shared" si="13"/>
        <v>1317.6483516770961</v>
      </c>
      <c r="O69" s="8"/>
      <c r="P69" s="7">
        <f t="shared" si="14"/>
        <v>7.2808728012651355E-2</v>
      </c>
      <c r="Q69" s="7">
        <f t="shared" si="15"/>
        <v>1337.3105759608193</v>
      </c>
      <c r="R69" s="8"/>
      <c r="S69" s="7">
        <f t="shared" si="18"/>
        <v>8.2170484489847283E-4</v>
      </c>
      <c r="T69" s="7">
        <f t="shared" si="19"/>
        <v>1317.6483516770961</v>
      </c>
      <c r="U69" s="8"/>
      <c r="V69" s="7">
        <f t="shared" si="20"/>
        <v>0.28386534094072724</v>
      </c>
      <c r="W69" s="7">
        <f t="shared" si="21"/>
        <v>1317.6483516770961</v>
      </c>
      <c r="X69" s="8"/>
      <c r="Y69" s="7">
        <f t="shared" si="22"/>
        <v>3.7235296967749887E-6</v>
      </c>
      <c r="Z69" s="7">
        <f t="shared" si="23"/>
        <v>1317.6483516770961</v>
      </c>
      <c r="AA69" s="8"/>
    </row>
    <row r="70" spans="1:27" ht="15.4" x14ac:dyDescent="0.4">
      <c r="A70" s="2">
        <v>0.62338340000000003</v>
      </c>
      <c r="B70" s="2">
        <v>0.52869999999999995</v>
      </c>
      <c r="C70" s="2">
        <v>0.80169140012682905</v>
      </c>
      <c r="D70" s="2">
        <v>0.61965725217276824</v>
      </c>
      <c r="E70" s="2">
        <v>0.78460488846418719</v>
      </c>
      <c r="F70" s="2">
        <v>0.78733527075222032</v>
      </c>
      <c r="G70" s="2">
        <v>0.67803353283173096</v>
      </c>
      <c r="I70" s="8"/>
      <c r="J70" s="7">
        <f t="shared" si="12"/>
        <v>8.9649462355600156E-3</v>
      </c>
      <c r="K70" s="7">
        <f t="shared" si="16"/>
        <v>1317.4753252522758</v>
      </c>
      <c r="L70" s="8"/>
      <c r="M70" s="7">
        <f t="shared" si="17"/>
        <v>3.1793742909229254E-2</v>
      </c>
      <c r="N70" s="7">
        <f t="shared" si="13"/>
        <v>1317.4753252522758</v>
      </c>
      <c r="O70" s="8"/>
      <c r="P70" s="7">
        <f t="shared" si="14"/>
        <v>1.3884177630384234E-5</v>
      </c>
      <c r="Q70" s="7">
        <f t="shared" si="15"/>
        <v>1317.7458354317287</v>
      </c>
      <c r="R70" s="8"/>
      <c r="S70" s="7">
        <f t="shared" si="18"/>
        <v>2.5992368342608034E-2</v>
      </c>
      <c r="T70" s="7">
        <f t="shared" si="19"/>
        <v>1317.4753252522758</v>
      </c>
      <c r="U70" s="8"/>
      <c r="V70" s="7">
        <f t="shared" si="20"/>
        <v>2.6880215923152744E-2</v>
      </c>
      <c r="W70" s="7">
        <f t="shared" si="21"/>
        <v>1317.4753252522758</v>
      </c>
      <c r="X70" s="8"/>
      <c r="Y70" s="7">
        <f t="shared" si="22"/>
        <v>2.9866370185258344E-3</v>
      </c>
      <c r="Z70" s="7">
        <f t="shared" si="23"/>
        <v>1317.4753252522758</v>
      </c>
      <c r="AA70" s="8"/>
    </row>
    <row r="71" spans="1:27" ht="15.4" x14ac:dyDescent="0.4">
      <c r="A71" s="2">
        <v>0.62659809999999994</v>
      </c>
      <c r="B71" s="2">
        <v>0.51549999999999996</v>
      </c>
      <c r="C71" s="2">
        <v>0.86107291078584902</v>
      </c>
      <c r="D71" s="2">
        <v>0.62205803294601225</v>
      </c>
      <c r="E71" s="2">
        <v>0.83298168400646255</v>
      </c>
      <c r="F71" s="2">
        <v>0.85384493197830369</v>
      </c>
      <c r="G71" s="2">
        <v>0.69797978041073871</v>
      </c>
      <c r="I71" s="8"/>
      <c r="J71" s="7">
        <f t="shared" si="12"/>
        <v>1.2342787823609995E-2</v>
      </c>
      <c r="K71" s="7">
        <f t="shared" si="16"/>
        <v>1317.2419673787761</v>
      </c>
      <c r="L71" s="8"/>
      <c r="M71" s="7">
        <f t="shared" si="17"/>
        <v>5.4978436893059729E-2</v>
      </c>
      <c r="N71" s="7">
        <f t="shared" si="13"/>
        <v>1317.2419673787761</v>
      </c>
      <c r="O71" s="8"/>
      <c r="P71" s="7">
        <f t="shared" si="14"/>
        <v>2.061220885470441E-5</v>
      </c>
      <c r="Q71" s="7">
        <f t="shared" si="15"/>
        <v>1317.571540818579</v>
      </c>
      <c r="R71" s="8"/>
      <c r="S71" s="7">
        <f t="shared" si="18"/>
        <v>4.2594183747352611E-2</v>
      </c>
      <c r="T71" s="7">
        <f t="shared" si="19"/>
        <v>1317.2419673787761</v>
      </c>
      <c r="U71" s="8"/>
      <c r="V71" s="7">
        <f t="shared" si="20"/>
        <v>5.1641122644175419E-2</v>
      </c>
      <c r="W71" s="7">
        <f t="shared" si="21"/>
        <v>1317.2419673787761</v>
      </c>
      <c r="X71" s="8"/>
      <c r="Y71" s="7">
        <f t="shared" si="22"/>
        <v>5.0953442982608482E-3</v>
      </c>
      <c r="Z71" s="7">
        <f t="shared" si="23"/>
        <v>1317.2419673787761</v>
      </c>
      <c r="AA71" s="8"/>
    </row>
    <row r="72" spans="1:27" ht="15.4" x14ac:dyDescent="0.4">
      <c r="A72" s="2">
        <v>0.63800000000000001</v>
      </c>
      <c r="B72" s="2">
        <v>0.78521543868686405</v>
      </c>
      <c r="C72" s="2">
        <v>0.55581800270360304</v>
      </c>
      <c r="D72" s="2">
        <v>0.37100976941895258</v>
      </c>
      <c r="E72" s="2">
        <v>0.44403824285052435</v>
      </c>
      <c r="F72" s="2">
        <v>0.68261175222842385</v>
      </c>
      <c r="G72" s="2">
        <v>0.58055010516629091</v>
      </c>
      <c r="I72" s="8"/>
      <c r="J72" s="7">
        <f t="shared" si="12"/>
        <v>2.1672385387765825E-2</v>
      </c>
      <c r="K72" s="7">
        <f t="shared" si="16"/>
        <v>1316.4144601819748</v>
      </c>
      <c r="L72" s="8"/>
      <c r="M72" s="7">
        <f t="shared" si="17"/>
        <v>6.7538806796249989E-3</v>
      </c>
      <c r="N72" s="7">
        <f t="shared" si="13"/>
        <v>1316.4144601819748</v>
      </c>
      <c r="O72" s="8"/>
      <c r="P72" s="7">
        <f t="shared" si="14"/>
        <v>7.1283783225720876E-2</v>
      </c>
      <c r="Q72" s="7">
        <f t="shared" si="15"/>
        <v>1335.8598507074287</v>
      </c>
      <c r="R72" s="8"/>
      <c r="S72" s="7">
        <f t="shared" si="18"/>
        <v>3.7621163236512177E-2</v>
      </c>
      <c r="T72" s="7">
        <f t="shared" si="19"/>
        <v>1316.4144601819748</v>
      </c>
      <c r="U72" s="8"/>
      <c r="V72" s="7">
        <f t="shared" si="20"/>
        <v>1.9902084368902794E-3</v>
      </c>
      <c r="W72" s="7">
        <f t="shared" si="21"/>
        <v>1316.4144601819748</v>
      </c>
      <c r="X72" s="8"/>
      <c r="Y72" s="7">
        <f t="shared" si="22"/>
        <v>3.3004904164042359E-3</v>
      </c>
      <c r="Z72" s="7">
        <f t="shared" si="23"/>
        <v>1316.4144601819748</v>
      </c>
      <c r="AA72" s="8"/>
    </row>
    <row r="73" spans="1:27" ht="15.4" x14ac:dyDescent="0.4">
      <c r="A73" s="2">
        <v>0.64002420000000004</v>
      </c>
      <c r="B73" s="2">
        <v>0.48270000000000002</v>
      </c>
      <c r="C73" s="2">
        <v>1.04080824165667</v>
      </c>
      <c r="D73" s="2">
        <v>0.62818882746147331</v>
      </c>
      <c r="E73" s="2">
        <v>0.96714728303799324</v>
      </c>
      <c r="F73" s="2">
        <v>1.0745388037135841</v>
      </c>
      <c r="G73" s="2">
        <v>0.7531614433334004</v>
      </c>
      <c r="I73" s="8"/>
      <c r="J73" s="7">
        <f t="shared" si="12"/>
        <v>2.4750903905640009E-2</v>
      </c>
      <c r="K73" s="7">
        <f t="shared" si="16"/>
        <v>1316.2675785046176</v>
      </c>
      <c r="L73" s="8"/>
      <c r="M73" s="7">
        <f t="shared" si="17"/>
        <v>0.16062784804665534</v>
      </c>
      <c r="N73" s="7">
        <f t="shared" si="13"/>
        <v>1316.2675785046176</v>
      </c>
      <c r="O73" s="8"/>
      <c r="P73" s="7">
        <f t="shared" si="14"/>
        <v>1.4007604312571274E-4</v>
      </c>
      <c r="Q73" s="7">
        <f t="shared" si="15"/>
        <v>1317.1265027307045</v>
      </c>
      <c r="R73" s="8"/>
      <c r="S73" s="7">
        <f t="shared" si="18"/>
        <v>0.10700951145628179</v>
      </c>
      <c r="T73" s="7">
        <f t="shared" si="19"/>
        <v>1316.2675785046176</v>
      </c>
      <c r="U73" s="8"/>
      <c r="V73" s="7">
        <f t="shared" si="20"/>
        <v>0.18880294084037302</v>
      </c>
      <c r="W73" s="7">
        <f t="shared" si="21"/>
        <v>1316.2675785046176</v>
      </c>
      <c r="X73" s="8"/>
      <c r="Y73" s="7">
        <f t="shared" si="22"/>
        <v>1.2800035829081045E-2</v>
      </c>
      <c r="Z73" s="7">
        <f t="shared" si="23"/>
        <v>1316.2675785046176</v>
      </c>
      <c r="AA73" s="8"/>
    </row>
    <row r="74" spans="1:27" ht="15.4" x14ac:dyDescent="0.4">
      <c r="A74" s="2">
        <v>0.67452830188679236</v>
      </c>
      <c r="B74" s="2">
        <v>0.3836</v>
      </c>
      <c r="C74" s="2">
        <v>1.0884358998110299</v>
      </c>
      <c r="D74" s="2">
        <v>0.37789928502737746</v>
      </c>
      <c r="E74" s="2">
        <v>0.74687570912841672</v>
      </c>
      <c r="F74" s="2">
        <v>1.8105038048013062</v>
      </c>
      <c r="G74" s="2">
        <v>0.70577167055940437</v>
      </c>
      <c r="I74" s="8"/>
      <c r="J74" s="7">
        <f t="shared" si="12"/>
        <v>8.4639276838732597E-2</v>
      </c>
      <c r="K74" s="7">
        <f t="shared" si="16"/>
        <v>1313.7651236546894</v>
      </c>
      <c r="L74" s="8"/>
      <c r="M74" s="7">
        <f t="shared" si="17"/>
        <v>0.17131949961941234</v>
      </c>
      <c r="N74" s="7">
        <f t="shared" si="13"/>
        <v>1313.7651236546894</v>
      </c>
      <c r="O74" s="8"/>
      <c r="P74" s="7">
        <f t="shared" si="14"/>
        <v>8.7988773642983048E-2</v>
      </c>
      <c r="Q74" s="7">
        <f t="shared" si="15"/>
        <v>1335.3562826211482</v>
      </c>
      <c r="R74" s="8"/>
      <c r="S74" s="7">
        <f t="shared" si="18"/>
        <v>5.2341473345854416E-3</v>
      </c>
      <c r="T74" s="7">
        <f t="shared" si="19"/>
        <v>1313.7651236546894</v>
      </c>
      <c r="U74" s="8"/>
      <c r="V74" s="7">
        <f t="shared" si="20"/>
        <v>1.2904403432218825</v>
      </c>
      <c r="W74" s="7">
        <f t="shared" si="21"/>
        <v>1313.7651236546894</v>
      </c>
      <c r="X74" s="8"/>
      <c r="Y74" s="7">
        <f t="shared" si="22"/>
        <v>9.7614808601275392E-4</v>
      </c>
      <c r="Z74" s="7">
        <f t="shared" si="23"/>
        <v>1313.7651236546894</v>
      </c>
      <c r="AA74" s="8"/>
    </row>
    <row r="75" spans="1:27" ht="15.4" x14ac:dyDescent="0.4">
      <c r="A75" s="2">
        <v>0.68100000000000005</v>
      </c>
      <c r="B75" s="2">
        <v>0.56599999999999995</v>
      </c>
      <c r="C75" s="2">
        <v>0.77320650987064299</v>
      </c>
      <c r="D75" s="2">
        <v>0.41164906283640207</v>
      </c>
      <c r="E75" s="2">
        <v>0.6150195563229609</v>
      </c>
      <c r="F75" s="2">
        <v>0.96634817198720624</v>
      </c>
      <c r="G75" s="2">
        <v>0.64893234335817718</v>
      </c>
      <c r="I75" s="8"/>
      <c r="J75" s="7">
        <f t="shared" si="12"/>
        <v>1.3225000000000023E-2</v>
      </c>
      <c r="K75" s="7">
        <f t="shared" si="16"/>
        <v>1313.2960205178435</v>
      </c>
      <c r="L75" s="8"/>
      <c r="M75" s="7">
        <f t="shared" si="17"/>
        <v>8.5020404625249738E-3</v>
      </c>
      <c r="N75" s="7">
        <f t="shared" si="13"/>
        <v>1313.2960205178435</v>
      </c>
      <c r="O75" s="8"/>
      <c r="P75" s="7">
        <f t="shared" si="14"/>
        <v>7.2549927350908511E-2</v>
      </c>
      <c r="Q75" s="7">
        <f t="shared" si="15"/>
        <v>1332.8908173321493</v>
      </c>
      <c r="R75" s="8"/>
      <c r="S75" s="7">
        <f t="shared" si="18"/>
        <v>4.3534189478189348E-3</v>
      </c>
      <c r="T75" s="7">
        <f t="shared" si="19"/>
        <v>1313.2960205178435</v>
      </c>
      <c r="U75" s="8"/>
      <c r="V75" s="7">
        <f t="shared" si="20"/>
        <v>8.1423579256440198E-2</v>
      </c>
      <c r="W75" s="7">
        <f t="shared" si="21"/>
        <v>1313.2960205178435</v>
      </c>
      <c r="X75" s="8"/>
      <c r="Y75" s="7">
        <f t="shared" si="22"/>
        <v>1.0283346024978466E-3</v>
      </c>
      <c r="Z75" s="7">
        <f t="shared" si="23"/>
        <v>1313.2960205178435</v>
      </c>
      <c r="AA75" s="8"/>
    </row>
    <row r="76" spans="1:27" ht="15.4" x14ac:dyDescent="0.4">
      <c r="A76" s="2">
        <v>0.69799999999999995</v>
      </c>
      <c r="B76" s="2">
        <v>0.74580000000000002</v>
      </c>
      <c r="C76" s="2">
        <v>1.1673</v>
      </c>
      <c r="D76" s="2">
        <v>0.40071423558229163</v>
      </c>
      <c r="E76" s="2">
        <v>0.45953533712428923</v>
      </c>
      <c r="F76" s="2">
        <v>0.4909265277555741</v>
      </c>
      <c r="G76" s="2">
        <v>0.45576992677812311</v>
      </c>
      <c r="I76" s="8"/>
      <c r="J76" s="7">
        <f t="shared" si="12"/>
        <v>2.2848400000000063E-3</v>
      </c>
      <c r="K76" s="7">
        <f t="shared" si="16"/>
        <v>1312.0641690227217</v>
      </c>
      <c r="L76" s="8"/>
      <c r="M76" s="7">
        <f t="shared" si="17"/>
        <v>0.22024249000000004</v>
      </c>
      <c r="N76" s="7">
        <f t="shared" si="13"/>
        <v>1312.0641690227217</v>
      </c>
      <c r="O76" s="8"/>
      <c r="P76" s="7">
        <f t="shared" si="14"/>
        <v>8.8378825725421176E-2</v>
      </c>
      <c r="Q76" s="7">
        <f t="shared" si="15"/>
        <v>1333.6893712478836</v>
      </c>
      <c r="R76" s="8"/>
      <c r="S76" s="7">
        <f t="shared" si="18"/>
        <v>5.6865395440426368E-2</v>
      </c>
      <c r="T76" s="7">
        <f t="shared" si="19"/>
        <v>1312.0641690227217</v>
      </c>
      <c r="U76" s="8"/>
      <c r="V76" s="7">
        <f t="shared" si="20"/>
        <v>4.2879422907363005E-2</v>
      </c>
      <c r="W76" s="7">
        <f t="shared" si="21"/>
        <v>1312.0641690227217</v>
      </c>
      <c r="X76" s="8"/>
      <c r="Y76" s="7">
        <f t="shared" si="22"/>
        <v>5.8675408373075819E-2</v>
      </c>
      <c r="Z76" s="7">
        <f t="shared" si="23"/>
        <v>1312.0641690227217</v>
      </c>
      <c r="AA76" s="8"/>
    </row>
    <row r="77" spans="1:27" ht="15.4" x14ac:dyDescent="0.4">
      <c r="A77" s="2">
        <v>0.72599999999999998</v>
      </c>
      <c r="B77" s="2">
        <v>0.68530615244450099</v>
      </c>
      <c r="C77" s="2">
        <v>0.49180000000000001</v>
      </c>
      <c r="D77" s="2">
        <v>0.41265742639025127</v>
      </c>
      <c r="E77" s="2">
        <v>0.47357389190621252</v>
      </c>
      <c r="F77" s="2">
        <v>0.49252530988419924</v>
      </c>
      <c r="G77" s="2">
        <v>0.45891707012759786</v>
      </c>
      <c r="I77" s="8"/>
      <c r="J77" s="7">
        <f t="shared" si="12"/>
        <v>1.6559892288701907E-3</v>
      </c>
      <c r="K77" s="7">
        <f t="shared" si="16"/>
        <v>1310.0364971484037</v>
      </c>
      <c r="L77" s="8"/>
      <c r="M77" s="7">
        <f t="shared" si="17"/>
        <v>5.4849639999999984E-2</v>
      </c>
      <c r="N77" s="7">
        <f t="shared" si="13"/>
        <v>1310.0364971484037</v>
      </c>
      <c r="O77" s="8"/>
      <c r="P77" s="7">
        <f t="shared" si="14"/>
        <v>9.8183568436380791E-2</v>
      </c>
      <c r="Q77" s="7">
        <f t="shared" si="15"/>
        <v>1332.8171901081685</v>
      </c>
      <c r="R77" s="8"/>
      <c r="S77" s="7">
        <f t="shared" si="18"/>
        <v>6.3718940047376466E-2</v>
      </c>
      <c r="T77" s="7">
        <f t="shared" si="19"/>
        <v>1310.0364971484037</v>
      </c>
      <c r="U77" s="8"/>
      <c r="V77" s="7">
        <f t="shared" si="20"/>
        <v>5.4510430924669187E-2</v>
      </c>
      <c r="W77" s="7">
        <f t="shared" si="21"/>
        <v>1310.0364971484037</v>
      </c>
      <c r="X77" s="8"/>
      <c r="Y77" s="7">
        <f t="shared" si="22"/>
        <v>7.1333291429226467E-2</v>
      </c>
      <c r="Z77" s="7">
        <f t="shared" si="23"/>
        <v>1310.0364971484037</v>
      </c>
      <c r="AA77" s="8"/>
    </row>
    <row r="78" spans="1:27" ht="15.4" x14ac:dyDescent="0.4">
      <c r="A78" s="2">
        <v>0.74199999999999999</v>
      </c>
      <c r="B78" s="2">
        <v>1.0065763591161598</v>
      </c>
      <c r="C78" s="2">
        <v>0.74163273186504297</v>
      </c>
      <c r="D78" s="2">
        <v>0.48133198423594198</v>
      </c>
      <c r="E78" s="2">
        <v>0.58357850544097112</v>
      </c>
      <c r="F78" s="2">
        <v>0.92926592374878991</v>
      </c>
      <c r="G78" s="2">
        <v>0.77568960258991426</v>
      </c>
      <c r="I78" s="8"/>
      <c r="J78" s="7">
        <f t="shared" si="12"/>
        <v>7.0000649803163173E-2</v>
      </c>
      <c r="K78" s="7">
        <f t="shared" si="16"/>
        <v>1308.8785315059365</v>
      </c>
      <c r="L78" s="8"/>
      <c r="M78" s="7">
        <f t="shared" si="17"/>
        <v>1.348858829548091E-7</v>
      </c>
      <c r="N78" s="7">
        <f t="shared" si="13"/>
        <v>1308.8785315059365</v>
      </c>
      <c r="O78" s="8"/>
      <c r="P78" s="7">
        <f t="shared" si="14"/>
        <v>6.7947814442371191E-2</v>
      </c>
      <c r="Q78" s="7">
        <f t="shared" si="15"/>
        <v>1327.8075965286851</v>
      </c>
      <c r="R78" s="8"/>
      <c r="S78" s="7">
        <f t="shared" si="18"/>
        <v>2.5097369938316415E-2</v>
      </c>
      <c r="T78" s="7">
        <f t="shared" si="19"/>
        <v>1308.8785315059365</v>
      </c>
      <c r="U78" s="8"/>
      <c r="V78" s="7">
        <f t="shared" si="20"/>
        <v>3.5068526197487598E-2</v>
      </c>
      <c r="W78" s="7">
        <f t="shared" si="21"/>
        <v>1308.8785315059365</v>
      </c>
      <c r="X78" s="8"/>
      <c r="Y78" s="7">
        <f t="shared" si="22"/>
        <v>1.1349893226663581E-3</v>
      </c>
      <c r="Z78" s="7">
        <f t="shared" si="23"/>
        <v>1308.8785315059365</v>
      </c>
      <c r="AA78" s="8"/>
    </row>
    <row r="79" spans="1:27" ht="15.4" x14ac:dyDescent="0.4">
      <c r="A79" s="2">
        <v>0.749</v>
      </c>
      <c r="B79" s="2">
        <v>0.75439999999999996</v>
      </c>
      <c r="C79" s="2">
        <v>1.0291766090052701</v>
      </c>
      <c r="D79" s="2">
        <v>0.54175594270374527</v>
      </c>
      <c r="E79" s="2">
        <v>0.81212376016293808</v>
      </c>
      <c r="F79" s="2">
        <v>1.2887485697933123</v>
      </c>
      <c r="G79" s="2">
        <v>0.85956462092217945</v>
      </c>
      <c r="I79" s="8"/>
      <c r="J79" s="7">
        <f t="shared" si="12"/>
        <v>2.9159999999999572E-5</v>
      </c>
      <c r="K79" s="7">
        <f t="shared" si="16"/>
        <v>1308.3720825373566</v>
      </c>
      <c r="L79" s="8"/>
      <c r="M79" s="7">
        <f t="shared" si="17"/>
        <v>7.849893223369199E-2</v>
      </c>
      <c r="N79" s="7">
        <f t="shared" si="13"/>
        <v>1308.3720825373566</v>
      </c>
      <c r="O79" s="8"/>
      <c r="P79" s="7">
        <f t="shared" si="14"/>
        <v>4.2950099284613311E-2</v>
      </c>
      <c r="Q79" s="7">
        <f t="shared" si="15"/>
        <v>1323.4076589370861</v>
      </c>
      <c r="R79" s="8"/>
      <c r="S79" s="7">
        <f t="shared" si="18"/>
        <v>3.9846090971081289E-3</v>
      </c>
      <c r="T79" s="7">
        <f t="shared" si="19"/>
        <v>1308.3720825373566</v>
      </c>
      <c r="U79" s="8"/>
      <c r="V79" s="7">
        <f t="shared" si="20"/>
        <v>0.29132851859392611</v>
      </c>
      <c r="W79" s="7">
        <f t="shared" si="21"/>
        <v>1308.3720825373566</v>
      </c>
      <c r="X79" s="8"/>
      <c r="Y79" s="7">
        <f t="shared" si="22"/>
        <v>1.2224535399665242E-2</v>
      </c>
      <c r="Z79" s="7">
        <f t="shared" si="23"/>
        <v>1308.3720825373566</v>
      </c>
      <c r="AA79" s="8"/>
    </row>
    <row r="80" spans="1:27" ht="15.4" x14ac:dyDescent="0.4">
      <c r="A80" s="2">
        <v>0.75</v>
      </c>
      <c r="B80" s="2">
        <v>1.1131</v>
      </c>
      <c r="C80" s="2">
        <v>0.57977167668865903</v>
      </c>
      <c r="D80" s="2">
        <v>0.37799353093471294</v>
      </c>
      <c r="E80" s="2">
        <v>0.45604442545920543</v>
      </c>
      <c r="F80" s="2">
        <v>0.72651243119899367</v>
      </c>
      <c r="G80" s="2">
        <v>0.60935996899060685</v>
      </c>
      <c r="I80" s="8"/>
      <c r="J80" s="7">
        <f t="shared" si="12"/>
        <v>0.13184161</v>
      </c>
      <c r="K80" s="7">
        <f t="shared" si="16"/>
        <v>1308.2997406847026</v>
      </c>
      <c r="L80" s="8"/>
      <c r="M80" s="7">
        <f t="shared" si="17"/>
        <v>2.897768205739043E-2</v>
      </c>
      <c r="N80" s="7">
        <f t="shared" si="13"/>
        <v>1308.2997406847026</v>
      </c>
      <c r="O80" s="8"/>
      <c r="P80" s="7">
        <f t="shared" si="14"/>
        <v>0.13838881302642239</v>
      </c>
      <c r="Q80" s="7">
        <f t="shared" si="15"/>
        <v>1335.3493946627959</v>
      </c>
      <c r="R80" s="8"/>
      <c r="S80" s="7">
        <f t="shared" si="18"/>
        <v>8.6409879803608633E-2</v>
      </c>
      <c r="T80" s="7">
        <f t="shared" si="19"/>
        <v>1308.2997406847026</v>
      </c>
      <c r="U80" s="8"/>
      <c r="V80" s="7">
        <f t="shared" si="20"/>
        <v>5.5166588818200593E-4</v>
      </c>
      <c r="W80" s="7">
        <f t="shared" si="21"/>
        <v>1308.2997406847026</v>
      </c>
      <c r="X80" s="8"/>
      <c r="Y80" s="7">
        <f t="shared" si="22"/>
        <v>1.9779618322323066E-2</v>
      </c>
      <c r="Z80" s="7">
        <f t="shared" si="23"/>
        <v>1308.2997406847026</v>
      </c>
      <c r="AA80" s="8"/>
    </row>
    <row r="81" spans="1:27" ht="15.4" x14ac:dyDescent="0.4">
      <c r="A81" s="2">
        <v>0.77100000000000002</v>
      </c>
      <c r="B81" s="2">
        <v>1.2068344238465492</v>
      </c>
      <c r="C81" s="2">
        <v>1.02671257952424</v>
      </c>
      <c r="D81" s="2">
        <v>0.5008697416154767</v>
      </c>
      <c r="E81" s="2">
        <v>0.63647139716634871</v>
      </c>
      <c r="F81" s="2">
        <v>1.997373541581164</v>
      </c>
      <c r="G81" s="2">
        <v>1.3281118290935832</v>
      </c>
      <c r="I81" s="8"/>
      <c r="J81" s="7">
        <f t="shared" si="12"/>
        <v>0.18995164500965345</v>
      </c>
      <c r="K81" s="7">
        <f t="shared" si="16"/>
        <v>1306.781023778964</v>
      </c>
      <c r="L81" s="8"/>
      <c r="M81" s="7">
        <f t="shared" si="17"/>
        <v>6.5388923326940754E-2</v>
      </c>
      <c r="N81" s="7">
        <f t="shared" si="13"/>
        <v>1306.781023778964</v>
      </c>
      <c r="O81" s="8"/>
      <c r="P81" s="7">
        <f t="shared" si="14"/>
        <v>7.2970356494889324E-2</v>
      </c>
      <c r="Q81" s="7">
        <f t="shared" si="15"/>
        <v>1326.3841018838466</v>
      </c>
      <c r="R81" s="8"/>
      <c r="S81" s="7">
        <f t="shared" si="18"/>
        <v>1.8097944980374297E-2</v>
      </c>
      <c r="T81" s="7">
        <f t="shared" si="19"/>
        <v>1306.781023778964</v>
      </c>
      <c r="U81" s="8"/>
      <c r="V81" s="7">
        <f t="shared" si="20"/>
        <v>1.5039920634903272</v>
      </c>
      <c r="W81" s="7">
        <f t="shared" si="21"/>
        <v>1306.781023778964</v>
      </c>
      <c r="X81" s="8"/>
      <c r="Y81" s="7">
        <f t="shared" si="22"/>
        <v>0.3103735901159978</v>
      </c>
      <c r="Z81" s="7">
        <f t="shared" si="23"/>
        <v>1306.781023778964</v>
      </c>
      <c r="AA81" s="8"/>
    </row>
    <row r="82" spans="1:27" ht="15.4" x14ac:dyDescent="0.4">
      <c r="A82" s="2">
        <v>0.79755054814814796</v>
      </c>
      <c r="B82" s="2">
        <v>0.79930000000000001</v>
      </c>
      <c r="C82" s="2">
        <v>0.78787943026968099</v>
      </c>
      <c r="D82" s="2">
        <v>0.35130503483580977</v>
      </c>
      <c r="E82" s="2">
        <v>0.47506738704506313</v>
      </c>
      <c r="F82" s="2">
        <v>1.8188515078144296</v>
      </c>
      <c r="G82" s="2">
        <v>1.0091740778163354</v>
      </c>
      <c r="I82" s="8"/>
      <c r="J82" s="7">
        <f t="shared" si="12"/>
        <v>3.0605817819485543E-6</v>
      </c>
      <c r="K82" s="7">
        <f t="shared" si="16"/>
        <v>1304.8621545421197</v>
      </c>
      <c r="L82" s="8"/>
      <c r="M82" s="7">
        <f t="shared" si="17"/>
        <v>9.3530521019203524E-5</v>
      </c>
      <c r="N82" s="7">
        <f t="shared" si="13"/>
        <v>1304.8621545421197</v>
      </c>
      <c r="O82" s="8"/>
      <c r="P82" s="7">
        <f t="shared" si="14"/>
        <v>0.19913505815139221</v>
      </c>
      <c r="Q82" s="7">
        <f t="shared" si="15"/>
        <v>1337.3006320888696</v>
      </c>
      <c r="R82" s="8"/>
      <c r="S82" s="7">
        <f t="shared" si="18"/>
        <v>0.10399538919503817</v>
      </c>
      <c r="T82" s="7">
        <f t="shared" si="19"/>
        <v>1304.8621545421197</v>
      </c>
      <c r="U82" s="8"/>
      <c r="V82" s="7">
        <f t="shared" si="20"/>
        <v>1.0430556502152679</v>
      </c>
      <c r="W82" s="7">
        <f t="shared" si="21"/>
        <v>1304.8621545421197</v>
      </c>
      <c r="X82" s="8"/>
      <c r="Y82" s="7">
        <f t="shared" si="22"/>
        <v>4.4784518309222206E-2</v>
      </c>
      <c r="Z82" s="7">
        <f t="shared" si="23"/>
        <v>1304.8621545421197</v>
      </c>
      <c r="AA82" s="8"/>
    </row>
    <row r="83" spans="1:27" ht="15.4" x14ac:dyDescent="0.4">
      <c r="A83" s="2">
        <v>0.80104712041884818</v>
      </c>
      <c r="B83" s="2">
        <v>0.55259999999999998</v>
      </c>
      <c r="C83" s="2">
        <v>1.1481465650418501</v>
      </c>
      <c r="D83" s="2">
        <v>0.43609534221105078</v>
      </c>
      <c r="E83" s="2">
        <v>0.76038166093183324</v>
      </c>
      <c r="F83" s="2">
        <v>1.9554562637591497</v>
      </c>
      <c r="G83" s="2">
        <v>0.88169851948610467</v>
      </c>
      <c r="I83" s="8"/>
      <c r="J83" s="7">
        <f t="shared" si="12"/>
        <v>6.1725971644417656E-2</v>
      </c>
      <c r="K83" s="7">
        <f t="shared" si="16"/>
        <v>1304.6095542765636</v>
      </c>
      <c r="L83" s="8"/>
      <c r="M83" s="7">
        <f t="shared" si="17"/>
        <v>0.12047802445759637</v>
      </c>
      <c r="N83" s="7">
        <f t="shared" si="13"/>
        <v>1304.6095542765636</v>
      </c>
      <c r="O83" s="8"/>
      <c r="P83" s="7">
        <f t="shared" si="14"/>
        <v>0.13318980041703335</v>
      </c>
      <c r="Q83" s="7">
        <f t="shared" si="15"/>
        <v>1331.106407415466</v>
      </c>
      <c r="R83" s="8"/>
      <c r="S83" s="7">
        <f t="shared" si="18"/>
        <v>1.6536795952900537E-3</v>
      </c>
      <c r="T83" s="7">
        <f t="shared" si="19"/>
        <v>1304.6095542765636</v>
      </c>
      <c r="U83" s="8"/>
      <c r="V83" s="7">
        <f t="shared" si="20"/>
        <v>1.3326604702276892</v>
      </c>
      <c r="W83" s="7">
        <f t="shared" si="21"/>
        <v>1304.6095542765636</v>
      </c>
      <c r="X83" s="8"/>
      <c r="Y83" s="7">
        <f t="shared" si="22"/>
        <v>6.5046481715058608E-3</v>
      </c>
      <c r="Z83" s="7">
        <f t="shared" si="23"/>
        <v>1304.6095542765636</v>
      </c>
      <c r="AA83" s="8"/>
    </row>
    <row r="84" spans="1:27" ht="15.4" x14ac:dyDescent="0.4">
      <c r="A84" s="2">
        <v>0.81200000000000006</v>
      </c>
      <c r="B84" s="2">
        <v>0.82031022230226003</v>
      </c>
      <c r="C84" s="2">
        <v>0.49180000000000001</v>
      </c>
      <c r="D84" s="2">
        <v>0.42458246223269297</v>
      </c>
      <c r="E84" s="2">
        <v>0.47357389190621252</v>
      </c>
      <c r="F84" s="2">
        <v>0.49252530988419924</v>
      </c>
      <c r="G84" s="2">
        <v>0.46682824116358096</v>
      </c>
      <c r="I84" s="8"/>
      <c r="J84" s="7">
        <f t="shared" si="12"/>
        <v>6.9059794712979049E-5</v>
      </c>
      <c r="K84" s="7">
        <f t="shared" si="16"/>
        <v>1303.8184518201415</v>
      </c>
      <c r="L84" s="8"/>
      <c r="M84" s="7">
        <f t="shared" si="17"/>
        <v>0.10252804000000003</v>
      </c>
      <c r="N84" s="7">
        <f t="shared" si="13"/>
        <v>1303.8184518201415</v>
      </c>
      <c r="O84" s="8"/>
      <c r="P84" s="7">
        <f t="shared" si="14"/>
        <v>0.15009234856968282</v>
      </c>
      <c r="Q84" s="7">
        <f t="shared" si="15"/>
        <v>1331.9466194093113</v>
      </c>
      <c r="R84" s="8"/>
      <c r="S84" s="7">
        <f t="shared" si="18"/>
        <v>0.11453223063950796</v>
      </c>
      <c r="T84" s="7">
        <f t="shared" si="19"/>
        <v>1303.8184518201415</v>
      </c>
      <c r="U84" s="8"/>
      <c r="V84" s="7">
        <f t="shared" si="20"/>
        <v>0.10206407762458695</v>
      </c>
      <c r="W84" s="7">
        <f t="shared" si="21"/>
        <v>1303.8184518201415</v>
      </c>
      <c r="X84" s="8"/>
      <c r="Y84" s="7">
        <f t="shared" si="22"/>
        <v>0.11914354309822707</v>
      </c>
      <c r="Z84" s="7">
        <f t="shared" si="23"/>
        <v>1303.8184518201415</v>
      </c>
      <c r="AA84" s="8"/>
    </row>
    <row r="85" spans="1:27" ht="15.4" x14ac:dyDescent="0.4">
      <c r="A85" s="2">
        <v>0.81599999999999995</v>
      </c>
      <c r="B85" s="2">
        <v>0.78959062128118096</v>
      </c>
      <c r="C85" s="2">
        <v>0.49180000000000001</v>
      </c>
      <c r="D85" s="2">
        <v>0.42601751485843398</v>
      </c>
      <c r="E85" s="2">
        <v>0.47357389190621252</v>
      </c>
      <c r="F85" s="2">
        <v>0.49252530988419924</v>
      </c>
      <c r="G85" s="2">
        <v>0.4677283622331172</v>
      </c>
      <c r="I85" s="8"/>
      <c r="J85" s="7">
        <f t="shared" si="12"/>
        <v>6.9745528431400922E-4</v>
      </c>
      <c r="K85" s="7">
        <f t="shared" si="16"/>
        <v>1303.5296004095242</v>
      </c>
      <c r="L85" s="8"/>
      <c r="M85" s="7">
        <f t="shared" si="17"/>
        <v>0.10510563999999996</v>
      </c>
      <c r="N85" s="7">
        <f t="shared" si="13"/>
        <v>1303.5296004095242</v>
      </c>
      <c r="O85" s="8"/>
      <c r="P85" s="7">
        <f t="shared" si="14"/>
        <v>0.15208633871719171</v>
      </c>
      <c r="Q85" s="7">
        <f t="shared" si="15"/>
        <v>1331.8418745555532</v>
      </c>
      <c r="R85" s="8"/>
      <c r="S85" s="7">
        <f t="shared" si="18"/>
        <v>0.1172556395042582</v>
      </c>
      <c r="T85" s="7">
        <f t="shared" si="19"/>
        <v>1303.5296004095242</v>
      </c>
      <c r="U85" s="8"/>
      <c r="V85" s="7">
        <f t="shared" si="20"/>
        <v>0.1046358751455133</v>
      </c>
      <c r="W85" s="7">
        <f t="shared" si="21"/>
        <v>1303.5296004095242</v>
      </c>
      <c r="X85" s="8"/>
      <c r="Y85" s="7">
        <f t="shared" si="22"/>
        <v>0.12129313367282679</v>
      </c>
      <c r="Z85" s="7">
        <f t="shared" si="23"/>
        <v>1303.5296004095242</v>
      </c>
      <c r="AA85" s="8"/>
    </row>
    <row r="86" spans="1:27" ht="15.4" x14ac:dyDescent="0.4">
      <c r="A86" s="2">
        <v>0.82899999999999996</v>
      </c>
      <c r="B86" s="2">
        <v>0.96922069597864202</v>
      </c>
      <c r="C86" s="2">
        <v>0.731449319512531</v>
      </c>
      <c r="D86" s="2">
        <v>0.43447337631516697</v>
      </c>
      <c r="E86" s="2">
        <v>0.52300728898261795</v>
      </c>
      <c r="F86" s="2">
        <v>1.1198653014053743</v>
      </c>
      <c r="G86" s="2">
        <v>0.89071307465833627</v>
      </c>
      <c r="I86" s="8"/>
      <c r="J86" s="7">
        <f t="shared" si="12"/>
        <v>1.9661843580734768E-2</v>
      </c>
      <c r="K86" s="7">
        <f t="shared" si="16"/>
        <v>1302.5910543250195</v>
      </c>
      <c r="L86" s="8"/>
      <c r="M86" s="7">
        <f t="shared" si="17"/>
        <v>9.516135263568256E-3</v>
      </c>
      <c r="N86" s="7">
        <f t="shared" si="13"/>
        <v>1302.5910543250195</v>
      </c>
      <c r="O86" s="8"/>
      <c r="P86" s="7">
        <f t="shared" si="14"/>
        <v>0.15565125679615383</v>
      </c>
      <c r="Q86" s="7">
        <f t="shared" si="15"/>
        <v>1331.2247627274228</v>
      </c>
      <c r="R86" s="8"/>
      <c r="S86" s="7">
        <f t="shared" si="18"/>
        <v>9.3631539195767055E-2</v>
      </c>
      <c r="T86" s="7">
        <f t="shared" si="19"/>
        <v>1302.5910543250195</v>
      </c>
      <c r="U86" s="8"/>
      <c r="V86" s="7">
        <f t="shared" si="20"/>
        <v>8.4602623561639279E-2</v>
      </c>
      <c r="W86" s="7">
        <f t="shared" si="21"/>
        <v>1302.5910543250195</v>
      </c>
      <c r="X86" s="8"/>
      <c r="Y86" s="7">
        <f t="shared" si="22"/>
        <v>3.8085035837853911E-3</v>
      </c>
      <c r="Z86" s="7">
        <f t="shared" si="23"/>
        <v>1302.5910543250195</v>
      </c>
      <c r="AA86" s="8"/>
    </row>
    <row r="87" spans="1:27" ht="15.4" x14ac:dyDescent="0.4">
      <c r="A87" s="2">
        <v>0.83</v>
      </c>
      <c r="B87" s="2">
        <v>0.83032895851896804</v>
      </c>
      <c r="C87" s="2">
        <v>0.6673</v>
      </c>
      <c r="D87" s="2">
        <v>0.48734712424807691</v>
      </c>
      <c r="E87" s="2">
        <v>0.60137262817924908</v>
      </c>
      <c r="F87" s="2">
        <v>0.70928713025617318</v>
      </c>
      <c r="G87" s="2">
        <v>0.61437823887758825</v>
      </c>
      <c r="I87" s="8"/>
      <c r="J87" s="7">
        <f t="shared" si="12"/>
        <v>1.0821370720167333E-7</v>
      </c>
      <c r="K87" s="7">
        <f t="shared" si="16"/>
        <v>1302.5188724723655</v>
      </c>
      <c r="L87" s="8"/>
      <c r="M87" s="7">
        <f t="shared" si="17"/>
        <v>2.6471289999999984E-2</v>
      </c>
      <c r="N87" s="7">
        <f t="shared" si="13"/>
        <v>1302.5188724723655</v>
      </c>
      <c r="O87" s="8"/>
      <c r="P87" s="7">
        <f t="shared" si="14"/>
        <v>0.11741099326106282</v>
      </c>
      <c r="Q87" s="7">
        <f t="shared" si="15"/>
        <v>1327.3692602018191</v>
      </c>
      <c r="R87" s="8"/>
      <c r="S87" s="7">
        <f t="shared" si="18"/>
        <v>5.2270475145663874E-2</v>
      </c>
      <c r="T87" s="7">
        <f t="shared" si="19"/>
        <v>1302.5188724723655</v>
      </c>
      <c r="U87" s="8"/>
      <c r="V87" s="7">
        <f t="shared" si="20"/>
        <v>1.457159692179009E-2</v>
      </c>
      <c r="W87" s="7">
        <f t="shared" si="21"/>
        <v>1302.5188724723655</v>
      </c>
      <c r="X87" s="8"/>
      <c r="Y87" s="7">
        <f t="shared" si="22"/>
        <v>4.6492743869530381E-2</v>
      </c>
      <c r="Z87" s="7">
        <f t="shared" si="23"/>
        <v>1302.5188724723655</v>
      </c>
      <c r="AA87" s="8"/>
    </row>
    <row r="88" spans="1:27" ht="15.4" x14ac:dyDescent="0.4">
      <c r="A88" s="2">
        <v>0.84</v>
      </c>
      <c r="B88" s="2">
        <v>1.1657999999999999</v>
      </c>
      <c r="C88" s="2">
        <v>0.72256652022129497</v>
      </c>
      <c r="D88" s="2">
        <v>0.41846037892791954</v>
      </c>
      <c r="E88" s="2">
        <v>0.52159117038399627</v>
      </c>
      <c r="F88" s="2">
        <v>1.0258404190459205</v>
      </c>
      <c r="G88" s="2">
        <v>0.7963792165164485</v>
      </c>
      <c r="I88" s="8"/>
      <c r="J88" s="7">
        <f t="shared" si="12"/>
        <v>0.10614563999999999</v>
      </c>
      <c r="K88" s="7">
        <f t="shared" si="16"/>
        <v>1301.7971639458231</v>
      </c>
      <c r="L88" s="8"/>
      <c r="M88" s="7">
        <f t="shared" si="17"/>
        <v>1.3790622172935516E-2</v>
      </c>
      <c r="N88" s="7">
        <f t="shared" si="13"/>
        <v>1301.7971639458231</v>
      </c>
      <c r="O88" s="8"/>
      <c r="P88" s="7">
        <f t="shared" si="14"/>
        <v>0.17769565213359315</v>
      </c>
      <c r="Q88" s="7">
        <f t="shared" si="15"/>
        <v>1332.3935180820529</v>
      </c>
      <c r="R88" s="8"/>
      <c r="S88" s="7">
        <f t="shared" si="18"/>
        <v>0.10138418277743327</v>
      </c>
      <c r="T88" s="7">
        <f t="shared" si="19"/>
        <v>1301.7971639458231</v>
      </c>
      <c r="U88" s="8"/>
      <c r="V88" s="7">
        <f t="shared" si="20"/>
        <v>3.4536661351163338E-2</v>
      </c>
      <c r="W88" s="7">
        <f t="shared" si="21"/>
        <v>1301.7971639458231</v>
      </c>
      <c r="X88" s="8"/>
      <c r="Y88" s="7">
        <f t="shared" si="22"/>
        <v>1.9027727517188769E-3</v>
      </c>
      <c r="Z88" s="7">
        <f t="shared" si="23"/>
        <v>1301.7971639458231</v>
      </c>
      <c r="AA88" s="8"/>
    </row>
    <row r="89" spans="1:27" ht="15.4" x14ac:dyDescent="0.4">
      <c r="A89" s="2">
        <v>0.85</v>
      </c>
      <c r="B89" s="2">
        <v>0.54328234296054001</v>
      </c>
      <c r="C89" s="2">
        <v>0.7167</v>
      </c>
      <c r="D89" s="2">
        <v>0.44670678998923696</v>
      </c>
      <c r="E89" s="2">
        <v>0.63164966342808759</v>
      </c>
      <c r="F89" s="2">
        <v>0.79619705565239385</v>
      </c>
      <c r="G89" s="2">
        <v>0.60163820316396766</v>
      </c>
      <c r="I89" s="8"/>
      <c r="J89" s="7">
        <f t="shared" si="12"/>
        <v>9.4075721139775789E-2</v>
      </c>
      <c r="K89" s="7">
        <f t="shared" si="16"/>
        <v>1301.075655419281</v>
      </c>
      <c r="L89" s="8"/>
      <c r="M89" s="7">
        <f t="shared" si="17"/>
        <v>1.7768889999999992E-2</v>
      </c>
      <c r="N89" s="7">
        <f t="shared" si="13"/>
        <v>1301.075655419281</v>
      </c>
      <c r="O89" s="8"/>
      <c r="P89" s="7">
        <f t="shared" si="14"/>
        <v>0.16264541324078541</v>
      </c>
      <c r="Q89" s="7">
        <f t="shared" si="15"/>
        <v>1330.3322168723537</v>
      </c>
      <c r="R89" s="8"/>
      <c r="S89" s="7">
        <f t="shared" si="18"/>
        <v>4.7676869481067419E-2</v>
      </c>
      <c r="T89" s="7">
        <f t="shared" si="19"/>
        <v>1301.075655419281</v>
      </c>
      <c r="U89" s="8"/>
      <c r="V89" s="7">
        <f t="shared" si="20"/>
        <v>2.8947568204716022E-3</v>
      </c>
      <c r="W89" s="7">
        <f t="shared" si="21"/>
        <v>1301.075655419281</v>
      </c>
      <c r="X89" s="8"/>
      <c r="Y89" s="7">
        <f t="shared" si="22"/>
        <v>6.1683582127622594E-2</v>
      </c>
      <c r="Z89" s="7">
        <f t="shared" si="23"/>
        <v>1301.075655419281</v>
      </c>
      <c r="AA89" s="8"/>
    </row>
    <row r="90" spans="1:27" ht="15.4" x14ac:dyDescent="0.4">
      <c r="A90" s="2">
        <v>0.86274509803921573</v>
      </c>
      <c r="B90" s="2">
        <v>0.40570000000000001</v>
      </c>
      <c r="C90" s="2">
        <v>1.7538672619723901</v>
      </c>
      <c r="D90" s="2">
        <v>0.41467026238440591</v>
      </c>
      <c r="E90" s="2">
        <v>0.98628746803069056</v>
      </c>
      <c r="F90" s="2">
        <v>7.0594581054075922</v>
      </c>
      <c r="G90" s="2">
        <v>0.96470181108550068</v>
      </c>
      <c r="I90" s="8"/>
      <c r="J90" s="7">
        <f t="shared" si="12"/>
        <v>0.20889022164167631</v>
      </c>
      <c r="K90" s="7">
        <f t="shared" si="16"/>
        <v>1300.1563756170947</v>
      </c>
      <c r="L90" s="8"/>
      <c r="M90" s="7">
        <f t="shared" si="17"/>
        <v>0.79409871105294327</v>
      </c>
      <c r="N90" s="7">
        <f t="shared" si="13"/>
        <v>1300.1563756170947</v>
      </c>
      <c r="O90" s="8"/>
      <c r="P90" s="7">
        <f t="shared" si="14"/>
        <v>0.20077105834708484</v>
      </c>
      <c r="Q90" s="7">
        <f t="shared" si="15"/>
        <v>1332.6702258570581</v>
      </c>
      <c r="R90" s="8"/>
      <c r="S90" s="7">
        <f t="shared" si="18"/>
        <v>1.5262717183110461E-2</v>
      </c>
      <c r="T90" s="7">
        <f t="shared" si="19"/>
        <v>1300.1563756170947</v>
      </c>
      <c r="U90" s="8"/>
      <c r="V90" s="7">
        <f t="shared" si="20"/>
        <v>38.399252095688432</v>
      </c>
      <c r="W90" s="7">
        <f t="shared" si="21"/>
        <v>1300.1563756170947</v>
      </c>
      <c r="X90" s="8"/>
      <c r="Y90" s="7">
        <f t="shared" si="22"/>
        <v>1.0395171335202492E-2</v>
      </c>
      <c r="Z90" s="7">
        <f t="shared" si="23"/>
        <v>1300.1563756170947</v>
      </c>
      <c r="AA90" s="8"/>
    </row>
    <row r="91" spans="1:27" ht="15.4" x14ac:dyDescent="0.4">
      <c r="A91" s="2">
        <v>0.8727272727272728</v>
      </c>
      <c r="B91" s="2">
        <v>0.79710000000000003</v>
      </c>
      <c r="C91" s="2">
        <v>1.0884</v>
      </c>
      <c r="D91" s="2">
        <v>0.49823260051072132</v>
      </c>
      <c r="E91" s="2">
        <v>0.74687570912841672</v>
      </c>
      <c r="F91" s="2">
        <v>1.8105038048013062</v>
      </c>
      <c r="G91" s="2">
        <v>1.0380334335571781</v>
      </c>
      <c r="I91" s="8"/>
      <c r="J91" s="7">
        <f t="shared" si="12"/>
        <v>5.7194843801652946E-3</v>
      </c>
      <c r="K91" s="7">
        <f t="shared" si="16"/>
        <v>1299.4366071151562</v>
      </c>
      <c r="L91" s="8"/>
      <c r="M91" s="7">
        <f t="shared" si="17"/>
        <v>4.6514725289256181E-2</v>
      </c>
      <c r="N91" s="7">
        <f t="shared" si="13"/>
        <v>1299.4366071151562</v>
      </c>
      <c r="O91" s="8"/>
      <c r="P91" s="7">
        <f t="shared" si="14"/>
        <v>0.14024625951858233</v>
      </c>
      <c r="Q91" s="7">
        <f t="shared" si="15"/>
        <v>1326.576195857737</v>
      </c>
      <c r="R91" s="8"/>
      <c r="S91" s="7">
        <f t="shared" si="18"/>
        <v>1.5838616060276915E-2</v>
      </c>
      <c r="T91" s="7">
        <f t="shared" si="19"/>
        <v>1299.4366071151562</v>
      </c>
      <c r="U91" s="8"/>
      <c r="V91" s="7">
        <f t="shared" si="20"/>
        <v>0.87942482410880063</v>
      </c>
      <c r="W91" s="7">
        <f t="shared" si="21"/>
        <v>1299.4366071151562</v>
      </c>
      <c r="X91" s="8"/>
      <c r="Y91" s="7">
        <f t="shared" si="22"/>
        <v>2.7326126808322533E-2</v>
      </c>
      <c r="Z91" s="7">
        <f t="shared" si="23"/>
        <v>1299.4366071151562</v>
      </c>
      <c r="AA91" s="8"/>
    </row>
    <row r="92" spans="1:27" ht="15.4" x14ac:dyDescent="0.4">
      <c r="A92" s="2">
        <v>0.89</v>
      </c>
      <c r="B92" s="2">
        <v>0.89070400266234695</v>
      </c>
      <c r="C92" s="2">
        <v>0.85240000000000005</v>
      </c>
      <c r="D92" s="2">
        <v>0.60501256013785409</v>
      </c>
      <c r="E92" s="2">
        <v>0.76926770708283321</v>
      </c>
      <c r="F92" s="2">
        <v>0.90385540012118004</v>
      </c>
      <c r="G92" s="2">
        <v>0.76427378086243847</v>
      </c>
      <c r="I92" s="8"/>
      <c r="J92" s="7">
        <f t="shared" si="12"/>
        <v>4.9561974859157461E-7</v>
      </c>
      <c r="K92" s="7">
        <f t="shared" si="16"/>
        <v>1298.1916213131124</v>
      </c>
      <c r="L92" s="8"/>
      <c r="M92" s="7">
        <f t="shared" si="17"/>
        <v>1.4137599999999974E-3</v>
      </c>
      <c r="N92" s="7">
        <f t="shared" si="13"/>
        <v>1298.1916213131124</v>
      </c>
      <c r="O92" s="8"/>
      <c r="P92" s="7">
        <f t="shared" si="14"/>
        <v>8.1217840879180242E-2</v>
      </c>
      <c r="Q92" s="7">
        <f t="shared" si="15"/>
        <v>1318.8092770661999</v>
      </c>
      <c r="R92" s="8"/>
      <c r="S92" s="7">
        <f t="shared" si="18"/>
        <v>1.4576286553036565E-2</v>
      </c>
      <c r="T92" s="7">
        <f t="shared" si="19"/>
        <v>1298.1916213131124</v>
      </c>
      <c r="U92" s="8"/>
      <c r="V92" s="7">
        <f t="shared" si="20"/>
        <v>1.9197211251799554E-4</v>
      </c>
      <c r="W92" s="7">
        <f t="shared" si="21"/>
        <v>1298.1916213131124</v>
      </c>
      <c r="X92" s="8"/>
      <c r="Y92" s="7">
        <f t="shared" si="22"/>
        <v>1.5807082178626149E-2</v>
      </c>
      <c r="Z92" s="7">
        <f t="shared" si="23"/>
        <v>1298.1916213131124</v>
      </c>
      <c r="AA92" s="8"/>
    </row>
    <row r="93" spans="1:27" ht="15.4" x14ac:dyDescent="0.4">
      <c r="A93" s="2">
        <v>0.89</v>
      </c>
      <c r="B93" s="2">
        <v>0.88918043759279597</v>
      </c>
      <c r="C93" s="2">
        <v>1.04436380990904</v>
      </c>
      <c r="D93" s="2">
        <v>0.41063713221823472</v>
      </c>
      <c r="E93" s="2">
        <v>0.57398607864793338</v>
      </c>
      <c r="F93" s="2">
        <v>4.1346467662956483</v>
      </c>
      <c r="G93" s="2">
        <v>1.5378594270920218</v>
      </c>
      <c r="I93" s="8"/>
      <c r="J93" s="7">
        <f t="shared" si="12"/>
        <v>6.7168253930208746E-7</v>
      </c>
      <c r="K93" s="7">
        <f t="shared" si="16"/>
        <v>1298.1916213131124</v>
      </c>
      <c r="L93" s="8"/>
      <c r="M93" s="7">
        <f t="shared" si="17"/>
        <v>2.3828185809634226E-2</v>
      </c>
      <c r="N93" s="7">
        <f t="shared" si="13"/>
        <v>1298.1916213131124</v>
      </c>
      <c r="O93" s="8"/>
      <c r="P93" s="7">
        <f t="shared" si="14"/>
        <v>0.2297887590079582</v>
      </c>
      <c r="Q93" s="7">
        <f t="shared" si="15"/>
        <v>1332.9647070552442</v>
      </c>
      <c r="R93" s="8"/>
      <c r="S93" s="7">
        <f t="shared" si="18"/>
        <v>9.9864798488310147E-2</v>
      </c>
      <c r="T93" s="7">
        <f t="shared" si="19"/>
        <v>1298.1916213131124</v>
      </c>
      <c r="U93" s="8"/>
      <c r="V93" s="7">
        <f t="shared" si="20"/>
        <v>10.527732638032807</v>
      </c>
      <c r="W93" s="7">
        <f t="shared" si="21"/>
        <v>1298.1916213131124</v>
      </c>
      <c r="X93" s="8"/>
      <c r="Y93" s="7">
        <f t="shared" si="22"/>
        <v>0.41972183727200274</v>
      </c>
      <c r="Z93" s="7">
        <f t="shared" si="23"/>
        <v>1298.1916213131124</v>
      </c>
      <c r="AA93" s="8"/>
    </row>
    <row r="94" spans="1:27" ht="15.4" x14ac:dyDescent="0.4">
      <c r="A94" s="2">
        <v>0.90529599999999999</v>
      </c>
      <c r="B94" s="2">
        <v>0.82909999999999995</v>
      </c>
      <c r="C94" s="2">
        <v>1.02347392102871</v>
      </c>
      <c r="D94" s="2">
        <v>0.38868506694283106</v>
      </c>
      <c r="E94" s="2">
        <v>0.54850814332247555</v>
      </c>
      <c r="F94" s="2">
        <v>4.8476074576236883</v>
      </c>
      <c r="G94" s="2">
        <v>1.5448749451870687</v>
      </c>
      <c r="I94" s="8"/>
      <c r="J94" s="7">
        <f t="shared" si="12"/>
        <v>5.8058304160000067E-3</v>
      </c>
      <c r="K94" s="7">
        <f t="shared" si="16"/>
        <v>1297.0896124785297</v>
      </c>
      <c r="L94" s="8"/>
      <c r="M94" s="7">
        <f t="shared" si="17"/>
        <v>1.3966021018668029E-2</v>
      </c>
      <c r="N94" s="7">
        <f t="shared" si="13"/>
        <v>1297.0896124785297</v>
      </c>
      <c r="O94" s="8"/>
      <c r="P94" s="7">
        <f t="shared" si="14"/>
        <v>0.2668868561541986</v>
      </c>
      <c r="Q94" s="7">
        <f t="shared" si="15"/>
        <v>1334.5681194996087</v>
      </c>
      <c r="R94" s="8"/>
      <c r="S94" s="7">
        <f t="shared" si="18"/>
        <v>0.12729757467254171</v>
      </c>
      <c r="T94" s="7">
        <f t="shared" si="19"/>
        <v>1297.0896124785297</v>
      </c>
      <c r="U94" s="8"/>
      <c r="V94" s="7">
        <f t="shared" si="20"/>
        <v>15.541819628911011</v>
      </c>
      <c r="W94" s="7">
        <f t="shared" si="21"/>
        <v>1297.0896124785297</v>
      </c>
      <c r="X94" s="8"/>
      <c r="Y94" s="7">
        <f t="shared" si="22"/>
        <v>0.40906122712660342</v>
      </c>
      <c r="Z94" s="7">
        <f t="shared" si="23"/>
        <v>1297.0896124785297</v>
      </c>
      <c r="AA94" s="8"/>
    </row>
    <row r="95" spans="1:27" ht="15.4" x14ac:dyDescent="0.4">
      <c r="A95" s="2">
        <v>0.91600000000000004</v>
      </c>
      <c r="B95" s="2">
        <v>0.81064342159766301</v>
      </c>
      <c r="C95" s="2">
        <v>0.59330000000000005</v>
      </c>
      <c r="D95" s="2">
        <v>0.45104971176106862</v>
      </c>
      <c r="E95" s="2">
        <v>0.54890624562277757</v>
      </c>
      <c r="F95" s="2">
        <v>0.62213634268337636</v>
      </c>
      <c r="G95" s="2">
        <v>0.54866496791322694</v>
      </c>
      <c r="I95" s="8"/>
      <c r="J95" s="7">
        <f t="shared" si="12"/>
        <v>1.110000861264779E-2</v>
      </c>
      <c r="K95" s="7">
        <f t="shared" si="16"/>
        <v>1296.3187151441032</v>
      </c>
      <c r="L95" s="8"/>
      <c r="M95" s="7">
        <f t="shared" si="17"/>
        <v>0.10413528999999999</v>
      </c>
      <c r="N95" s="7">
        <f t="shared" si="13"/>
        <v>1296.3187151441032</v>
      </c>
      <c r="O95" s="8"/>
      <c r="P95" s="7">
        <f t="shared" si="14"/>
        <v>0.2161787705334654</v>
      </c>
      <c r="Q95" s="7">
        <f t="shared" si="15"/>
        <v>1330.0154307119685</v>
      </c>
      <c r="R95" s="8"/>
      <c r="S95" s="7">
        <f t="shared" si="18"/>
        <v>0.13475782450276455</v>
      </c>
      <c r="T95" s="7">
        <f t="shared" si="19"/>
        <v>1296.3187151441032</v>
      </c>
      <c r="U95" s="8"/>
      <c r="V95" s="7">
        <f t="shared" si="20"/>
        <v>8.6355849091502027E-2</v>
      </c>
      <c r="W95" s="7">
        <f t="shared" si="21"/>
        <v>1296.3187151441032</v>
      </c>
      <c r="X95" s="8"/>
      <c r="Y95" s="7">
        <f t="shared" si="22"/>
        <v>0.13493502579819061</v>
      </c>
      <c r="Z95" s="7">
        <f t="shared" si="23"/>
        <v>1296.3187151441032</v>
      </c>
      <c r="AA95" s="8"/>
    </row>
    <row r="96" spans="1:27" ht="15.4" x14ac:dyDescent="0.4">
      <c r="A96" s="2">
        <v>0.93799999999999994</v>
      </c>
      <c r="B96" s="2">
        <v>1.3411082944220101</v>
      </c>
      <c r="C96" s="2">
        <v>0.97127644137357805</v>
      </c>
      <c r="D96" s="2">
        <v>0.49693839692836272</v>
      </c>
      <c r="E96" s="2">
        <v>0.62003732198026029</v>
      </c>
      <c r="F96" s="2">
        <v>2.0151135462520156</v>
      </c>
      <c r="G96" s="2">
        <v>1.3671427981755473</v>
      </c>
      <c r="I96" s="8"/>
      <c r="J96" s="7">
        <f t="shared" si="12"/>
        <v>0.162496297031822</v>
      </c>
      <c r="K96" s="7">
        <f t="shared" si="16"/>
        <v>1294.73500438571</v>
      </c>
      <c r="L96" s="8"/>
      <c r="M96" s="7">
        <f t="shared" si="17"/>
        <v>1.1073215504891806E-3</v>
      </c>
      <c r="N96" s="7">
        <f t="shared" si="13"/>
        <v>1294.73500438571</v>
      </c>
      <c r="O96" s="8"/>
      <c r="P96" s="7">
        <f t="shared" si="14"/>
        <v>0.19453533770412246</v>
      </c>
      <c r="Q96" s="7">
        <f t="shared" si="15"/>
        <v>1326.6704729998964</v>
      </c>
      <c r="R96" s="8"/>
      <c r="S96" s="7">
        <f t="shared" si="18"/>
        <v>0.10110026461348463</v>
      </c>
      <c r="T96" s="7">
        <f t="shared" si="19"/>
        <v>1294.73500438571</v>
      </c>
      <c r="U96" s="8"/>
      <c r="V96" s="7">
        <f t="shared" si="20"/>
        <v>1.160173591519593</v>
      </c>
      <c r="W96" s="7">
        <f t="shared" si="21"/>
        <v>1294.73500438571</v>
      </c>
      <c r="X96" s="8"/>
      <c r="Y96" s="7">
        <f t="shared" si="22"/>
        <v>0.18416354122593856</v>
      </c>
      <c r="Z96" s="7">
        <f t="shared" si="23"/>
        <v>1294.73500438571</v>
      </c>
      <c r="AA96" s="8"/>
    </row>
    <row r="97" spans="1:27" ht="15.4" x14ac:dyDescent="0.4">
      <c r="A97" s="2">
        <v>0.94</v>
      </c>
      <c r="B97" s="2">
        <v>0.93838448443273204</v>
      </c>
      <c r="C97" s="2">
        <v>0.90739999999999998</v>
      </c>
      <c r="D97" s="2">
        <v>0.64450697872901974</v>
      </c>
      <c r="E97" s="2">
        <v>0.81931034482758613</v>
      </c>
      <c r="F97" s="2">
        <v>0.96156697364107258</v>
      </c>
      <c r="G97" s="2">
        <v>0.81332302834707615</v>
      </c>
      <c r="I97" s="8"/>
      <c r="J97" s="7">
        <f t="shared" si="12"/>
        <v>2.6098905480849606E-6</v>
      </c>
      <c r="K97" s="7">
        <f t="shared" si="16"/>
        <v>1294.591078680402</v>
      </c>
      <c r="L97" s="8"/>
      <c r="M97" s="7">
        <f t="shared" si="17"/>
        <v>1.0627599999999974E-3</v>
      </c>
      <c r="N97" s="7">
        <f t="shared" si="13"/>
        <v>1294.591078680402</v>
      </c>
      <c r="O97" s="8"/>
      <c r="P97" s="7">
        <f t="shared" si="14"/>
        <v>8.7316125619851956E-2</v>
      </c>
      <c r="Q97" s="7">
        <f t="shared" si="15"/>
        <v>1315.9423245700514</v>
      </c>
      <c r="R97" s="8"/>
      <c r="S97" s="7">
        <f t="shared" si="18"/>
        <v>1.4565992865636153E-2</v>
      </c>
      <c r="T97" s="7">
        <f t="shared" si="19"/>
        <v>1294.591078680402</v>
      </c>
      <c r="U97" s="8"/>
      <c r="V97" s="7">
        <f t="shared" si="20"/>
        <v>4.6513435203472155E-4</v>
      </c>
      <c r="W97" s="7">
        <f t="shared" si="21"/>
        <v>1294.591078680402</v>
      </c>
      <c r="X97" s="8"/>
      <c r="Y97" s="7">
        <f t="shared" si="22"/>
        <v>1.604705514715566E-2</v>
      </c>
      <c r="Z97" s="7">
        <f t="shared" si="23"/>
        <v>1294.591078680402</v>
      </c>
      <c r="AA97" s="8"/>
    </row>
    <row r="98" spans="1:27" ht="15.4" x14ac:dyDescent="0.4">
      <c r="A98" s="2">
        <v>0.95</v>
      </c>
      <c r="B98" s="2">
        <v>0.93179999999999996</v>
      </c>
      <c r="C98" s="2">
        <v>0.38951450520390302</v>
      </c>
      <c r="D98" s="2">
        <v>0.30566565918235611</v>
      </c>
      <c r="E98" s="2">
        <v>0.34943904263275999</v>
      </c>
      <c r="F98" s="2">
        <v>0.41744179050231423</v>
      </c>
      <c r="G98" s="2">
        <v>0.38263623822210374</v>
      </c>
      <c r="I98" s="8"/>
      <c r="J98" s="7">
        <f t="shared" si="12"/>
        <v>3.3123999999999979E-4</v>
      </c>
      <c r="K98" s="7">
        <f t="shared" si="16"/>
        <v>1293.8715701538595</v>
      </c>
      <c r="L98" s="8"/>
      <c r="M98" s="7">
        <f t="shared" si="17"/>
        <v>0.31414398987682557</v>
      </c>
      <c r="N98" s="7">
        <f t="shared" si="13"/>
        <v>1293.8715701538595</v>
      </c>
      <c r="O98" s="8"/>
      <c r="P98" s="7">
        <f t="shared" si="14"/>
        <v>0.41516674275690763</v>
      </c>
      <c r="Q98" s="7">
        <f t="shared" si="15"/>
        <v>1340.6406987694295</v>
      </c>
      <c r="R98" s="8"/>
      <c r="S98" s="7">
        <f t="shared" si="18"/>
        <v>0.36067346351385576</v>
      </c>
      <c r="T98" s="7">
        <f t="shared" si="19"/>
        <v>1293.8715701538595</v>
      </c>
      <c r="U98" s="8"/>
      <c r="V98" s="7">
        <f t="shared" si="20"/>
        <v>0.28361824650338091</v>
      </c>
      <c r="W98" s="7">
        <f t="shared" si="21"/>
        <v>1293.8715701538595</v>
      </c>
      <c r="X98" s="8"/>
      <c r="Y98" s="7">
        <f t="shared" si="22"/>
        <v>0.32190163817876533</v>
      </c>
      <c r="Z98" s="7">
        <f t="shared" si="23"/>
        <v>1293.8715701538595</v>
      </c>
      <c r="AA98" s="8"/>
    </row>
    <row r="99" spans="1:27" ht="15.4" x14ac:dyDescent="0.4">
      <c r="A99" s="2">
        <v>1.0081315244239633</v>
      </c>
      <c r="B99" s="2">
        <v>0.85719999999999996</v>
      </c>
      <c r="C99" s="2">
        <v>1.3561699984428099</v>
      </c>
      <c r="D99" s="2">
        <v>0.43077029513993853</v>
      </c>
      <c r="E99" s="2">
        <v>0.63777441004546453</v>
      </c>
      <c r="F99" s="2">
        <v>-12.039228354067998</v>
      </c>
      <c r="G99" s="2">
        <v>2.8290441426681596</v>
      </c>
      <c r="I99" s="8"/>
      <c r="J99" s="7">
        <f t="shared" si="12"/>
        <v>2.2780325064941428E-2</v>
      </c>
      <c r="K99" s="7">
        <f t="shared" si="16"/>
        <v>1289.692917994842</v>
      </c>
      <c r="L99" s="8"/>
      <c r="M99" s="7">
        <f t="shared" si="17"/>
        <v>0.12113077939736742</v>
      </c>
      <c r="N99" s="7">
        <f t="shared" si="13"/>
        <v>1289.692917994842</v>
      </c>
      <c r="O99" s="8"/>
      <c r="P99" s="7">
        <f t="shared" si="14"/>
        <v>0.33334598908036012</v>
      </c>
      <c r="Q99" s="7">
        <f t="shared" si="15"/>
        <v>1331.494997331298</v>
      </c>
      <c r="R99" s="8"/>
      <c r="S99" s="7">
        <f t="shared" si="18"/>
        <v>0.1371643921707684</v>
      </c>
      <c r="T99" s="7">
        <f t="shared" si="19"/>
        <v>1289.692917994842</v>
      </c>
      <c r="U99" s="8"/>
      <c r="V99" s="7">
        <f t="shared" si="20"/>
        <v>170.23359979888173</v>
      </c>
      <c r="W99" s="7">
        <f t="shared" si="21"/>
        <v>1289.692917994842</v>
      </c>
      <c r="X99" s="8"/>
      <c r="Y99" s="7">
        <f t="shared" si="22"/>
        <v>3.3157227632809345</v>
      </c>
      <c r="Z99" s="7">
        <f t="shared" si="23"/>
        <v>1289.692917994842</v>
      </c>
      <c r="AA99" s="8"/>
    </row>
    <row r="100" spans="1:27" ht="15.4" x14ac:dyDescent="0.4">
      <c r="A100" s="2">
        <v>1.03</v>
      </c>
      <c r="B100" s="2">
        <v>1.21084344045801</v>
      </c>
      <c r="C100" s="2">
        <v>0.83125043934141596</v>
      </c>
      <c r="D100" s="2">
        <v>0.4458258846817118</v>
      </c>
      <c r="E100" s="2">
        <v>0.5659693434879014</v>
      </c>
      <c r="F100" s="2">
        <v>1.3084844318159135</v>
      </c>
      <c r="G100" s="2">
        <v>0.95401609440138291</v>
      </c>
      <c r="I100" s="8"/>
      <c r="J100" s="7">
        <f t="shared" si="12"/>
        <v>3.2704349956689784E-2</v>
      </c>
      <c r="K100" s="7">
        <f t="shared" si="16"/>
        <v>1288.1227019415223</v>
      </c>
      <c r="L100" s="8"/>
      <c r="M100" s="7">
        <f t="shared" si="17"/>
        <v>3.9501387861980188E-2</v>
      </c>
      <c r="N100" s="7">
        <f t="shared" si="13"/>
        <v>1288.1227019415223</v>
      </c>
      <c r="O100" s="8"/>
      <c r="P100" s="7">
        <f t="shared" si="14"/>
        <v>0.3412593970079047</v>
      </c>
      <c r="Q100" s="7">
        <f t="shared" si="15"/>
        <v>1330.3964774345989</v>
      </c>
      <c r="R100" s="8"/>
      <c r="S100" s="7">
        <f t="shared" si="18"/>
        <v>0.21532445018304927</v>
      </c>
      <c r="T100" s="7">
        <f t="shared" si="19"/>
        <v>1288.1227019415223</v>
      </c>
      <c r="U100" s="8"/>
      <c r="V100" s="7">
        <f t="shared" si="20"/>
        <v>7.7553578763832134E-2</v>
      </c>
      <c r="W100" s="7">
        <f t="shared" si="21"/>
        <v>1288.1227019415223</v>
      </c>
      <c r="X100" s="8"/>
      <c r="Y100" s="7">
        <f t="shared" si="22"/>
        <v>5.7735539100195578E-3</v>
      </c>
      <c r="Z100" s="7">
        <f t="shared" si="23"/>
        <v>1288.1227019415223</v>
      </c>
      <c r="AA100" s="8"/>
    </row>
    <row r="101" spans="1:27" ht="15.4" x14ac:dyDescent="0.4">
      <c r="A101" s="2">
        <v>1.0449999999999999</v>
      </c>
      <c r="B101" s="2">
        <v>1.0127999999999999</v>
      </c>
      <c r="C101" s="2">
        <v>0.53811053475715798</v>
      </c>
      <c r="D101" s="2">
        <v>0.36694514171881892</v>
      </c>
      <c r="E101" s="2">
        <v>0.44245996878432281</v>
      </c>
      <c r="F101" s="2">
        <v>0.63738265547987294</v>
      </c>
      <c r="G101" s="2">
        <v>0.54421024180931565</v>
      </c>
      <c r="I101" s="8"/>
      <c r="J101" s="7">
        <f t="shared" si="12"/>
        <v>1.0368400000000005E-3</v>
      </c>
      <c r="K101" s="7">
        <f t="shared" si="16"/>
        <v>1287.0462141517091</v>
      </c>
      <c r="L101" s="8"/>
      <c r="M101" s="7">
        <f t="shared" si="17"/>
        <v>0.25693692997417428</v>
      </c>
      <c r="N101" s="7">
        <f t="shared" si="13"/>
        <v>1287.0462141517091</v>
      </c>
      <c r="O101" s="8"/>
      <c r="P101" s="7">
        <f t="shared" si="14"/>
        <v>0.45975839083871239</v>
      </c>
      <c r="Q101" s="7">
        <f t="shared" si="15"/>
        <v>1336.1569867705557</v>
      </c>
      <c r="R101" s="8"/>
      <c r="S101" s="7">
        <f t="shared" si="18"/>
        <v>0.36305448921738914</v>
      </c>
      <c r="T101" s="7">
        <f t="shared" si="19"/>
        <v>1287.0462141517091</v>
      </c>
      <c r="U101" s="8"/>
      <c r="V101" s="7">
        <f t="shared" si="20"/>
        <v>0.1661518995536399</v>
      </c>
      <c r="W101" s="7">
        <f t="shared" si="21"/>
        <v>1287.0462141517091</v>
      </c>
      <c r="X101" s="8"/>
      <c r="Y101" s="7">
        <f t="shared" si="22"/>
        <v>0.25079038190868402</v>
      </c>
      <c r="Z101" s="7">
        <f t="shared" si="23"/>
        <v>1287.0462141517091</v>
      </c>
      <c r="AA101" s="8"/>
    </row>
    <row r="102" spans="1:27" ht="15.4" x14ac:dyDescent="0.4">
      <c r="A102" s="2">
        <v>1.0509999999999999</v>
      </c>
      <c r="B102" s="2">
        <v>1.02187294652083</v>
      </c>
      <c r="C102" s="2">
        <v>0.59330000000000005</v>
      </c>
      <c r="D102" s="2">
        <v>0.46976543556578243</v>
      </c>
      <c r="E102" s="2">
        <v>0.54890624562277757</v>
      </c>
      <c r="F102" s="2">
        <v>0.62213634268337636</v>
      </c>
      <c r="G102" s="2">
        <v>0.56524946344598415</v>
      </c>
      <c r="I102" s="8"/>
      <c r="J102" s="7">
        <f t="shared" si="12"/>
        <v>8.4838524437842245E-4</v>
      </c>
      <c r="K102" s="7">
        <f t="shared" si="16"/>
        <v>1286.6157450357837</v>
      </c>
      <c r="L102" s="8"/>
      <c r="M102" s="7">
        <f t="shared" si="17"/>
        <v>0.20948928999999988</v>
      </c>
      <c r="N102" s="7">
        <f t="shared" si="13"/>
        <v>1286.6157450357837</v>
      </c>
      <c r="O102" s="8"/>
      <c r="P102" s="7">
        <f t="shared" si="14"/>
        <v>0.33783361889303454</v>
      </c>
      <c r="Q102" s="7">
        <f t="shared" si="15"/>
        <v>1328.6506794301599</v>
      </c>
      <c r="R102" s="8"/>
      <c r="S102" s="7">
        <f t="shared" si="18"/>
        <v>0.25209813818461452</v>
      </c>
      <c r="T102" s="7">
        <f t="shared" si="19"/>
        <v>1286.6157450357837</v>
      </c>
      <c r="U102" s="8"/>
      <c r="V102" s="7">
        <f t="shared" si="20"/>
        <v>0.18392403656699033</v>
      </c>
      <c r="W102" s="7">
        <f t="shared" si="21"/>
        <v>1286.6157450357837</v>
      </c>
      <c r="X102" s="8"/>
      <c r="Y102" s="7">
        <f t="shared" si="22"/>
        <v>0.23595358376251424</v>
      </c>
      <c r="Z102" s="7">
        <f t="shared" si="23"/>
        <v>1286.6157450357837</v>
      </c>
      <c r="AA102" s="8"/>
    </row>
    <row r="103" spans="1:27" ht="15.4" x14ac:dyDescent="0.4">
      <c r="A103" s="2">
        <v>1.056</v>
      </c>
      <c r="B103" s="2">
        <v>1.5082</v>
      </c>
      <c r="C103" s="2">
        <v>1.1710795755127801</v>
      </c>
      <c r="D103" s="2">
        <v>0.58901126025089379</v>
      </c>
      <c r="E103" s="2">
        <v>0.76516323845141643</v>
      </c>
      <c r="F103" s="2">
        <v>2.0111064771191525</v>
      </c>
      <c r="G103" s="2">
        <v>1.3683937775314603</v>
      </c>
      <c r="I103" s="8"/>
      <c r="J103" s="7">
        <f t="shared" si="12"/>
        <v>0.20448483999999995</v>
      </c>
      <c r="K103" s="7">
        <f t="shared" si="16"/>
        <v>1286.257075772513</v>
      </c>
      <c r="L103" s="8"/>
      <c r="M103" s="7">
        <f t="shared" si="17"/>
        <v>1.3243308700201642E-2</v>
      </c>
      <c r="N103" s="7">
        <f t="shared" si="13"/>
        <v>1286.257075772513</v>
      </c>
      <c r="O103" s="8"/>
      <c r="P103" s="7">
        <f t="shared" si="14"/>
        <v>0.2180784830524585</v>
      </c>
      <c r="Q103" s="7">
        <f t="shared" si="15"/>
        <v>1319.9717207602066</v>
      </c>
      <c r="R103" s="8"/>
      <c r="S103" s="7">
        <f t="shared" si="18"/>
        <v>8.4586021868067685E-2</v>
      </c>
      <c r="T103" s="7">
        <f t="shared" si="19"/>
        <v>1286.257075772513</v>
      </c>
      <c r="U103" s="8"/>
      <c r="V103" s="7">
        <f t="shared" si="20"/>
        <v>0.91222838263495798</v>
      </c>
      <c r="W103" s="7">
        <f t="shared" si="21"/>
        <v>1286.257075772513</v>
      </c>
      <c r="X103" s="8"/>
      <c r="Y103" s="7">
        <f t="shared" si="22"/>
        <v>9.7589872240375478E-2</v>
      </c>
      <c r="Z103" s="7">
        <f t="shared" si="23"/>
        <v>1286.257075772513</v>
      </c>
      <c r="AA103" s="8"/>
    </row>
    <row r="104" spans="1:27" ht="15.4" x14ac:dyDescent="0.4">
      <c r="A104" s="2">
        <v>1.05768</v>
      </c>
      <c r="B104" s="2">
        <v>1.1624000000000001</v>
      </c>
      <c r="C104" s="2">
        <v>1.02671257952424</v>
      </c>
      <c r="D104" s="2">
        <v>0.47746372311148388</v>
      </c>
      <c r="E104" s="2">
        <v>0.63647139716634871</v>
      </c>
      <c r="F104" s="2">
        <v>1.997373541581164</v>
      </c>
      <c r="G104" s="2">
        <v>1.2294845056674002</v>
      </c>
      <c r="I104" s="8"/>
      <c r="J104" s="7">
        <f t="shared" si="12"/>
        <v>1.0966278400000031E-2</v>
      </c>
      <c r="K104" s="7">
        <f t="shared" si="16"/>
        <v>1286.136574122454</v>
      </c>
      <c r="L104" s="8"/>
      <c r="M104" s="7">
        <f t="shared" si="17"/>
        <v>9.5898113092251689E-4</v>
      </c>
      <c r="N104" s="7">
        <f t="shared" si="13"/>
        <v>1286.136574122454</v>
      </c>
      <c r="O104" s="8"/>
      <c r="P104" s="7">
        <f t="shared" si="14"/>
        <v>0.33665092796637114</v>
      </c>
      <c r="Q104" s="7">
        <f t="shared" si="15"/>
        <v>1328.0895233562433</v>
      </c>
      <c r="R104" s="8"/>
      <c r="S104" s="7">
        <f t="shared" si="18"/>
        <v>0.17741668710107655</v>
      </c>
      <c r="T104" s="7">
        <f t="shared" si="19"/>
        <v>1286.136574122454</v>
      </c>
      <c r="U104" s="8"/>
      <c r="V104" s="7">
        <f t="shared" si="20"/>
        <v>0.88302395208935081</v>
      </c>
      <c r="W104" s="7">
        <f t="shared" si="21"/>
        <v>1286.136574122454</v>
      </c>
      <c r="X104" s="8"/>
      <c r="Y104" s="7">
        <f t="shared" si="22"/>
        <v>2.951678816761976E-2</v>
      </c>
      <c r="Z104" s="7">
        <f t="shared" si="23"/>
        <v>1286.136574122454</v>
      </c>
      <c r="AA104" s="8"/>
    </row>
    <row r="105" spans="1:27" ht="15.4" x14ac:dyDescent="0.4">
      <c r="A105" s="2">
        <v>1.0769230769230769</v>
      </c>
      <c r="B105" s="2">
        <v>0.58740000000000003</v>
      </c>
      <c r="C105" s="2">
        <v>1.92894751501053</v>
      </c>
      <c r="D105" s="2">
        <v>0.495138628663914</v>
      </c>
      <c r="E105" s="2">
        <v>1.0103276773296244</v>
      </c>
      <c r="F105" s="2">
        <v>9.9563369039957017</v>
      </c>
      <c r="G105" s="2">
        <v>1.3537895164987692</v>
      </c>
      <c r="I105" s="8"/>
      <c r="J105" s="7">
        <f t="shared" si="12"/>
        <v>0.23963284284023662</v>
      </c>
      <c r="K105" s="7">
        <f t="shared" si="16"/>
        <v>1284.7567252459723</v>
      </c>
      <c r="L105" s="8"/>
      <c r="M105" s="7">
        <f t="shared" si="17"/>
        <v>0.72594564309824017</v>
      </c>
      <c r="N105" s="7">
        <f t="shared" si="13"/>
        <v>1284.7567252459723</v>
      </c>
      <c r="O105" s="8"/>
      <c r="P105" s="7">
        <f t="shared" si="14"/>
        <v>0.33847314423621855</v>
      </c>
      <c r="Q105" s="7">
        <f t="shared" si="15"/>
        <v>1326.8015839143766</v>
      </c>
      <c r="R105" s="8"/>
      <c r="S105" s="7">
        <f t="shared" si="18"/>
        <v>4.434947247011615E-3</v>
      </c>
      <c r="T105" s="7">
        <f t="shared" si="19"/>
        <v>1284.7567252459723</v>
      </c>
      <c r="U105" s="8"/>
      <c r="V105" s="7">
        <f t="shared" si="20"/>
        <v>78.843989912408517</v>
      </c>
      <c r="W105" s="7">
        <f t="shared" si="21"/>
        <v>1284.7567252459723</v>
      </c>
      <c r="X105" s="8"/>
      <c r="Y105" s="7">
        <f t="shared" si="22"/>
        <v>7.66550253633205E-2</v>
      </c>
      <c r="Z105" s="7">
        <f t="shared" si="23"/>
        <v>1284.7567252459723</v>
      </c>
      <c r="AA105" s="8"/>
    </row>
    <row r="106" spans="1:27" ht="15.4" x14ac:dyDescent="0.4">
      <c r="A106" s="2">
        <v>1.079</v>
      </c>
      <c r="B106" s="2">
        <v>0.97238212000462398</v>
      </c>
      <c r="C106" s="2">
        <v>0.59330000000000005</v>
      </c>
      <c r="D106" s="2">
        <v>0.47203181581158554</v>
      </c>
      <c r="E106" s="2">
        <v>0.54890624562277757</v>
      </c>
      <c r="F106" s="2">
        <v>0.62213634268337636</v>
      </c>
      <c r="G106" s="2">
        <v>0.56716303055898598</v>
      </c>
      <c r="I106" s="8"/>
      <c r="J106" s="7">
        <f t="shared" si="12"/>
        <v>1.1367372334708392E-2</v>
      </c>
      <c r="K106" s="7">
        <f t="shared" si="16"/>
        <v>1284.6078411614658</v>
      </c>
      <c r="L106" s="8"/>
      <c r="M106" s="7">
        <f t="shared" si="17"/>
        <v>0.23590448999999991</v>
      </c>
      <c r="N106" s="7">
        <f t="shared" si="13"/>
        <v>1284.6078411614658</v>
      </c>
      <c r="O106" s="8"/>
      <c r="P106" s="7">
        <f t="shared" si="14"/>
        <v>0.36841037661698106</v>
      </c>
      <c r="Q106" s="7">
        <f t="shared" si="15"/>
        <v>1328.4854624510574</v>
      </c>
      <c r="R106" s="8"/>
      <c r="S106" s="7">
        <f t="shared" si="18"/>
        <v>0.28099938842973898</v>
      </c>
      <c r="T106" s="7">
        <f t="shared" si="19"/>
        <v>1284.6078411614658</v>
      </c>
      <c r="U106" s="8"/>
      <c r="V106" s="7">
        <f t="shared" si="20"/>
        <v>0.20872440137672127</v>
      </c>
      <c r="W106" s="7">
        <f t="shared" si="21"/>
        <v>1284.6078411614658</v>
      </c>
      <c r="X106" s="8"/>
      <c r="Y106" s="7">
        <f t="shared" si="22"/>
        <v>0.2619770832865615</v>
      </c>
      <c r="Z106" s="7">
        <f t="shared" si="23"/>
        <v>1284.6078411614658</v>
      </c>
      <c r="AA106" s="8"/>
    </row>
    <row r="107" spans="1:27" ht="15.4" x14ac:dyDescent="0.4">
      <c r="A107" s="2">
        <v>1.0900000000000001</v>
      </c>
      <c r="B107" s="2">
        <v>1.2149000000000001</v>
      </c>
      <c r="C107" s="2">
        <v>0.916004057990363</v>
      </c>
      <c r="D107" s="2">
        <v>0.46336792262578613</v>
      </c>
      <c r="E107" s="2">
        <v>0.59800796812749013</v>
      </c>
      <c r="F107" s="2">
        <v>1.5738472662515235</v>
      </c>
      <c r="G107" s="2">
        <v>1.0806355747897107</v>
      </c>
      <c r="I107" s="8"/>
      <c r="J107" s="7">
        <f t="shared" si="12"/>
        <v>1.5600010000000003E-2</v>
      </c>
      <c r="K107" s="7">
        <f t="shared" si="16"/>
        <v>1283.8194507822693</v>
      </c>
      <c r="L107" s="8"/>
      <c r="M107" s="7">
        <f t="shared" si="17"/>
        <v>3.0274587835820991E-2</v>
      </c>
      <c r="N107" s="7">
        <f t="shared" si="13"/>
        <v>1283.8194507822693</v>
      </c>
      <c r="O107" s="8"/>
      <c r="P107" s="7">
        <f t="shared" si="14"/>
        <v>0.39266776039432294</v>
      </c>
      <c r="Q107" s="7">
        <f t="shared" si="15"/>
        <v>1329.1171075077821</v>
      </c>
      <c r="R107" s="8"/>
      <c r="S107" s="7">
        <f t="shared" si="18"/>
        <v>0.24205615942604083</v>
      </c>
      <c r="T107" s="7">
        <f t="shared" si="19"/>
        <v>1283.8194507822693</v>
      </c>
      <c r="U107" s="8"/>
      <c r="V107" s="7">
        <f t="shared" si="20"/>
        <v>0.23410817705907258</v>
      </c>
      <c r="W107" s="7">
        <f t="shared" si="21"/>
        <v>1283.8194507822693</v>
      </c>
      <c r="X107" s="8"/>
      <c r="Y107" s="7">
        <f t="shared" si="22"/>
        <v>8.7692459519102755E-5</v>
      </c>
      <c r="Z107" s="7">
        <f t="shared" si="23"/>
        <v>1283.8194507822693</v>
      </c>
      <c r="AA107" s="8"/>
    </row>
    <row r="108" spans="1:27" ht="15.4" x14ac:dyDescent="0.4">
      <c r="A108" s="2">
        <v>1.1020000000000001</v>
      </c>
      <c r="B108" s="2">
        <v>0.96630000000000005</v>
      </c>
      <c r="C108" s="2">
        <v>1.0565268828010299</v>
      </c>
      <c r="D108" s="2">
        <v>0.42596151078059658</v>
      </c>
      <c r="E108" s="2">
        <v>0.59106713629491237</v>
      </c>
      <c r="F108" s="2">
        <v>2.9737128316303512</v>
      </c>
      <c r="G108" s="2">
        <v>1.3774545634268613</v>
      </c>
      <c r="I108" s="8"/>
      <c r="J108" s="7">
        <f t="shared" si="12"/>
        <v>1.8414490000000013E-2</v>
      </c>
      <c r="K108" s="7">
        <f t="shared" si="16"/>
        <v>1282.9596645504191</v>
      </c>
      <c r="L108" s="8"/>
      <c r="M108" s="7">
        <f t="shared" si="17"/>
        <v>2.0678043877912777E-3</v>
      </c>
      <c r="N108" s="7">
        <f t="shared" si="13"/>
        <v>1282.9596645504191</v>
      </c>
      <c r="O108" s="8"/>
      <c r="P108" s="7">
        <f t="shared" si="14"/>
        <v>0.45702803890605365</v>
      </c>
      <c r="Q108" s="7">
        <f t="shared" si="15"/>
        <v>1331.8459622301134</v>
      </c>
      <c r="R108" s="8"/>
      <c r="S108" s="7">
        <f t="shared" si="18"/>
        <v>0.26105239121388174</v>
      </c>
      <c r="T108" s="7">
        <f t="shared" si="19"/>
        <v>1282.9596645504191</v>
      </c>
      <c r="U108" s="8"/>
      <c r="V108" s="7">
        <f t="shared" si="20"/>
        <v>3.5033089240897071</v>
      </c>
      <c r="W108" s="7">
        <f t="shared" si="21"/>
        <v>1282.9596645504191</v>
      </c>
      <c r="X108" s="8"/>
      <c r="Y108" s="7">
        <f t="shared" si="22"/>
        <v>7.5875216512682725E-2</v>
      </c>
      <c r="Z108" s="7">
        <f t="shared" si="23"/>
        <v>1282.9596645504191</v>
      </c>
      <c r="AA108" s="8"/>
    </row>
    <row r="109" spans="1:27" ht="15.4" x14ac:dyDescent="0.4">
      <c r="A109" s="2">
        <v>1.1068702290076335</v>
      </c>
      <c r="B109" s="2">
        <v>0.85680000000000001</v>
      </c>
      <c r="C109" s="2">
        <v>1.7539</v>
      </c>
      <c r="D109" s="2">
        <v>0.58471012159128322</v>
      </c>
      <c r="E109" s="2">
        <v>0.98628746803069056</v>
      </c>
      <c r="F109" s="2">
        <v>7.0594581054075922</v>
      </c>
      <c r="G109" s="2">
        <v>1.7819614003534983</v>
      </c>
      <c r="I109" s="8"/>
      <c r="J109" s="7">
        <f t="shared" si="12"/>
        <v>6.2535119435930278E-2</v>
      </c>
      <c r="K109" s="7">
        <f t="shared" si="16"/>
        <v>1282.6108003917375</v>
      </c>
      <c r="L109" s="8"/>
      <c r="M109" s="7">
        <f t="shared" si="17"/>
        <v>0.41864752455043419</v>
      </c>
      <c r="N109" s="7">
        <f t="shared" si="13"/>
        <v>1282.6108003917375</v>
      </c>
      <c r="O109" s="8"/>
      <c r="P109" s="7">
        <f t="shared" si="14"/>
        <v>0.2726511777770545</v>
      </c>
      <c r="Q109" s="7">
        <f t="shared" si="15"/>
        <v>1320.2842721678048</v>
      </c>
      <c r="R109" s="8"/>
      <c r="S109" s="7">
        <f t="shared" si="18"/>
        <v>1.4540202244822564E-2</v>
      </c>
      <c r="T109" s="7">
        <f t="shared" si="19"/>
        <v>1282.6108003917375</v>
      </c>
      <c r="U109" s="8"/>
      <c r="V109" s="7">
        <f t="shared" si="20"/>
        <v>35.433302426263765</v>
      </c>
      <c r="W109" s="7">
        <f t="shared" si="21"/>
        <v>1282.6108003917375</v>
      </c>
      <c r="X109" s="8"/>
      <c r="Y109" s="7">
        <f t="shared" si="22"/>
        <v>0.45574808962913166</v>
      </c>
      <c r="Z109" s="7">
        <f t="shared" si="23"/>
        <v>1282.6108003917375</v>
      </c>
      <c r="AA109" s="8"/>
    </row>
    <row r="110" spans="1:27" ht="15.4" x14ac:dyDescent="0.4">
      <c r="A110" s="2">
        <v>1.1379999999999999</v>
      </c>
      <c r="B110" s="2">
        <v>1.43310604417618</v>
      </c>
      <c r="C110" s="2">
        <v>1.4248682934724399</v>
      </c>
      <c r="D110" s="2">
        <v>0.58966636866240008</v>
      </c>
      <c r="E110" s="2">
        <v>0.77475223066803989</v>
      </c>
      <c r="F110" s="2">
        <v>9.389103232468841</v>
      </c>
      <c r="G110" s="2">
        <v>2.9310320340398488</v>
      </c>
      <c r="I110" s="8"/>
      <c r="J110" s="7">
        <f t="shared" si="12"/>
        <v>8.7087577309313588E-2</v>
      </c>
      <c r="K110" s="7">
        <f t="shared" si="16"/>
        <v>1280.3820338548674</v>
      </c>
      <c r="L110" s="8"/>
      <c r="M110" s="7">
        <f t="shared" si="17"/>
        <v>8.2293417799789978E-2</v>
      </c>
      <c r="N110" s="7">
        <f t="shared" si="13"/>
        <v>1280.3820338548674</v>
      </c>
      <c r="O110" s="8"/>
      <c r="P110" s="7">
        <f t="shared" si="14"/>
        <v>0.30066977125587885</v>
      </c>
      <c r="Q110" s="7">
        <f t="shared" si="15"/>
        <v>1319.9241191581491</v>
      </c>
      <c r="R110" s="8"/>
      <c r="S110" s="7">
        <f t="shared" si="18"/>
        <v>0.13194894192464482</v>
      </c>
      <c r="T110" s="7">
        <f t="shared" si="19"/>
        <v>1280.3820338548674</v>
      </c>
      <c r="U110" s="8"/>
      <c r="V110" s="7">
        <f t="shared" si="20"/>
        <v>68.080704552857753</v>
      </c>
      <c r="W110" s="7">
        <f t="shared" si="21"/>
        <v>1280.3820338548674</v>
      </c>
      <c r="X110" s="8"/>
      <c r="Y110" s="7">
        <f t="shared" si="22"/>
        <v>3.214963875093078</v>
      </c>
      <c r="Z110" s="7">
        <f t="shared" si="23"/>
        <v>1280.3820338548674</v>
      </c>
      <c r="AA110" s="8"/>
    </row>
    <row r="111" spans="1:27" ht="15.4" x14ac:dyDescent="0.4">
      <c r="A111" s="2">
        <v>1.1599999999999999</v>
      </c>
      <c r="B111" s="2">
        <v>1.2607999999999999</v>
      </c>
      <c r="C111" s="2">
        <v>1.1844226154508599</v>
      </c>
      <c r="D111" s="2">
        <v>0.51348955743451019</v>
      </c>
      <c r="E111" s="2">
        <v>0.68824327993483592</v>
      </c>
      <c r="F111" s="2">
        <v>2.860549990098054</v>
      </c>
      <c r="G111" s="2">
        <v>1.5545967706159531</v>
      </c>
      <c r="I111" s="8"/>
      <c r="J111" s="7">
        <f t="shared" si="12"/>
        <v>1.016064E-2</v>
      </c>
      <c r="K111" s="7">
        <f t="shared" si="16"/>
        <v>1278.8080910964748</v>
      </c>
      <c r="L111" s="8"/>
      <c r="M111" s="7">
        <f t="shared" si="17"/>
        <v>5.9646414546058542E-4</v>
      </c>
      <c r="N111" s="7">
        <f t="shared" si="13"/>
        <v>1278.8080910964748</v>
      </c>
      <c r="O111" s="8"/>
      <c r="P111" s="7">
        <f t="shared" si="14"/>
        <v>0.41797575234622542</v>
      </c>
      <c r="Q111" s="7">
        <f t="shared" si="15"/>
        <v>1325.4650449509581</v>
      </c>
      <c r="R111" s="8"/>
      <c r="S111" s="7">
        <f t="shared" si="18"/>
        <v>0.22255440292664153</v>
      </c>
      <c r="T111" s="7">
        <f t="shared" si="19"/>
        <v>1278.8080910964748</v>
      </c>
      <c r="U111" s="8"/>
      <c r="V111" s="7">
        <f t="shared" si="20"/>
        <v>2.8918702688224918</v>
      </c>
      <c r="W111" s="7">
        <f t="shared" si="21"/>
        <v>1278.8080910964748</v>
      </c>
      <c r="X111" s="8"/>
      <c r="Y111" s="7">
        <f t="shared" si="22"/>
        <v>0.15570661138053921</v>
      </c>
      <c r="Z111" s="7">
        <f t="shared" si="23"/>
        <v>1278.8080910964748</v>
      </c>
      <c r="AA111" s="8"/>
    </row>
    <row r="112" spans="1:27" ht="15.4" x14ac:dyDescent="0.4">
      <c r="A112" s="2">
        <v>1.2015676235294119</v>
      </c>
      <c r="B112" s="2">
        <v>0.88400000000000001</v>
      </c>
      <c r="C112" s="2">
        <v>1.8355315404278001</v>
      </c>
      <c r="D112" s="2">
        <v>0.47850878502938216</v>
      </c>
      <c r="E112" s="2">
        <v>0.74859915884826911</v>
      </c>
      <c r="F112" s="2">
        <v>-3.0581001860971693</v>
      </c>
      <c r="G112" s="2">
        <v>9.8047747069070663</v>
      </c>
      <c r="I112" s="8"/>
      <c r="J112" s="7">
        <f t="shared" si="12"/>
        <v>0.10084919551411831</v>
      </c>
      <c r="K112" s="7">
        <f t="shared" si="16"/>
        <v>1275.8368670861673</v>
      </c>
      <c r="L112" s="8"/>
      <c r="M112" s="7">
        <f t="shared" si="17"/>
        <v>0.40191024792914642</v>
      </c>
      <c r="N112" s="7">
        <f t="shared" si="13"/>
        <v>1275.8368670861673</v>
      </c>
      <c r="O112" s="8"/>
      <c r="P112" s="7">
        <f t="shared" si="14"/>
        <v>0.52281408393301221</v>
      </c>
      <c r="Q112" s="7">
        <f t="shared" si="15"/>
        <v>1328.0133541436119</v>
      </c>
      <c r="R112" s="8"/>
      <c r="S112" s="7">
        <f t="shared" si="18"/>
        <v>0.20518042999559175</v>
      </c>
      <c r="T112" s="7">
        <f t="shared" si="19"/>
        <v>1275.8368670861673</v>
      </c>
      <c r="U112" s="8"/>
      <c r="V112" s="7">
        <f t="shared" si="20"/>
        <v>18.144769848368917</v>
      </c>
      <c r="W112" s="7">
        <f t="shared" si="21"/>
        <v>1275.8368670861673</v>
      </c>
      <c r="X112" s="8"/>
      <c r="Y112" s="7">
        <f t="shared" si="22"/>
        <v>74.015172119479445</v>
      </c>
      <c r="Z112" s="7">
        <f t="shared" si="23"/>
        <v>1275.8368670861673</v>
      </c>
      <c r="AA112" s="8"/>
    </row>
    <row r="113" spans="1:27" ht="15.4" x14ac:dyDescent="0.4">
      <c r="A113" s="2">
        <v>1.329</v>
      </c>
      <c r="B113" s="2">
        <v>1.14508564965431</v>
      </c>
      <c r="C113" s="2">
        <v>0.75629999999999997</v>
      </c>
      <c r="D113" s="2">
        <v>0.52928392202964669</v>
      </c>
      <c r="E113" s="2">
        <v>0.65372804908405313</v>
      </c>
      <c r="F113" s="2">
        <v>0.85869389917803662</v>
      </c>
      <c r="G113" s="2">
        <v>0.72888659427294433</v>
      </c>
      <c r="I113" s="8"/>
      <c r="J113" s="7">
        <f t="shared" si="12"/>
        <v>3.3824488263077178E-2</v>
      </c>
      <c r="K113" s="7">
        <f t="shared" si="16"/>
        <v>1266.7496279979123</v>
      </c>
      <c r="L113" s="8"/>
      <c r="M113" s="7">
        <f t="shared" si="17"/>
        <v>0.32798528999999998</v>
      </c>
      <c r="N113" s="7">
        <f t="shared" si="13"/>
        <v>1266.7496279979123</v>
      </c>
      <c r="O113" s="8"/>
      <c r="P113" s="7">
        <f t="shared" si="14"/>
        <v>0.63954580536428418</v>
      </c>
      <c r="Q113" s="7">
        <f t="shared" si="15"/>
        <v>1324.3152455466466</v>
      </c>
      <c r="R113" s="8"/>
      <c r="S113" s="7">
        <f t="shared" si="18"/>
        <v>0.45599220769382892</v>
      </c>
      <c r="T113" s="7">
        <f t="shared" si="19"/>
        <v>1266.7496279979123</v>
      </c>
      <c r="U113" s="8"/>
      <c r="V113" s="7">
        <f t="shared" si="20"/>
        <v>0.22118782847035875</v>
      </c>
      <c r="W113" s="7">
        <f t="shared" si="21"/>
        <v>1266.7496279979123</v>
      </c>
      <c r="X113" s="8"/>
      <c r="Y113" s="7">
        <f t="shared" si="22"/>
        <v>0.36013609973332567</v>
      </c>
      <c r="Z113" s="7">
        <f t="shared" si="23"/>
        <v>1266.7496279979123</v>
      </c>
      <c r="AA113" s="8"/>
    </row>
    <row r="114" spans="1:27" ht="15.4" x14ac:dyDescent="0.4">
      <c r="A114" s="2">
        <v>1.329</v>
      </c>
      <c r="B114" s="2">
        <v>0.88936609480961404</v>
      </c>
      <c r="C114" s="2">
        <v>0.75629999999999997</v>
      </c>
      <c r="D114" s="2">
        <v>0.50097511737015632</v>
      </c>
      <c r="E114" s="2">
        <v>0.65372804908405313</v>
      </c>
      <c r="F114" s="2">
        <v>0.85869389917803662</v>
      </c>
      <c r="G114" s="2">
        <v>0.6940009686709141</v>
      </c>
      <c r="I114" s="8"/>
      <c r="J114" s="7">
        <f t="shared" si="12"/>
        <v>0.19327797059294924</v>
      </c>
      <c r="K114" s="7">
        <f t="shared" si="16"/>
        <v>1266.7496279979123</v>
      </c>
      <c r="L114" s="8"/>
      <c r="M114" s="7">
        <f t="shared" si="17"/>
        <v>0.32798528999999998</v>
      </c>
      <c r="N114" s="7">
        <f t="shared" si="13"/>
        <v>1266.7496279979123</v>
      </c>
      <c r="O114" s="8"/>
      <c r="P114" s="7">
        <f t="shared" si="14"/>
        <v>0.68562520625416634</v>
      </c>
      <c r="Q114" s="7">
        <f t="shared" si="15"/>
        <v>1326.3764264184304</v>
      </c>
      <c r="R114" s="8"/>
      <c r="S114" s="7">
        <f t="shared" si="18"/>
        <v>0.45599220769382892</v>
      </c>
      <c r="T114" s="7">
        <f t="shared" si="19"/>
        <v>1266.7496279979123</v>
      </c>
      <c r="U114" s="8"/>
      <c r="V114" s="7">
        <f t="shared" si="20"/>
        <v>0.22118782847035875</v>
      </c>
      <c r="W114" s="7">
        <f t="shared" si="21"/>
        <v>1266.7496279979123</v>
      </c>
      <c r="X114" s="8"/>
      <c r="Y114" s="7">
        <f t="shared" si="22"/>
        <v>0.40322376978887736</v>
      </c>
      <c r="Z114" s="7">
        <f t="shared" si="23"/>
        <v>1266.7496279979123</v>
      </c>
      <c r="AA114" s="8"/>
    </row>
    <row r="115" spans="1:27" ht="15.4" x14ac:dyDescent="0.4">
      <c r="A115" s="2">
        <v>1.38</v>
      </c>
      <c r="B115" s="2">
        <v>1.3042</v>
      </c>
      <c r="C115" s="2">
        <v>1.5673672788250099</v>
      </c>
      <c r="D115" s="2">
        <v>0.56978934101202217</v>
      </c>
      <c r="E115" s="2">
        <v>0.79641791044776145</v>
      </c>
      <c r="F115" s="2">
        <v>9.1513592782587683</v>
      </c>
      <c r="G115" s="2">
        <v>2.4839220467177419</v>
      </c>
      <c r="I115" s="8"/>
      <c r="J115" s="7">
        <f t="shared" si="12"/>
        <v>5.7456399999999798E-3</v>
      </c>
      <c r="K115" s="7">
        <f t="shared" si="16"/>
        <v>1263.1219035125471</v>
      </c>
      <c r="L115" s="8"/>
      <c r="M115" s="7">
        <f t="shared" si="17"/>
        <v>3.5106497174289049E-2</v>
      </c>
      <c r="N115" s="7">
        <f t="shared" si="13"/>
        <v>1263.1219035125471</v>
      </c>
      <c r="O115" s="8"/>
      <c r="P115" s="7">
        <f t="shared" si="14"/>
        <v>0.65644131193773314</v>
      </c>
      <c r="Q115" s="7">
        <f t="shared" si="15"/>
        <v>1321.3688092948839</v>
      </c>
      <c r="R115" s="8"/>
      <c r="S115" s="7">
        <f t="shared" si="18"/>
        <v>0.34056805524615685</v>
      </c>
      <c r="T115" s="7">
        <f t="shared" si="19"/>
        <v>1263.1219035125471</v>
      </c>
      <c r="U115" s="8"/>
      <c r="V115" s="7">
        <f t="shared" si="20"/>
        <v>60.394025031778646</v>
      </c>
      <c r="W115" s="7">
        <f t="shared" si="21"/>
        <v>1263.1219035125471</v>
      </c>
      <c r="X115" s="8"/>
      <c r="Y115" s="7">
        <f t="shared" si="22"/>
        <v>1.2186438852294885</v>
      </c>
      <c r="Z115" s="7">
        <f t="shared" si="23"/>
        <v>1263.1219035125471</v>
      </c>
      <c r="AA115" s="8"/>
    </row>
    <row r="116" spans="1:27" ht="15.4" x14ac:dyDescent="0.4">
      <c r="A116" s="2">
        <v>1.3980676439790578</v>
      </c>
      <c r="B116" s="2">
        <v>0.90949999999999998</v>
      </c>
      <c r="C116" s="1">
        <v>2.5396420543820799</v>
      </c>
      <c r="D116" s="1">
        <v>0.53312164625026914</v>
      </c>
      <c r="E116" s="2">
        <v>0.88986477784932383</v>
      </c>
      <c r="F116" s="2">
        <v>-1.8764160477744456</v>
      </c>
      <c r="G116" s="2">
        <v>-8.8055765780428139</v>
      </c>
      <c r="I116" s="8"/>
      <c r="J116" s="7">
        <f t="shared" si="12"/>
        <v>0.23869834274324742</v>
      </c>
      <c r="K116" s="7">
        <f t="shared" si="16"/>
        <v>1261.8379664128217</v>
      </c>
      <c r="L116" s="8"/>
      <c r="M116" s="7">
        <f t="shared" si="17"/>
        <v>1.3031921344870074</v>
      </c>
      <c r="N116" s="7">
        <f t="shared" si="13"/>
        <v>1261.8379664128217</v>
      </c>
      <c r="O116" s="8"/>
      <c r="P116" s="7">
        <f t="shared" si="14"/>
        <v>0.74813157898704963</v>
      </c>
      <c r="Q116" s="7">
        <f t="shared" si="15"/>
        <v>1324.0359419375254</v>
      </c>
      <c r="R116" s="8"/>
      <c r="S116" s="7">
        <f t="shared" si="18"/>
        <v>0.25827015314247631</v>
      </c>
      <c r="T116" s="7">
        <f t="shared" si="19"/>
        <v>1261.8379664128217</v>
      </c>
      <c r="U116" s="8"/>
      <c r="V116" s="7">
        <f t="shared" si="20"/>
        <v>10.722243447559652</v>
      </c>
      <c r="W116" s="7">
        <f t="shared" si="21"/>
        <v>1261.8379664128217</v>
      </c>
      <c r="X116" s="8"/>
      <c r="Y116" s="7">
        <f t="shared" si="22"/>
        <v>104.11435540960032</v>
      </c>
      <c r="Z116" s="7">
        <f t="shared" si="23"/>
        <v>1261.8379664128217</v>
      </c>
      <c r="AA116" s="8"/>
    </row>
    <row r="117" spans="1:27" ht="15.4" x14ac:dyDescent="0.4">
      <c r="A117" s="2">
        <v>1.4</v>
      </c>
      <c r="B117" s="2">
        <v>0.93054372316453204</v>
      </c>
      <c r="C117" s="2">
        <v>0.97309999999999997</v>
      </c>
      <c r="D117" s="2">
        <v>0.57043808496481574</v>
      </c>
      <c r="E117" s="2">
        <v>0.77833065810593882</v>
      </c>
      <c r="F117" s="2">
        <v>1.1911413214696627</v>
      </c>
      <c r="G117" s="2">
        <v>0.88909098984376334</v>
      </c>
      <c r="I117" s="8"/>
      <c r="J117" s="7">
        <f t="shared" si="12"/>
        <v>0.22038919586021943</v>
      </c>
      <c r="K117" s="7">
        <f t="shared" si="16"/>
        <v>1261.700686459463</v>
      </c>
      <c r="L117" s="8"/>
      <c r="M117" s="7">
        <f t="shared" si="17"/>
        <v>0.18224360999999994</v>
      </c>
      <c r="N117" s="7">
        <f t="shared" si="13"/>
        <v>1261.700686459463</v>
      </c>
      <c r="O117" s="8"/>
      <c r="P117" s="7">
        <f t="shared" si="14"/>
        <v>0.68817297087684215</v>
      </c>
      <c r="Q117" s="7">
        <f t="shared" si="15"/>
        <v>1321.3216452039028</v>
      </c>
      <c r="R117" s="8"/>
      <c r="S117" s="7">
        <f t="shared" si="18"/>
        <v>0.386472770650995</v>
      </c>
      <c r="T117" s="7">
        <f t="shared" si="19"/>
        <v>1261.700686459463</v>
      </c>
      <c r="U117" s="8"/>
      <c r="V117" s="7">
        <f t="shared" si="20"/>
        <v>4.3621947597438752E-2</v>
      </c>
      <c r="W117" s="7">
        <f t="shared" si="21"/>
        <v>1261.700686459463</v>
      </c>
      <c r="X117" s="8"/>
      <c r="Y117" s="7">
        <f t="shared" si="22"/>
        <v>0.26102801665882547</v>
      </c>
      <c r="Z117" s="7">
        <f t="shared" si="23"/>
        <v>1261.700686459463</v>
      </c>
      <c r="AA117" s="8"/>
    </row>
    <row r="118" spans="1:27" ht="15.4" x14ac:dyDescent="0.4">
      <c r="A118" s="2">
        <v>1.43</v>
      </c>
      <c r="B118" s="2">
        <v>0.62130820049784097</v>
      </c>
      <c r="C118" s="2">
        <v>1.61</v>
      </c>
      <c r="D118" s="2">
        <v>0.5594593271807804</v>
      </c>
      <c r="E118" s="2">
        <v>1.0656906650600797</v>
      </c>
      <c r="F118" s="2">
        <v>3.0530189694377694</v>
      </c>
      <c r="G118" s="2">
        <v>1.1461440274142429</v>
      </c>
      <c r="I118" s="8"/>
      <c r="J118" s="7">
        <f t="shared" si="12"/>
        <v>0.65398242658204009</v>
      </c>
      <c r="K118" s="7">
        <f t="shared" si="16"/>
        <v>1259.5703608798365</v>
      </c>
      <c r="L118" s="8"/>
      <c r="M118" s="7">
        <f t="shared" si="17"/>
        <v>3.2400000000000061E-2</v>
      </c>
      <c r="N118" s="7">
        <f t="shared" si="13"/>
        <v>1259.5703608798365</v>
      </c>
      <c r="O118" s="8"/>
      <c r="P118" s="7">
        <f t="shared" si="14"/>
        <v>0.7578410630325394</v>
      </c>
      <c r="Q118" s="7">
        <f t="shared" si="15"/>
        <v>1322.119921169751</v>
      </c>
      <c r="R118" s="8"/>
      <c r="S118" s="7">
        <f t="shared" si="18"/>
        <v>0.13272129152436699</v>
      </c>
      <c r="T118" s="7">
        <f t="shared" si="19"/>
        <v>1259.5703608798365</v>
      </c>
      <c r="U118" s="8"/>
      <c r="V118" s="7">
        <f t="shared" si="20"/>
        <v>2.6341905751548391</v>
      </c>
      <c r="W118" s="7">
        <f t="shared" si="21"/>
        <v>1259.5703608798365</v>
      </c>
      <c r="X118" s="8"/>
      <c r="Y118" s="7">
        <f t="shared" si="22"/>
        <v>8.0574213172606032E-2</v>
      </c>
      <c r="Z118" s="7">
        <f t="shared" si="23"/>
        <v>1259.5703608798365</v>
      </c>
      <c r="AA118" s="8"/>
    </row>
    <row r="119" spans="1:27" ht="15.4" x14ac:dyDescent="0.4">
      <c r="A119" s="2">
        <v>1.4430000000000001</v>
      </c>
      <c r="B119" s="2">
        <v>1.4841795339814801</v>
      </c>
      <c r="C119" s="2">
        <v>1.82100598559447</v>
      </c>
      <c r="D119" s="2">
        <v>0.65519878850964253</v>
      </c>
      <c r="E119" s="2">
        <v>0.89262311436713893</v>
      </c>
      <c r="F119" s="2">
        <v>-12.221468741496848</v>
      </c>
      <c r="G119" s="2">
        <v>6.669179385208329</v>
      </c>
      <c r="I119" s="8"/>
      <c r="J119" s="7">
        <f t="shared" si="12"/>
        <v>1.6957540189318659E-3</v>
      </c>
      <c r="K119" s="7">
        <f t="shared" si="16"/>
        <v>1258.647778795332</v>
      </c>
      <c r="L119" s="8"/>
      <c r="M119" s="7">
        <f t="shared" si="17"/>
        <v>0.14288852514524664</v>
      </c>
      <c r="N119" s="7">
        <f t="shared" si="13"/>
        <v>1258.647778795332</v>
      </c>
      <c r="O119" s="8"/>
      <c r="P119" s="7">
        <f t="shared" si="14"/>
        <v>0.62063074882567504</v>
      </c>
      <c r="Q119" s="7">
        <f t="shared" si="15"/>
        <v>1315.1667284262676</v>
      </c>
      <c r="R119" s="8"/>
      <c r="S119" s="7">
        <f t="shared" si="18"/>
        <v>0.30291471623892752</v>
      </c>
      <c r="T119" s="7">
        <f t="shared" si="19"/>
        <v>1258.647778795332</v>
      </c>
      <c r="U119" s="8"/>
      <c r="V119" s="7">
        <f t="shared" si="20"/>
        <v>186.71770598734443</v>
      </c>
      <c r="W119" s="7">
        <f t="shared" si="21"/>
        <v>1258.647778795332</v>
      </c>
      <c r="X119" s="8"/>
      <c r="Y119" s="7">
        <f t="shared" si="22"/>
        <v>27.312950966376512</v>
      </c>
      <c r="Z119" s="7">
        <f t="shared" si="23"/>
        <v>1258.647778795332</v>
      </c>
      <c r="AA119" s="8"/>
    </row>
    <row r="120" spans="1:27" ht="15.4" x14ac:dyDescent="0.4">
      <c r="A120" s="2">
        <v>1.45</v>
      </c>
      <c r="B120" s="2">
        <v>0.98744697344020904</v>
      </c>
      <c r="C120" s="2">
        <v>1.2353000000000001</v>
      </c>
      <c r="D120" s="2">
        <v>0.69668132295077845</v>
      </c>
      <c r="E120" s="2">
        <v>0.99312457454050385</v>
      </c>
      <c r="F120" s="2">
        <v>1.5022116000823429</v>
      </c>
      <c r="G120" s="2">
        <v>1.0739178062796473</v>
      </c>
      <c r="I120" s="8"/>
      <c r="J120" s="7">
        <f t="shared" si="12"/>
        <v>0.21395530237962262</v>
      </c>
      <c r="K120" s="7">
        <f t="shared" si="16"/>
        <v>1258.1511438267521</v>
      </c>
      <c r="L120" s="8"/>
      <c r="M120" s="7">
        <f t="shared" si="17"/>
        <v>4.6096089999999951E-2</v>
      </c>
      <c r="N120" s="7">
        <f t="shared" si="13"/>
        <v>1258.1511438267521</v>
      </c>
      <c r="O120" s="8"/>
      <c r="P120" s="7">
        <f t="shared" si="14"/>
        <v>0.56748902919118926</v>
      </c>
      <c r="Q120" s="7">
        <f t="shared" si="15"/>
        <v>1312.15970212616</v>
      </c>
      <c r="R120" s="8"/>
      <c r="S120" s="7">
        <f t="shared" si="18"/>
        <v>0.20873515438879559</v>
      </c>
      <c r="T120" s="7">
        <f t="shared" si="19"/>
        <v>1258.1511438267521</v>
      </c>
      <c r="U120" s="8"/>
      <c r="V120" s="7">
        <f t="shared" si="20"/>
        <v>2.7260511831585128E-3</v>
      </c>
      <c r="W120" s="7">
        <f t="shared" si="21"/>
        <v>1258.1511438267521</v>
      </c>
      <c r="X120" s="8"/>
      <c r="Y120" s="7">
        <f t="shared" si="22"/>
        <v>0.14143781643351289</v>
      </c>
      <c r="Z120" s="7">
        <f t="shared" si="23"/>
        <v>1258.1511438267521</v>
      </c>
      <c r="AA120" s="8"/>
    </row>
    <row r="121" spans="1:27" ht="15.4" x14ac:dyDescent="0.4">
      <c r="A121" s="2">
        <v>1.4610000000000001</v>
      </c>
      <c r="B121" s="2">
        <v>1.6191</v>
      </c>
      <c r="C121" s="2">
        <v>2.0014665211178699</v>
      </c>
      <c r="D121" s="2">
        <v>0.72287422288584058</v>
      </c>
      <c r="E121" s="2">
        <v>1.0188994811483916</v>
      </c>
      <c r="F121" s="2">
        <v>11.59860026794315</v>
      </c>
      <c r="G121" s="2">
        <v>3.1007867708411259</v>
      </c>
      <c r="I121" s="8"/>
      <c r="J121" s="7">
        <f t="shared" si="12"/>
        <v>2.499560999999997E-2</v>
      </c>
      <c r="K121" s="7">
        <f t="shared" si="16"/>
        <v>1257.3709154475559</v>
      </c>
      <c r="L121" s="8"/>
      <c r="M121" s="7">
        <f t="shared" si="17"/>
        <v>0.29210406044925286</v>
      </c>
      <c r="N121" s="7">
        <f t="shared" si="13"/>
        <v>1257.3709154475559</v>
      </c>
      <c r="O121" s="8"/>
      <c r="P121" s="7">
        <f t="shared" si="14"/>
        <v>0.54482966284038181</v>
      </c>
      <c r="Q121" s="7">
        <f t="shared" si="15"/>
        <v>1310.262778337833</v>
      </c>
      <c r="R121" s="8"/>
      <c r="S121" s="7">
        <f t="shared" si="18"/>
        <v>0.19545286876886145</v>
      </c>
      <c r="T121" s="7">
        <f t="shared" si="19"/>
        <v>1257.3709154475559</v>
      </c>
      <c r="U121" s="8"/>
      <c r="V121" s="7">
        <f t="shared" si="20"/>
        <v>102.77093919260102</v>
      </c>
      <c r="W121" s="7">
        <f t="shared" si="21"/>
        <v>1257.3709154475559</v>
      </c>
      <c r="X121" s="8"/>
      <c r="Y121" s="7">
        <f t="shared" si="22"/>
        <v>2.6889006538255669</v>
      </c>
      <c r="Z121" s="7">
        <f t="shared" si="23"/>
        <v>1257.3709154475559</v>
      </c>
      <c r="AA121" s="8"/>
    </row>
    <row r="122" spans="1:27" ht="15.4" x14ac:dyDescent="0.4">
      <c r="A122" s="2">
        <v>1.4630000000000001</v>
      </c>
      <c r="B122" s="2">
        <v>1.0112000000000001</v>
      </c>
      <c r="C122" s="2">
        <v>0.498</v>
      </c>
      <c r="D122" s="2">
        <v>0.58653795008678733</v>
      </c>
      <c r="E122" s="2">
        <v>0.82686562374649009</v>
      </c>
      <c r="F122" s="2">
        <v>1.6663457979831606</v>
      </c>
      <c r="G122" s="2">
        <v>1.1073461424137387</v>
      </c>
      <c r="I122" s="8"/>
      <c r="J122" s="7">
        <f t="shared" si="12"/>
        <v>0.20412323999999998</v>
      </c>
      <c r="K122" s="7">
        <f t="shared" si="16"/>
        <v>1257.2290817422474</v>
      </c>
      <c r="L122" s="8"/>
      <c r="M122" s="7">
        <f t="shared" si="17"/>
        <v>0.93122500000000019</v>
      </c>
      <c r="N122" s="7">
        <f t="shared" si="13"/>
        <v>1257.2290817422474</v>
      </c>
      <c r="O122" s="8"/>
      <c r="P122" s="7">
        <f t="shared" si="14"/>
        <v>0.76818572493807102</v>
      </c>
      <c r="Q122" s="7">
        <f t="shared" si="15"/>
        <v>1320.1514445937921</v>
      </c>
      <c r="R122" s="8"/>
      <c r="S122" s="7">
        <f t="shared" si="18"/>
        <v>0.40466694465144221</v>
      </c>
      <c r="T122" s="7">
        <f t="shared" si="19"/>
        <v>1257.2290817422474</v>
      </c>
      <c r="U122" s="8"/>
      <c r="V122" s="7">
        <f t="shared" si="20"/>
        <v>4.1349513557408339E-2</v>
      </c>
      <c r="W122" s="7">
        <f t="shared" si="21"/>
        <v>1257.2290817422474</v>
      </c>
      <c r="X122" s="8"/>
      <c r="Y122" s="7">
        <f t="shared" si="22"/>
        <v>0.12648966641598866</v>
      </c>
      <c r="Z122" s="7">
        <f t="shared" si="23"/>
        <v>1257.2290817422474</v>
      </c>
      <c r="AA122" s="8"/>
    </row>
    <row r="123" spans="1:27" ht="15.4" x14ac:dyDescent="0.4">
      <c r="A123" s="2">
        <v>1.5229999999999999</v>
      </c>
      <c r="B123" s="2">
        <v>1.5563</v>
      </c>
      <c r="C123" s="2">
        <v>1.95251641263037</v>
      </c>
      <c r="D123" s="2">
        <v>0.64059502549600045</v>
      </c>
      <c r="E123" s="2">
        <v>0.88720909254916136</v>
      </c>
      <c r="F123" s="2">
        <v>-25.887167770700113</v>
      </c>
      <c r="G123" s="2">
        <v>4.7040801560193648</v>
      </c>
      <c r="I123" s="8"/>
      <c r="J123" s="7">
        <f t="shared" si="12"/>
        <v>1.1088900000000071E-3</v>
      </c>
      <c r="K123" s="7">
        <f t="shared" si="16"/>
        <v>1252.9777905829944</v>
      </c>
      <c r="L123" s="8"/>
      <c r="M123" s="7">
        <f t="shared" si="17"/>
        <v>0.18448434871886235</v>
      </c>
      <c r="N123" s="7">
        <f t="shared" si="13"/>
        <v>1252.9777905829944</v>
      </c>
      <c r="O123" s="8"/>
      <c r="P123" s="7">
        <f t="shared" si="14"/>
        <v>0.77863853902940394</v>
      </c>
      <c r="Q123" s="7">
        <f t="shared" si="15"/>
        <v>1316.226159273381</v>
      </c>
      <c r="R123" s="8"/>
      <c r="S123" s="7">
        <f t="shared" si="18"/>
        <v>0.40423007799716076</v>
      </c>
      <c r="T123" s="7">
        <f t="shared" si="19"/>
        <v>1252.9777905829944</v>
      </c>
      <c r="U123" s="8"/>
      <c r="V123" s="7">
        <f t="shared" si="20"/>
        <v>751.31729721792715</v>
      </c>
      <c r="W123" s="7">
        <f t="shared" si="21"/>
        <v>1252.9777905829944</v>
      </c>
      <c r="X123" s="8"/>
      <c r="Y123" s="7">
        <f t="shared" si="22"/>
        <v>10.119270959020188</v>
      </c>
      <c r="Z123" s="7">
        <f t="shared" si="23"/>
        <v>1252.9777905829944</v>
      </c>
      <c r="AA123" s="8"/>
    </row>
    <row r="124" spans="1:27" ht="15.4" x14ac:dyDescent="0.4">
      <c r="A124" s="2">
        <v>1.53</v>
      </c>
      <c r="B124" s="2">
        <v>1.53663830278622</v>
      </c>
      <c r="C124" s="2">
        <v>2.4036409603375501</v>
      </c>
      <c r="D124" s="2">
        <v>0.73670498100935444</v>
      </c>
      <c r="E124" s="2">
        <v>1.0502980069449741</v>
      </c>
      <c r="F124" s="2">
        <v>-3.9302023089290081</v>
      </c>
      <c r="G124" s="2">
        <v>-36.73879160797587</v>
      </c>
      <c r="I124" s="8"/>
      <c r="J124" s="7">
        <f t="shared" si="12"/>
        <v>4.4067063881536457E-5</v>
      </c>
      <c r="K124" s="7">
        <f t="shared" si="16"/>
        <v>1252.4822756144149</v>
      </c>
      <c r="L124" s="8"/>
      <c r="M124" s="7">
        <f t="shared" si="17"/>
        <v>0.76324852757951678</v>
      </c>
      <c r="N124" s="7">
        <f t="shared" si="13"/>
        <v>1252.4822756144149</v>
      </c>
      <c r="O124" s="8"/>
      <c r="P124" s="7">
        <f t="shared" si="14"/>
        <v>0.62931698715536877</v>
      </c>
      <c r="Q124" s="7">
        <f t="shared" si="15"/>
        <v>1309.2616904520698</v>
      </c>
      <c r="R124" s="8"/>
      <c r="S124" s="7">
        <f t="shared" si="18"/>
        <v>0.23011400214096414</v>
      </c>
      <c r="T124" s="7">
        <f t="shared" si="19"/>
        <v>1252.4822756144149</v>
      </c>
      <c r="U124" s="8"/>
      <c r="V124" s="7">
        <f t="shared" si="20"/>
        <v>29.813809254433675</v>
      </c>
      <c r="W124" s="7">
        <f t="shared" si="21"/>
        <v>1252.4822756144149</v>
      </c>
      <c r="X124" s="8"/>
      <c r="Y124" s="7">
        <f t="shared" si="22"/>
        <v>1464.5004111346843</v>
      </c>
      <c r="Z124" s="7">
        <f t="shared" si="23"/>
        <v>1252.4822756144149</v>
      </c>
      <c r="AA124" s="8"/>
    </row>
    <row r="125" spans="1:27" ht="15.4" x14ac:dyDescent="0.4">
      <c r="A125" s="2">
        <v>1.53</v>
      </c>
      <c r="B125" s="2">
        <v>1.0410179352848601</v>
      </c>
      <c r="C125" s="2">
        <v>1.3128</v>
      </c>
      <c r="D125" s="2">
        <v>0.74170943638689146</v>
      </c>
      <c r="E125" s="2">
        <v>1.0569381107491855</v>
      </c>
      <c r="F125" s="2">
        <v>1.5932640772549784</v>
      </c>
      <c r="G125" s="2">
        <v>1.1405230420014436</v>
      </c>
      <c r="I125" s="8"/>
      <c r="J125" s="7">
        <f t="shared" si="12"/>
        <v>0.2391034596130813</v>
      </c>
      <c r="K125" s="7">
        <f t="shared" si="16"/>
        <v>1252.4822756144149</v>
      </c>
      <c r="L125" s="8"/>
      <c r="M125" s="7">
        <f t="shared" si="17"/>
        <v>4.7175840000000024E-2</v>
      </c>
      <c r="N125" s="7">
        <f t="shared" si="13"/>
        <v>1252.4822756144149</v>
      </c>
      <c r="O125" s="8"/>
      <c r="P125" s="7">
        <f t="shared" si="14"/>
        <v>0.62140201268147233</v>
      </c>
      <c r="Q125" s="7">
        <f t="shared" si="15"/>
        <v>1308.8995558589038</v>
      </c>
      <c r="R125" s="8"/>
      <c r="S125" s="7">
        <f t="shared" si="18"/>
        <v>0.22378755106154988</v>
      </c>
      <c r="T125" s="7">
        <f t="shared" si="19"/>
        <v>1252.4822756144149</v>
      </c>
      <c r="U125" s="8"/>
      <c r="V125" s="7">
        <f t="shared" si="20"/>
        <v>4.0023434709238756E-3</v>
      </c>
      <c r="W125" s="7">
        <f t="shared" si="21"/>
        <v>1252.4822756144149</v>
      </c>
      <c r="X125" s="8"/>
      <c r="Y125" s="7">
        <f t="shared" si="22"/>
        <v>0.15169230081180929</v>
      </c>
      <c r="Z125" s="7">
        <f t="shared" si="23"/>
        <v>1252.4822756144149</v>
      </c>
      <c r="AA125" s="8"/>
    </row>
    <row r="126" spans="1:27" ht="15.4" x14ac:dyDescent="0.4">
      <c r="A126" s="2">
        <v>1.585</v>
      </c>
      <c r="B126" s="2">
        <v>1.7189000000000001</v>
      </c>
      <c r="C126" s="2">
        <v>3.81639551569554</v>
      </c>
      <c r="D126" s="2">
        <v>0.89379312163643143</v>
      </c>
      <c r="E126" s="2">
        <v>1.3984523793079631</v>
      </c>
      <c r="F126" s="2">
        <v>-4.889685133986803</v>
      </c>
      <c r="G126" s="2">
        <v>40.054497077065967</v>
      </c>
      <c r="I126" s="8"/>
      <c r="J126" s="7">
        <f t="shared" si="12"/>
        <v>1.7929210000000036E-2</v>
      </c>
      <c r="K126" s="7">
        <f t="shared" si="16"/>
        <v>1248.5923537184333</v>
      </c>
      <c r="L126" s="8"/>
      <c r="M126" s="7">
        <f t="shared" si="17"/>
        <v>4.9791259474661649</v>
      </c>
      <c r="N126" s="7">
        <f t="shared" si="13"/>
        <v>1248.5923537184333</v>
      </c>
      <c r="O126" s="8"/>
      <c r="P126" s="7">
        <f t="shared" si="14"/>
        <v>0.47776694869710901</v>
      </c>
      <c r="Q126" s="7">
        <f t="shared" si="15"/>
        <v>1297.9183001215415</v>
      </c>
      <c r="R126" s="8"/>
      <c r="S126" s="7">
        <f t="shared" si="18"/>
        <v>3.4800014785860076E-2</v>
      </c>
      <c r="T126" s="7">
        <f t="shared" si="19"/>
        <v>1248.5923537184333</v>
      </c>
      <c r="U126" s="8"/>
      <c r="V126" s="7">
        <f t="shared" si="20"/>
        <v>41.921547584269703</v>
      </c>
      <c r="W126" s="7">
        <f t="shared" si="21"/>
        <v>1248.5923537184333</v>
      </c>
      <c r="X126" s="8"/>
      <c r="Y126" s="7">
        <f t="shared" si="22"/>
        <v>1479.9022053623869</v>
      </c>
      <c r="Z126" s="7">
        <f t="shared" si="23"/>
        <v>1248.5923537184333</v>
      </c>
      <c r="AA126" s="8"/>
    </row>
    <row r="127" spans="1:27" ht="15.4" x14ac:dyDescent="0.4">
      <c r="A127" s="2">
        <v>1.63</v>
      </c>
      <c r="B127" s="2">
        <v>1.3452999999999999</v>
      </c>
      <c r="C127" s="2">
        <v>2.1313286982927302</v>
      </c>
      <c r="D127" s="2">
        <v>0.6334846062612588</v>
      </c>
      <c r="E127" s="2">
        <v>0.92847199204507813</v>
      </c>
      <c r="F127" s="2">
        <v>-10.777714169695063</v>
      </c>
      <c r="G127" s="2">
        <v>5.0688631837995475</v>
      </c>
      <c r="I127" s="8"/>
      <c r="J127" s="7">
        <f t="shared" si="12"/>
        <v>8.1054089999999968E-2</v>
      </c>
      <c r="K127" s="7">
        <f t="shared" si="16"/>
        <v>1245.4141903489933</v>
      </c>
      <c r="L127" s="8"/>
      <c r="M127" s="7">
        <f t="shared" si="17"/>
        <v>0.25133046373188339</v>
      </c>
      <c r="N127" s="7">
        <f t="shared" si="13"/>
        <v>1245.4141903489933</v>
      </c>
      <c r="O127" s="8"/>
      <c r="P127" s="7">
        <f t="shared" si="14"/>
        <v>0.99304292995827814</v>
      </c>
      <c r="Q127" s="7">
        <f t="shared" si="15"/>
        <v>1316.7421394520829</v>
      </c>
      <c r="R127" s="8"/>
      <c r="S127" s="7">
        <f t="shared" si="18"/>
        <v>0.49214154594520076</v>
      </c>
      <c r="T127" s="7">
        <f t="shared" si="19"/>
        <v>1245.4141903489933</v>
      </c>
      <c r="U127" s="8"/>
      <c r="V127" s="7">
        <f t="shared" si="20"/>
        <v>153.95137091685163</v>
      </c>
      <c r="W127" s="7">
        <f t="shared" si="21"/>
        <v>1245.4141903489933</v>
      </c>
      <c r="X127" s="8"/>
      <c r="Y127" s="7">
        <f t="shared" si="22"/>
        <v>11.825779996891962</v>
      </c>
      <c r="Z127" s="7">
        <f t="shared" si="23"/>
        <v>1245.4141903489933</v>
      </c>
      <c r="AA127" s="8"/>
    </row>
    <row r="128" spans="1:27" ht="15.4" x14ac:dyDescent="0.4">
      <c r="A128" s="2">
        <v>1.63</v>
      </c>
      <c r="B128" s="2">
        <v>1.0846689894117501</v>
      </c>
      <c r="C128" s="2">
        <v>0.75629999999999997</v>
      </c>
      <c r="D128" s="2">
        <v>0.53274019334517586</v>
      </c>
      <c r="E128" s="2">
        <v>0.65372804908405313</v>
      </c>
      <c r="F128" s="2">
        <v>0.85869389917803662</v>
      </c>
      <c r="G128" s="2">
        <v>0.73299259513839765</v>
      </c>
      <c r="I128" s="8"/>
      <c r="J128" s="7">
        <f t="shared" si="12"/>
        <v>0.29738591110920187</v>
      </c>
      <c r="K128" s="7">
        <f t="shared" si="16"/>
        <v>1245.4141903489933</v>
      </c>
      <c r="L128" s="8"/>
      <c r="M128" s="7">
        <f t="shared" si="17"/>
        <v>0.76335168999999992</v>
      </c>
      <c r="N128" s="7">
        <f t="shared" si="13"/>
        <v>1245.4141903489933</v>
      </c>
      <c r="O128" s="8"/>
      <c r="P128" s="7">
        <f t="shared" si="14"/>
        <v>1.2039790833001818</v>
      </c>
      <c r="Q128" s="7">
        <f t="shared" si="15"/>
        <v>1324.06370216919</v>
      </c>
      <c r="R128" s="8"/>
      <c r="S128" s="7">
        <f t="shared" si="18"/>
        <v>0.95310692214522874</v>
      </c>
      <c r="T128" s="7">
        <f t="shared" si="19"/>
        <v>1245.4141903489933</v>
      </c>
      <c r="U128" s="8"/>
      <c r="V128" s="7">
        <f t="shared" si="20"/>
        <v>0.59491310116518059</v>
      </c>
      <c r="W128" s="7">
        <f t="shared" si="21"/>
        <v>1245.4141903489933</v>
      </c>
      <c r="X128" s="8"/>
      <c r="Y128" s="7">
        <f t="shared" si="22"/>
        <v>0.80462228437654637</v>
      </c>
      <c r="Z128" s="7">
        <f t="shared" si="23"/>
        <v>1245.4141903489933</v>
      </c>
      <c r="AA128" s="8"/>
    </row>
    <row r="129" spans="1:27" ht="15.4" x14ac:dyDescent="0.4">
      <c r="A129" s="2">
        <v>1.64</v>
      </c>
      <c r="B129" s="2">
        <v>1.0442</v>
      </c>
      <c r="C129" s="2">
        <v>0.57977167668865903</v>
      </c>
      <c r="D129" s="2">
        <v>0.37380262999526481</v>
      </c>
      <c r="E129" s="2">
        <v>0.45604442545920543</v>
      </c>
      <c r="F129" s="2">
        <v>0.72651243119899367</v>
      </c>
      <c r="G129" s="2">
        <v>0.60264475784768878</v>
      </c>
      <c r="I129" s="8"/>
      <c r="J129" s="7">
        <f t="shared" si="12"/>
        <v>0.35497763999999987</v>
      </c>
      <c r="K129" s="7">
        <f t="shared" si="16"/>
        <v>1244.7084818224514</v>
      </c>
      <c r="L129" s="8"/>
      <c r="M129" s="7">
        <f t="shared" si="17"/>
        <v>1.1240840975515769</v>
      </c>
      <c r="N129" s="7">
        <f t="shared" si="13"/>
        <v>1244.7084818224514</v>
      </c>
      <c r="O129" s="8"/>
      <c r="P129" s="7">
        <f t="shared" si="14"/>
        <v>1.603255779806908</v>
      </c>
      <c r="Q129" s="7">
        <f t="shared" si="15"/>
        <v>1335.6557036583165</v>
      </c>
      <c r="R129" s="8"/>
      <c r="S129" s="7">
        <f t="shared" si="18"/>
        <v>1.4017508024862231</v>
      </c>
      <c r="T129" s="7">
        <f t="shared" si="19"/>
        <v>1244.7084818224514</v>
      </c>
      <c r="U129" s="8"/>
      <c r="V129" s="7">
        <f t="shared" si="20"/>
        <v>0.83445953835397313</v>
      </c>
      <c r="W129" s="7">
        <f t="shared" si="21"/>
        <v>1244.7084818224514</v>
      </c>
      <c r="X129" s="8"/>
      <c r="Y129" s="7">
        <f t="shared" si="22"/>
        <v>1.07610589842088</v>
      </c>
      <c r="Z129" s="7">
        <f t="shared" si="23"/>
        <v>1244.7084818224514</v>
      </c>
      <c r="AA129" s="8"/>
    </row>
    <row r="130" spans="1:27" ht="15.4" x14ac:dyDescent="0.4">
      <c r="A130" s="2">
        <v>1.6850000000000001</v>
      </c>
      <c r="B130" s="2">
        <v>1.3123188527269201</v>
      </c>
      <c r="C130" s="2">
        <v>1.47894465226782</v>
      </c>
      <c r="D130" s="2">
        <v>0.55963930545480278</v>
      </c>
      <c r="E130" s="2">
        <v>0.77309606041093493</v>
      </c>
      <c r="F130" s="2">
        <v>6.4910691076771956</v>
      </c>
      <c r="G130" s="2">
        <v>2.2498163350490215</v>
      </c>
      <c r="I130" s="8"/>
      <c r="J130" s="7">
        <f t="shared" ref="J130:J193" si="24">(B130-A130)^2</f>
        <v>0.13889123753277913</v>
      </c>
      <c r="K130" s="7">
        <f t="shared" si="16"/>
        <v>1241.5352684530117</v>
      </c>
      <c r="L130" s="8"/>
      <c r="M130" s="7">
        <f t="shared" si="17"/>
        <v>4.2458806329029632E-2</v>
      </c>
      <c r="N130" s="7">
        <f t="shared" ref="N130:N193" si="25">(A130-$I$2)^2</f>
        <v>1241.5352684530117</v>
      </c>
      <c r="O130" s="8"/>
      <c r="P130" s="7">
        <f t="shared" ref="P130:P193" si="26">(D130-A130)^2</f>
        <v>1.2664366928272488</v>
      </c>
      <c r="Q130" s="7">
        <f t="shared" ref="Q130:Q193" si="27">(D130-$I$2)^2</f>
        <v>1322.1068328339784</v>
      </c>
      <c r="R130" s="8"/>
      <c r="S130" s="7">
        <f t="shared" si="18"/>
        <v>0.83156879503805736</v>
      </c>
      <c r="T130" s="7">
        <f t="shared" si="19"/>
        <v>1241.5352684530117</v>
      </c>
      <c r="U130" s="8"/>
      <c r="V130" s="7">
        <f t="shared" si="20"/>
        <v>23.09830026776908</v>
      </c>
      <c r="W130" s="7">
        <f t="shared" si="21"/>
        <v>1241.5352684530117</v>
      </c>
      <c r="X130" s="8"/>
      <c r="Y130" s="7">
        <f t="shared" si="22"/>
        <v>0.31901749233820842</v>
      </c>
      <c r="Z130" s="7">
        <f t="shared" si="23"/>
        <v>1241.5352684530117</v>
      </c>
      <c r="AA130" s="8"/>
    </row>
    <row r="131" spans="1:27" ht="15.4" x14ac:dyDescent="0.4">
      <c r="A131" s="2">
        <v>1.7413799999999999</v>
      </c>
      <c r="B131" s="2">
        <v>1.2531000000000001</v>
      </c>
      <c r="C131" s="2">
        <v>1.95251641263037</v>
      </c>
      <c r="D131" s="2">
        <v>0.60147496244916532</v>
      </c>
      <c r="E131" s="2">
        <v>0.88720909254916136</v>
      </c>
      <c r="F131" s="2">
        <v>-25.887167770700113</v>
      </c>
      <c r="G131" s="2">
        <v>3.6601249926708692</v>
      </c>
      <c r="I131" s="8"/>
      <c r="J131" s="7">
        <f t="shared" si="24"/>
        <v>0.23841735839999983</v>
      </c>
      <c r="K131" s="7">
        <f t="shared" ref="K131:K194" si="28">(A131-$I$2)^2</f>
        <v>1237.5653004847672</v>
      </c>
      <c r="L131" s="8"/>
      <c r="M131" s="7">
        <f t="shared" ref="M131:M194" si="29">(A131-C131)^2</f>
        <v>4.4578584738421898E-2</v>
      </c>
      <c r="N131" s="7">
        <f t="shared" si="25"/>
        <v>1237.5653004847672</v>
      </c>
      <c r="O131" s="8"/>
      <c r="P131" s="7">
        <f t="shared" si="26"/>
        <v>1.2993834946337697</v>
      </c>
      <c r="Q131" s="7">
        <f t="shared" si="27"/>
        <v>1319.0662282284086</v>
      </c>
      <c r="R131" s="8"/>
      <c r="S131" s="7">
        <f t="shared" ref="S131:S194" si="30">(E131-A131)^2</f>
        <v>0.72960793913538902</v>
      </c>
      <c r="T131" s="7">
        <f t="shared" ref="T131:T194" si="31">(A131-$I$2)^2</f>
        <v>1237.5653004847672</v>
      </c>
      <c r="U131" s="8"/>
      <c r="V131" s="7">
        <f t="shared" ref="V131:V194" si="32">(F131-A131)^2</f>
        <v>763.33665191785815</v>
      </c>
      <c r="W131" s="7">
        <f t="shared" ref="W131:W194" si="33">(A131-$I$2)^2</f>
        <v>1237.5653004847672</v>
      </c>
      <c r="X131" s="8"/>
      <c r="Y131" s="7">
        <f t="shared" ref="Y131:Y194" si="34">(G131-A131)^2</f>
        <v>3.6815823468995341</v>
      </c>
      <c r="Z131" s="7">
        <f t="shared" ref="Z131:Z194" si="35">(A131-$I$2)^2</f>
        <v>1237.5653004847672</v>
      </c>
      <c r="AA131" s="8"/>
    </row>
    <row r="132" spans="1:27" ht="15.4" x14ac:dyDescent="0.4">
      <c r="A132" s="2">
        <v>1.77</v>
      </c>
      <c r="B132" s="2">
        <v>2.1017112876670634</v>
      </c>
      <c r="C132" s="2">
        <v>2.2115083580286399</v>
      </c>
      <c r="D132" s="2">
        <v>1.986857329737467</v>
      </c>
      <c r="E132" s="2">
        <v>2.1649192501584804</v>
      </c>
      <c r="F132" s="2">
        <v>2.1765490508578185</v>
      </c>
      <c r="G132" s="2">
        <v>2.0996540386306153</v>
      </c>
      <c r="I132" s="8"/>
      <c r="J132" s="7">
        <f t="shared" si="24"/>
        <v>0.11003237836574127</v>
      </c>
      <c r="K132" s="7">
        <f t="shared" si="28"/>
        <v>1235.5524709774033</v>
      </c>
      <c r="L132" s="8"/>
      <c r="M132" s="7">
        <f t="shared" si="29"/>
        <v>0.19492963020914564</v>
      </c>
      <c r="N132" s="7">
        <f t="shared" si="25"/>
        <v>1235.5524709774033</v>
      </c>
      <c r="O132" s="8"/>
      <c r="P132" s="7">
        <f t="shared" si="26"/>
        <v>4.7027101460864473E-2</v>
      </c>
      <c r="Q132" s="7">
        <f t="shared" si="27"/>
        <v>1220.3542428940041</v>
      </c>
      <c r="R132" s="8"/>
      <c r="S132" s="7">
        <f t="shared" si="30"/>
        <v>0.15596121414573641</v>
      </c>
      <c r="T132" s="7">
        <f t="shared" si="31"/>
        <v>1235.5524709774033</v>
      </c>
      <c r="U132" s="8"/>
      <c r="V132" s="7">
        <f t="shared" si="32"/>
        <v>0.16528213075339304</v>
      </c>
      <c r="W132" s="7">
        <f t="shared" si="33"/>
        <v>1235.5524709774033</v>
      </c>
      <c r="X132" s="8"/>
      <c r="Y132" s="7">
        <f t="shared" si="34"/>
        <v>0.10867178518547518</v>
      </c>
      <c r="Z132" s="7">
        <f t="shared" si="35"/>
        <v>1235.5524709774033</v>
      </c>
      <c r="AA132" s="8"/>
    </row>
    <row r="133" spans="1:27" ht="15.4" x14ac:dyDescent="0.4">
      <c r="A133" s="2">
        <v>1.8280000000000001</v>
      </c>
      <c r="B133" s="2">
        <v>1.1903999999999999</v>
      </c>
      <c r="C133" s="2">
        <v>1.3405075553950501</v>
      </c>
      <c r="D133" s="2">
        <v>0.53756156870671246</v>
      </c>
      <c r="E133" s="2">
        <v>0.75167596744087584</v>
      </c>
      <c r="F133" s="2">
        <v>3.7591645359801666</v>
      </c>
      <c r="G133" s="2">
        <v>1.7204421106505021</v>
      </c>
      <c r="I133" s="8"/>
      <c r="J133" s="7">
        <f t="shared" si="24"/>
        <v>0.40653376000000019</v>
      </c>
      <c r="K133" s="7">
        <f t="shared" si="28"/>
        <v>1231.4783855234589</v>
      </c>
      <c r="L133" s="8"/>
      <c r="M133" s="7">
        <f t="shared" si="29"/>
        <v>0.23764888354691024</v>
      </c>
      <c r="N133" s="7">
        <f t="shared" si="25"/>
        <v>1231.4783855234589</v>
      </c>
      <c r="O133" s="8"/>
      <c r="P133" s="7">
        <f t="shared" si="26"/>
        <v>1.6652313449586813</v>
      </c>
      <c r="Q133" s="7">
        <f t="shared" si="27"/>
        <v>1323.712848028073</v>
      </c>
      <c r="R133" s="8"/>
      <c r="S133" s="7">
        <f t="shared" si="30"/>
        <v>1.158473423064335</v>
      </c>
      <c r="T133" s="7">
        <f t="shared" si="31"/>
        <v>1231.4783855234589</v>
      </c>
      <c r="U133" s="8"/>
      <c r="V133" s="7">
        <f t="shared" si="32"/>
        <v>3.729396465027492</v>
      </c>
      <c r="W133" s="7">
        <f t="shared" si="33"/>
        <v>1231.4783855234589</v>
      </c>
      <c r="X133" s="8"/>
      <c r="Y133" s="7">
        <f t="shared" si="34"/>
        <v>1.1568699561318844E-2</v>
      </c>
      <c r="Z133" s="7">
        <f t="shared" si="35"/>
        <v>1231.4783855234589</v>
      </c>
      <c r="AA133" s="8"/>
    </row>
    <row r="134" spans="1:27" ht="15.4" x14ac:dyDescent="0.4">
      <c r="A134" s="2">
        <v>1.8360000000000001</v>
      </c>
      <c r="B134" s="2">
        <v>1.6017999999999999</v>
      </c>
      <c r="C134" s="2">
        <v>2.7054323228111201</v>
      </c>
      <c r="D134" s="2">
        <v>0.71562760720298613</v>
      </c>
      <c r="E134" s="2">
        <v>1.0380635018744206</v>
      </c>
      <c r="F134" s="2">
        <v>-4.6655437985890851</v>
      </c>
      <c r="G134" s="2">
        <v>30.519291936637973</v>
      </c>
      <c r="I134" s="8"/>
      <c r="J134" s="7">
        <f t="shared" si="24"/>
        <v>5.4849640000000088E-2</v>
      </c>
      <c r="K134" s="7">
        <f t="shared" si="28"/>
        <v>1230.9169707022254</v>
      </c>
      <c r="L134" s="8"/>
      <c r="M134" s="7">
        <f t="shared" si="29"/>
        <v>0.75591256394873962</v>
      </c>
      <c r="N134" s="7">
        <f t="shared" si="25"/>
        <v>1230.9169707022254</v>
      </c>
      <c r="O134" s="8"/>
      <c r="P134" s="7">
        <f t="shared" si="26"/>
        <v>1.2552342985417064</v>
      </c>
      <c r="Q134" s="7">
        <f t="shared" si="27"/>
        <v>1310.7874503487906</v>
      </c>
      <c r="R134" s="8"/>
      <c r="S134" s="7">
        <f t="shared" si="30"/>
        <v>0.63670265504091283</v>
      </c>
      <c r="T134" s="7">
        <f t="shared" si="31"/>
        <v>1230.9169707022254</v>
      </c>
      <c r="U134" s="8"/>
      <c r="V134" s="7">
        <f t="shared" si="32"/>
        <v>42.270071764972194</v>
      </c>
      <c r="W134" s="7">
        <f t="shared" si="33"/>
        <v>1230.9169707022254</v>
      </c>
      <c r="X134" s="8"/>
      <c r="Y134" s="7">
        <f t="shared" si="34"/>
        <v>822.73123632240106</v>
      </c>
      <c r="Z134" s="7">
        <f t="shared" si="35"/>
        <v>1230.9169707022254</v>
      </c>
      <c r="AA134" s="8"/>
    </row>
    <row r="135" spans="1:27" ht="15.4" x14ac:dyDescent="0.4">
      <c r="A135" s="2">
        <v>1.8620000000000001</v>
      </c>
      <c r="B135" s="2">
        <v>1.1208</v>
      </c>
      <c r="C135" s="2">
        <v>0.74029999999999996</v>
      </c>
      <c r="D135" s="2">
        <v>0.7298930399931326</v>
      </c>
      <c r="E135" s="2">
        <v>1.1851727416798736</v>
      </c>
      <c r="F135" s="2">
        <v>7.8102393638216085</v>
      </c>
      <c r="G135" s="2">
        <v>2.2547989745347934</v>
      </c>
      <c r="I135" s="8"/>
      <c r="J135" s="7">
        <f t="shared" si="24"/>
        <v>0.54937744000000011</v>
      </c>
      <c r="K135" s="7">
        <f t="shared" si="28"/>
        <v>1229.0932565332157</v>
      </c>
      <c r="L135" s="8"/>
      <c r="M135" s="7">
        <f t="shared" si="29"/>
        <v>1.2582108900000004</v>
      </c>
      <c r="N135" s="7">
        <f t="shared" si="25"/>
        <v>1229.0932565332157</v>
      </c>
      <c r="O135" s="8"/>
      <c r="P135" s="7">
        <f t="shared" si="26"/>
        <v>1.2816661688959914</v>
      </c>
      <c r="Q135" s="7">
        <f t="shared" si="27"/>
        <v>1309.7546996057245</v>
      </c>
      <c r="R135" s="8"/>
      <c r="S135" s="7">
        <f t="shared" si="30"/>
        <v>0.4580951376051392</v>
      </c>
      <c r="T135" s="7">
        <f t="shared" si="31"/>
        <v>1229.0932565332157</v>
      </c>
      <c r="U135" s="8"/>
      <c r="V135" s="7">
        <f t="shared" si="32"/>
        <v>35.381551529316894</v>
      </c>
      <c r="W135" s="7">
        <f t="shared" si="33"/>
        <v>1229.0932565332157</v>
      </c>
      <c r="X135" s="8"/>
      <c r="Y135" s="7">
        <f t="shared" si="34"/>
        <v>0.1542910343955852</v>
      </c>
      <c r="Z135" s="7">
        <f t="shared" si="35"/>
        <v>1229.0932565332157</v>
      </c>
      <c r="AA135" s="8"/>
    </row>
    <row r="136" spans="1:27" ht="15.4" x14ac:dyDescent="0.4">
      <c r="A136" s="2">
        <v>1.9379999999999999</v>
      </c>
      <c r="B136" s="2">
        <v>1.1162038867573725</v>
      </c>
      <c r="C136" s="2">
        <v>0.42343368595983599</v>
      </c>
      <c r="D136" s="2">
        <v>0.36786103061297526</v>
      </c>
      <c r="E136" s="2">
        <v>0.38118284875065273</v>
      </c>
      <c r="F136" s="2">
        <v>0.45225522042089772</v>
      </c>
      <c r="G136" s="2">
        <v>0.44272084679115287</v>
      </c>
      <c r="I136" s="8"/>
      <c r="J136" s="7">
        <f t="shared" si="24"/>
        <v>0.67534885174068937</v>
      </c>
      <c r="K136" s="7">
        <f t="shared" si="28"/>
        <v>1223.7701517314952</v>
      </c>
      <c r="L136" s="8"/>
      <c r="M136" s="7">
        <f t="shared" si="29"/>
        <v>2.2939111196252084</v>
      </c>
      <c r="N136" s="7">
        <f t="shared" si="25"/>
        <v>1223.7701517314952</v>
      </c>
      <c r="O136" s="8"/>
      <c r="P136" s="7">
        <f t="shared" si="26"/>
        <v>2.4653363831877479</v>
      </c>
      <c r="Q136" s="7">
        <f t="shared" si="27"/>
        <v>1336.0900297544867</v>
      </c>
      <c r="R136" s="8"/>
      <c r="S136" s="7">
        <f t="shared" si="30"/>
        <v>2.4236796424241325</v>
      </c>
      <c r="T136" s="7">
        <f t="shared" si="31"/>
        <v>1223.7701517314952</v>
      </c>
      <c r="U136" s="8"/>
      <c r="V136" s="7">
        <f t="shared" si="32"/>
        <v>2.2074375500465546</v>
      </c>
      <c r="W136" s="7">
        <f t="shared" si="33"/>
        <v>1223.7701517314952</v>
      </c>
      <c r="X136" s="8"/>
      <c r="Y136" s="7">
        <f t="shared" si="34"/>
        <v>2.2358597460209664</v>
      </c>
      <c r="Z136" s="7">
        <f t="shared" si="35"/>
        <v>1223.7701517314952</v>
      </c>
      <c r="AA136" s="8"/>
    </row>
    <row r="137" spans="1:27" ht="15.4" x14ac:dyDescent="0.4">
      <c r="A137" s="2">
        <v>1.9970000000000001</v>
      </c>
      <c r="B137" s="2">
        <v>0.90629999999999999</v>
      </c>
      <c r="C137" s="2">
        <v>5.1437534371025597</v>
      </c>
      <c r="D137" s="2">
        <v>0.80354429670170557</v>
      </c>
      <c r="E137" s="2">
        <v>1.9399074596658081</v>
      </c>
      <c r="F137" s="2">
        <v>-7.0353486829875616</v>
      </c>
      <c r="G137" s="2">
        <v>3.4530090301665828</v>
      </c>
      <c r="I137" s="8"/>
      <c r="J137" s="7">
        <f t="shared" si="24"/>
        <v>1.18962649</v>
      </c>
      <c r="K137" s="7">
        <f t="shared" si="28"/>
        <v>1219.6457064248968</v>
      </c>
      <c r="L137" s="8"/>
      <c r="M137" s="7">
        <f t="shared" si="29"/>
        <v>9.9020571939167734</v>
      </c>
      <c r="N137" s="7">
        <f t="shared" si="25"/>
        <v>1219.6457064248968</v>
      </c>
      <c r="O137" s="8"/>
      <c r="P137" s="7">
        <f t="shared" si="26"/>
        <v>1.4243365157352266</v>
      </c>
      <c r="Q137" s="7">
        <f t="shared" si="27"/>
        <v>1304.4291675982399</v>
      </c>
      <c r="R137" s="8"/>
      <c r="S137" s="7">
        <f t="shared" si="30"/>
        <v>3.2595581618113378E-3</v>
      </c>
      <c r="T137" s="7">
        <f t="shared" si="31"/>
        <v>1219.6457064248968</v>
      </c>
      <c r="U137" s="8"/>
      <c r="V137" s="7">
        <f t="shared" si="32"/>
        <v>81.583322731067156</v>
      </c>
      <c r="W137" s="7">
        <f t="shared" si="33"/>
        <v>1219.6457064248968</v>
      </c>
      <c r="X137" s="8"/>
      <c r="Y137" s="7">
        <f t="shared" si="34"/>
        <v>2.1199622959266327</v>
      </c>
      <c r="Z137" s="7">
        <f t="shared" si="35"/>
        <v>1219.6457064248968</v>
      </c>
      <c r="AA137" s="8"/>
    </row>
    <row r="138" spans="1:27" ht="15.4" x14ac:dyDescent="0.4">
      <c r="A138" s="2">
        <v>2.06</v>
      </c>
      <c r="B138" s="2">
        <v>2.0598063468705101</v>
      </c>
      <c r="C138" s="2">
        <v>1.04436380990904</v>
      </c>
      <c r="D138" s="2">
        <v>0.49427052538391408</v>
      </c>
      <c r="E138" s="2">
        <v>0.57398607864793338</v>
      </c>
      <c r="F138" s="2">
        <v>4.1346467662956483</v>
      </c>
      <c r="G138" s="2">
        <v>2.4747479708732936</v>
      </c>
      <c r="I138" s="8"/>
      <c r="J138" s="7">
        <f t="shared" si="24"/>
        <v>3.7501534561245392E-8</v>
      </c>
      <c r="K138" s="7">
        <f t="shared" si="28"/>
        <v>1215.249323707681</v>
      </c>
      <c r="L138" s="8"/>
      <c r="M138" s="7">
        <f t="shared" si="29"/>
        <v>1.0315168706224809</v>
      </c>
      <c r="N138" s="7">
        <f t="shared" si="25"/>
        <v>1215.249323707681</v>
      </c>
      <c r="O138" s="8"/>
      <c r="P138" s="7">
        <f t="shared" si="26"/>
        <v>2.4515087876815644</v>
      </c>
      <c r="Q138" s="7">
        <f t="shared" si="27"/>
        <v>1326.8648264914323</v>
      </c>
      <c r="R138" s="8"/>
      <c r="S138" s="7">
        <f t="shared" si="30"/>
        <v>2.2082373744521462</v>
      </c>
      <c r="T138" s="7">
        <f t="shared" si="31"/>
        <v>1215.249323707681</v>
      </c>
      <c r="U138" s="8"/>
      <c r="V138" s="7">
        <f t="shared" si="32"/>
        <v>4.3041592049009898</v>
      </c>
      <c r="W138" s="7">
        <f t="shared" si="33"/>
        <v>1215.249323707681</v>
      </c>
      <c r="X138" s="8"/>
      <c r="Y138" s="7">
        <f t="shared" si="34"/>
        <v>0.17201587934351434</v>
      </c>
      <c r="Z138" s="7">
        <f t="shared" si="35"/>
        <v>1215.249323707681</v>
      </c>
      <c r="AA138" s="8"/>
    </row>
    <row r="139" spans="1:27" ht="15.4" x14ac:dyDescent="0.4">
      <c r="A139" s="2">
        <v>2.1806000000000001</v>
      </c>
      <c r="B139" s="2">
        <v>1.2892999999999999</v>
      </c>
      <c r="C139" s="2">
        <v>2.7054323228111201</v>
      </c>
      <c r="D139" s="2">
        <v>0.66685656284424444</v>
      </c>
      <c r="E139" s="2">
        <v>1.0380635018744206</v>
      </c>
      <c r="F139" s="2">
        <v>-4.6655437985890851</v>
      </c>
      <c r="G139" s="2">
        <v>10.799071583854966</v>
      </c>
      <c r="I139" s="8"/>
      <c r="J139" s="7">
        <f t="shared" si="24"/>
        <v>0.79441569000000034</v>
      </c>
      <c r="K139" s="7">
        <f t="shared" si="28"/>
        <v>1206.8555332375831</v>
      </c>
      <c r="L139" s="8"/>
      <c r="M139" s="7">
        <f t="shared" si="29"/>
        <v>0.2754489670673157</v>
      </c>
      <c r="N139" s="7">
        <f t="shared" si="25"/>
        <v>1206.8555332375831</v>
      </c>
      <c r="O139" s="8"/>
      <c r="P139" s="7">
        <f t="shared" si="26"/>
        <v>2.2914191935321213</v>
      </c>
      <c r="Q139" s="7">
        <f t="shared" si="27"/>
        <v>1314.3213206522942</v>
      </c>
      <c r="R139" s="8"/>
      <c r="S139" s="7">
        <f t="shared" si="30"/>
        <v>1.3053896495490622</v>
      </c>
      <c r="T139" s="7">
        <f t="shared" si="31"/>
        <v>1206.8555332375831</v>
      </c>
      <c r="U139" s="8"/>
      <c r="V139" s="7">
        <f t="shared" si="32"/>
        <v>46.869684910959791</v>
      </c>
      <c r="W139" s="7">
        <f t="shared" si="33"/>
        <v>1206.8555332375831</v>
      </c>
      <c r="X139" s="8"/>
      <c r="Y139" s="7">
        <f t="shared" si="34"/>
        <v>74.278052441715516</v>
      </c>
      <c r="Z139" s="7">
        <f t="shared" si="35"/>
        <v>1206.8555332375831</v>
      </c>
      <c r="AA139" s="8"/>
    </row>
    <row r="140" spans="1:27" ht="15.4" x14ac:dyDescent="0.4">
      <c r="A140" s="2">
        <v>2.2400000000000002</v>
      </c>
      <c r="B140" s="2">
        <v>1.8952313603970199</v>
      </c>
      <c r="C140" s="2">
        <v>1.7012</v>
      </c>
      <c r="D140" s="2">
        <v>1.6119548626672284</v>
      </c>
      <c r="E140" s="2">
        <v>1.699497487437186</v>
      </c>
      <c r="F140" s="2">
        <v>1.6782747049996241</v>
      </c>
      <c r="G140" s="2">
        <v>1.6415991550128473</v>
      </c>
      <c r="I140" s="8"/>
      <c r="J140" s="7">
        <f t="shared" si="24"/>
        <v>0.11886541485368973</v>
      </c>
      <c r="K140" s="7">
        <f t="shared" si="28"/>
        <v>1202.7319702299224</v>
      </c>
      <c r="L140" s="8"/>
      <c r="M140" s="7">
        <f t="shared" si="29"/>
        <v>0.29030544000000019</v>
      </c>
      <c r="N140" s="7">
        <f t="shared" si="25"/>
        <v>1202.7319702299224</v>
      </c>
      <c r="O140" s="8"/>
      <c r="P140" s="7">
        <f t="shared" si="26"/>
        <v>0.39444069452734015</v>
      </c>
      <c r="Q140" s="7">
        <f t="shared" si="27"/>
        <v>1246.6881571551846</v>
      </c>
      <c r="R140" s="8"/>
      <c r="S140" s="7">
        <f t="shared" si="30"/>
        <v>0.29214296608671514</v>
      </c>
      <c r="T140" s="7">
        <f t="shared" si="31"/>
        <v>1202.7319702299224</v>
      </c>
      <c r="U140" s="8"/>
      <c r="V140" s="7">
        <f t="shared" si="32"/>
        <v>0.31553530704325961</v>
      </c>
      <c r="W140" s="7">
        <f t="shared" si="33"/>
        <v>1202.7319702299224</v>
      </c>
      <c r="X140" s="8"/>
      <c r="Y140" s="7">
        <f t="shared" si="34"/>
        <v>0.35808357128133866</v>
      </c>
      <c r="Z140" s="7">
        <f t="shared" si="35"/>
        <v>1202.7319702299224</v>
      </c>
      <c r="AA140" s="8"/>
    </row>
    <row r="141" spans="1:27" ht="15.4" x14ac:dyDescent="0.4">
      <c r="A141" s="2">
        <v>2.36</v>
      </c>
      <c r="B141" s="2">
        <v>2.680644744303438</v>
      </c>
      <c r="C141" s="2">
        <v>2.7872467309270199</v>
      </c>
      <c r="D141" s="2">
        <v>2.2526412991561857</v>
      </c>
      <c r="E141" s="2">
        <v>2.6118089271730618</v>
      </c>
      <c r="F141" s="2">
        <v>2.8686628958482401</v>
      </c>
      <c r="G141" s="2">
        <v>2.633422788653792</v>
      </c>
      <c r="I141" s="8"/>
      <c r="J141" s="7">
        <f t="shared" si="24"/>
        <v>0.10281305204941722</v>
      </c>
      <c r="K141" s="7">
        <f t="shared" si="28"/>
        <v>1194.4230679114169</v>
      </c>
      <c r="L141" s="8"/>
      <c r="M141" s="7">
        <f t="shared" si="29"/>
        <v>0.18253976908782546</v>
      </c>
      <c r="N141" s="7">
        <f t="shared" si="25"/>
        <v>1194.4230679114169</v>
      </c>
      <c r="O141" s="8"/>
      <c r="P141" s="7">
        <f t="shared" si="26"/>
        <v>1.1525890646871583E-2</v>
      </c>
      <c r="Q141" s="7">
        <f t="shared" si="27"/>
        <v>1201.8553187442367</v>
      </c>
      <c r="R141" s="8"/>
      <c r="S141" s="7">
        <f t="shared" si="30"/>
        <v>6.3407735804048404E-2</v>
      </c>
      <c r="T141" s="7">
        <f t="shared" si="31"/>
        <v>1194.4230679114169</v>
      </c>
      <c r="U141" s="8"/>
      <c r="V141" s="7">
        <f t="shared" si="32"/>
        <v>0.25873794161271768</v>
      </c>
      <c r="W141" s="7">
        <f t="shared" si="33"/>
        <v>1194.4230679114169</v>
      </c>
      <c r="X141" s="8"/>
      <c r="Y141" s="7">
        <f t="shared" si="34"/>
        <v>7.4760021355216269E-2</v>
      </c>
      <c r="Z141" s="7">
        <f t="shared" si="35"/>
        <v>1194.4230679114169</v>
      </c>
      <c r="AA141" s="8"/>
    </row>
    <row r="142" spans="1:27" ht="15.4" x14ac:dyDescent="0.4">
      <c r="A142" s="2">
        <v>2.57</v>
      </c>
      <c r="B142" s="2">
        <v>1.1386000000000001</v>
      </c>
      <c r="C142" s="2">
        <v>0.916004057990363</v>
      </c>
      <c r="D142" s="2">
        <v>0.45650411179020711</v>
      </c>
      <c r="E142" s="2">
        <v>0.59800796812749013</v>
      </c>
      <c r="F142" s="2">
        <v>1.5738472662515235</v>
      </c>
      <c r="G142" s="2">
        <v>1.0575599105360112</v>
      </c>
      <c r="I142" s="8"/>
      <c r="J142" s="7">
        <f t="shared" si="24"/>
        <v>2.0489059599999995</v>
      </c>
      <c r="K142" s="7">
        <f t="shared" si="28"/>
        <v>1179.9517888540317</v>
      </c>
      <c r="L142" s="8"/>
      <c r="M142" s="7">
        <f t="shared" si="29"/>
        <v>2.7357025761843459</v>
      </c>
      <c r="N142" s="7">
        <f t="shared" si="25"/>
        <v>1179.9517888540317</v>
      </c>
      <c r="O142" s="8"/>
      <c r="P142" s="7">
        <f t="shared" si="26"/>
        <v>4.4668648694797009</v>
      </c>
      <c r="Q142" s="7">
        <f t="shared" si="27"/>
        <v>1329.6176233247008</v>
      </c>
      <c r="R142" s="8"/>
      <c r="S142" s="7">
        <f t="shared" si="30"/>
        <v>3.8887525737686692</v>
      </c>
      <c r="T142" s="7">
        <f t="shared" si="31"/>
        <v>1179.9517888540317</v>
      </c>
      <c r="U142" s="8"/>
      <c r="V142" s="7">
        <f t="shared" si="32"/>
        <v>0.99232026895456282</v>
      </c>
      <c r="W142" s="7">
        <f t="shared" si="33"/>
        <v>1179.9517888540317</v>
      </c>
      <c r="X142" s="8"/>
      <c r="Y142" s="7">
        <f t="shared" si="34"/>
        <v>2.2874750242178381</v>
      </c>
      <c r="Z142" s="7">
        <f t="shared" si="35"/>
        <v>1179.9517888540317</v>
      </c>
      <c r="AA142" s="8"/>
    </row>
    <row r="143" spans="1:27" ht="15.4" x14ac:dyDescent="0.4">
      <c r="A143" s="2">
        <v>2.7330000000000001</v>
      </c>
      <c r="B143" s="2">
        <v>2.8174999999999999</v>
      </c>
      <c r="C143" s="2">
        <v>2.5465712481293901</v>
      </c>
      <c r="D143" s="2">
        <v>1.0066988349440602</v>
      </c>
      <c r="E143" s="2">
        <v>1.3095539568345322</v>
      </c>
      <c r="F143" s="2">
        <v>14.138787194724388</v>
      </c>
      <c r="G143" s="2">
        <v>4.8869043762971192</v>
      </c>
      <c r="I143" s="8"/>
      <c r="J143" s="7">
        <f t="shared" si="24"/>
        <v>7.1402499999999661E-3</v>
      </c>
      <c r="K143" s="7">
        <f t="shared" si="28"/>
        <v>1168.780118871395</v>
      </c>
      <c r="L143" s="8"/>
      <c r="M143" s="7">
        <f t="shared" si="29"/>
        <v>3.4755679524033481E-2</v>
      </c>
      <c r="N143" s="7">
        <f t="shared" si="25"/>
        <v>1168.780118871395</v>
      </c>
      <c r="O143" s="8"/>
      <c r="P143" s="7">
        <f t="shared" si="26"/>
        <v>2.9801157124734954</v>
      </c>
      <c r="Q143" s="7">
        <f t="shared" si="27"/>
        <v>1289.7958223813673</v>
      </c>
      <c r="R143" s="8"/>
      <c r="S143" s="7">
        <f t="shared" si="30"/>
        <v>2.0261986378034269</v>
      </c>
      <c r="T143" s="7">
        <f t="shared" si="31"/>
        <v>1168.780118871395</v>
      </c>
      <c r="U143" s="8"/>
      <c r="V143" s="7">
        <f t="shared" si="32"/>
        <v>130.09198153133883</v>
      </c>
      <c r="W143" s="7">
        <f t="shared" si="33"/>
        <v>1168.780118871395</v>
      </c>
      <c r="X143" s="8"/>
      <c r="Y143" s="7">
        <f t="shared" si="34"/>
        <v>4.6393040622318811</v>
      </c>
      <c r="Z143" s="7">
        <f t="shared" si="35"/>
        <v>1168.780118871395</v>
      </c>
      <c r="AA143" s="8"/>
    </row>
    <row r="144" spans="1:27" ht="15.4" x14ac:dyDescent="0.4">
      <c r="A144" s="2">
        <v>2.8612805714285727</v>
      </c>
      <c r="B144" s="2">
        <v>2.4725000000000001</v>
      </c>
      <c r="C144" s="2">
        <v>1.8973974879645801</v>
      </c>
      <c r="D144" s="2">
        <v>0.97185490870598235</v>
      </c>
      <c r="E144" s="2">
        <v>1.2202677160830722</v>
      </c>
      <c r="F144" s="2">
        <v>4.0380560769068197</v>
      </c>
      <c r="G144" s="2">
        <v>2.6971268136945019</v>
      </c>
      <c r="I144" s="8"/>
      <c r="J144" s="7">
        <f t="shared" si="24"/>
        <v>0.15115033272032743</v>
      </c>
      <c r="K144" s="7">
        <f t="shared" si="28"/>
        <v>1160.0254096065737</v>
      </c>
      <c r="L144" s="8"/>
      <c r="M144" s="7">
        <f t="shared" si="29"/>
        <v>0.92907059858805419</v>
      </c>
      <c r="N144" s="7">
        <f t="shared" si="25"/>
        <v>1160.0254096065737</v>
      </c>
      <c r="O144" s="8"/>
      <c r="P144" s="7">
        <f t="shared" si="26"/>
        <v>3.5699293349546997</v>
      </c>
      <c r="Q144" s="7">
        <f t="shared" si="27"/>
        <v>1292.2997870239055</v>
      </c>
      <c r="R144" s="8"/>
      <c r="S144" s="7">
        <f t="shared" si="30"/>
        <v>2.6929231914091929</v>
      </c>
      <c r="T144" s="7">
        <f t="shared" si="31"/>
        <v>1160.0254096065737</v>
      </c>
      <c r="U144" s="8"/>
      <c r="V144" s="7">
        <f t="shared" si="32"/>
        <v>1.3848005902935836</v>
      </c>
      <c r="W144" s="7">
        <f t="shared" si="33"/>
        <v>1160.0254096065737</v>
      </c>
      <c r="X144" s="8"/>
      <c r="Y144" s="7">
        <f t="shared" si="34"/>
        <v>2.6946456178216015E-2</v>
      </c>
      <c r="Z144" s="7">
        <f t="shared" si="35"/>
        <v>1160.0254096065737</v>
      </c>
      <c r="AA144" s="8"/>
    </row>
    <row r="145" spans="1:27" ht="15.4" x14ac:dyDescent="0.4">
      <c r="A145" s="2">
        <v>2.92</v>
      </c>
      <c r="B145" s="2">
        <v>2.8524673567079102</v>
      </c>
      <c r="C145" s="2">
        <v>2.0013000000000001</v>
      </c>
      <c r="D145" s="2">
        <v>1.6431156658384898</v>
      </c>
      <c r="E145" s="2">
        <v>1.9767048282727726</v>
      </c>
      <c r="F145" s="2">
        <v>1.9779500076578245</v>
      </c>
      <c r="G145" s="2">
        <v>1.7727373622106413</v>
      </c>
      <c r="I145" s="8"/>
      <c r="J145" s="7">
        <f t="shared" si="24"/>
        <v>4.5606579100166342E-3</v>
      </c>
      <c r="K145" s="7">
        <f t="shared" si="28"/>
        <v>1156.0289904250565</v>
      </c>
      <c r="L145" s="8"/>
      <c r="M145" s="7">
        <f t="shared" si="29"/>
        <v>0.8440096899999997</v>
      </c>
      <c r="N145" s="7">
        <f t="shared" si="25"/>
        <v>1156.0289904250565</v>
      </c>
      <c r="O145" s="8"/>
      <c r="P145" s="7">
        <f t="shared" si="26"/>
        <v>1.6304336028270832</v>
      </c>
      <c r="Q145" s="7">
        <f t="shared" si="27"/>
        <v>1244.4886474916759</v>
      </c>
      <c r="R145" s="8"/>
      <c r="S145" s="7">
        <f t="shared" si="30"/>
        <v>0.88980578100389929</v>
      </c>
      <c r="T145" s="7">
        <f t="shared" si="31"/>
        <v>1156.0289904250565</v>
      </c>
      <c r="U145" s="8"/>
      <c r="V145" s="7">
        <f t="shared" si="32"/>
        <v>0.88745818807189281</v>
      </c>
      <c r="W145" s="7">
        <f t="shared" si="33"/>
        <v>1156.0289904250565</v>
      </c>
      <c r="X145" s="8"/>
      <c r="Y145" s="7">
        <f t="shared" si="34"/>
        <v>1.3162115600673971</v>
      </c>
      <c r="Z145" s="7">
        <f t="shared" si="35"/>
        <v>1156.0289904250565</v>
      </c>
      <c r="AA145" s="8"/>
    </row>
    <row r="146" spans="1:27" ht="15.4" x14ac:dyDescent="0.4">
      <c r="A146" s="2">
        <v>2.9870000000000001</v>
      </c>
      <c r="B146" s="2">
        <v>2.9984999999999999</v>
      </c>
      <c r="C146" s="2">
        <v>4.7932347991735504</v>
      </c>
      <c r="D146" s="2">
        <v>1.2706290182487288</v>
      </c>
      <c r="E146" s="2">
        <v>1.7954651997129871</v>
      </c>
      <c r="F146" s="2">
        <v>-6.4540212136552171</v>
      </c>
      <c r="G146" s="2">
        <v>-39.862017836533809</v>
      </c>
      <c r="I146" s="8"/>
      <c r="J146" s="7">
        <f t="shared" si="24"/>
        <v>1.3224999999999641E-4</v>
      </c>
      <c r="K146" s="7">
        <f t="shared" si="28"/>
        <v>1151.4774222972239</v>
      </c>
      <c r="L146" s="8"/>
      <c r="M146" s="7">
        <f t="shared" si="29"/>
        <v>3.2624841497455157</v>
      </c>
      <c r="N146" s="7">
        <f t="shared" si="25"/>
        <v>1151.4774222972239</v>
      </c>
      <c r="O146" s="8"/>
      <c r="P146" s="7">
        <f t="shared" si="26"/>
        <v>2.9459293469978229</v>
      </c>
      <c r="Q146" s="7">
        <f t="shared" si="27"/>
        <v>1270.9080481627057</v>
      </c>
      <c r="R146" s="8"/>
      <c r="S146" s="7">
        <f t="shared" si="30"/>
        <v>1.4197551802950119</v>
      </c>
      <c r="T146" s="7">
        <f t="shared" si="31"/>
        <v>1151.4774222972239</v>
      </c>
      <c r="U146" s="8"/>
      <c r="V146" s="7">
        <f t="shared" si="32"/>
        <v>89.132881556687835</v>
      </c>
      <c r="W146" s="7">
        <f t="shared" si="33"/>
        <v>1151.4774222972239</v>
      </c>
      <c r="X146" s="8"/>
      <c r="Y146" s="7">
        <f t="shared" si="34"/>
        <v>1836.0383295555928</v>
      </c>
      <c r="Z146" s="7">
        <f t="shared" si="35"/>
        <v>1151.4774222972239</v>
      </c>
      <c r="AA146" s="8"/>
    </row>
    <row r="147" spans="1:27" ht="15.4" x14ac:dyDescent="0.4">
      <c r="A147" s="1">
        <v>3.0157259999999995</v>
      </c>
      <c r="B147" s="2">
        <v>2.5853999999999999</v>
      </c>
      <c r="C147" s="2">
        <v>2.3939249861975802</v>
      </c>
      <c r="D147" s="2">
        <v>1.0815984490729238</v>
      </c>
      <c r="E147" s="1">
        <v>1.402631083202512</v>
      </c>
      <c r="F147" s="1">
        <v>8.5069519980872101</v>
      </c>
      <c r="G147" s="1">
        <v>4.1539004160220792</v>
      </c>
      <c r="I147" s="8"/>
      <c r="J147" s="7">
        <f t="shared" si="24"/>
        <v>0.1851804662759996</v>
      </c>
      <c r="K147" s="7">
        <f t="shared" si="28"/>
        <v>1149.5287042709551</v>
      </c>
      <c r="L147" s="8"/>
      <c r="M147" s="7">
        <f t="shared" si="29"/>
        <v>0.38663650076571637</v>
      </c>
      <c r="N147" s="7">
        <f t="shared" si="25"/>
        <v>1149.5287042709551</v>
      </c>
      <c r="O147" s="8"/>
      <c r="P147" s="7">
        <f t="shared" si="26"/>
        <v>3.7408493832551675</v>
      </c>
      <c r="Q147" s="7">
        <f t="shared" si="27"/>
        <v>1284.4215836713799</v>
      </c>
      <c r="R147" s="8"/>
      <c r="S147" s="7">
        <f t="shared" si="30"/>
        <v>2.602075210597893</v>
      </c>
      <c r="T147" s="7">
        <f t="shared" si="31"/>
        <v>1149.5287042709551</v>
      </c>
      <c r="U147" s="8"/>
      <c r="V147" s="7">
        <f t="shared" si="32"/>
        <v>30.153562962068889</v>
      </c>
      <c r="W147" s="7">
        <f t="shared" si="33"/>
        <v>1149.5287042709551</v>
      </c>
      <c r="X147" s="8"/>
      <c r="Y147" s="7">
        <f t="shared" si="34"/>
        <v>1.2954410012872022</v>
      </c>
      <c r="Z147" s="7">
        <f t="shared" si="35"/>
        <v>1149.5287042709551</v>
      </c>
      <c r="AA147" s="8"/>
    </row>
    <row r="148" spans="1:27" ht="15.4" x14ac:dyDescent="0.4">
      <c r="A148" s="2">
        <v>3.07</v>
      </c>
      <c r="B148" s="2">
        <v>4.1323807091287836</v>
      </c>
      <c r="C148" s="2">
        <v>4.0019339949894004</v>
      </c>
      <c r="D148" s="2">
        <v>2.6816729786677325</v>
      </c>
      <c r="E148" s="2">
        <v>3.3920158527715993</v>
      </c>
      <c r="F148" s="2">
        <v>4.6462782660705377</v>
      </c>
      <c r="G148" s="2">
        <v>3.8311902890202756</v>
      </c>
      <c r="I148" s="8"/>
      <c r="J148" s="7">
        <f t="shared" si="24"/>
        <v>1.1286527711289775</v>
      </c>
      <c r="K148" s="7">
        <f t="shared" si="28"/>
        <v>1145.8513625269243</v>
      </c>
      <c r="L148" s="8"/>
      <c r="M148" s="7">
        <f t="shared" si="29"/>
        <v>0.86850097101690404</v>
      </c>
      <c r="N148" s="7">
        <f t="shared" si="25"/>
        <v>1145.8513625269243</v>
      </c>
      <c r="O148" s="8"/>
      <c r="P148" s="7">
        <f t="shared" si="26"/>
        <v>0.15079787549679124</v>
      </c>
      <c r="Q148" s="7">
        <f t="shared" si="27"/>
        <v>1172.292230855287</v>
      </c>
      <c r="R148" s="8"/>
      <c r="S148" s="7">
        <f t="shared" si="30"/>
        <v>0.10369420943622044</v>
      </c>
      <c r="T148" s="7">
        <f t="shared" si="31"/>
        <v>1145.8513625269243</v>
      </c>
      <c r="U148" s="8"/>
      <c r="V148" s="7">
        <f t="shared" si="32"/>
        <v>2.4846531720863414</v>
      </c>
      <c r="W148" s="7">
        <f t="shared" si="33"/>
        <v>1145.8513625269243</v>
      </c>
      <c r="X148" s="8"/>
      <c r="Y148" s="7">
        <f t="shared" si="34"/>
        <v>0.57941065609877096</v>
      </c>
      <c r="Z148" s="7">
        <f t="shared" si="35"/>
        <v>1145.8513625269243</v>
      </c>
      <c r="AA148" s="8"/>
    </row>
    <row r="149" spans="1:27" ht="15.4" x14ac:dyDescent="0.4">
      <c r="A149" s="2">
        <v>3.17</v>
      </c>
      <c r="B149" s="2">
        <v>3.9635035039171198</v>
      </c>
      <c r="C149" s="2">
        <v>2.5663999999999998</v>
      </c>
      <c r="D149" s="2">
        <v>1.6895895753096462</v>
      </c>
      <c r="E149" s="2">
        <v>2.445526101510902</v>
      </c>
      <c r="F149" s="2">
        <v>2.669655947209745</v>
      </c>
      <c r="G149" s="2">
        <v>2.0061532428833866</v>
      </c>
      <c r="I149" s="8"/>
      <c r="J149" s="7">
        <f t="shared" si="24"/>
        <v>0.62964781072874665</v>
      </c>
      <c r="K149" s="7">
        <f t="shared" si="28"/>
        <v>1139.0912772615027</v>
      </c>
      <c r="L149" s="8"/>
      <c r="M149" s="7">
        <f t="shared" si="29"/>
        <v>0.36433296000000015</v>
      </c>
      <c r="N149" s="7">
        <f t="shared" si="25"/>
        <v>1139.0912772615027</v>
      </c>
      <c r="O149" s="8"/>
      <c r="P149" s="7">
        <f t="shared" si="26"/>
        <v>2.1916150255318736</v>
      </c>
      <c r="Q149" s="7">
        <f t="shared" si="27"/>
        <v>1241.2118582318217</v>
      </c>
      <c r="R149" s="8"/>
      <c r="S149" s="7">
        <f t="shared" si="30"/>
        <v>0.52486242959199181</v>
      </c>
      <c r="T149" s="7">
        <f t="shared" si="31"/>
        <v>1139.0912772615027</v>
      </c>
      <c r="U149" s="8"/>
      <c r="V149" s="7">
        <f t="shared" si="32"/>
        <v>0.25034417116257746</v>
      </c>
      <c r="W149" s="7">
        <f t="shared" si="33"/>
        <v>1139.0912772615027</v>
      </c>
      <c r="X149" s="8"/>
      <c r="Y149" s="7">
        <f t="shared" si="34"/>
        <v>1.3545392740508571</v>
      </c>
      <c r="Z149" s="7">
        <f t="shared" si="35"/>
        <v>1139.0912772615027</v>
      </c>
      <c r="AA149" s="8"/>
    </row>
    <row r="150" spans="1:27" ht="15.4" x14ac:dyDescent="0.4">
      <c r="A150" s="2">
        <v>3.1885493684210524</v>
      </c>
      <c r="B150" s="2">
        <v>2.6917</v>
      </c>
      <c r="C150" s="2">
        <v>3.0538683777440898</v>
      </c>
      <c r="D150" s="2">
        <v>1.2063767053657077</v>
      </c>
      <c r="E150" s="2">
        <v>1.6224052341883894</v>
      </c>
      <c r="F150" s="2">
        <v>132.17073865370477</v>
      </c>
      <c r="G150" s="2">
        <v>7.716686714087805</v>
      </c>
      <c r="I150" s="8"/>
      <c r="J150" s="7">
        <f t="shared" si="24"/>
        <v>0.24685929490039868</v>
      </c>
      <c r="K150" s="7">
        <f t="shared" si="28"/>
        <v>1137.8395231559537</v>
      </c>
      <c r="L150" s="8"/>
      <c r="M150" s="7">
        <f t="shared" si="29"/>
        <v>1.8138969249728087E-2</v>
      </c>
      <c r="N150" s="7">
        <f t="shared" si="25"/>
        <v>1137.8395231559537</v>
      </c>
      <c r="O150" s="8"/>
      <c r="P150" s="7">
        <f t="shared" si="26"/>
        <v>3.9290084661639169</v>
      </c>
      <c r="Q150" s="7">
        <f t="shared" si="27"/>
        <v>1275.4933403842265</v>
      </c>
      <c r="R150" s="8"/>
      <c r="S150" s="7">
        <f t="shared" si="30"/>
        <v>2.4528074491913774</v>
      </c>
      <c r="T150" s="7">
        <f t="shared" si="31"/>
        <v>1137.8395231559537</v>
      </c>
      <c r="U150" s="8"/>
      <c r="V150" s="7">
        <f t="shared" si="32"/>
        <v>16636.405152824755</v>
      </c>
      <c r="W150" s="7">
        <f t="shared" si="33"/>
        <v>1137.8395231559537</v>
      </c>
      <c r="X150" s="8"/>
      <c r="Y150" s="7">
        <f t="shared" si="34"/>
        <v>20.50402782122195</v>
      </c>
      <c r="Z150" s="7">
        <f t="shared" si="35"/>
        <v>1137.8395231559537</v>
      </c>
      <c r="AA150" s="8"/>
    </row>
    <row r="151" spans="1:27" ht="15.4" x14ac:dyDescent="0.4">
      <c r="A151" s="1">
        <v>3.4298880000000009</v>
      </c>
      <c r="B151" s="2">
        <v>2.7925</v>
      </c>
      <c r="C151" s="2">
        <v>3.9344270952212299</v>
      </c>
      <c r="D151" s="2">
        <v>1.3495064797624317</v>
      </c>
      <c r="E151" s="1">
        <v>1.8924178367535873</v>
      </c>
      <c r="F151" s="1">
        <v>-11.695639271997848</v>
      </c>
      <c r="G151" s="1">
        <v>28.992236225227323</v>
      </c>
      <c r="I151" s="8"/>
      <c r="J151" s="7">
        <f t="shared" si="24"/>
        <v>0.4062634625440012</v>
      </c>
      <c r="K151" s="7">
        <f t="shared" si="28"/>
        <v>1121.6161574394484</v>
      </c>
      <c r="L151" s="8"/>
      <c r="M151" s="7">
        <f t="shared" si="29"/>
        <v>0.25455969860665634</v>
      </c>
      <c r="N151" s="7">
        <f t="shared" si="25"/>
        <v>1121.6161574394484</v>
      </c>
      <c r="O151" s="8"/>
      <c r="P151" s="7">
        <f t="shared" si="26"/>
        <v>4.3279872697459805</v>
      </c>
      <c r="Q151" s="7">
        <f t="shared" si="27"/>
        <v>1265.2903387862386</v>
      </c>
      <c r="R151" s="8"/>
      <c r="S151" s="7">
        <f t="shared" si="30"/>
        <v>2.3638145028729536</v>
      </c>
      <c r="T151" s="7">
        <f t="shared" si="31"/>
        <v>1121.6161574394484</v>
      </c>
      <c r="U151" s="8"/>
      <c r="V151" s="7">
        <f t="shared" si="32"/>
        <v>228.78157525595071</v>
      </c>
      <c r="W151" s="7">
        <f t="shared" si="33"/>
        <v>1121.6161574394484</v>
      </c>
      <c r="X151" s="8"/>
      <c r="Y151" s="7">
        <f t="shared" si="34"/>
        <v>653.43364678778244</v>
      </c>
      <c r="Z151" s="7">
        <f t="shared" si="35"/>
        <v>1121.6161574394484</v>
      </c>
      <c r="AA151" s="8"/>
    </row>
    <row r="152" spans="1:27" ht="15.4" x14ac:dyDescent="0.4">
      <c r="A152" s="2">
        <v>3.4809999999999999</v>
      </c>
      <c r="B152" s="2">
        <v>4.2492999999999999</v>
      </c>
      <c r="C152" s="2">
        <v>0.55996765065702403</v>
      </c>
      <c r="D152" s="2">
        <v>0.43990512497028772</v>
      </c>
      <c r="E152" s="2">
        <v>0.46165956180368156</v>
      </c>
      <c r="F152" s="2">
        <v>0.66179122435871274</v>
      </c>
      <c r="G152" s="2">
        <v>0.63692777968689085</v>
      </c>
      <c r="I152" s="8"/>
      <c r="J152" s="7">
        <f t="shared" si="24"/>
        <v>0.59028488999999995</v>
      </c>
      <c r="K152" s="7">
        <f t="shared" si="28"/>
        <v>1118.195233086042</v>
      </c>
      <c r="L152" s="8"/>
      <c r="M152" s="7">
        <f t="shared" si="29"/>
        <v>8.5324299859081449</v>
      </c>
      <c r="N152" s="7">
        <f t="shared" si="25"/>
        <v>1118.195233086042</v>
      </c>
      <c r="O152" s="8"/>
      <c r="P152" s="7">
        <f t="shared" si="26"/>
        <v>9.2482580389319793</v>
      </c>
      <c r="Q152" s="7">
        <f t="shared" si="27"/>
        <v>1330.8284271795737</v>
      </c>
      <c r="R152" s="8"/>
      <c r="S152" s="7">
        <f t="shared" si="30"/>
        <v>9.1164166817275358</v>
      </c>
      <c r="T152" s="7">
        <f t="shared" si="31"/>
        <v>1118.195233086042</v>
      </c>
      <c r="U152" s="8"/>
      <c r="V152" s="7">
        <f t="shared" si="32"/>
        <v>7.9479381206528439</v>
      </c>
      <c r="W152" s="7">
        <f t="shared" si="33"/>
        <v>1118.195233086042</v>
      </c>
      <c r="X152" s="8"/>
      <c r="Y152" s="7">
        <f t="shared" si="34"/>
        <v>8.0887467943567373</v>
      </c>
      <c r="Z152" s="7">
        <f t="shared" si="35"/>
        <v>1118.195233086042</v>
      </c>
      <c r="AA152" s="8"/>
    </row>
    <row r="153" spans="1:27" ht="15.4" x14ac:dyDescent="0.4">
      <c r="A153" s="1">
        <v>3.6082632705882354</v>
      </c>
      <c r="B153" s="2">
        <v>2.8885999999999998</v>
      </c>
      <c r="C153" s="2">
        <v>5.1130830738826898</v>
      </c>
      <c r="D153" s="2">
        <v>1.5153576374228992</v>
      </c>
      <c r="E153" s="1">
        <v>2.2321179391141501</v>
      </c>
      <c r="F153" s="1">
        <v>-6.084064792694055</v>
      </c>
      <c r="G153" s="1">
        <v>-21.281502202061279</v>
      </c>
      <c r="I153" s="8"/>
      <c r="J153" s="7">
        <f t="shared" si="24"/>
        <v>0.51791522303375592</v>
      </c>
      <c r="K153" s="7">
        <f t="shared" si="28"/>
        <v>1109.7002075041187</v>
      </c>
      <c r="L153" s="8"/>
      <c r="M153" s="7">
        <f t="shared" si="29"/>
        <v>2.2644826403871603</v>
      </c>
      <c r="N153" s="7">
        <f t="shared" si="25"/>
        <v>1109.7002075041187</v>
      </c>
      <c r="O153" s="8"/>
      <c r="P153" s="7">
        <f t="shared" si="26"/>
        <v>4.3802539893351966</v>
      </c>
      <c r="Q153" s="7">
        <f t="shared" si="27"/>
        <v>1253.5188889212761</v>
      </c>
      <c r="R153" s="8"/>
      <c r="S153" s="7">
        <f t="shared" si="30"/>
        <v>1.89377597333792</v>
      </c>
      <c r="T153" s="7">
        <f t="shared" si="31"/>
        <v>1109.7002075041187</v>
      </c>
      <c r="U153" s="8"/>
      <c r="V153" s="7">
        <f t="shared" si="32"/>
        <v>93.941223286289414</v>
      </c>
      <c r="W153" s="7">
        <f t="shared" si="33"/>
        <v>1109.7002075041187</v>
      </c>
      <c r="X153" s="8"/>
      <c r="Y153" s="7">
        <f t="shared" si="34"/>
        <v>619.50042528349593</v>
      </c>
      <c r="Z153" s="7">
        <f t="shared" si="35"/>
        <v>1109.7002075041187</v>
      </c>
      <c r="AA153" s="8"/>
    </row>
    <row r="154" spans="1:27" ht="15.4" x14ac:dyDescent="0.4">
      <c r="A154" s="1">
        <v>4.0682268000000006</v>
      </c>
      <c r="B154" s="2">
        <v>2.9807000000000001</v>
      </c>
      <c r="C154" s="2">
        <v>6.6772379580550902</v>
      </c>
      <c r="D154" s="2">
        <v>1.7098070644108052</v>
      </c>
      <c r="E154" s="1">
        <v>2.6724812481248126</v>
      </c>
      <c r="F154" s="1">
        <v>-4.323465041989305</v>
      </c>
      <c r="G154" s="1">
        <v>-8.5525591375047334</v>
      </c>
      <c r="I154" s="8"/>
      <c r="J154" s="7">
        <f t="shared" si="24"/>
        <v>1.1827145407182409</v>
      </c>
      <c r="K154" s="7">
        <f t="shared" si="28"/>
        <v>1079.2670137688744</v>
      </c>
      <c r="L154" s="8"/>
      <c r="M154" s="7">
        <f t="shared" si="29"/>
        <v>6.8069392228559602</v>
      </c>
      <c r="N154" s="7">
        <f t="shared" si="25"/>
        <v>1079.2670137688744</v>
      </c>
      <c r="O154" s="8"/>
      <c r="P154" s="7">
        <f t="shared" si="26"/>
        <v>5.5621436492166101</v>
      </c>
      <c r="Q154" s="7">
        <f t="shared" si="27"/>
        <v>1239.7877088625792</v>
      </c>
      <c r="R154" s="8"/>
      <c r="S154" s="7">
        <f t="shared" si="30"/>
        <v>1.948105645579373</v>
      </c>
      <c r="T154" s="7">
        <f t="shared" si="31"/>
        <v>1079.2670137688744</v>
      </c>
      <c r="U154" s="8"/>
      <c r="V154" s="7">
        <f t="shared" si="32"/>
        <v>70.420491970909879</v>
      </c>
      <c r="W154" s="7">
        <f t="shared" si="33"/>
        <v>1079.2670137688744</v>
      </c>
      <c r="X154" s="8"/>
      <c r="Y154" s="7">
        <f t="shared" si="34"/>
        <v>159.28423768031726</v>
      </c>
      <c r="Z154" s="7">
        <f t="shared" si="35"/>
        <v>1079.2670137688744</v>
      </c>
      <c r="AA154" s="8"/>
    </row>
    <row r="155" spans="1:27" ht="15.4" x14ac:dyDescent="0.4">
      <c r="A155" s="2">
        <v>4.0999999999999996</v>
      </c>
      <c r="B155" s="2">
        <v>5.7590000000000003</v>
      </c>
      <c r="C155" s="2">
        <v>5.9990164356216198</v>
      </c>
      <c r="D155" s="2">
        <v>3.181723965392123</v>
      </c>
      <c r="E155" s="2">
        <v>4.4067256723004906</v>
      </c>
      <c r="F155" s="2">
        <v>8.6502804187025966</v>
      </c>
      <c r="G155" s="2">
        <v>5.9223191356159255</v>
      </c>
      <c r="I155" s="8"/>
      <c r="J155" s="7">
        <f t="shared" si="24"/>
        <v>2.7522810000000022</v>
      </c>
      <c r="K155" s="7">
        <f t="shared" si="28"/>
        <v>1077.1803842930831</v>
      </c>
      <c r="L155" s="8"/>
      <c r="M155" s="7">
        <f t="shared" si="29"/>
        <v>3.6062634227610428</v>
      </c>
      <c r="N155" s="7">
        <f t="shared" si="25"/>
        <v>1077.1803842930831</v>
      </c>
      <c r="O155" s="8"/>
      <c r="P155" s="7">
        <f t="shared" si="26"/>
        <v>0.84323087573516631</v>
      </c>
      <c r="Q155" s="7">
        <f t="shared" si="27"/>
        <v>1138.3000370524105</v>
      </c>
      <c r="R155" s="8"/>
      <c r="S155" s="7">
        <f t="shared" si="30"/>
        <v>9.408063804818817E-2</v>
      </c>
      <c r="T155" s="7">
        <f t="shared" si="31"/>
        <v>1077.1803842930831</v>
      </c>
      <c r="U155" s="8"/>
      <c r="V155" s="7">
        <f t="shared" si="32"/>
        <v>20.70505188882828</v>
      </c>
      <c r="W155" s="7">
        <f t="shared" si="33"/>
        <v>1077.1803842930831</v>
      </c>
      <c r="X155" s="8"/>
      <c r="Y155" s="7">
        <f t="shared" si="34"/>
        <v>3.320847032031975</v>
      </c>
      <c r="Z155" s="7">
        <f t="shared" si="35"/>
        <v>1077.1803842930831</v>
      </c>
      <c r="AA155" s="8"/>
    </row>
    <row r="156" spans="1:27" ht="15.4" x14ac:dyDescent="0.4">
      <c r="A156" s="2">
        <v>4.3360000000000003</v>
      </c>
      <c r="B156" s="2">
        <v>4.7276999999999996</v>
      </c>
      <c r="C156" s="2">
        <v>0.81405653925251897</v>
      </c>
      <c r="D156" s="2">
        <v>0.54570235495814279</v>
      </c>
      <c r="E156" s="2">
        <v>0.58223154815610867</v>
      </c>
      <c r="F156" s="2">
        <v>1.1756501915679178</v>
      </c>
      <c r="G156" s="2">
        <v>1.0906980553517776</v>
      </c>
      <c r="I156" s="8"/>
      <c r="J156" s="7">
        <f t="shared" si="24"/>
        <v>0.15342888999999943</v>
      </c>
      <c r="K156" s="7">
        <f t="shared" si="28"/>
        <v>1061.7448390666884</v>
      </c>
      <c r="L156" s="8"/>
      <c r="M156" s="7">
        <f t="shared" si="29"/>
        <v>12.404085740701946</v>
      </c>
      <c r="N156" s="7">
        <f t="shared" si="25"/>
        <v>1061.7448390666884</v>
      </c>
      <c r="O156" s="8"/>
      <c r="P156" s="7">
        <f t="shared" si="26"/>
        <v>14.366356238009852</v>
      </c>
      <c r="Q156" s="7">
        <f t="shared" si="27"/>
        <v>1323.120544050048</v>
      </c>
      <c r="R156" s="8"/>
      <c r="S156" s="7">
        <f t="shared" si="30"/>
        <v>14.090777590058487</v>
      </c>
      <c r="T156" s="7">
        <f t="shared" si="31"/>
        <v>1061.7448390666884</v>
      </c>
      <c r="U156" s="8"/>
      <c r="V156" s="7">
        <f t="shared" si="32"/>
        <v>9.9878109116566982</v>
      </c>
      <c r="W156" s="7">
        <f t="shared" si="33"/>
        <v>1061.7448390666884</v>
      </c>
      <c r="X156" s="8"/>
      <c r="Y156" s="7">
        <f t="shared" si="34"/>
        <v>10.531984711937536</v>
      </c>
      <c r="Z156" s="7">
        <f t="shared" si="35"/>
        <v>1061.7448390666884</v>
      </c>
      <c r="AA156" s="8"/>
    </row>
    <row r="157" spans="1:27" ht="15.4" x14ac:dyDescent="0.4">
      <c r="A157" s="1">
        <v>5.13</v>
      </c>
      <c r="B157" s="2">
        <v>6.2408999999999999</v>
      </c>
      <c r="C157" s="2">
        <v>9.4618094360558906</v>
      </c>
      <c r="D157" s="2">
        <v>3.7720196457053485</v>
      </c>
      <c r="E157" s="1">
        <v>5.7803621420315903</v>
      </c>
      <c r="F157" s="1">
        <v>22.752999242562439</v>
      </c>
      <c r="G157" s="1">
        <v>10.037516192940346</v>
      </c>
      <c r="I157" s="8"/>
      <c r="J157" s="7">
        <f t="shared" si="24"/>
        <v>1.2340988100000001</v>
      </c>
      <c r="K157" s="7">
        <f t="shared" si="28"/>
        <v>1010.631206059242</v>
      </c>
      <c r="L157" s="8"/>
      <c r="M157" s="7">
        <f t="shared" si="29"/>
        <v>18.764572990302856</v>
      </c>
      <c r="N157" s="7">
        <f t="shared" si="25"/>
        <v>1010.631206059242</v>
      </c>
      <c r="O157" s="8"/>
      <c r="P157" s="7">
        <f t="shared" si="26"/>
        <v>1.8441106426502267</v>
      </c>
      <c r="Q157" s="7">
        <f t="shared" si="27"/>
        <v>1098.8168655156187</v>
      </c>
      <c r="R157" s="8"/>
      <c r="S157" s="7">
        <f t="shared" si="30"/>
        <v>0.42297091578791851</v>
      </c>
      <c r="T157" s="7">
        <f t="shared" si="31"/>
        <v>1010.631206059242</v>
      </c>
      <c r="U157" s="8"/>
      <c r="V157" s="7">
        <f t="shared" si="32"/>
        <v>310.57010230335629</v>
      </c>
      <c r="W157" s="7">
        <f t="shared" si="33"/>
        <v>1010.631206059242</v>
      </c>
      <c r="X157" s="8"/>
      <c r="Y157" s="7">
        <f t="shared" si="34"/>
        <v>24.083715183971712</v>
      </c>
      <c r="Z157" s="7">
        <f t="shared" si="35"/>
        <v>1010.631206059242</v>
      </c>
      <c r="AA157" s="8"/>
    </row>
    <row r="158" spans="1:27" ht="15.4" x14ac:dyDescent="0.4">
      <c r="A158" s="1">
        <v>5.1733333333333302</v>
      </c>
      <c r="B158" s="2">
        <v>3.2675999999999998</v>
      </c>
      <c r="C158" s="2">
        <v>2.3213613633101602</v>
      </c>
      <c r="D158" s="2">
        <v>2.2448704930965784</v>
      </c>
      <c r="E158" s="1">
        <v>2.3060278207109741</v>
      </c>
      <c r="F158" s="1">
        <v>2.268744827821477</v>
      </c>
      <c r="G158" s="1">
        <v>2.2509638972827033</v>
      </c>
      <c r="I158" s="8"/>
      <c r="J158" s="7">
        <f t="shared" si="24"/>
        <v>3.6318195377777664</v>
      </c>
      <c r="K158" s="7">
        <f t="shared" si="28"/>
        <v>1007.8779135553372</v>
      </c>
      <c r="L158" s="8"/>
      <c r="M158" s="7">
        <f t="shared" si="29"/>
        <v>8.1337441177978409</v>
      </c>
      <c r="N158" s="7">
        <f t="shared" si="25"/>
        <v>1007.8779135553372</v>
      </c>
      <c r="O158" s="8"/>
      <c r="P158" s="7">
        <f t="shared" si="26"/>
        <v>8.5758946066475037</v>
      </c>
      <c r="Q158" s="7">
        <f t="shared" si="27"/>
        <v>1202.3941723976004</v>
      </c>
      <c r="R158" s="8"/>
      <c r="S158" s="7">
        <f t="shared" si="30"/>
        <v>8.2214409027145532</v>
      </c>
      <c r="T158" s="7">
        <f t="shared" si="31"/>
        <v>1007.8779135553372</v>
      </c>
      <c r="U158" s="8"/>
      <c r="V158" s="7">
        <f t="shared" si="32"/>
        <v>8.4366343863515816</v>
      </c>
      <c r="W158" s="7">
        <f t="shared" si="33"/>
        <v>1007.8779135553372</v>
      </c>
      <c r="X158" s="8"/>
      <c r="Y158" s="7">
        <f t="shared" si="34"/>
        <v>8.5402431207628595</v>
      </c>
      <c r="Z158" s="7">
        <f t="shared" si="35"/>
        <v>1007.8779135553372</v>
      </c>
      <c r="AA158" s="8"/>
    </row>
    <row r="159" spans="1:27" ht="15.4" x14ac:dyDescent="0.4">
      <c r="A159" s="2">
        <v>5.5149999999999997</v>
      </c>
      <c r="B159" s="2">
        <v>5.2096999999999998</v>
      </c>
      <c r="C159" s="2">
        <v>1.38427422153321</v>
      </c>
      <c r="D159" s="2">
        <v>0.71622948090017813</v>
      </c>
      <c r="E159" s="2">
        <v>0.78280420691307939</v>
      </c>
      <c r="F159" s="2">
        <v>3.7845933957862528</v>
      </c>
      <c r="G159" s="2">
        <v>3.0044228546947709</v>
      </c>
      <c r="I159" s="8"/>
      <c r="J159" s="7">
        <f t="shared" si="24"/>
        <v>9.3208089999999938E-2</v>
      </c>
      <c r="K159" s="7">
        <f t="shared" si="28"/>
        <v>986.30080278736921</v>
      </c>
      <c r="L159" s="8"/>
      <c r="M159" s="7">
        <f t="shared" si="29"/>
        <v>17.062895456890065</v>
      </c>
      <c r="N159" s="7">
        <f t="shared" si="25"/>
        <v>986.30080278736921</v>
      </c>
      <c r="O159" s="8"/>
      <c r="P159" s="7">
        <f t="shared" si="26"/>
        <v>23.028198494981574</v>
      </c>
      <c r="Q159" s="7">
        <f t="shared" si="27"/>
        <v>1310.7438692789196</v>
      </c>
      <c r="R159" s="8"/>
      <c r="S159" s="7">
        <f t="shared" si="30"/>
        <v>22.39367702410955</v>
      </c>
      <c r="T159" s="7">
        <f t="shared" si="31"/>
        <v>986.30080278736921</v>
      </c>
      <c r="U159" s="8"/>
      <c r="V159" s="7">
        <f t="shared" si="32"/>
        <v>2.9943070159065508</v>
      </c>
      <c r="W159" s="7">
        <f t="shared" si="33"/>
        <v>986.30080278736921</v>
      </c>
      <c r="X159" s="8"/>
      <c r="Y159" s="7">
        <f t="shared" si="34"/>
        <v>6.3029976025289516</v>
      </c>
      <c r="Z159" s="7">
        <f t="shared" si="35"/>
        <v>986.30080278736921</v>
      </c>
      <c r="AA159" s="8"/>
    </row>
    <row r="160" spans="1:27" ht="15.4" x14ac:dyDescent="0.4">
      <c r="A160" s="2">
        <v>5.68</v>
      </c>
      <c r="B160" s="2">
        <v>5.6799027458735303</v>
      </c>
      <c r="C160" s="2">
        <v>3.9386999999999999</v>
      </c>
      <c r="D160" s="2">
        <v>1.7671086081566365</v>
      </c>
      <c r="E160" s="2">
        <v>3.4206896551724144</v>
      </c>
      <c r="F160" s="2">
        <v>4.8402071046504949</v>
      </c>
      <c r="G160" s="2">
        <v>2.4768981637857466</v>
      </c>
      <c r="I160" s="8"/>
      <c r="J160" s="7">
        <f t="shared" si="24"/>
        <v>9.458365115333265E-9</v>
      </c>
      <c r="K160" s="7">
        <f t="shared" si="28"/>
        <v>975.96423709942383</v>
      </c>
      <c r="L160" s="8"/>
      <c r="M160" s="7">
        <f t="shared" si="29"/>
        <v>3.0321256899999995</v>
      </c>
      <c r="N160" s="7">
        <f t="shared" si="25"/>
        <v>975.96423709942383</v>
      </c>
      <c r="O160" s="8"/>
      <c r="P160" s="7">
        <f t="shared" si="26"/>
        <v>15.310719044361893</v>
      </c>
      <c r="Q160" s="7">
        <f t="shared" si="27"/>
        <v>1235.7557466494964</v>
      </c>
      <c r="R160" s="8"/>
      <c r="S160" s="7">
        <f t="shared" si="30"/>
        <v>5.1044832342449427</v>
      </c>
      <c r="T160" s="7">
        <f t="shared" si="31"/>
        <v>975.96423709942383</v>
      </c>
      <c r="U160" s="8"/>
      <c r="V160" s="7">
        <f t="shared" si="32"/>
        <v>0.70525210707950436</v>
      </c>
      <c r="W160" s="7">
        <f t="shared" si="33"/>
        <v>975.96423709942383</v>
      </c>
      <c r="X160" s="8"/>
      <c r="Y160" s="7">
        <f t="shared" si="34"/>
        <v>10.25986137315912</v>
      </c>
      <c r="Z160" s="7">
        <f t="shared" si="35"/>
        <v>975.96423709942383</v>
      </c>
      <c r="AA160" s="8"/>
    </row>
    <row r="161" spans="1:27" ht="15.4" x14ac:dyDescent="0.4">
      <c r="A161" s="2">
        <v>5.9200000000000008</v>
      </c>
      <c r="B161" s="2">
        <v>5.3413000000000004</v>
      </c>
      <c r="C161" s="2">
        <v>2.71390913998103</v>
      </c>
      <c r="D161" s="2">
        <v>2.5105785914346845</v>
      </c>
      <c r="E161" s="2">
        <v>2.6449511400651469</v>
      </c>
      <c r="F161" s="2">
        <v>2.6828330515988945</v>
      </c>
      <c r="G161" s="2">
        <v>2.6264469632256553</v>
      </c>
      <c r="I161" s="8"/>
      <c r="J161" s="7">
        <f t="shared" si="24"/>
        <v>0.33489369000000052</v>
      </c>
      <c r="K161" s="7">
        <f t="shared" si="28"/>
        <v>961.02643246241212</v>
      </c>
      <c r="L161" s="8"/>
      <c r="M161" s="7">
        <f t="shared" si="29"/>
        <v>10.279018602697183</v>
      </c>
      <c r="N161" s="7">
        <f t="shared" si="25"/>
        <v>961.02643246241212</v>
      </c>
      <c r="O161" s="8"/>
      <c r="P161" s="7">
        <f t="shared" si="26"/>
        <v>11.624154341183505</v>
      </c>
      <c r="Q161" s="7">
        <f t="shared" si="27"/>
        <v>1184.0376211921791</v>
      </c>
      <c r="R161" s="8"/>
      <c r="S161" s="7">
        <f t="shared" si="30"/>
        <v>10.725945034960587</v>
      </c>
      <c r="T161" s="7">
        <f t="shared" si="31"/>
        <v>961.02643246241212</v>
      </c>
      <c r="U161" s="8"/>
      <c r="V161" s="7">
        <f t="shared" si="32"/>
        <v>10.479249851820532</v>
      </c>
      <c r="W161" s="7">
        <f t="shared" si="33"/>
        <v>961.02643246241212</v>
      </c>
      <c r="X161" s="8"/>
      <c r="Y161" s="7">
        <f t="shared" si="34"/>
        <v>10.847491606045514</v>
      </c>
      <c r="Z161" s="7">
        <f t="shared" si="35"/>
        <v>961.02643246241212</v>
      </c>
      <c r="AA161" s="8"/>
    </row>
    <row r="162" spans="1:27" ht="15.4" x14ac:dyDescent="0.4">
      <c r="A162" s="2">
        <v>6.64</v>
      </c>
      <c r="B162" s="2">
        <v>6.4638999999999998</v>
      </c>
      <c r="C162" s="2">
        <v>12.137448727276499</v>
      </c>
      <c r="D162" s="2">
        <v>4.1090042837185612</v>
      </c>
      <c r="E162" s="2">
        <v>6.6670640442666933</v>
      </c>
      <c r="F162" s="2">
        <v>61.47319763530659</v>
      </c>
      <c r="G162" s="2">
        <v>13.898263250189622</v>
      </c>
      <c r="I162" s="8"/>
      <c r="J162" s="7">
        <f t="shared" si="24"/>
        <v>3.1011209999999973E-2</v>
      </c>
      <c r="K162" s="7">
        <f t="shared" si="28"/>
        <v>916.90421855137765</v>
      </c>
      <c r="L162" s="8"/>
      <c r="M162" s="7">
        <f t="shared" si="29"/>
        <v>30.221942509034008</v>
      </c>
      <c r="N162" s="7">
        <f t="shared" si="25"/>
        <v>916.90421855137765</v>
      </c>
      <c r="O162" s="8"/>
      <c r="P162" s="7">
        <f t="shared" si="26"/>
        <v>6.405939315834992</v>
      </c>
      <c r="Q162" s="7">
        <f t="shared" si="27"/>
        <v>1076.5894165093816</v>
      </c>
      <c r="R162" s="8"/>
      <c r="S162" s="7">
        <f t="shared" si="30"/>
        <v>7.324624920695519E-4</v>
      </c>
      <c r="T162" s="7">
        <f t="shared" si="31"/>
        <v>916.90421855137765</v>
      </c>
      <c r="U162" s="8"/>
      <c r="V162" s="7">
        <f t="shared" si="32"/>
        <v>3006.6795629125922</v>
      </c>
      <c r="W162" s="7">
        <f t="shared" si="33"/>
        <v>916.90421855137765</v>
      </c>
      <c r="X162" s="8"/>
      <c r="Y162" s="7">
        <f t="shared" si="34"/>
        <v>52.682385409053218</v>
      </c>
      <c r="Z162" s="7">
        <f t="shared" si="35"/>
        <v>916.90421855137765</v>
      </c>
      <c r="AA162" s="8"/>
    </row>
    <row r="163" spans="1:27" ht="15.4" x14ac:dyDescent="0.4">
      <c r="A163" s="2">
        <v>6.8559999999999999</v>
      </c>
      <c r="B163" s="2">
        <v>5.7225999999999999</v>
      </c>
      <c r="C163" s="2">
        <v>3.1553315189093198</v>
      </c>
      <c r="D163" s="2">
        <v>1.0370747342017177</v>
      </c>
      <c r="E163" s="2">
        <v>1.1825281494853994</v>
      </c>
      <c r="F163" s="2">
        <v>-4.4703963082739495</v>
      </c>
      <c r="G163" s="2">
        <v>-6.3495889773012619</v>
      </c>
      <c r="I163" s="8"/>
      <c r="J163" s="7">
        <f t="shared" si="24"/>
        <v>1.2845955599999999</v>
      </c>
      <c r="K163" s="7">
        <f t="shared" si="28"/>
        <v>903.86973037806717</v>
      </c>
      <c r="L163" s="8"/>
      <c r="M163" s="7">
        <f t="shared" si="29"/>
        <v>13.694947206938</v>
      </c>
      <c r="N163" s="7">
        <f t="shared" si="25"/>
        <v>903.86973037806717</v>
      </c>
      <c r="O163" s="8"/>
      <c r="P163" s="7">
        <f t="shared" si="26"/>
        <v>33.859891248945608</v>
      </c>
      <c r="Q163" s="7">
        <f t="shared" si="27"/>
        <v>1287.6149215400853</v>
      </c>
      <c r="R163" s="8"/>
      <c r="S163" s="7">
        <f t="shared" si="30"/>
        <v>32.188282838581564</v>
      </c>
      <c r="T163" s="7">
        <f t="shared" si="31"/>
        <v>903.86973037806717</v>
      </c>
      <c r="U163" s="8"/>
      <c r="V163" s="7">
        <f t="shared" si="32"/>
        <v>128.28725333208175</v>
      </c>
      <c r="W163" s="7">
        <f t="shared" si="33"/>
        <v>903.86973037806717</v>
      </c>
      <c r="X163" s="8"/>
      <c r="Y163" s="7">
        <f t="shared" si="34"/>
        <v>174.38758023742056</v>
      </c>
      <c r="Z163" s="7">
        <f t="shared" si="35"/>
        <v>903.86973037806717</v>
      </c>
      <c r="AA163" s="8"/>
    </row>
    <row r="164" spans="1:27" ht="15.4" x14ac:dyDescent="0.4">
      <c r="A164" s="2">
        <v>7.08</v>
      </c>
      <c r="B164" s="2">
        <v>6.6769999999999996</v>
      </c>
      <c r="C164" s="2">
        <v>15.7984131414303</v>
      </c>
      <c r="D164" s="2">
        <v>4.4794129279740798</v>
      </c>
      <c r="E164" s="2">
        <v>7.7442851199556229</v>
      </c>
      <c r="F164" s="2">
        <v>-140.92656438651053</v>
      </c>
      <c r="G164" s="2">
        <v>20.802739575765841</v>
      </c>
      <c r="I164" s="8"/>
      <c r="J164" s="7">
        <f t="shared" si="24"/>
        <v>0.16240900000000039</v>
      </c>
      <c r="K164" s="7">
        <f t="shared" si="28"/>
        <v>890.45104338352326</v>
      </c>
      <c r="L164" s="8"/>
      <c r="M164" s="7">
        <f t="shared" si="29"/>
        <v>76.010727704664561</v>
      </c>
      <c r="N164" s="7">
        <f t="shared" si="25"/>
        <v>890.45104338352326</v>
      </c>
      <c r="O164" s="8"/>
      <c r="P164" s="7">
        <f t="shared" si="26"/>
        <v>6.7630531191883492</v>
      </c>
      <c r="Q164" s="7">
        <f t="shared" si="27"/>
        <v>1052.4193503627462</v>
      </c>
      <c r="R164" s="8"/>
      <c r="S164" s="7">
        <f t="shared" si="30"/>
        <v>0.44127472059445616</v>
      </c>
      <c r="T164" s="7">
        <f t="shared" si="31"/>
        <v>890.45104338352326</v>
      </c>
      <c r="U164" s="8"/>
      <c r="V164" s="7">
        <f t="shared" si="32"/>
        <v>21905.943101498291</v>
      </c>
      <c r="W164" s="7">
        <f t="shared" si="33"/>
        <v>890.45104338352326</v>
      </c>
      <c r="X164" s="8"/>
      <c r="Y164" s="7">
        <f t="shared" si="34"/>
        <v>188.31358146429005</v>
      </c>
      <c r="Z164" s="7">
        <f t="shared" si="35"/>
        <v>890.45104338352326</v>
      </c>
      <c r="AA164" s="8"/>
    </row>
    <row r="165" spans="1:27" ht="15.4" x14ac:dyDescent="0.4">
      <c r="A165" s="2">
        <v>7.4133333333333331</v>
      </c>
      <c r="B165" s="2">
        <v>9.7270000000000003</v>
      </c>
      <c r="C165" s="2">
        <v>3.8006439825110698</v>
      </c>
      <c r="D165" s="2">
        <v>3.116136408776371</v>
      </c>
      <c r="E165" s="2">
        <v>3.4452554744525545</v>
      </c>
      <c r="F165" s="2">
        <v>4.0713790976201514</v>
      </c>
      <c r="G165" s="2">
        <v>3.8225595752465189</v>
      </c>
      <c r="I165" s="8"/>
      <c r="J165" s="7">
        <f t="shared" si="24"/>
        <v>5.3530534444444466</v>
      </c>
      <c r="K165" s="7">
        <f t="shared" si="28"/>
        <v>870.66853694322936</v>
      </c>
      <c r="L165" s="8"/>
      <c r="M165" s="7">
        <f t="shared" si="29"/>
        <v>13.051524345544586</v>
      </c>
      <c r="N165" s="7">
        <f t="shared" si="25"/>
        <v>870.66853694322936</v>
      </c>
      <c r="O165" s="8"/>
      <c r="P165" s="7">
        <f t="shared" si="26"/>
        <v>18.465901408421814</v>
      </c>
      <c r="Q165" s="7">
        <f t="shared" si="27"/>
        <v>1142.7300168825755</v>
      </c>
      <c r="R165" s="8"/>
      <c r="S165" s="7">
        <f t="shared" si="30"/>
        <v>15.745641894139863</v>
      </c>
      <c r="T165" s="7">
        <f t="shared" si="31"/>
        <v>870.66853694322936</v>
      </c>
      <c r="U165" s="8"/>
      <c r="V165" s="7">
        <f t="shared" si="32"/>
        <v>11.168658113601277</v>
      </c>
      <c r="W165" s="7">
        <f t="shared" si="33"/>
        <v>870.66853694322936</v>
      </c>
      <c r="X165" s="8"/>
      <c r="Y165" s="7">
        <f t="shared" si="34"/>
        <v>12.893656181764904</v>
      </c>
      <c r="Z165" s="7">
        <f t="shared" si="35"/>
        <v>870.66853694322936</v>
      </c>
      <c r="AA165" s="8"/>
    </row>
    <row r="166" spans="1:27" ht="15.4" x14ac:dyDescent="0.4">
      <c r="A166" s="2">
        <v>7.9</v>
      </c>
      <c r="B166" s="2">
        <v>7.8887243298906</v>
      </c>
      <c r="C166" s="2">
        <v>15.464734382657801</v>
      </c>
      <c r="D166" s="2">
        <v>9.6968942998398795</v>
      </c>
      <c r="E166" s="2">
        <v>14.860507144582874</v>
      </c>
      <c r="F166" s="2">
        <v>16.435123842573873</v>
      </c>
      <c r="G166" s="2">
        <v>12.73192095653498</v>
      </c>
      <c r="I166" s="8"/>
      <c r="J166" s="7">
        <f t="shared" si="24"/>
        <v>1.2714073641602422E-4</v>
      </c>
      <c r="K166" s="7">
        <f t="shared" si="28"/>
        <v>842.18514420706708</v>
      </c>
      <c r="L166" s="8"/>
      <c r="M166" s="7">
        <f t="shared" si="29"/>
        <v>57.225206280165089</v>
      </c>
      <c r="N166" s="7">
        <f t="shared" si="25"/>
        <v>842.18514420706708</v>
      </c>
      <c r="O166" s="8"/>
      <c r="P166" s="7">
        <f t="shared" si="26"/>
        <v>3.2288291247970493</v>
      </c>
      <c r="Q166" s="7">
        <f t="shared" si="27"/>
        <v>741.12069603965926</v>
      </c>
      <c r="R166" s="8"/>
      <c r="S166" s="7">
        <f t="shared" si="30"/>
        <v>48.448659709789226</v>
      </c>
      <c r="T166" s="7">
        <f t="shared" si="31"/>
        <v>842.18514420706708</v>
      </c>
      <c r="U166" s="8"/>
      <c r="V166" s="7">
        <f t="shared" si="32"/>
        <v>72.848339008072983</v>
      </c>
      <c r="W166" s="7">
        <f t="shared" si="33"/>
        <v>842.18514420706708</v>
      </c>
      <c r="X166" s="8"/>
      <c r="Y166" s="7">
        <f t="shared" si="34"/>
        <v>23.34746013020191</v>
      </c>
      <c r="Z166" s="7">
        <f t="shared" si="35"/>
        <v>842.18514420706708</v>
      </c>
      <c r="AA166" s="8"/>
    </row>
    <row r="167" spans="1:27" ht="15.4" x14ac:dyDescent="0.4">
      <c r="A167" s="2">
        <v>8.1066666666666674</v>
      </c>
      <c r="B167" s="2">
        <v>11.590199999999999</v>
      </c>
      <c r="C167" s="2">
        <v>5.5249916410374897</v>
      </c>
      <c r="D167" s="2">
        <v>3.8458937113264557</v>
      </c>
      <c r="E167" s="2">
        <v>4.4647302904564317</v>
      </c>
      <c r="F167" s="2">
        <v>6.8737612447415124</v>
      </c>
      <c r="G167" s="2">
        <v>6.0141375619303785</v>
      </c>
      <c r="I167" s="8"/>
      <c r="J167" s="7">
        <f t="shared" si="24"/>
        <v>12.135004484444435</v>
      </c>
      <c r="K167" s="7">
        <f t="shared" si="28"/>
        <v>830.23274576964025</v>
      </c>
      <c r="L167" s="8"/>
      <c r="M167" s="7">
        <f t="shared" si="29"/>
        <v>6.665045937957415</v>
      </c>
      <c r="N167" s="7">
        <f t="shared" si="25"/>
        <v>830.23274576964025</v>
      </c>
      <c r="O167" s="8"/>
      <c r="P167" s="7">
        <f t="shared" si="26"/>
        <v>18.154186176958561</v>
      </c>
      <c r="Q167" s="7">
        <f t="shared" si="27"/>
        <v>1093.9247077523562</v>
      </c>
      <c r="R167" s="8"/>
      <c r="S167" s="7">
        <f t="shared" si="30"/>
        <v>13.263700568363344</v>
      </c>
      <c r="T167" s="7">
        <f t="shared" si="31"/>
        <v>830.23274576964025</v>
      </c>
      <c r="U167" s="8"/>
      <c r="V167" s="7">
        <f t="shared" si="32"/>
        <v>1.5200557794124443</v>
      </c>
      <c r="W167" s="7">
        <f t="shared" si="33"/>
        <v>830.23274576964025</v>
      </c>
      <c r="X167" s="8"/>
      <c r="Y167" s="7">
        <f t="shared" si="34"/>
        <v>4.3786780541684545</v>
      </c>
      <c r="Z167" s="7">
        <f t="shared" si="35"/>
        <v>830.23274576964025</v>
      </c>
      <c r="AA167" s="8"/>
    </row>
    <row r="168" spans="1:27" ht="15.4" x14ac:dyDescent="0.4">
      <c r="A168" s="2">
        <v>8.4</v>
      </c>
      <c r="B168" s="2">
        <v>6.8814000000000002</v>
      </c>
      <c r="C168" s="2">
        <v>20.8533718229173</v>
      </c>
      <c r="D168" s="2">
        <v>4.8884778278349934</v>
      </c>
      <c r="E168" s="2">
        <v>9.0808191802371265</v>
      </c>
      <c r="F168" s="2">
        <v>-37.267469168877945</v>
      </c>
      <c r="G168" s="2">
        <v>36.439274135083316</v>
      </c>
      <c r="I168" s="8"/>
      <c r="J168" s="7">
        <f t="shared" si="24"/>
        <v>2.3061459600000007</v>
      </c>
      <c r="K168" s="7">
        <f t="shared" si="28"/>
        <v>813.41471787995977</v>
      </c>
      <c r="L168" s="8"/>
      <c r="M168" s="7">
        <f t="shared" si="29"/>
        <v>155.08646975983055</v>
      </c>
      <c r="N168" s="7">
        <f t="shared" si="25"/>
        <v>813.41471787995977</v>
      </c>
      <c r="O168" s="8"/>
      <c r="P168" s="7">
        <f t="shared" si="26"/>
        <v>12.330787965606449</v>
      </c>
      <c r="Q168" s="7">
        <f t="shared" si="27"/>
        <v>1026.0457246600386</v>
      </c>
      <c r="R168" s="8"/>
      <c r="S168" s="7">
        <f t="shared" si="30"/>
        <v>0.46351475617875249</v>
      </c>
      <c r="T168" s="7">
        <f t="shared" si="31"/>
        <v>813.41471787995977</v>
      </c>
      <c r="U168" s="8"/>
      <c r="V168" s="7">
        <f t="shared" si="32"/>
        <v>2085.5177402904174</v>
      </c>
      <c r="W168" s="7">
        <f t="shared" si="33"/>
        <v>813.41471787995977</v>
      </c>
      <c r="X168" s="8"/>
      <c r="Y168" s="7">
        <f t="shared" si="34"/>
        <v>786.20089402235237</v>
      </c>
      <c r="Z168" s="7">
        <f t="shared" si="35"/>
        <v>813.41471787995977</v>
      </c>
      <c r="AA168" s="8"/>
    </row>
    <row r="169" spans="1:27" ht="15.4" x14ac:dyDescent="0.4">
      <c r="A169" s="2">
        <v>9.6999999999999993</v>
      </c>
      <c r="B169" s="2">
        <v>11.1489067273143</v>
      </c>
      <c r="C169" s="2">
        <v>10.677300000000001</v>
      </c>
      <c r="D169" s="2">
        <v>5.8117830938957518</v>
      </c>
      <c r="E169" s="2">
        <v>7.9656324582338893</v>
      </c>
      <c r="F169" s="2">
        <v>14.455576432341127</v>
      </c>
      <c r="G169" s="2">
        <v>10.254836831717446</v>
      </c>
      <c r="I169" s="8"/>
      <c r="J169" s="7">
        <f t="shared" si="24"/>
        <v>2.0993307044566363</v>
      </c>
      <c r="K169" s="7">
        <f t="shared" si="28"/>
        <v>740.95160942948053</v>
      </c>
      <c r="L169" s="8"/>
      <c r="M169" s="7">
        <f t="shared" si="29"/>
        <v>0.95511529000000273</v>
      </c>
      <c r="N169" s="7">
        <f t="shared" si="25"/>
        <v>740.95160942948053</v>
      </c>
      <c r="O169" s="8"/>
      <c r="P169" s="7">
        <f t="shared" si="26"/>
        <v>15.118230708914886</v>
      </c>
      <c r="Q169" s="7">
        <f t="shared" si="27"/>
        <v>967.74768381124352</v>
      </c>
      <c r="R169" s="8"/>
      <c r="S169" s="7">
        <f t="shared" si="30"/>
        <v>3.0080307699318194</v>
      </c>
      <c r="T169" s="7">
        <f t="shared" si="31"/>
        <v>740.95160942948053</v>
      </c>
      <c r="U169" s="8"/>
      <c r="V169" s="7">
        <f t="shared" si="32"/>
        <v>22.615507203838369</v>
      </c>
      <c r="W169" s="7">
        <f t="shared" si="33"/>
        <v>740.95160942948053</v>
      </c>
      <c r="X169" s="8"/>
      <c r="Y169" s="7">
        <f t="shared" si="34"/>
        <v>0.30784390983025439</v>
      </c>
      <c r="Z169" s="7">
        <f t="shared" si="35"/>
        <v>740.95160942948053</v>
      </c>
      <c r="AA169" s="8"/>
    </row>
    <row r="170" spans="1:27" ht="15.4" x14ac:dyDescent="0.4">
      <c r="A170" s="2">
        <v>10</v>
      </c>
      <c r="B170" s="2">
        <v>7.0782999999999996</v>
      </c>
      <c r="C170" s="2">
        <v>27.875681968358599</v>
      </c>
      <c r="D170" s="2">
        <v>5.3425834422533143</v>
      </c>
      <c r="E170" s="2">
        <v>10.783112622259507</v>
      </c>
      <c r="F170" s="2">
        <v>-22.97226998140189</v>
      </c>
      <c r="G170" s="2">
        <v>104.18018986854496</v>
      </c>
      <c r="I170" s="8"/>
      <c r="J170" s="7">
        <f t="shared" si="24"/>
        <v>8.5363308900000021</v>
      </c>
      <c r="K170" s="7">
        <f t="shared" si="28"/>
        <v>724.7093536332161</v>
      </c>
      <c r="L170" s="8"/>
      <c r="M170" s="7">
        <f t="shared" si="29"/>
        <v>319.54000583390075</v>
      </c>
      <c r="N170" s="7">
        <f t="shared" si="25"/>
        <v>724.7093536332161</v>
      </c>
      <c r="O170" s="8"/>
      <c r="P170" s="7">
        <f t="shared" si="26"/>
        <v>21.691528992372987</v>
      </c>
      <c r="Q170" s="7">
        <f t="shared" si="27"/>
        <v>997.16016126052841</v>
      </c>
      <c r="R170" s="8"/>
      <c r="S170" s="7">
        <f t="shared" si="30"/>
        <v>0.61326537914216139</v>
      </c>
      <c r="T170" s="7">
        <f t="shared" si="31"/>
        <v>724.7093536332161</v>
      </c>
      <c r="U170" s="8"/>
      <c r="V170" s="7">
        <f t="shared" si="32"/>
        <v>1087.1705877264565</v>
      </c>
      <c r="W170" s="7">
        <f t="shared" si="33"/>
        <v>724.7093536332161</v>
      </c>
      <c r="X170" s="8"/>
      <c r="Y170" s="7">
        <f t="shared" si="34"/>
        <v>8869.908163675178</v>
      </c>
      <c r="Z170" s="7">
        <f t="shared" si="35"/>
        <v>724.7093536332161</v>
      </c>
      <c r="AA170" s="8"/>
    </row>
    <row r="171" spans="1:27" ht="15.4" x14ac:dyDescent="0.4">
      <c r="A171" s="2">
        <v>11.81</v>
      </c>
      <c r="B171" s="2">
        <v>8.2082456477919408</v>
      </c>
      <c r="C171" s="2">
        <v>84.362700000000004</v>
      </c>
      <c r="D171" s="2">
        <v>13.01312377791737</v>
      </c>
      <c r="E171" s="2">
        <v>47.903330625507721</v>
      </c>
      <c r="F171" s="2">
        <v>267.65554968306651</v>
      </c>
      <c r="G171" s="2">
        <v>21.947552088493275</v>
      </c>
      <c r="I171" s="8"/>
      <c r="J171" s="7">
        <f t="shared" si="24"/>
        <v>12.9726344136497</v>
      </c>
      <c r="K171" s="7">
        <f t="shared" si="28"/>
        <v>630.53351032908722</v>
      </c>
      <c r="L171" s="8"/>
      <c r="M171" s="7">
        <f t="shared" si="29"/>
        <v>5263.89427729</v>
      </c>
      <c r="N171" s="7">
        <f t="shared" si="25"/>
        <v>630.53351032908722</v>
      </c>
      <c r="O171" s="8"/>
      <c r="P171" s="7">
        <f t="shared" si="26"/>
        <v>1.4475068249901635</v>
      </c>
      <c r="Q171" s="7">
        <f t="shared" si="27"/>
        <v>571.559115178507</v>
      </c>
      <c r="R171" s="8"/>
      <c r="S171" s="7">
        <f t="shared" si="30"/>
        <v>1302.7285156422133</v>
      </c>
      <c r="T171" s="7">
        <f t="shared" si="31"/>
        <v>630.53351032908722</v>
      </c>
      <c r="U171" s="8"/>
      <c r="V171" s="7">
        <f t="shared" si="32"/>
        <v>65456.945292630451</v>
      </c>
      <c r="W171" s="7">
        <f t="shared" si="33"/>
        <v>630.53351032908722</v>
      </c>
      <c r="X171" s="8"/>
      <c r="Y171" s="7">
        <f t="shared" si="34"/>
        <v>102.76996234691435</v>
      </c>
      <c r="Z171" s="7">
        <f t="shared" si="35"/>
        <v>630.53351032908722</v>
      </c>
      <c r="AA171" s="8"/>
    </row>
    <row r="172" spans="1:27" ht="15.4" x14ac:dyDescent="0.4">
      <c r="A172" s="2">
        <v>11.9</v>
      </c>
      <c r="B172" s="2">
        <v>7.2695999999999996</v>
      </c>
      <c r="C172" s="2">
        <v>37.511389543286001</v>
      </c>
      <c r="D172" s="2">
        <v>5.8496020824805086</v>
      </c>
      <c r="E172" s="2">
        <v>13.02510826054149</v>
      </c>
      <c r="F172" s="2">
        <v>-17.337124873756725</v>
      </c>
      <c r="G172" s="2">
        <v>-170.50900334264406</v>
      </c>
      <c r="I172" s="8"/>
      <c r="J172" s="7">
        <f t="shared" si="24"/>
        <v>21.440604160000007</v>
      </c>
      <c r="K172" s="7">
        <f t="shared" si="28"/>
        <v>626.0217335902081</v>
      </c>
      <c r="L172" s="8"/>
      <c r="M172" s="7">
        <f t="shared" si="29"/>
        <v>655.94327433793956</v>
      </c>
      <c r="N172" s="7">
        <f t="shared" si="25"/>
        <v>626.0217335902081</v>
      </c>
      <c r="O172" s="8"/>
      <c r="P172" s="7">
        <f t="shared" si="26"/>
        <v>36.607314960324203</v>
      </c>
      <c r="Q172" s="7">
        <f t="shared" si="27"/>
        <v>965.39611924049291</v>
      </c>
      <c r="R172" s="8"/>
      <c r="S172" s="7">
        <f t="shared" si="30"/>
        <v>1.2658685979386968</v>
      </c>
      <c r="T172" s="7">
        <f t="shared" si="31"/>
        <v>626.0217335902081</v>
      </c>
      <c r="U172" s="8"/>
      <c r="V172" s="7">
        <f t="shared" si="32"/>
        <v>854.80947088364428</v>
      </c>
      <c r="W172" s="7">
        <f t="shared" si="33"/>
        <v>626.0217335902081</v>
      </c>
      <c r="X172" s="8"/>
      <c r="Y172" s="7">
        <f t="shared" si="34"/>
        <v>33273.044500456737</v>
      </c>
      <c r="Z172" s="7">
        <f t="shared" si="35"/>
        <v>626.0217335902081</v>
      </c>
      <c r="AA172" s="8"/>
    </row>
    <row r="173" spans="1:27" ht="15.4" x14ac:dyDescent="0.4">
      <c r="A173" s="2">
        <v>12.03</v>
      </c>
      <c r="B173" s="2">
        <v>12.5552402284584</v>
      </c>
      <c r="C173" s="2">
        <v>24.742899999999999</v>
      </c>
      <c r="D173" s="2">
        <v>7.7345050363139336</v>
      </c>
      <c r="E173" s="2">
        <v>12.708571428571426</v>
      </c>
      <c r="F173" s="2">
        <v>139.09455296248223</v>
      </c>
      <c r="G173" s="2">
        <v>26.659550995695291</v>
      </c>
      <c r="I173" s="8"/>
      <c r="J173" s="7">
        <f t="shared" si="24"/>
        <v>0.27587729759103308</v>
      </c>
      <c r="K173" s="7">
        <f t="shared" si="28"/>
        <v>619.53332274516004</v>
      </c>
      <c r="L173" s="8"/>
      <c r="M173" s="7">
        <f t="shared" si="29"/>
        <v>161.61782640999999</v>
      </c>
      <c r="N173" s="7">
        <f t="shared" si="25"/>
        <v>619.53332274516004</v>
      </c>
      <c r="O173" s="8"/>
      <c r="P173" s="7">
        <f t="shared" si="26"/>
        <v>18.451276983052356</v>
      </c>
      <c r="Q173" s="7">
        <f t="shared" si="27"/>
        <v>851.81800159239015</v>
      </c>
      <c r="R173" s="8"/>
      <c r="S173" s="7">
        <f t="shared" si="30"/>
        <v>0.46045918367346733</v>
      </c>
      <c r="T173" s="7">
        <f t="shared" si="31"/>
        <v>619.53332274516004</v>
      </c>
      <c r="U173" s="8"/>
      <c r="V173" s="7">
        <f t="shared" si="32"/>
        <v>16145.40061955545</v>
      </c>
      <c r="W173" s="7">
        <f t="shared" si="33"/>
        <v>619.53332274516004</v>
      </c>
      <c r="X173" s="8"/>
      <c r="Y173" s="7">
        <f t="shared" si="34"/>
        <v>214.02376233564911</v>
      </c>
      <c r="Z173" s="7">
        <f t="shared" si="35"/>
        <v>619.53332274516004</v>
      </c>
      <c r="AA173" s="8"/>
    </row>
    <row r="174" spans="1:27" ht="15.4" x14ac:dyDescent="0.4">
      <c r="A174" s="2">
        <v>12.906666666666666</v>
      </c>
      <c r="B174" s="2">
        <v>13.0389</v>
      </c>
      <c r="C174" s="2">
        <v>8.3912379041694294</v>
      </c>
      <c r="D174" s="2">
        <v>4.7424264939309531</v>
      </c>
      <c r="E174" s="2">
        <v>5.8076923076923075</v>
      </c>
      <c r="F174" s="2">
        <v>13.87270948455985</v>
      </c>
      <c r="G174" s="2">
        <v>10.53379563774841</v>
      </c>
      <c r="I174" s="8"/>
      <c r="J174" s="7">
        <f t="shared" si="24"/>
        <v>1.7485654444444526E-2</v>
      </c>
      <c r="K174" s="7">
        <f t="shared" si="28"/>
        <v>576.66065302940967</v>
      </c>
      <c r="L174" s="8"/>
      <c r="M174" s="7">
        <f t="shared" si="29"/>
        <v>20.389096909187327</v>
      </c>
      <c r="N174" s="7">
        <f t="shared" si="25"/>
        <v>576.66065302940967</v>
      </c>
      <c r="O174" s="8"/>
      <c r="P174" s="7">
        <f t="shared" si="26"/>
        <v>66.654817598111663</v>
      </c>
      <c r="Q174" s="7">
        <f t="shared" si="27"/>
        <v>1035.4236732639024</v>
      </c>
      <c r="R174" s="8"/>
      <c r="S174" s="7">
        <f t="shared" si="30"/>
        <v>50.395436949375409</v>
      </c>
      <c r="T174" s="7">
        <f t="shared" si="31"/>
        <v>576.66065302940967</v>
      </c>
      <c r="U174" s="8"/>
      <c r="V174" s="7">
        <f t="shared" si="32"/>
        <v>0.93323872600300373</v>
      </c>
      <c r="W174" s="7">
        <f t="shared" si="33"/>
        <v>576.66065302940967</v>
      </c>
      <c r="X174" s="8"/>
      <c r="Y174" s="7">
        <f t="shared" si="34"/>
        <v>5.6305169198795841</v>
      </c>
      <c r="Z174" s="7">
        <f t="shared" si="35"/>
        <v>576.66065302940967</v>
      </c>
      <c r="AA174" s="8"/>
    </row>
    <row r="175" spans="1:27" ht="15.4" x14ac:dyDescent="0.4">
      <c r="A175" s="2">
        <v>13.42</v>
      </c>
      <c r="B175" s="2">
        <v>13.305773693628501</v>
      </c>
      <c r="C175" s="2">
        <v>46.7866</v>
      </c>
      <c r="D175" s="2">
        <v>9.2090766321629545</v>
      </c>
      <c r="E175" s="2">
        <v>17.428978622327786</v>
      </c>
      <c r="F175" s="2">
        <v>-62.192182024676512</v>
      </c>
      <c r="G175" s="2">
        <v>74.134153676213728</v>
      </c>
      <c r="I175" s="8"/>
      <c r="J175" s="7">
        <f t="shared" si="24"/>
        <v>1.3047649067275603E-2</v>
      </c>
      <c r="K175" s="7">
        <f t="shared" si="28"/>
        <v>552.27003755580154</v>
      </c>
      <c r="L175" s="8"/>
      <c r="M175" s="7">
        <f t="shared" si="29"/>
        <v>1113.3299955599998</v>
      </c>
      <c r="N175" s="7">
        <f t="shared" si="25"/>
        <v>552.27003755580154</v>
      </c>
      <c r="O175" s="8"/>
      <c r="P175" s="7">
        <f t="shared" si="26"/>
        <v>17.731875609796084</v>
      </c>
      <c r="Q175" s="7">
        <f t="shared" si="27"/>
        <v>767.91890191549646</v>
      </c>
      <c r="R175" s="8"/>
      <c r="S175" s="7">
        <f t="shared" si="30"/>
        <v>16.071909594281198</v>
      </c>
      <c r="T175" s="7">
        <f t="shared" si="31"/>
        <v>552.27003755580154</v>
      </c>
      <c r="U175" s="8"/>
      <c r="V175" s="7">
        <f t="shared" si="32"/>
        <v>5717.2020705328141</v>
      </c>
      <c r="W175" s="7">
        <f t="shared" si="33"/>
        <v>552.27003755580154</v>
      </c>
      <c r="X175" s="8"/>
      <c r="Y175" s="7">
        <f t="shared" si="34"/>
        <v>3686.2084566188969</v>
      </c>
      <c r="Z175" s="7">
        <f t="shared" si="35"/>
        <v>552.27003755580154</v>
      </c>
      <c r="AA175" s="8"/>
    </row>
    <row r="176" spans="1:27" ht="15.4" x14ac:dyDescent="0.4">
      <c r="A176" s="2">
        <v>14.38</v>
      </c>
      <c r="B176" s="2">
        <v>13.7767071556879</v>
      </c>
      <c r="C176" s="2">
        <v>76.750299999999996</v>
      </c>
      <c r="D176" s="2">
        <v>10.375826977979946</v>
      </c>
      <c r="E176" s="2">
        <v>22.127014218009467</v>
      </c>
      <c r="F176" s="2">
        <v>-36.089659448359619</v>
      </c>
      <c r="G176" s="2">
        <v>1004.2542817270141</v>
      </c>
      <c r="I176" s="8"/>
      <c r="J176" s="7">
        <f t="shared" si="24"/>
        <v>0.36396225599818477</v>
      </c>
      <c r="K176" s="7">
        <f t="shared" si="28"/>
        <v>508.07081900775529</v>
      </c>
      <c r="L176" s="8"/>
      <c r="M176" s="7">
        <f t="shared" si="29"/>
        <v>3890.054322089999</v>
      </c>
      <c r="N176" s="7">
        <f t="shared" si="25"/>
        <v>508.07081900775529</v>
      </c>
      <c r="O176" s="8"/>
      <c r="P176" s="7">
        <f t="shared" si="26"/>
        <v>16.033401590273218</v>
      </c>
      <c r="Q176" s="7">
        <f t="shared" si="27"/>
        <v>704.61575460569645</v>
      </c>
      <c r="R176" s="8"/>
      <c r="S176" s="7">
        <f t="shared" si="30"/>
        <v>60.016229294040826</v>
      </c>
      <c r="T176" s="7">
        <f t="shared" si="31"/>
        <v>508.07081900775529</v>
      </c>
      <c r="U176" s="8"/>
      <c r="V176" s="7">
        <f t="shared" si="32"/>
        <v>2547.1865248333957</v>
      </c>
      <c r="W176" s="7">
        <f t="shared" si="33"/>
        <v>508.07081900775529</v>
      </c>
      <c r="X176" s="8"/>
      <c r="Y176" s="7">
        <f t="shared" si="34"/>
        <v>979851.09362457215</v>
      </c>
      <c r="Z176" s="7">
        <f t="shared" si="35"/>
        <v>508.07081900775529</v>
      </c>
      <c r="AA176" s="8"/>
    </row>
    <row r="177" spans="1:27" ht="15.4" x14ac:dyDescent="0.4">
      <c r="A177" s="2">
        <v>15.8</v>
      </c>
      <c r="B177" s="2">
        <v>15.6957073311697</v>
      </c>
      <c r="C177" s="2">
        <v>15.3683</v>
      </c>
      <c r="D177" s="2">
        <v>15.233076295980478</v>
      </c>
      <c r="E177" s="2">
        <v>15.365661971435653</v>
      </c>
      <c r="F177" s="2">
        <v>15.252692587962258</v>
      </c>
      <c r="G177" s="2">
        <v>15.225161836303107</v>
      </c>
      <c r="I177" s="8"/>
      <c r="J177" s="7">
        <f t="shared" si="24"/>
        <v>1.0876960771746739E-2</v>
      </c>
      <c r="K177" s="7">
        <f t="shared" si="28"/>
        <v>446.07240823877044</v>
      </c>
      <c r="L177" s="8"/>
      <c r="M177" s="7">
        <f t="shared" si="29"/>
        <v>0.18636489000000092</v>
      </c>
      <c r="N177" s="7">
        <f t="shared" si="25"/>
        <v>446.07240823877044</v>
      </c>
      <c r="O177" s="8"/>
      <c r="P177" s="7">
        <f t="shared" si="26"/>
        <v>0.32140248617921541</v>
      </c>
      <c r="Q177" s="7">
        <f t="shared" si="27"/>
        <v>470.34115137261995</v>
      </c>
      <c r="R177" s="8"/>
      <c r="S177" s="7">
        <f t="shared" si="30"/>
        <v>0.18864952305716409</v>
      </c>
      <c r="T177" s="7">
        <f t="shared" si="31"/>
        <v>446.07240823877044</v>
      </c>
      <c r="U177" s="8"/>
      <c r="V177" s="7">
        <f t="shared" si="32"/>
        <v>0.29954540327145135</v>
      </c>
      <c r="W177" s="7">
        <f t="shared" si="33"/>
        <v>446.07240823877044</v>
      </c>
      <c r="X177" s="8"/>
      <c r="Y177" s="7">
        <f t="shared" si="34"/>
        <v>0.33043891444241708</v>
      </c>
      <c r="Z177" s="7">
        <f t="shared" si="35"/>
        <v>446.07240823877044</v>
      </c>
      <c r="AA177" s="8"/>
    </row>
    <row r="178" spans="1:27" ht="15.4" x14ac:dyDescent="0.4">
      <c r="A178" s="2">
        <v>16.7</v>
      </c>
      <c r="B178" s="2">
        <v>16.5667754190052</v>
      </c>
      <c r="C178" s="1">
        <v>15.834099999999999</v>
      </c>
      <c r="D178" s="1">
        <v>15.521247061880597</v>
      </c>
      <c r="E178" s="2">
        <v>15.820733320733323</v>
      </c>
      <c r="F178" s="2">
        <v>15.622693337917584</v>
      </c>
      <c r="G178" s="2">
        <v>15.548344978830508</v>
      </c>
      <c r="I178" s="8"/>
      <c r="J178" s="7">
        <f t="shared" si="24"/>
        <v>1.7748788981239803E-2</v>
      </c>
      <c r="K178" s="7">
        <f t="shared" si="28"/>
        <v>408.86564084997724</v>
      </c>
      <c r="L178" s="8"/>
      <c r="M178" s="7">
        <f t="shared" si="29"/>
        <v>0.7497828099999998</v>
      </c>
      <c r="N178" s="7">
        <f t="shared" si="25"/>
        <v>408.86564084997724</v>
      </c>
      <c r="O178" s="8"/>
      <c r="P178" s="7">
        <f t="shared" si="26"/>
        <v>1.3894584891251227</v>
      </c>
      <c r="Q178" s="7">
        <f t="shared" si="27"/>
        <v>457.92487322531179</v>
      </c>
      <c r="R178" s="8"/>
      <c r="S178" s="7">
        <f t="shared" si="30"/>
        <v>0.77310989326864787</v>
      </c>
      <c r="T178" s="7">
        <f t="shared" si="31"/>
        <v>408.86564084997724</v>
      </c>
      <c r="U178" s="8"/>
      <c r="V178" s="7">
        <f t="shared" si="32"/>
        <v>1.1605896441671562</v>
      </c>
      <c r="W178" s="7">
        <f t="shared" si="33"/>
        <v>408.86564084997724</v>
      </c>
      <c r="X178" s="8"/>
      <c r="Y178" s="7">
        <f t="shared" si="34"/>
        <v>1.3263092877849005</v>
      </c>
      <c r="Z178" s="7">
        <f t="shared" si="35"/>
        <v>408.86564084997724</v>
      </c>
      <c r="AA178" s="8"/>
    </row>
    <row r="179" spans="1:27" ht="15.4" x14ac:dyDescent="0.4">
      <c r="A179" s="2">
        <v>16.79</v>
      </c>
      <c r="B179" s="2">
        <v>14.1025552461237</v>
      </c>
      <c r="C179" s="2">
        <v>103.11190000000001</v>
      </c>
      <c r="D179" s="2">
        <v>11.322034203753596</v>
      </c>
      <c r="E179" s="2">
        <v>26.802836879432618</v>
      </c>
      <c r="F179" s="2">
        <v>-28.944498590485665</v>
      </c>
      <c r="G179" s="2">
        <v>-152.5151706152123</v>
      </c>
      <c r="I179" s="8"/>
      <c r="J179" s="7">
        <f t="shared" si="24"/>
        <v>7.2223593051372434</v>
      </c>
      <c r="K179" s="7">
        <f t="shared" si="28"/>
        <v>405.23406411109789</v>
      </c>
      <c r="L179" s="8"/>
      <c r="M179" s="7">
        <f t="shared" si="29"/>
        <v>7451.4704196100001</v>
      </c>
      <c r="N179" s="7">
        <f t="shared" si="25"/>
        <v>405.23406411109789</v>
      </c>
      <c r="O179" s="8"/>
      <c r="P179" s="7">
        <f t="shared" si="26"/>
        <v>29.898649948920564</v>
      </c>
      <c r="Q179" s="7">
        <f t="shared" si="27"/>
        <v>655.27767930098094</v>
      </c>
      <c r="R179" s="8"/>
      <c r="S179" s="7">
        <f t="shared" si="30"/>
        <v>100.25690237412596</v>
      </c>
      <c r="T179" s="7">
        <f t="shared" si="31"/>
        <v>405.23406411109789</v>
      </c>
      <c r="U179" s="8"/>
      <c r="V179" s="7">
        <f t="shared" si="32"/>
        <v>2091.6443613231354</v>
      </c>
      <c r="W179" s="7">
        <f t="shared" si="33"/>
        <v>405.23406411109789</v>
      </c>
      <c r="X179" s="8"/>
      <c r="Y179" s="7">
        <f t="shared" si="34"/>
        <v>28664.240797046143</v>
      </c>
      <c r="Z179" s="7">
        <f t="shared" si="35"/>
        <v>405.23406411109789</v>
      </c>
      <c r="AA179" s="8"/>
    </row>
    <row r="180" spans="1:27" ht="15.4" x14ac:dyDescent="0.4">
      <c r="A180" s="2">
        <v>18.96</v>
      </c>
      <c r="B180" s="2">
        <v>14.338164147667801</v>
      </c>
      <c r="C180" s="2">
        <v>152.3717</v>
      </c>
      <c r="D180" s="2">
        <v>12.104830376963797</v>
      </c>
      <c r="E180" s="2">
        <v>31.456603773584899</v>
      </c>
      <c r="F180" s="2">
        <v>-25.635553561735602</v>
      </c>
      <c r="G180" s="2">
        <v>-86.345819892764595</v>
      </c>
      <c r="I180" s="8"/>
      <c r="J180" s="7">
        <f t="shared" si="24"/>
        <v>21.361366645903317</v>
      </c>
      <c r="K180" s="7">
        <f t="shared" si="28"/>
        <v>322.57691385145182</v>
      </c>
      <c r="L180" s="8"/>
      <c r="M180" s="7">
        <f t="shared" si="29"/>
        <v>17798.681696889998</v>
      </c>
      <c r="N180" s="7">
        <f t="shared" si="25"/>
        <v>322.57691385145182</v>
      </c>
      <c r="O180" s="8"/>
      <c r="P180" s="7">
        <f t="shared" si="26"/>
        <v>46.99335056059833</v>
      </c>
      <c r="Q180" s="7">
        <f t="shared" si="27"/>
        <v>615.81380236078257</v>
      </c>
      <c r="R180" s="8"/>
      <c r="S180" s="7">
        <f t="shared" si="30"/>
        <v>156.1651058739763</v>
      </c>
      <c r="T180" s="7">
        <f t="shared" si="31"/>
        <v>322.57691385145182</v>
      </c>
      <c r="U180" s="8"/>
      <c r="V180" s="7">
        <f t="shared" si="32"/>
        <v>1988.7633974776286</v>
      </c>
      <c r="W180" s="7">
        <f t="shared" si="33"/>
        <v>322.57691385145182</v>
      </c>
      <c r="X180" s="8"/>
      <c r="Y180" s="7">
        <f t="shared" si="34"/>
        <v>11089.315703287375</v>
      </c>
      <c r="Z180" s="7">
        <f t="shared" si="35"/>
        <v>322.57691385145182</v>
      </c>
      <c r="AA180" s="8"/>
    </row>
    <row r="181" spans="1:27" ht="15.4" x14ac:dyDescent="0.4">
      <c r="A181" s="2">
        <v>19.68</v>
      </c>
      <c r="B181" s="2">
        <v>19.004572621693701</v>
      </c>
      <c r="C181" s="2">
        <v>17.198</v>
      </c>
      <c r="D181" s="2">
        <v>16.326159546949231</v>
      </c>
      <c r="E181" s="2">
        <v>17.109545785766336</v>
      </c>
      <c r="F181" s="2">
        <v>16.867632102327999</v>
      </c>
      <c r="G181" s="2">
        <v>16.60633699347693</v>
      </c>
      <c r="I181" s="8"/>
      <c r="J181" s="7">
        <f t="shared" si="24"/>
        <v>0.45620214336572057</v>
      </c>
      <c r="K181" s="7">
        <f t="shared" si="28"/>
        <v>297.23229994041725</v>
      </c>
      <c r="L181" s="8"/>
      <c r="M181" s="7">
        <f t="shared" si="29"/>
        <v>6.1603239999999966</v>
      </c>
      <c r="N181" s="7">
        <f t="shared" si="25"/>
        <v>297.23229994041725</v>
      </c>
      <c r="O181" s="8"/>
      <c r="P181" s="7">
        <f t="shared" si="26"/>
        <v>11.248245784519783</v>
      </c>
      <c r="Q181" s="7">
        <f t="shared" si="27"/>
        <v>424.12382421232542</v>
      </c>
      <c r="R181" s="8"/>
      <c r="S181" s="7">
        <f t="shared" si="30"/>
        <v>6.6072348674716004</v>
      </c>
      <c r="T181" s="7">
        <f t="shared" si="31"/>
        <v>297.23229994041725</v>
      </c>
      <c r="U181" s="8"/>
      <c r="V181" s="7">
        <f t="shared" si="32"/>
        <v>7.9094131918560295</v>
      </c>
      <c r="W181" s="7">
        <f t="shared" si="33"/>
        <v>297.23229994041725</v>
      </c>
      <c r="X181" s="8"/>
      <c r="Y181" s="7">
        <f t="shared" si="34"/>
        <v>9.4474042776684364</v>
      </c>
      <c r="Z181" s="7">
        <f t="shared" si="35"/>
        <v>297.23229994041725</v>
      </c>
      <c r="AA181" s="8"/>
    </row>
    <row r="182" spans="1:27" ht="15.4" x14ac:dyDescent="0.4">
      <c r="A182" s="2">
        <v>20.27</v>
      </c>
      <c r="B182" s="2">
        <v>17.370482481750201</v>
      </c>
      <c r="C182" s="2">
        <v>16.273099999999999</v>
      </c>
      <c r="D182" s="2">
        <v>15.786425280228762</v>
      </c>
      <c r="E182" s="2">
        <v>16.242430022411902</v>
      </c>
      <c r="F182" s="2">
        <v>16.001586905012228</v>
      </c>
      <c r="G182" s="2">
        <v>15.874448971654306</v>
      </c>
      <c r="I182" s="8"/>
      <c r="J182" s="7">
        <f t="shared" si="24"/>
        <v>8.4072018386374676</v>
      </c>
      <c r="K182" s="7">
        <f t="shared" si="28"/>
        <v>277.23669687443049</v>
      </c>
      <c r="L182" s="8"/>
      <c r="M182" s="7">
        <f t="shared" si="29"/>
        <v>15.97520961</v>
      </c>
      <c r="N182" s="7">
        <f t="shared" si="25"/>
        <v>277.23669687443049</v>
      </c>
      <c r="O182" s="8"/>
      <c r="P182" s="7">
        <f t="shared" si="26"/>
        <v>20.102442267771728</v>
      </c>
      <c r="Q182" s="7">
        <f t="shared" si="27"/>
        <v>446.64600024946645</v>
      </c>
      <c r="R182" s="8"/>
      <c r="S182" s="7">
        <f t="shared" si="30"/>
        <v>16.221319924368988</v>
      </c>
      <c r="T182" s="7">
        <f t="shared" si="31"/>
        <v>277.23669687443049</v>
      </c>
      <c r="U182" s="8"/>
      <c r="V182" s="7">
        <f t="shared" si="32"/>
        <v>18.219350349463085</v>
      </c>
      <c r="W182" s="7">
        <f t="shared" si="33"/>
        <v>277.23669687443049</v>
      </c>
      <c r="X182" s="8"/>
      <c r="Y182" s="7">
        <f t="shared" si="34"/>
        <v>19.32086884279088</v>
      </c>
      <c r="Z182" s="7">
        <f t="shared" si="35"/>
        <v>277.23669687443049</v>
      </c>
      <c r="AA182" s="8"/>
    </row>
    <row r="183" spans="1:27" ht="15.4" x14ac:dyDescent="0.4">
      <c r="A183" s="2">
        <v>20.34</v>
      </c>
      <c r="B183" s="2">
        <v>18.1833933660719</v>
      </c>
      <c r="C183" s="2">
        <v>16.727599999999999</v>
      </c>
      <c r="D183" s="2">
        <v>16.054711125433748</v>
      </c>
      <c r="E183" s="2">
        <v>16.671960727692753</v>
      </c>
      <c r="F183" s="2">
        <v>16.417029585044304</v>
      </c>
      <c r="G183" s="2">
        <v>16.227637295863278</v>
      </c>
      <c r="I183" s="8"/>
      <c r="J183" s="7">
        <f t="shared" si="24"/>
        <v>4.6509521735026871</v>
      </c>
      <c r="K183" s="7">
        <f t="shared" si="28"/>
        <v>274.91053718863549</v>
      </c>
      <c r="L183" s="8"/>
      <c r="M183" s="7">
        <f t="shared" si="29"/>
        <v>13.049433760000007</v>
      </c>
      <c r="N183" s="7">
        <f t="shared" si="25"/>
        <v>274.91053718863549</v>
      </c>
      <c r="O183" s="8"/>
      <c r="P183" s="7">
        <f t="shared" si="26"/>
        <v>18.363700738481292</v>
      </c>
      <c r="Q183" s="7">
        <f t="shared" si="27"/>
        <v>435.37807087735405</v>
      </c>
      <c r="R183" s="8"/>
      <c r="S183" s="7">
        <f t="shared" si="30"/>
        <v>13.45451210318828</v>
      </c>
      <c r="T183" s="7">
        <f t="shared" si="31"/>
        <v>274.91053718863549</v>
      </c>
      <c r="U183" s="8"/>
      <c r="V183" s="7">
        <f t="shared" si="32"/>
        <v>15.389696876617665</v>
      </c>
      <c r="W183" s="7">
        <f t="shared" si="33"/>
        <v>274.91053718863549</v>
      </c>
      <c r="X183" s="8"/>
      <c r="Y183" s="7">
        <f t="shared" si="34"/>
        <v>16.911527010374687</v>
      </c>
      <c r="Z183" s="7">
        <f t="shared" si="35"/>
        <v>274.91053718863549</v>
      </c>
      <c r="AA183" s="8"/>
    </row>
    <row r="184" spans="1:27" ht="15.4" x14ac:dyDescent="0.4">
      <c r="A184" s="2">
        <v>22.6</v>
      </c>
      <c r="B184" s="2">
        <v>19.8335996218688</v>
      </c>
      <c r="C184" s="2">
        <v>17.685300000000002</v>
      </c>
      <c r="D184" s="2">
        <v>16.600826797407496</v>
      </c>
      <c r="E184" s="2">
        <v>17.555413887799137</v>
      </c>
      <c r="F184" s="2">
        <v>17.353034823219058</v>
      </c>
      <c r="G184" s="2">
        <v>17.009791969631184</v>
      </c>
      <c r="I184" s="8"/>
      <c r="J184" s="7">
        <f t="shared" si="24"/>
        <v>7.6529710521244567</v>
      </c>
      <c r="K184" s="7">
        <f t="shared" si="28"/>
        <v>205.07461019011009</v>
      </c>
      <c r="L184" s="8"/>
      <c r="M184" s="7">
        <f t="shared" si="29"/>
        <v>24.15427609</v>
      </c>
      <c r="N184" s="7">
        <f t="shared" si="25"/>
        <v>205.07461019011009</v>
      </c>
      <c r="O184" s="8"/>
      <c r="P184" s="7">
        <f t="shared" si="26"/>
        <v>35.990079114704017</v>
      </c>
      <c r="Q184" s="7">
        <f t="shared" si="27"/>
        <v>412.88612504737966</v>
      </c>
      <c r="R184" s="8"/>
      <c r="S184" s="7">
        <f t="shared" si="30"/>
        <v>25.447849043409832</v>
      </c>
      <c r="T184" s="7">
        <f t="shared" si="31"/>
        <v>205.07461019011009</v>
      </c>
      <c r="U184" s="8"/>
      <c r="V184" s="7">
        <f t="shared" si="32"/>
        <v>27.530643566351873</v>
      </c>
      <c r="W184" s="7">
        <f t="shared" si="33"/>
        <v>205.07461019011009</v>
      </c>
      <c r="X184" s="8"/>
      <c r="Y184" s="7">
        <f t="shared" si="34"/>
        <v>31.250425822800011</v>
      </c>
      <c r="Z184" s="7">
        <f t="shared" si="35"/>
        <v>205.07461019011009</v>
      </c>
      <c r="AA184" s="8"/>
    </row>
    <row r="185" spans="1:27" ht="15.4" x14ac:dyDescent="0.4">
      <c r="A185" s="2">
        <v>24.66</v>
      </c>
      <c r="B185" s="2">
        <v>24.472877999950299</v>
      </c>
      <c r="C185" s="2">
        <v>23.797000000000001</v>
      </c>
      <c r="D185" s="2">
        <v>23.643544983494962</v>
      </c>
      <c r="E185" s="2">
        <v>23.792731649918171</v>
      </c>
      <c r="F185" s="2">
        <v>23.620427400477954</v>
      </c>
      <c r="G185" s="2">
        <v>23.590773490214243</v>
      </c>
      <c r="I185" s="8"/>
      <c r="J185" s="7">
        <f t="shared" si="24"/>
        <v>3.5014642902600354E-2</v>
      </c>
      <c r="K185" s="7">
        <f t="shared" si="28"/>
        <v>150.31805372242772</v>
      </c>
      <c r="L185" s="8"/>
      <c r="M185" s="7">
        <f t="shared" si="29"/>
        <v>0.74476899999999924</v>
      </c>
      <c r="N185" s="7">
        <f t="shared" si="25"/>
        <v>150.31805372242772</v>
      </c>
      <c r="O185" s="8"/>
      <c r="P185" s="7">
        <f t="shared" si="26"/>
        <v>1.0331808005782568</v>
      </c>
      <c r="Q185" s="7">
        <f t="shared" si="27"/>
        <v>176.27557821236343</v>
      </c>
      <c r="R185" s="8"/>
      <c r="S185" s="7">
        <f t="shared" si="30"/>
        <v>0.75215439105365867</v>
      </c>
      <c r="T185" s="7">
        <f t="shared" si="31"/>
        <v>150.31805372242772</v>
      </c>
      <c r="U185" s="8"/>
      <c r="V185" s="7">
        <f t="shared" si="32"/>
        <v>1.0807111896770241</v>
      </c>
      <c r="W185" s="7">
        <f t="shared" si="33"/>
        <v>150.31805372242772</v>
      </c>
      <c r="X185" s="8"/>
      <c r="Y185" s="7">
        <f t="shared" si="34"/>
        <v>1.143245329228632</v>
      </c>
      <c r="Z185" s="7">
        <f t="shared" si="35"/>
        <v>150.31805372242772</v>
      </c>
      <c r="AA185" s="8"/>
    </row>
    <row r="186" spans="1:27" ht="15.4" x14ac:dyDescent="0.4">
      <c r="A186" s="2">
        <v>26.3</v>
      </c>
      <c r="B186" s="2">
        <v>25.789192182363202</v>
      </c>
      <c r="C186" s="2">
        <v>24.4129</v>
      </c>
      <c r="D186" s="2">
        <v>24.092779447526102</v>
      </c>
      <c r="E186" s="2">
        <v>24.395645728940259</v>
      </c>
      <c r="F186" s="2">
        <v>24.117900671753734</v>
      </c>
      <c r="G186" s="2">
        <v>24.047680222254876</v>
      </c>
      <c r="I186" s="8"/>
      <c r="J186" s="7">
        <f t="shared" si="24"/>
        <v>0.26092462655886922</v>
      </c>
      <c r="K186" s="7">
        <f t="shared" si="28"/>
        <v>112.79345536951551</v>
      </c>
      <c r="L186" s="8"/>
      <c r="M186" s="7">
        <f t="shared" si="29"/>
        <v>3.561146410000001</v>
      </c>
      <c r="N186" s="7">
        <f t="shared" si="25"/>
        <v>112.79345536951551</v>
      </c>
      <c r="O186" s="8"/>
      <c r="P186" s="7">
        <f t="shared" si="26"/>
        <v>4.8718225672631839</v>
      </c>
      <c r="Q186" s="7">
        <f t="shared" si="27"/>
        <v>164.54852446723126</v>
      </c>
      <c r="R186" s="8"/>
      <c r="S186" s="7">
        <f t="shared" si="30"/>
        <v>3.626565189703479</v>
      </c>
      <c r="T186" s="7">
        <f t="shared" si="31"/>
        <v>112.79345536951551</v>
      </c>
      <c r="U186" s="8"/>
      <c r="V186" s="7">
        <f t="shared" si="32"/>
        <v>4.7615574783328078</v>
      </c>
      <c r="W186" s="7">
        <f t="shared" si="33"/>
        <v>112.79345536951551</v>
      </c>
      <c r="X186" s="8"/>
      <c r="Y186" s="7">
        <f t="shared" si="34"/>
        <v>5.0729443812218502</v>
      </c>
      <c r="Z186" s="7">
        <f t="shared" si="35"/>
        <v>112.79345536951551</v>
      </c>
      <c r="AA186" s="8"/>
    </row>
    <row r="187" spans="1:27" ht="15.4" x14ac:dyDescent="0.4">
      <c r="A187" s="2">
        <v>27.26</v>
      </c>
      <c r="B187" s="2">
        <v>28.5002065403995</v>
      </c>
      <c r="C187" s="2">
        <v>25.7043</v>
      </c>
      <c r="D187" s="2">
        <v>25.008760390776111</v>
      </c>
      <c r="E187" s="2">
        <v>25.63308905174328</v>
      </c>
      <c r="F187" s="2">
        <v>25.27539321778702</v>
      </c>
      <c r="G187" s="2">
        <v>25.097676440037937</v>
      </c>
      <c r="I187" s="8"/>
      <c r="J187" s="7">
        <f t="shared" si="24"/>
        <v>1.5381122628496922</v>
      </c>
      <c r="K187" s="7">
        <f t="shared" si="28"/>
        <v>93.323836821469328</v>
      </c>
      <c r="L187" s="8"/>
      <c r="M187" s="7">
        <f t="shared" si="29"/>
        <v>2.4202024900000052</v>
      </c>
      <c r="N187" s="7">
        <f t="shared" si="25"/>
        <v>93.323836821469328</v>
      </c>
      <c r="O187" s="8"/>
      <c r="P187" s="7">
        <f t="shared" si="26"/>
        <v>5.0680797781385367</v>
      </c>
      <c r="Q187" s="7">
        <f t="shared" si="27"/>
        <v>141.88778537875467</v>
      </c>
      <c r="R187" s="8"/>
      <c r="S187" s="7">
        <f t="shared" si="30"/>
        <v>2.6468392335575852</v>
      </c>
      <c r="T187" s="7">
        <f t="shared" si="31"/>
        <v>93.323836821469328</v>
      </c>
      <c r="U187" s="8"/>
      <c r="V187" s="7">
        <f t="shared" si="32"/>
        <v>3.9386640800057657</v>
      </c>
      <c r="W187" s="7">
        <f t="shared" si="33"/>
        <v>93.323836821469328</v>
      </c>
      <c r="X187" s="8"/>
      <c r="Y187" s="7">
        <f t="shared" si="34"/>
        <v>4.675643177967018</v>
      </c>
      <c r="Z187" s="7">
        <f t="shared" si="35"/>
        <v>93.323836821469328</v>
      </c>
      <c r="AA187" s="8"/>
    </row>
    <row r="188" spans="1:27" ht="15.4" x14ac:dyDescent="0.4">
      <c r="A188" s="2">
        <v>28.66</v>
      </c>
      <c r="B188" s="2">
        <v>27.133105051848801</v>
      </c>
      <c r="C188" s="2">
        <v>25.048500000000001</v>
      </c>
      <c r="D188" s="2">
        <v>24.547813569666268</v>
      </c>
      <c r="E188" s="2">
        <v>25.009006893451907</v>
      </c>
      <c r="F188" s="2">
        <v>24.671426843823781</v>
      </c>
      <c r="G188" s="2">
        <v>24.551757712410613</v>
      </c>
      <c r="I188" s="8"/>
      <c r="J188" s="7">
        <f t="shared" si="24"/>
        <v>2.3314081826896524</v>
      </c>
      <c r="K188" s="7">
        <f t="shared" si="28"/>
        <v>68.234643105568693</v>
      </c>
      <c r="L188" s="8"/>
      <c r="M188" s="7">
        <f t="shared" si="29"/>
        <v>13.042932249999996</v>
      </c>
      <c r="N188" s="7">
        <f t="shared" si="25"/>
        <v>68.234643105568693</v>
      </c>
      <c r="O188" s="8"/>
      <c r="P188" s="7">
        <f t="shared" si="26"/>
        <v>16.910077237820886</v>
      </c>
      <c r="Q188" s="7">
        <f t="shared" si="27"/>
        <v>153.08154644559454</v>
      </c>
      <c r="R188" s="8"/>
      <c r="S188" s="7">
        <f t="shared" si="30"/>
        <v>13.329750664061693</v>
      </c>
      <c r="T188" s="7">
        <f t="shared" si="31"/>
        <v>68.234643105568693</v>
      </c>
      <c r="U188" s="8"/>
      <c r="V188" s="7">
        <f t="shared" si="32"/>
        <v>15.908715822169526</v>
      </c>
      <c r="W188" s="7">
        <f t="shared" si="33"/>
        <v>68.234643105568693</v>
      </c>
      <c r="X188" s="8"/>
      <c r="Y188" s="7">
        <f t="shared" si="34"/>
        <v>16.877654693537686</v>
      </c>
      <c r="Z188" s="7">
        <f t="shared" si="35"/>
        <v>68.234643105568693</v>
      </c>
      <c r="AA188" s="8"/>
    </row>
    <row r="189" spans="1:27" ht="15.4" x14ac:dyDescent="0.4">
      <c r="A189" s="2">
        <v>28.763100000000001</v>
      </c>
      <c r="B189" s="2">
        <v>29.333200000000001</v>
      </c>
      <c r="C189" s="2">
        <v>33.813400000000001</v>
      </c>
      <c r="D189" s="2">
        <v>29.825627799694317</v>
      </c>
      <c r="E189" s="2">
        <v>33.368078175895768</v>
      </c>
      <c r="F189" s="2">
        <v>33.839063193948874</v>
      </c>
      <c r="G189" s="2">
        <v>32.075356657517972</v>
      </c>
      <c r="I189" s="8"/>
      <c r="J189" s="7">
        <f t="shared" si="24"/>
        <v>0.32501401000000008</v>
      </c>
      <c r="K189" s="7">
        <f t="shared" si="28"/>
        <v>66.541972806919134</v>
      </c>
      <c r="L189" s="8"/>
      <c r="M189" s="7">
        <f t="shared" si="29"/>
        <v>25.505530090000001</v>
      </c>
      <c r="N189" s="7">
        <f t="shared" si="25"/>
        <v>66.541972806919134</v>
      </c>
      <c r="O189" s="8"/>
      <c r="P189" s="7">
        <f t="shared" si="26"/>
        <v>1.1289653251232432</v>
      </c>
      <c r="Q189" s="7">
        <f t="shared" si="27"/>
        <v>50.336166144582549</v>
      </c>
      <c r="R189" s="8"/>
      <c r="S189" s="7">
        <f t="shared" si="30"/>
        <v>21.205824000476301</v>
      </c>
      <c r="T189" s="7">
        <f t="shared" si="31"/>
        <v>66.541972806919134</v>
      </c>
      <c r="U189" s="8"/>
      <c r="V189" s="7">
        <f t="shared" si="32"/>
        <v>25.76540234632364</v>
      </c>
      <c r="W189" s="7">
        <f t="shared" si="33"/>
        <v>66.541972806919134</v>
      </c>
      <c r="X189" s="8"/>
      <c r="Y189" s="7">
        <f t="shared" si="34"/>
        <v>10.971044165272117</v>
      </c>
      <c r="Z189" s="7">
        <f t="shared" si="35"/>
        <v>66.541972806919134</v>
      </c>
      <c r="AA189" s="8"/>
    </row>
    <row r="190" spans="1:27" ht="15.4" x14ac:dyDescent="0.4">
      <c r="A190" s="2">
        <v>30.123799999999999</v>
      </c>
      <c r="B190" s="2">
        <v>30.1113</v>
      </c>
      <c r="C190" s="2">
        <v>35.665700000000001</v>
      </c>
      <c r="D190" s="2">
        <v>30.636231555335513</v>
      </c>
      <c r="E190" s="2">
        <v>35.011952191235061</v>
      </c>
      <c r="F190" s="2">
        <v>36.034042680235643</v>
      </c>
      <c r="G190" s="2">
        <v>33.661563192096388</v>
      </c>
      <c r="I190" s="8"/>
      <c r="J190" s="7">
        <f t="shared" si="24"/>
        <v>1.5624999999998225E-4</v>
      </c>
      <c r="K190" s="7">
        <f t="shared" si="28"/>
        <v>46.194129430329141</v>
      </c>
      <c r="L190" s="8"/>
      <c r="M190" s="7">
        <f t="shared" si="29"/>
        <v>30.71265561000002</v>
      </c>
      <c r="N190" s="7">
        <f t="shared" si="25"/>
        <v>46.194129430329141</v>
      </c>
      <c r="O190" s="8"/>
      <c r="P190" s="7">
        <f t="shared" si="26"/>
        <v>0.26258609890357382</v>
      </c>
      <c r="Q190" s="7">
        <f t="shared" si="27"/>
        <v>39.491103929564844</v>
      </c>
      <c r="R190" s="8"/>
      <c r="S190" s="7">
        <f t="shared" si="30"/>
        <v>23.894031844676132</v>
      </c>
      <c r="T190" s="7">
        <f t="shared" si="31"/>
        <v>46.194129430329141</v>
      </c>
      <c r="U190" s="8"/>
      <c r="V190" s="7">
        <f t="shared" si="32"/>
        <v>34.930968539279007</v>
      </c>
      <c r="W190" s="7">
        <f t="shared" si="33"/>
        <v>46.194129430329141</v>
      </c>
      <c r="X190" s="8"/>
      <c r="Y190" s="7">
        <f t="shared" si="34"/>
        <v>12.515768403352029</v>
      </c>
      <c r="Z190" s="7">
        <f t="shared" si="35"/>
        <v>46.194129430329141</v>
      </c>
      <c r="AA190" s="8"/>
    </row>
    <row r="191" spans="1:27" ht="15.4" x14ac:dyDescent="0.4">
      <c r="A191" s="2">
        <v>31.02</v>
      </c>
      <c r="B191" s="2">
        <v>30.033215631165099</v>
      </c>
      <c r="C191" s="2">
        <v>31.238700000000001</v>
      </c>
      <c r="D191" s="2">
        <v>29.021214571257431</v>
      </c>
      <c r="E191" s="2">
        <v>31.004525923804074</v>
      </c>
      <c r="F191" s="2">
        <v>31.012968893329607</v>
      </c>
      <c r="G191" s="2">
        <v>30.240366083721305</v>
      </c>
      <c r="I191" s="8"/>
      <c r="J191" s="7">
        <f t="shared" si="24"/>
        <v>0.97374339057689296</v>
      </c>
      <c r="K191" s="7">
        <f t="shared" si="28"/>
        <v>34.815030841621876</v>
      </c>
      <c r="L191" s="8"/>
      <c r="M191" s="7">
        <f t="shared" si="29"/>
        <v>4.7829690000000827E-2</v>
      </c>
      <c r="N191" s="7">
        <f t="shared" si="25"/>
        <v>34.815030841621876</v>
      </c>
      <c r="O191" s="8"/>
      <c r="P191" s="7">
        <f t="shared" si="26"/>
        <v>3.995143190153613</v>
      </c>
      <c r="Q191" s="7">
        <f t="shared" si="27"/>
        <v>62.397546363758011</v>
      </c>
      <c r="R191" s="8"/>
      <c r="S191" s="7">
        <f t="shared" si="30"/>
        <v>2.3944703411730309E-4</v>
      </c>
      <c r="T191" s="7">
        <f t="shared" si="31"/>
        <v>34.815030841621876</v>
      </c>
      <c r="U191" s="8"/>
      <c r="V191" s="7">
        <f t="shared" si="32"/>
        <v>4.9436461010444553E-5</v>
      </c>
      <c r="W191" s="7">
        <f t="shared" si="33"/>
        <v>34.815030841621876</v>
      </c>
      <c r="X191" s="8"/>
      <c r="Y191" s="7">
        <f t="shared" si="34"/>
        <v>0.60782904341205402</v>
      </c>
      <c r="Z191" s="7">
        <f t="shared" si="35"/>
        <v>34.815030841621876</v>
      </c>
      <c r="AA191" s="8"/>
    </row>
    <row r="192" spans="1:27" ht="15.4" x14ac:dyDescent="0.4">
      <c r="A192" s="2">
        <v>31.278099999999998</v>
      </c>
      <c r="B192" s="2">
        <v>31.829799999999999</v>
      </c>
      <c r="C192" s="2">
        <v>39.703400000000002</v>
      </c>
      <c r="D192" s="2">
        <v>32.306594346062369</v>
      </c>
      <c r="E192" s="2">
        <v>38.497237569060779</v>
      </c>
      <c r="F192" s="2">
        <v>41.096685879148851</v>
      </c>
      <c r="G192" s="2">
        <v>37.187508382019729</v>
      </c>
      <c r="I192" s="8"/>
      <c r="J192" s="7">
        <f t="shared" si="24"/>
        <v>0.30437289000000034</v>
      </c>
      <c r="K192" s="7">
        <f t="shared" si="28"/>
        <v>31.835846381569056</v>
      </c>
      <c r="L192" s="8"/>
      <c r="M192" s="7">
        <f t="shared" si="29"/>
        <v>70.985680090000059</v>
      </c>
      <c r="N192" s="7">
        <f t="shared" si="25"/>
        <v>31.835846381569056</v>
      </c>
      <c r="O192" s="8"/>
      <c r="P192" s="7">
        <f t="shared" si="26"/>
        <v>1.0578006198822623</v>
      </c>
      <c r="Q192" s="7">
        <f t="shared" si="27"/>
        <v>21.28744554931372</v>
      </c>
      <c r="R192" s="8"/>
      <c r="S192" s="7">
        <f t="shared" si="30"/>
        <v>52.115947241024799</v>
      </c>
      <c r="T192" s="7">
        <f t="shared" si="31"/>
        <v>31.835846381569056</v>
      </c>
      <c r="U192" s="8"/>
      <c r="V192" s="7">
        <f t="shared" si="32"/>
        <v>96.404628666221242</v>
      </c>
      <c r="W192" s="7">
        <f t="shared" si="33"/>
        <v>31.835846381569056</v>
      </c>
      <c r="X192" s="8"/>
      <c r="Y192" s="7">
        <f t="shared" si="34"/>
        <v>34.921107425485047</v>
      </c>
      <c r="Z192" s="7">
        <f t="shared" si="35"/>
        <v>31.835846381569056</v>
      </c>
      <c r="AA192" s="8"/>
    </row>
    <row r="193" spans="1:27" ht="15.4" x14ac:dyDescent="0.4">
      <c r="A193" s="2">
        <v>31.41</v>
      </c>
      <c r="B193" s="2">
        <v>12.1073970480541</v>
      </c>
      <c r="C193" s="2">
        <v>84.362700000000004</v>
      </c>
      <c r="D193" s="2">
        <v>15.866342094698597</v>
      </c>
      <c r="E193" s="2">
        <v>47.903330625507721</v>
      </c>
      <c r="F193" s="2">
        <v>267.65554968306651</v>
      </c>
      <c r="G193" s="2">
        <v>30.292811972710975</v>
      </c>
      <c r="I193" s="8"/>
      <c r="J193" s="7">
        <f t="shared" si="24"/>
        <v>372.59048072047057</v>
      </c>
      <c r="K193" s="7">
        <f t="shared" si="28"/>
        <v>30.364798306478111</v>
      </c>
      <c r="L193" s="8"/>
      <c r="M193" s="7">
        <f t="shared" si="29"/>
        <v>2803.9884372900005</v>
      </c>
      <c r="N193" s="7">
        <f t="shared" si="25"/>
        <v>30.364798306478111</v>
      </c>
      <c r="O193" s="8"/>
      <c r="P193" s="7">
        <f t="shared" si="26"/>
        <v>241.6053010770388</v>
      </c>
      <c r="Q193" s="7">
        <f t="shared" si="27"/>
        <v>443.27446286536417</v>
      </c>
      <c r="R193" s="8"/>
      <c r="S193" s="7">
        <f t="shared" si="30"/>
        <v>272.02995512231092</v>
      </c>
      <c r="T193" s="7">
        <f t="shared" si="31"/>
        <v>30.364798306478111</v>
      </c>
      <c r="U193" s="8"/>
      <c r="V193" s="7">
        <f t="shared" si="32"/>
        <v>55811.95974505425</v>
      </c>
      <c r="W193" s="7">
        <f t="shared" si="33"/>
        <v>30.364798306478111</v>
      </c>
      <c r="X193" s="8"/>
      <c r="Y193" s="7">
        <f t="shared" si="34"/>
        <v>1.2481090883179431</v>
      </c>
      <c r="Z193" s="7">
        <f t="shared" si="35"/>
        <v>30.364798306478111</v>
      </c>
      <c r="AA193" s="8"/>
    </row>
    <row r="194" spans="1:27" ht="15.4" x14ac:dyDescent="0.4">
      <c r="A194" s="2">
        <v>32.770000000000003</v>
      </c>
      <c r="B194" s="2">
        <v>32.4618683133112</v>
      </c>
      <c r="C194" s="2">
        <v>84.362700000000004</v>
      </c>
      <c r="D194" s="2">
        <v>25.59569145464652</v>
      </c>
      <c r="E194" s="2">
        <v>47.903330625507721</v>
      </c>
      <c r="F194" s="2">
        <v>267.65554968306651</v>
      </c>
      <c r="G194" s="2">
        <v>66.699502867134726</v>
      </c>
      <c r="I194" s="8"/>
      <c r="J194" s="7">
        <f t="shared" ref="J194:J222" si="36">(B194-A194)^2</f>
        <v>9.4945136341686706E-2</v>
      </c>
      <c r="K194" s="7">
        <f t="shared" si="28"/>
        <v>17.226038696746016</v>
      </c>
      <c r="L194" s="8"/>
      <c r="M194" s="7">
        <f t="shared" si="29"/>
        <v>2661.8066932900001</v>
      </c>
      <c r="N194" s="7">
        <f t="shared" ref="N194:N222" si="37">(A194-$I$2)^2</f>
        <v>17.226038696746016</v>
      </c>
      <c r="O194" s="8"/>
      <c r="P194" s="7">
        <f t="shared" ref="P194:P222" si="38">(D194-A194)^2</f>
        <v>51.47070310393201</v>
      </c>
      <c r="Q194" s="7">
        <f t="shared" ref="Q194:Q222" si="39">(D194-$I$2)^2</f>
        <v>128.24961993153104</v>
      </c>
      <c r="R194" s="8"/>
      <c r="S194" s="7">
        <f t="shared" si="30"/>
        <v>229.01769582092982</v>
      </c>
      <c r="T194" s="7">
        <f t="shared" si="31"/>
        <v>17.226038696746016</v>
      </c>
      <c r="U194" s="8"/>
      <c r="V194" s="7">
        <f t="shared" si="32"/>
        <v>55171.221449916302</v>
      </c>
      <c r="W194" s="7">
        <f t="shared" si="33"/>
        <v>17.226038696746016</v>
      </c>
      <c r="X194" s="8"/>
      <c r="Y194" s="7">
        <f t="shared" si="34"/>
        <v>1151.2111648109033</v>
      </c>
      <c r="Z194" s="7">
        <f t="shared" si="35"/>
        <v>17.226038696746016</v>
      </c>
      <c r="AA194" s="8"/>
    </row>
    <row r="195" spans="1:27" ht="15.4" x14ac:dyDescent="0.4">
      <c r="A195" s="2">
        <v>33.129100000000001</v>
      </c>
      <c r="B195" s="2">
        <v>33.6648</v>
      </c>
      <c r="C195" s="2">
        <v>44.223199999999999</v>
      </c>
      <c r="D195" s="2">
        <v>34.045877828809637</v>
      </c>
      <c r="E195" s="2">
        <v>42.273381294964025</v>
      </c>
      <c r="F195" s="2">
        <v>47.166048094486847</v>
      </c>
      <c r="G195" s="2">
        <v>41.206341267227543</v>
      </c>
      <c r="I195" s="8"/>
      <c r="J195" s="7">
        <f t="shared" si="36"/>
        <v>0.28697448999999842</v>
      </c>
      <c r="K195" s="7">
        <f t="shared" ref="K195:K243" si="40">(A195-$I$2)^2</f>
        <v>14.374155318617516</v>
      </c>
      <c r="L195" s="8"/>
      <c r="M195" s="7">
        <f t="shared" ref="M195:M222" si="41">(A195-C195)^2</f>
        <v>123.07905480999995</v>
      </c>
      <c r="N195" s="7">
        <f t="shared" si="37"/>
        <v>14.374155318617516</v>
      </c>
      <c r="O195" s="8"/>
      <c r="P195" s="7">
        <f t="shared" si="38"/>
        <v>0.84048158739690981</v>
      </c>
      <c r="Q195" s="7">
        <f t="shared" si="39"/>
        <v>8.2630290690658015</v>
      </c>
      <c r="R195" s="8"/>
      <c r="S195" s="7">
        <f t="shared" ref="S195:S222" si="42">(E195-A195)^2</f>
        <v>83.617880401428934</v>
      </c>
      <c r="T195" s="7">
        <f t="shared" ref="T195:T222" si="43">(A195-$I$2)^2</f>
        <v>14.374155318617516</v>
      </c>
      <c r="U195" s="8"/>
      <c r="V195" s="7">
        <f t="shared" ref="V195:V222" si="44">(F195-A195)^2</f>
        <v>197.03591180731789</v>
      </c>
      <c r="W195" s="7">
        <f t="shared" ref="W195:W222" si="45">(A195-$I$2)^2</f>
        <v>14.374155318617516</v>
      </c>
      <c r="X195" s="8"/>
      <c r="Y195" s="7">
        <f t="shared" ref="Y195:Y222" si="46">(G195-A195)^2</f>
        <v>65.241826489003586</v>
      </c>
      <c r="Z195" s="7">
        <f t="shared" ref="Z195:Z222" si="47">(A195-$I$2)^2</f>
        <v>14.374155318617516</v>
      </c>
      <c r="AA195" s="8"/>
    </row>
    <row r="196" spans="1:27" ht="15.4" x14ac:dyDescent="0.4">
      <c r="A196" s="2">
        <v>33.79</v>
      </c>
      <c r="B196" s="2">
        <v>29.888311778061301</v>
      </c>
      <c r="C196" s="2">
        <v>26.3811</v>
      </c>
      <c r="D196" s="2">
        <v>25.475735908625989</v>
      </c>
      <c r="E196" s="2">
        <v>26.26817577186063</v>
      </c>
      <c r="F196" s="2">
        <v>25.927478406092753</v>
      </c>
      <c r="G196" s="2">
        <v>25.683003385740548</v>
      </c>
      <c r="I196" s="8"/>
      <c r="J196" s="7">
        <f t="shared" si="36"/>
        <v>15.223170981215164</v>
      </c>
      <c r="K196" s="7">
        <f t="shared" si="40"/>
        <v>9.7995689894469979</v>
      </c>
      <c r="L196" s="8"/>
      <c r="M196" s="7">
        <f t="shared" si="41"/>
        <v>54.891799209999988</v>
      </c>
      <c r="N196" s="7">
        <f t="shared" si="37"/>
        <v>9.7995689894469979</v>
      </c>
      <c r="O196" s="8"/>
      <c r="P196" s="7">
        <f t="shared" si="38"/>
        <v>69.126987381111292</v>
      </c>
      <c r="Q196" s="7">
        <f t="shared" si="39"/>
        <v>130.98093877487972</v>
      </c>
      <c r="R196" s="8"/>
      <c r="S196" s="7">
        <f t="shared" si="42"/>
        <v>56.577839719024418</v>
      </c>
      <c r="T196" s="7">
        <f t="shared" si="43"/>
        <v>9.7995689894469979</v>
      </c>
      <c r="U196" s="8"/>
      <c r="V196" s="7">
        <f t="shared" si="44"/>
        <v>61.819245814657741</v>
      </c>
      <c r="W196" s="7">
        <f t="shared" si="45"/>
        <v>9.7995689894469979</v>
      </c>
      <c r="X196" s="8"/>
      <c r="Y196" s="7">
        <f t="shared" si="46"/>
        <v>65.723394103614197</v>
      </c>
      <c r="Z196" s="7">
        <f t="shared" si="47"/>
        <v>9.7995689894469979</v>
      </c>
      <c r="AA196" s="8"/>
    </row>
    <row r="197" spans="1:27" ht="15.4" x14ac:dyDescent="0.4">
      <c r="A197" s="2">
        <v>33.880000000000003</v>
      </c>
      <c r="B197" s="2">
        <v>33.862212678806202</v>
      </c>
      <c r="C197" s="2">
        <v>52.179099999999998</v>
      </c>
      <c r="D197" s="2">
        <v>34.030748764078425</v>
      </c>
      <c r="E197" s="2">
        <v>47.831773703833541</v>
      </c>
      <c r="F197" s="2">
        <v>58.354298745201646</v>
      </c>
      <c r="G197" s="2">
        <v>44.667255768707228</v>
      </c>
      <c r="I197" s="8"/>
      <c r="J197" s="7">
        <f t="shared" si="36"/>
        <v>3.1638879525143032E-4</v>
      </c>
      <c r="K197" s="7">
        <f t="shared" si="40"/>
        <v>9.2441922505676484</v>
      </c>
      <c r="L197" s="8"/>
      <c r="M197" s="7">
        <f t="shared" si="41"/>
        <v>334.85706080999984</v>
      </c>
      <c r="N197" s="7">
        <f t="shared" si="37"/>
        <v>9.2441922505676484</v>
      </c>
      <c r="O197" s="8"/>
      <c r="P197" s="7">
        <f t="shared" si="38"/>
        <v>2.2725189871171725E-2</v>
      </c>
      <c r="Q197" s="7">
        <f t="shared" si="39"/>
        <v>8.3502364182729547</v>
      </c>
      <c r="R197" s="8"/>
      <c r="S197" s="7">
        <f t="shared" si="42"/>
        <v>194.65198948298101</v>
      </c>
      <c r="T197" s="7">
        <f t="shared" si="43"/>
        <v>9.2441922505676484</v>
      </c>
      <c r="U197" s="8"/>
      <c r="V197" s="7">
        <f t="shared" si="44"/>
        <v>598.99129906937878</v>
      </c>
      <c r="W197" s="7">
        <f t="shared" si="45"/>
        <v>9.2441922505676484</v>
      </c>
      <c r="X197" s="8"/>
      <c r="Y197" s="7">
        <f t="shared" si="46"/>
        <v>116.36488701950732</v>
      </c>
      <c r="Z197" s="7">
        <f t="shared" si="47"/>
        <v>9.2441922505676484</v>
      </c>
      <c r="AA197" s="8"/>
    </row>
    <row r="198" spans="1:27" ht="15.4" x14ac:dyDescent="0.4">
      <c r="A198" s="2">
        <v>33.950000000000003</v>
      </c>
      <c r="B198" s="2">
        <v>31.7648473896108</v>
      </c>
      <c r="C198" s="2">
        <v>34.546399999999998</v>
      </c>
      <c r="D198" s="2">
        <v>30.848729605632105</v>
      </c>
      <c r="E198" s="2">
        <v>34.002434558859918</v>
      </c>
      <c r="F198" s="2">
        <v>34.800264128068235</v>
      </c>
      <c r="G198" s="2">
        <v>33.340036522794421</v>
      </c>
      <c r="I198" s="8"/>
      <c r="J198" s="7">
        <f t="shared" si="36"/>
        <v>4.7748919306907469</v>
      </c>
      <c r="K198" s="7">
        <f t="shared" si="40"/>
        <v>8.8234325647726131</v>
      </c>
      <c r="L198" s="8"/>
      <c r="M198" s="7">
        <f t="shared" si="41"/>
        <v>0.35569295999999473</v>
      </c>
      <c r="N198" s="7">
        <f t="shared" si="37"/>
        <v>8.8234325647726131</v>
      </c>
      <c r="O198" s="8"/>
      <c r="P198" s="7">
        <f t="shared" si="38"/>
        <v>9.6178780589828161</v>
      </c>
      <c r="Q198" s="7">
        <f t="shared" si="39"/>
        <v>36.865501077573583</v>
      </c>
      <c r="R198" s="8"/>
      <c r="S198" s="7">
        <f t="shared" si="42"/>
        <v>2.749382962833855E-3</v>
      </c>
      <c r="T198" s="7">
        <f t="shared" si="43"/>
        <v>8.8234325647726131</v>
      </c>
      <c r="U198" s="8"/>
      <c r="V198" s="7">
        <f t="shared" si="44"/>
        <v>0.72294908747963182</v>
      </c>
      <c r="W198" s="7">
        <f t="shared" si="45"/>
        <v>8.8234325647726131</v>
      </c>
      <c r="X198" s="8"/>
      <c r="Y198" s="7">
        <f t="shared" si="46"/>
        <v>0.3720554435247248</v>
      </c>
      <c r="Z198" s="7">
        <f t="shared" si="47"/>
        <v>8.8234325647726131</v>
      </c>
      <c r="AA198" s="8"/>
    </row>
    <row r="199" spans="1:27" ht="15.4" x14ac:dyDescent="0.4">
      <c r="A199" s="2">
        <v>34.75</v>
      </c>
      <c r="B199" s="2">
        <v>35.500722202847399</v>
      </c>
      <c r="C199" s="2">
        <v>39.167999999999999</v>
      </c>
      <c r="D199" s="2">
        <v>31.782931193851105</v>
      </c>
      <c r="E199" s="2">
        <v>38.214734805739148</v>
      </c>
      <c r="F199" s="2">
        <v>38.745689086865482</v>
      </c>
      <c r="G199" s="2">
        <v>35.055730278759803</v>
      </c>
      <c r="I199" s="8"/>
      <c r="J199" s="7">
        <f t="shared" si="36"/>
        <v>0.56358382584805122</v>
      </c>
      <c r="K199" s="7">
        <f t="shared" si="40"/>
        <v>4.7107504414008252</v>
      </c>
      <c r="L199" s="8"/>
      <c r="M199" s="7">
        <f t="shared" si="41"/>
        <v>19.518723999999992</v>
      </c>
      <c r="N199" s="7">
        <f t="shared" si="37"/>
        <v>4.7107504414008252</v>
      </c>
      <c r="O199" s="8"/>
      <c r="P199" s="7">
        <f t="shared" si="38"/>
        <v>8.8034973004218262</v>
      </c>
      <c r="Q199" s="7">
        <f t="shared" si="39"/>
        <v>26.393856244231891</v>
      </c>
      <c r="R199" s="8"/>
      <c r="S199" s="7">
        <f t="shared" si="42"/>
        <v>12.004387274100294</v>
      </c>
      <c r="T199" s="7">
        <f t="shared" si="43"/>
        <v>4.7107504414008252</v>
      </c>
      <c r="U199" s="8"/>
      <c r="V199" s="7">
        <f t="shared" si="44"/>
        <v>15.965531278895913</v>
      </c>
      <c r="W199" s="7">
        <f t="shared" si="45"/>
        <v>4.7107504414008252</v>
      </c>
      <c r="X199" s="8"/>
      <c r="Y199" s="7">
        <f t="shared" si="46"/>
        <v>9.3471003350547033E-2</v>
      </c>
      <c r="Z199" s="7">
        <f t="shared" si="47"/>
        <v>4.7107504414008252</v>
      </c>
      <c r="AA199" s="8"/>
    </row>
    <row r="200" spans="1:27" ht="15.4" x14ac:dyDescent="0.4">
      <c r="A200" s="2">
        <v>34.770000000000003</v>
      </c>
      <c r="B200" s="2">
        <v>34.1261518477545</v>
      </c>
      <c r="C200" s="1">
        <v>38.222999999999999</v>
      </c>
      <c r="D200" s="1">
        <v>32.761450752758073</v>
      </c>
      <c r="E200" s="2">
        <v>37.227280197206248</v>
      </c>
      <c r="F200" s="2">
        <v>39.321062652974774</v>
      </c>
      <c r="G200" s="2">
        <v>36.930158142593768</v>
      </c>
      <c r="I200" s="8"/>
      <c r="J200" s="7">
        <f t="shared" si="36"/>
        <v>0.41454044314994909</v>
      </c>
      <c r="K200" s="7">
        <f t="shared" si="40"/>
        <v>4.6243333883165167</v>
      </c>
      <c r="L200" s="8"/>
      <c r="M200" s="7">
        <f t="shared" si="41"/>
        <v>11.923208999999972</v>
      </c>
      <c r="N200" s="7">
        <f t="shared" si="37"/>
        <v>4.6243333883165167</v>
      </c>
      <c r="O200" s="8"/>
      <c r="P200" s="7">
        <f t="shared" si="38"/>
        <v>4.0342700785961254</v>
      </c>
      <c r="Q200" s="7">
        <f t="shared" si="39"/>
        <v>17.297077828034137</v>
      </c>
      <c r="R200" s="8"/>
      <c r="S200" s="7">
        <f t="shared" si="42"/>
        <v>6.0382259675819627</v>
      </c>
      <c r="T200" s="7">
        <f t="shared" si="43"/>
        <v>4.6243333883165167</v>
      </c>
      <c r="U200" s="8"/>
      <c r="V200" s="7">
        <f t="shared" si="44"/>
        <v>20.712171271301763</v>
      </c>
      <c r="W200" s="7">
        <f t="shared" si="45"/>
        <v>4.6243333883165167</v>
      </c>
      <c r="X200" s="8"/>
      <c r="Y200" s="7">
        <f t="shared" si="46"/>
        <v>4.6662832010141457</v>
      </c>
      <c r="Z200" s="7">
        <f t="shared" si="47"/>
        <v>4.6243333883165167</v>
      </c>
      <c r="AA200" s="8"/>
    </row>
    <row r="201" spans="1:27" ht="15.4" x14ac:dyDescent="0.4">
      <c r="A201" s="2">
        <v>35.72</v>
      </c>
      <c r="B201" s="2">
        <v>31.2963248903033</v>
      </c>
      <c r="C201" s="2">
        <v>27.079599999999999</v>
      </c>
      <c r="D201" s="2">
        <v>25.948859175215539</v>
      </c>
      <c r="E201" s="2">
        <v>26.914560711224961</v>
      </c>
      <c r="F201" s="2">
        <v>26.626815674355186</v>
      </c>
      <c r="G201" s="2">
        <v>26.306567841716678</v>
      </c>
      <c r="I201" s="8"/>
      <c r="J201" s="7">
        <f t="shared" si="36"/>
        <v>19.568901476150103</v>
      </c>
      <c r="K201" s="7">
        <f t="shared" si="40"/>
        <v>1.4410233668125136</v>
      </c>
      <c r="L201" s="8"/>
      <c r="M201" s="7">
        <f t="shared" si="41"/>
        <v>74.656512159999991</v>
      </c>
      <c r="N201" s="7">
        <f t="shared" si="37"/>
        <v>1.4410233668125136</v>
      </c>
      <c r="O201" s="8"/>
      <c r="P201" s="7">
        <f t="shared" si="38"/>
        <v>95.475193017769541</v>
      </c>
      <c r="Q201" s="7">
        <f t="shared" si="39"/>
        <v>120.37528576847201</v>
      </c>
      <c r="R201" s="8"/>
      <c r="S201" s="7">
        <f t="shared" si="42"/>
        <v>77.535761068303032</v>
      </c>
      <c r="T201" s="7">
        <f t="shared" si="43"/>
        <v>1.4410233668125136</v>
      </c>
      <c r="U201" s="8"/>
      <c r="V201" s="7">
        <f t="shared" si="44"/>
        <v>82.686001180152516</v>
      </c>
      <c r="W201" s="7">
        <f t="shared" si="45"/>
        <v>1.4410233668125136</v>
      </c>
      <c r="X201" s="8"/>
      <c r="Y201" s="7">
        <f t="shared" si="46"/>
        <v>88.612704998602581</v>
      </c>
      <c r="Z201" s="7">
        <f t="shared" si="47"/>
        <v>1.4410233668125136</v>
      </c>
      <c r="AA201" s="8"/>
    </row>
    <row r="202" spans="1:27" ht="15.4" x14ac:dyDescent="0.4">
      <c r="A202" s="2">
        <v>36.218699999999998</v>
      </c>
      <c r="B202" s="2">
        <v>36.098700000000001</v>
      </c>
      <c r="C202" s="2">
        <v>39.703400000000002</v>
      </c>
      <c r="D202" s="2">
        <v>33.615026644307214</v>
      </c>
      <c r="E202" s="2">
        <v>38.497237569060779</v>
      </c>
      <c r="F202" s="2">
        <v>41.096685879148851</v>
      </c>
      <c r="G202" s="2">
        <v>38.28247635111228</v>
      </c>
      <c r="I202" s="8"/>
      <c r="J202" s="7">
        <f t="shared" si="36"/>
        <v>1.4399999999999386E-2</v>
      </c>
      <c r="K202" s="7">
        <f t="shared" si="40"/>
        <v>0.49241983815561385</v>
      </c>
      <c r="L202" s="8"/>
      <c r="M202" s="7">
        <f t="shared" si="41"/>
        <v>12.143134090000025</v>
      </c>
      <c r="N202" s="7">
        <f t="shared" si="37"/>
        <v>0.49241983815561385</v>
      </c>
      <c r="O202" s="8"/>
      <c r="P202" s="7">
        <f t="shared" si="38"/>
        <v>6.7791149431445241</v>
      </c>
      <c r="Q202" s="7">
        <f t="shared" si="39"/>
        <v>10.925667063055426</v>
      </c>
      <c r="R202" s="8"/>
      <c r="S202" s="7">
        <f t="shared" si="42"/>
        <v>5.1917334536214126</v>
      </c>
      <c r="T202" s="7">
        <f t="shared" si="43"/>
        <v>0.49241983815561385</v>
      </c>
      <c r="U202" s="8"/>
      <c r="V202" s="7">
        <f t="shared" si="44"/>
        <v>23.794746237175602</v>
      </c>
      <c r="W202" s="7">
        <f t="shared" si="45"/>
        <v>0.49241983815561385</v>
      </c>
      <c r="X202" s="8"/>
      <c r="Y202" s="7">
        <f t="shared" si="46"/>
        <v>4.259172827410322</v>
      </c>
      <c r="Z202" s="7">
        <f t="shared" si="47"/>
        <v>0.49241983815561385</v>
      </c>
      <c r="AA202" s="8"/>
    </row>
    <row r="203" spans="1:27" ht="15.4" x14ac:dyDescent="0.4">
      <c r="A203" s="2">
        <v>36.31</v>
      </c>
      <c r="B203" s="2">
        <v>32.724058111303599</v>
      </c>
      <c r="C203" s="2">
        <v>27.8017</v>
      </c>
      <c r="D203" s="2">
        <v>26.428252397962311</v>
      </c>
      <c r="E203" s="2">
        <v>27.572548069385252</v>
      </c>
      <c r="F203" s="2">
        <v>27.373364104739117</v>
      </c>
      <c r="G203" s="2">
        <v>26.967899111216262</v>
      </c>
      <c r="I203" s="8"/>
      <c r="J203" s="7">
        <f t="shared" si="36"/>
        <v>12.858979229107531</v>
      </c>
      <c r="K203" s="7">
        <f t="shared" si="40"/>
        <v>0.37262030082580144</v>
      </c>
      <c r="L203" s="8"/>
      <c r="M203" s="7">
        <f t="shared" si="41"/>
        <v>72.391168890000031</v>
      </c>
      <c r="N203" s="7">
        <f t="shared" si="37"/>
        <v>0.37262030082580144</v>
      </c>
      <c r="O203" s="8"/>
      <c r="P203" s="7">
        <f t="shared" si="38"/>
        <v>97.648935670377668</v>
      </c>
      <c r="Q203" s="7">
        <f t="shared" si="39"/>
        <v>110.08571375943144</v>
      </c>
      <c r="R203" s="8"/>
      <c r="S203" s="7">
        <f t="shared" si="42"/>
        <v>76.34306623980342</v>
      </c>
      <c r="T203" s="7">
        <f t="shared" si="43"/>
        <v>0.37262030082580144</v>
      </c>
      <c r="U203" s="8"/>
      <c r="V203" s="7">
        <f t="shared" si="44"/>
        <v>79.863461124465317</v>
      </c>
      <c r="W203" s="7">
        <f t="shared" si="45"/>
        <v>0.37262030082580144</v>
      </c>
      <c r="X203" s="8"/>
      <c r="Y203" s="7">
        <f t="shared" si="46"/>
        <v>87.274849016213949</v>
      </c>
      <c r="Z203" s="7">
        <f t="shared" si="47"/>
        <v>0.37262030082580144</v>
      </c>
      <c r="AA203" s="8"/>
    </row>
    <row r="204" spans="1:27" ht="15.4" x14ac:dyDescent="0.4">
      <c r="A204" s="2">
        <v>36.590000000000003</v>
      </c>
      <c r="B204" s="2">
        <v>58.011318769388403</v>
      </c>
      <c r="C204" s="2">
        <v>54.686700000000002</v>
      </c>
      <c r="D204" s="2">
        <v>36.590000000000018</v>
      </c>
      <c r="E204" s="2">
        <v>46.006825938566557</v>
      </c>
      <c r="F204" s="2">
        <v>70.846598749890703</v>
      </c>
      <c r="G204" s="2">
        <v>57.59059334036354</v>
      </c>
      <c r="I204" s="8"/>
      <c r="J204" s="7">
        <f t="shared" si="36"/>
        <v>458.87289781975176</v>
      </c>
      <c r="K204" s="7">
        <f t="shared" si="40"/>
        <v>0.10918155764567003</v>
      </c>
      <c r="L204" s="8"/>
      <c r="M204" s="7">
        <f t="shared" si="41"/>
        <v>327.49055088999995</v>
      </c>
      <c r="N204" s="7">
        <f t="shared" si="37"/>
        <v>0.10918155764567003</v>
      </c>
      <c r="O204" s="8"/>
      <c r="P204" s="7">
        <f t="shared" si="38"/>
        <v>2.0194839173657902E-28</v>
      </c>
      <c r="Q204" s="7">
        <f t="shared" si="39"/>
        <v>0.10918155764566063</v>
      </c>
      <c r="R204" s="8"/>
      <c r="S204" s="7">
        <f t="shared" si="42"/>
        <v>88.676610757259851</v>
      </c>
      <c r="T204" s="7">
        <f t="shared" si="43"/>
        <v>0.10918155764567003</v>
      </c>
      <c r="U204" s="8"/>
      <c r="V204" s="7">
        <f t="shared" si="44"/>
        <v>1173.5145579110131</v>
      </c>
      <c r="W204" s="7">
        <f t="shared" si="45"/>
        <v>0.10918155764567003</v>
      </c>
      <c r="X204" s="8"/>
      <c r="Y204" s="7">
        <f t="shared" si="46"/>
        <v>441.02492064732132</v>
      </c>
      <c r="Z204" s="7">
        <f t="shared" si="47"/>
        <v>0.10918155764567003</v>
      </c>
      <c r="AA204" s="8"/>
    </row>
    <row r="205" spans="1:27" ht="15.4" x14ac:dyDescent="0.4">
      <c r="A205" s="2">
        <v>37.85</v>
      </c>
      <c r="B205" s="2">
        <v>36.589355284075303</v>
      </c>
      <c r="C205" s="2">
        <v>42.302500000000002</v>
      </c>
      <c r="D205" s="2">
        <v>34.765479222448207</v>
      </c>
      <c r="E205" s="2">
        <v>40.705844675740593</v>
      </c>
      <c r="F205" s="2">
        <v>44.659073187463925</v>
      </c>
      <c r="G205" s="2">
        <v>41.038783291368823</v>
      </c>
      <c r="I205" s="8"/>
      <c r="J205" s="7">
        <f t="shared" si="36"/>
        <v>1.5892250997888633</v>
      </c>
      <c r="K205" s="7">
        <f t="shared" si="40"/>
        <v>0.86410721333508111</v>
      </c>
      <c r="L205" s="8"/>
      <c r="M205" s="7">
        <f t="shared" si="41"/>
        <v>19.824756250000004</v>
      </c>
      <c r="N205" s="7">
        <f t="shared" si="37"/>
        <v>0.86410721333508111</v>
      </c>
      <c r="O205" s="8"/>
      <c r="P205" s="7">
        <f t="shared" si="38"/>
        <v>9.5142684271487301</v>
      </c>
      <c r="Q205" s="7">
        <f t="shared" si="39"/>
        <v>4.6437970238789479</v>
      </c>
      <c r="R205" s="8"/>
      <c r="S205" s="7">
        <f t="shared" si="42"/>
        <v>8.1558488119558863</v>
      </c>
      <c r="T205" s="7">
        <f t="shared" si="43"/>
        <v>0.86410721333508111</v>
      </c>
      <c r="U205" s="8"/>
      <c r="V205" s="7">
        <f t="shared" si="44"/>
        <v>46.363477672240109</v>
      </c>
      <c r="W205" s="7">
        <f t="shared" si="45"/>
        <v>0.86410721333508111</v>
      </c>
      <c r="X205" s="8"/>
      <c r="Y205" s="7">
        <f t="shared" si="46"/>
        <v>10.168338879312975</v>
      </c>
      <c r="Z205" s="7">
        <f t="shared" si="47"/>
        <v>0.86410721333508111</v>
      </c>
      <c r="AA205" s="8"/>
    </row>
    <row r="206" spans="1:27" ht="15.4" x14ac:dyDescent="0.4">
      <c r="A206" s="2">
        <v>38.875300000000003</v>
      </c>
      <c r="B206" s="2">
        <v>38.834800000000001</v>
      </c>
      <c r="C206" s="2">
        <v>44.223199999999999</v>
      </c>
      <c r="D206" s="2">
        <v>35.756921830071256</v>
      </c>
      <c r="E206" s="2">
        <v>42.273381294964025</v>
      </c>
      <c r="F206" s="2">
        <v>47.166048094486847</v>
      </c>
      <c r="G206" s="2">
        <v>42.838657452004952</v>
      </c>
      <c r="I206" s="8"/>
      <c r="J206" s="7">
        <f t="shared" si="36"/>
        <v>1.6402500000001242E-3</v>
      </c>
      <c r="K206" s="7">
        <f t="shared" si="40"/>
        <v>3.8215310769686992</v>
      </c>
      <c r="L206" s="8"/>
      <c r="M206" s="7">
        <f t="shared" si="41"/>
        <v>28.600034409999953</v>
      </c>
      <c r="N206" s="7">
        <f t="shared" si="37"/>
        <v>3.8215310769686992</v>
      </c>
      <c r="O206" s="8"/>
      <c r="P206" s="7">
        <f t="shared" si="38"/>
        <v>9.7242824106881578</v>
      </c>
      <c r="Q206" s="7">
        <f t="shared" si="39"/>
        <v>1.3537427146232794</v>
      </c>
      <c r="R206" s="8"/>
      <c r="S206" s="7">
        <f t="shared" si="42"/>
        <v>11.546956487184367</v>
      </c>
      <c r="T206" s="7">
        <f t="shared" si="43"/>
        <v>3.8215310769686992</v>
      </c>
      <c r="U206" s="8"/>
      <c r="V206" s="7">
        <f t="shared" si="44"/>
        <v>68.736503966237237</v>
      </c>
      <c r="W206" s="7">
        <f t="shared" si="45"/>
        <v>3.8215310769686992</v>
      </c>
      <c r="X206" s="8"/>
      <c r="Y206" s="7">
        <f t="shared" si="46"/>
        <v>15.708202292363163</v>
      </c>
      <c r="Z206" s="7">
        <f t="shared" si="47"/>
        <v>3.8215310769686992</v>
      </c>
      <c r="AA206" s="8"/>
    </row>
    <row r="207" spans="1:27" ht="15.4" x14ac:dyDescent="0.4">
      <c r="A207" s="2">
        <v>41.21</v>
      </c>
      <c r="B207" s="2">
        <v>41.178890845898998</v>
      </c>
      <c r="C207" s="2">
        <v>80.721800000000002</v>
      </c>
      <c r="D207" s="2">
        <v>40.427750740800157</v>
      </c>
      <c r="E207" s="2">
        <v>67.067368998203705</v>
      </c>
      <c r="F207" s="2">
        <v>113.38251114418202</v>
      </c>
      <c r="G207" s="2">
        <v>66.765340915225437</v>
      </c>
      <c r="I207" s="8"/>
      <c r="J207" s="7">
        <f t="shared" si="36"/>
        <v>9.677794688799456E-4</v>
      </c>
      <c r="K207" s="7">
        <f t="shared" si="40"/>
        <v>18.400442295173502</v>
      </c>
      <c r="L207" s="8"/>
      <c r="M207" s="7">
        <f t="shared" si="41"/>
        <v>1561.1823392400001</v>
      </c>
      <c r="N207" s="7">
        <f t="shared" si="37"/>
        <v>18.400442295173502</v>
      </c>
      <c r="O207" s="8"/>
      <c r="P207" s="7">
        <f t="shared" si="38"/>
        <v>0.61191390351870478</v>
      </c>
      <c r="Q207" s="7">
        <f t="shared" si="39"/>
        <v>12.301324542885391</v>
      </c>
      <c r="R207" s="8"/>
      <c r="S207" s="7">
        <f t="shared" si="42"/>
        <v>668.60353150926596</v>
      </c>
      <c r="T207" s="7">
        <f t="shared" si="43"/>
        <v>18.400442295173502</v>
      </c>
      <c r="U207" s="8"/>
      <c r="V207" s="7">
        <f t="shared" si="44"/>
        <v>5208.8713648570765</v>
      </c>
      <c r="W207" s="7">
        <f t="shared" si="45"/>
        <v>18.400442295173502</v>
      </c>
      <c r="X207" s="8"/>
      <c r="Y207" s="7">
        <f t="shared" si="46"/>
        <v>653.0754492933952</v>
      </c>
      <c r="Z207" s="7">
        <f t="shared" si="47"/>
        <v>18.400442295173502</v>
      </c>
      <c r="AA207" s="8"/>
    </row>
    <row r="208" spans="1:27" ht="15.4" x14ac:dyDescent="0.4">
      <c r="A208" s="2">
        <v>42.04</v>
      </c>
      <c r="B208" s="2">
        <v>41.729206672913001</v>
      </c>
      <c r="C208" s="2">
        <v>352.45589999999999</v>
      </c>
      <c r="D208" s="2">
        <v>47.827321074842878</v>
      </c>
      <c r="E208" s="2">
        <v>166.79681316392413</v>
      </c>
      <c r="F208" s="2">
        <v>-563.4675313809978</v>
      </c>
      <c r="G208" s="2">
        <v>137.04367826371626</v>
      </c>
      <c r="I208" s="8"/>
      <c r="J208" s="7">
        <f t="shared" si="36"/>
        <v>9.6592492161805599E-2</v>
      </c>
      <c r="K208" s="7">
        <f t="shared" si="40"/>
        <v>26.210034592175237</v>
      </c>
      <c r="L208" s="8"/>
      <c r="M208" s="7">
        <f t="shared" si="41"/>
        <v>96358.030972809982</v>
      </c>
      <c r="N208" s="7">
        <f t="shared" si="37"/>
        <v>26.210034592175237</v>
      </c>
      <c r="O208" s="8"/>
      <c r="P208" s="7">
        <f t="shared" si="38"/>
        <v>33.493085223320534</v>
      </c>
      <c r="Q208" s="7">
        <f t="shared" si="39"/>
        <v>118.96035303818023</v>
      </c>
      <c r="R208" s="8"/>
      <c r="S208" s="7">
        <f t="shared" si="42"/>
        <v>15564.262430818275</v>
      </c>
      <c r="T208" s="7">
        <f t="shared" si="43"/>
        <v>26.210034592175237</v>
      </c>
      <c r="U208" s="8"/>
      <c r="V208" s="7">
        <f t="shared" si="44"/>
        <v>366639.37055911002</v>
      </c>
      <c r="W208" s="7">
        <f t="shared" si="45"/>
        <v>26.210034592175237</v>
      </c>
      <c r="X208" s="8"/>
      <c r="Y208" s="7">
        <f t="shared" si="46"/>
        <v>9025.6988836357141</v>
      </c>
      <c r="Z208" s="7">
        <f t="shared" si="47"/>
        <v>26.210034592175237</v>
      </c>
      <c r="AA208" s="8"/>
    </row>
    <row r="209" spans="1:27" ht="15.4" x14ac:dyDescent="0.4">
      <c r="A209" s="2">
        <v>42.19</v>
      </c>
      <c r="B209" s="2">
        <v>38.659731238486003</v>
      </c>
      <c r="C209" s="2">
        <v>80.721800000000002</v>
      </c>
      <c r="D209" s="2">
        <v>39.292598292917219</v>
      </c>
      <c r="E209" s="2">
        <v>67.067368998203705</v>
      </c>
      <c r="F209" s="2">
        <v>113.38251114418202</v>
      </c>
      <c r="G209" s="2">
        <v>64.544953074847598</v>
      </c>
      <c r="I209" s="8"/>
      <c r="J209" s="7">
        <f t="shared" si="36"/>
        <v>12.462797528521552</v>
      </c>
      <c r="K209" s="7">
        <f t="shared" si="40"/>
        <v>27.768406694043009</v>
      </c>
      <c r="L209" s="8"/>
      <c r="M209" s="7">
        <f t="shared" si="41"/>
        <v>1484.6996112400004</v>
      </c>
      <c r="N209" s="7">
        <f t="shared" si="37"/>
        <v>27.768406694043009</v>
      </c>
      <c r="O209" s="8"/>
      <c r="P209" s="7">
        <f t="shared" si="38"/>
        <v>8.3949366522061979</v>
      </c>
      <c r="Q209" s="7">
        <f t="shared" si="39"/>
        <v>5.6271998353741246</v>
      </c>
      <c r="R209" s="8"/>
      <c r="S209" s="7">
        <f t="shared" si="42"/>
        <v>618.88348827278696</v>
      </c>
      <c r="T209" s="7">
        <f t="shared" si="43"/>
        <v>27.768406694043009</v>
      </c>
      <c r="U209" s="8"/>
      <c r="V209" s="7">
        <f t="shared" si="44"/>
        <v>5068.3736430144809</v>
      </c>
      <c r="W209" s="7">
        <f t="shared" si="45"/>
        <v>27.768406694043009</v>
      </c>
      <c r="X209" s="8"/>
      <c r="Y209" s="7">
        <f t="shared" si="46"/>
        <v>499.74392697863817</v>
      </c>
      <c r="Z209" s="7">
        <f t="shared" si="47"/>
        <v>27.768406694043009</v>
      </c>
      <c r="AA209" s="8"/>
    </row>
    <row r="210" spans="1:27" ht="15.4" x14ac:dyDescent="0.4">
      <c r="A210" s="2">
        <v>42.396500000000003</v>
      </c>
      <c r="B210" s="2">
        <v>41.583799999999997</v>
      </c>
      <c r="C210" s="2">
        <v>49.2727</v>
      </c>
      <c r="D210" s="2">
        <v>38.008737774925947</v>
      </c>
      <c r="E210" s="2">
        <v>46.378378378378372</v>
      </c>
      <c r="F210" s="2">
        <v>54.420828963385006</v>
      </c>
      <c r="G210" s="2">
        <v>48.073334843627137</v>
      </c>
      <c r="I210" s="8"/>
      <c r="J210" s="7">
        <f t="shared" si="36"/>
        <v>0.66048129000001077</v>
      </c>
      <c r="K210" s="7">
        <f t="shared" si="40"/>
        <v>29.987382870947719</v>
      </c>
      <c r="L210" s="8"/>
      <c r="M210" s="7">
        <f t="shared" si="41"/>
        <v>47.282126439999963</v>
      </c>
      <c r="N210" s="7">
        <f t="shared" si="37"/>
        <v>29.987382870947719</v>
      </c>
      <c r="O210" s="8"/>
      <c r="P210" s="7">
        <f t="shared" si="38"/>
        <v>19.25245734378683</v>
      </c>
      <c r="Q210" s="7">
        <f t="shared" si="39"/>
        <v>1.1844218074529496</v>
      </c>
      <c r="R210" s="8"/>
      <c r="S210" s="7">
        <f t="shared" si="42"/>
        <v>15.855355420197148</v>
      </c>
      <c r="T210" s="7">
        <f t="shared" si="43"/>
        <v>29.987382870947719</v>
      </c>
      <c r="U210" s="8"/>
      <c r="V210" s="7">
        <f t="shared" si="44"/>
        <v>144.58448701969945</v>
      </c>
      <c r="W210" s="7">
        <f t="shared" si="45"/>
        <v>29.987382870947719</v>
      </c>
      <c r="X210" s="8"/>
      <c r="Y210" s="7">
        <f t="shared" si="46"/>
        <v>32.226453841819108</v>
      </c>
      <c r="Z210" s="7">
        <f t="shared" si="47"/>
        <v>29.987382870947719</v>
      </c>
      <c r="AA210" s="8"/>
    </row>
    <row r="211" spans="1:27" ht="15.4" x14ac:dyDescent="0.4">
      <c r="A211" s="2">
        <v>42.53</v>
      </c>
      <c r="B211" s="2">
        <v>61.802113231425601</v>
      </c>
      <c r="C211" s="2">
        <v>64.047499999999999</v>
      </c>
      <c r="D211" s="2">
        <v>39.739718896408149</v>
      </c>
      <c r="E211" s="2">
        <v>51.683991683991678</v>
      </c>
      <c r="F211" s="2">
        <v>91.982910872042311</v>
      </c>
      <c r="G211" s="2">
        <v>70.098538388378515</v>
      </c>
      <c r="I211" s="8"/>
      <c r="J211" s="7">
        <f t="shared" si="36"/>
        <v>371.41434840488967</v>
      </c>
      <c r="K211" s="7">
        <f t="shared" si="40"/>
        <v>31.467316791610028</v>
      </c>
      <c r="L211" s="8"/>
      <c r="M211" s="7">
        <f t="shared" si="41"/>
        <v>463.00280624999994</v>
      </c>
      <c r="N211" s="7">
        <f t="shared" si="37"/>
        <v>31.467316791610028</v>
      </c>
      <c r="O211" s="8"/>
      <c r="P211" s="7">
        <f t="shared" si="38"/>
        <v>7.7856686370617618</v>
      </c>
      <c r="Q211" s="7">
        <f t="shared" si="39"/>
        <v>7.9484105913145422</v>
      </c>
      <c r="R211" s="8"/>
      <c r="S211" s="7">
        <f t="shared" si="42"/>
        <v>83.795563750588784</v>
      </c>
      <c r="T211" s="7">
        <f t="shared" si="43"/>
        <v>31.467316791610028</v>
      </c>
      <c r="U211" s="8"/>
      <c r="V211" s="7">
        <f t="shared" si="44"/>
        <v>2445.5903937181606</v>
      </c>
      <c r="W211" s="7">
        <f t="shared" si="45"/>
        <v>31.467316791610028</v>
      </c>
      <c r="X211" s="8"/>
      <c r="Y211" s="7">
        <f t="shared" si="46"/>
        <v>760.02430887149978</v>
      </c>
      <c r="Z211" s="7">
        <f t="shared" si="47"/>
        <v>31.467316791610028</v>
      </c>
      <c r="AA211" s="8"/>
    </row>
    <row r="212" spans="1:27" ht="15.4" x14ac:dyDescent="0.4">
      <c r="A212" s="2">
        <v>43.55</v>
      </c>
      <c r="B212" s="2">
        <v>39.1091916350126</v>
      </c>
      <c r="C212" s="2">
        <v>46.818199999999997</v>
      </c>
      <c r="D212" s="2">
        <v>36.867512973306354</v>
      </c>
      <c r="E212" s="2">
        <v>44.469296588509835</v>
      </c>
      <c r="F212" s="2">
        <v>50.934069456060868</v>
      </c>
      <c r="G212" s="2">
        <v>45.710426436489243</v>
      </c>
      <c r="I212" s="8"/>
      <c r="J212" s="7">
        <f t="shared" si="36"/>
        <v>19.720778934542039</v>
      </c>
      <c r="K212" s="7">
        <f t="shared" si="40"/>
        <v>43.951247084310928</v>
      </c>
      <c r="L212" s="8"/>
      <c r="M212" s="7">
        <f t="shared" si="41"/>
        <v>10.681131240000001</v>
      </c>
      <c r="N212" s="7">
        <f t="shared" si="37"/>
        <v>43.951247084310928</v>
      </c>
      <c r="O212" s="8"/>
      <c r="P212" s="7">
        <f t="shared" si="38"/>
        <v>44.655632861928844</v>
      </c>
      <c r="Q212" s="7">
        <f t="shared" si="39"/>
        <v>2.7998230104723668E-3</v>
      </c>
      <c r="R212" s="8"/>
      <c r="S212" s="7">
        <f t="shared" si="42"/>
        <v>0.84510621764582539</v>
      </c>
      <c r="T212" s="7">
        <f t="shared" si="43"/>
        <v>43.951247084310928</v>
      </c>
      <c r="U212" s="8"/>
      <c r="V212" s="7">
        <f t="shared" si="44"/>
        <v>54.52448173193109</v>
      </c>
      <c r="W212" s="7">
        <f t="shared" si="45"/>
        <v>43.951247084310928</v>
      </c>
      <c r="X212" s="8"/>
      <c r="Y212" s="7">
        <f t="shared" si="46"/>
        <v>4.6674423874816213</v>
      </c>
      <c r="Z212" s="7">
        <f t="shared" si="47"/>
        <v>43.951247084310928</v>
      </c>
      <c r="AA212" s="8"/>
    </row>
    <row r="213" spans="1:27" ht="15.4" x14ac:dyDescent="0.4">
      <c r="A213" s="2">
        <v>46.227600000000002</v>
      </c>
      <c r="B213" s="2">
        <v>44.323700000000002</v>
      </c>
      <c r="C213" s="2">
        <v>54.895099999999999</v>
      </c>
      <c r="D213" s="2">
        <v>40.379158918780327</v>
      </c>
      <c r="E213" s="2">
        <v>50.857142857142861</v>
      </c>
      <c r="F213" s="2">
        <v>63.104795270587914</v>
      </c>
      <c r="G213" s="2">
        <v>54.071495619664049</v>
      </c>
      <c r="I213" s="8"/>
      <c r="J213" s="7">
        <f t="shared" si="36"/>
        <v>3.6248352100000005</v>
      </c>
      <c r="K213" s="7">
        <f t="shared" si="40"/>
        <v>86.623481777385578</v>
      </c>
      <c r="L213" s="8"/>
      <c r="M213" s="7">
        <f t="shared" si="41"/>
        <v>75.125556249999946</v>
      </c>
      <c r="N213" s="7">
        <f t="shared" si="37"/>
        <v>86.623481777385578</v>
      </c>
      <c r="O213" s="8"/>
      <c r="P213" s="7">
        <f t="shared" si="38"/>
        <v>34.204263080497967</v>
      </c>
      <c r="Q213" s="7">
        <f t="shared" si="39"/>
        <v>11.96283114070067</v>
      </c>
      <c r="R213" s="8"/>
      <c r="S213" s="7">
        <f t="shared" si="42"/>
        <v>21.432667066122463</v>
      </c>
      <c r="T213" s="7">
        <f t="shared" si="43"/>
        <v>86.623481777385578</v>
      </c>
      <c r="U213" s="8"/>
      <c r="V213" s="7">
        <f t="shared" si="44"/>
        <v>284.839720201555</v>
      </c>
      <c r="W213" s="7">
        <f t="shared" si="45"/>
        <v>86.623481777385578</v>
      </c>
      <c r="X213" s="8"/>
      <c r="Y213" s="7">
        <f t="shared" si="46"/>
        <v>61.526698492184813</v>
      </c>
      <c r="Z213" s="7">
        <f t="shared" si="47"/>
        <v>86.623481777385578</v>
      </c>
      <c r="AA213" s="8"/>
    </row>
    <row r="214" spans="1:27" ht="15.4" x14ac:dyDescent="0.4">
      <c r="A214" s="2">
        <v>48.19</v>
      </c>
      <c r="B214" s="2">
        <v>41.649154452697303</v>
      </c>
      <c r="C214" s="1">
        <v>51.809600000000003</v>
      </c>
      <c r="D214" s="1">
        <v>39.074921500144661</v>
      </c>
      <c r="E214" s="2">
        <v>48.554127802560693</v>
      </c>
      <c r="F214" s="2">
        <v>58.306244485552192</v>
      </c>
      <c r="G214" s="2">
        <v>51.004301981177996</v>
      </c>
      <c r="I214" s="8"/>
      <c r="J214" s="7">
        <f t="shared" si="36"/>
        <v>42.782660473669488</v>
      </c>
      <c r="K214" s="7">
        <f t="shared" si="40"/>
        <v>127.00329076875444</v>
      </c>
      <c r="L214" s="8"/>
      <c r="M214" s="7">
        <f t="shared" si="41"/>
        <v>13.10150416000004</v>
      </c>
      <c r="N214" s="7">
        <f t="shared" si="37"/>
        <v>127.00329076875444</v>
      </c>
      <c r="O214" s="8"/>
      <c r="P214" s="7">
        <f t="shared" si="38"/>
        <v>83.084656058525013</v>
      </c>
      <c r="Q214" s="7">
        <f t="shared" si="39"/>
        <v>4.6418494506409518</v>
      </c>
      <c r="R214" s="8"/>
      <c r="S214" s="7">
        <f t="shared" si="42"/>
        <v>0.13258905659768055</v>
      </c>
      <c r="T214" s="7">
        <f t="shared" si="43"/>
        <v>127.00329076875444</v>
      </c>
      <c r="U214" s="8"/>
      <c r="V214" s="7">
        <f t="shared" si="44"/>
        <v>102.33840249146517</v>
      </c>
      <c r="W214" s="7">
        <f t="shared" si="45"/>
        <v>127.00329076875444</v>
      </c>
      <c r="X214" s="8"/>
      <c r="Y214" s="7">
        <f t="shared" si="46"/>
        <v>7.9202956412624044</v>
      </c>
      <c r="Z214" s="7">
        <f t="shared" si="47"/>
        <v>127.00329076875444</v>
      </c>
      <c r="AA214" s="8"/>
    </row>
    <row r="215" spans="1:27" ht="15.4" x14ac:dyDescent="0.4">
      <c r="A215" s="2">
        <v>51.14</v>
      </c>
      <c r="B215" s="2">
        <v>44.545564721689203</v>
      </c>
      <c r="C215" s="2">
        <v>108.2778</v>
      </c>
      <c r="D215" s="2">
        <v>44.670175601576226</v>
      </c>
      <c r="E215" s="2">
        <v>84.376723479875182</v>
      </c>
      <c r="F215" s="2">
        <v>199.67291605530107</v>
      </c>
      <c r="G215" s="2">
        <v>87.266944180203893</v>
      </c>
      <c r="I215" s="8"/>
      <c r="J215" s="7">
        <f t="shared" si="36"/>
        <v>43.486576639830005</v>
      </c>
      <c r="K215" s="7">
        <f t="shared" si="40"/>
        <v>202.19627543882098</v>
      </c>
      <c r="L215" s="8"/>
      <c r="M215" s="7">
        <f t="shared" si="41"/>
        <v>3264.7281888399998</v>
      </c>
      <c r="N215" s="7">
        <f t="shared" si="37"/>
        <v>202.19627543882098</v>
      </c>
      <c r="O215" s="8"/>
      <c r="P215" s="7">
        <f t="shared" si="38"/>
        <v>41.858627746439559</v>
      </c>
      <c r="Q215" s="7">
        <f t="shared" si="39"/>
        <v>60.058613817130421</v>
      </c>
      <c r="R215" s="8"/>
      <c r="S215" s="7">
        <f t="shared" si="42"/>
        <v>1104.6797876776861</v>
      </c>
      <c r="T215" s="7">
        <f t="shared" si="43"/>
        <v>202.19627543882098</v>
      </c>
      <c r="U215" s="8"/>
      <c r="V215" s="7">
        <f t="shared" si="44"/>
        <v>22062.027151891118</v>
      </c>
      <c r="W215" s="7">
        <f t="shared" si="45"/>
        <v>202.19627543882098</v>
      </c>
      <c r="X215" s="8"/>
      <c r="Y215" s="7">
        <f t="shared" si="46"/>
        <v>1305.156095799568</v>
      </c>
      <c r="Z215" s="7">
        <f t="shared" si="47"/>
        <v>202.19627543882098</v>
      </c>
      <c r="AA215" s="8"/>
    </row>
    <row r="216" spans="1:27" ht="15.4" x14ac:dyDescent="0.4">
      <c r="A216" s="2">
        <v>53.57</v>
      </c>
      <c r="B216" s="2">
        <v>65.397316796434197</v>
      </c>
      <c r="C216" s="2">
        <v>75.177899999999994</v>
      </c>
      <c r="D216" s="2">
        <v>43.159609120521203</v>
      </c>
      <c r="E216" s="2">
        <v>58.163606010016714</v>
      </c>
      <c r="F216" s="2">
        <v>123.76500278116546</v>
      </c>
      <c r="G216" s="2">
        <v>86.527572991830951</v>
      </c>
      <c r="I216" s="8"/>
      <c r="J216" s="7">
        <f t="shared" si="36"/>
        <v>139.88542260321447</v>
      </c>
      <c r="K216" s="7">
        <f t="shared" si="40"/>
        <v>277.20830348907913</v>
      </c>
      <c r="L216" s="8"/>
      <c r="M216" s="7">
        <f t="shared" si="41"/>
        <v>466.9013424099997</v>
      </c>
      <c r="N216" s="7">
        <f t="shared" si="37"/>
        <v>277.20830348907913</v>
      </c>
      <c r="O216" s="8"/>
      <c r="P216" s="7">
        <f t="shared" si="38"/>
        <v>108.37623826353531</v>
      </c>
      <c r="Q216" s="7">
        <f t="shared" si="39"/>
        <v>38.927401929631138</v>
      </c>
      <c r="R216" s="8"/>
      <c r="S216" s="7">
        <f t="shared" si="42"/>
        <v>21.101216175261676</v>
      </c>
      <c r="T216" s="7">
        <f t="shared" si="43"/>
        <v>277.20830348907913</v>
      </c>
      <c r="U216" s="8"/>
      <c r="V216" s="7">
        <f t="shared" si="44"/>
        <v>4927.3384154478281</v>
      </c>
      <c r="W216" s="7">
        <f t="shared" si="45"/>
        <v>277.20830348907913</v>
      </c>
      <c r="X216" s="8"/>
      <c r="Y216" s="7">
        <f t="shared" si="46"/>
        <v>1086.2016175118649</v>
      </c>
      <c r="Z216" s="7">
        <f t="shared" si="47"/>
        <v>277.20830348907913</v>
      </c>
      <c r="AA216" s="8"/>
    </row>
    <row r="217" spans="1:27" ht="15.4" x14ac:dyDescent="0.4">
      <c r="A217" s="2">
        <v>56.89</v>
      </c>
      <c r="B217" s="2">
        <v>44.182043245224897</v>
      </c>
      <c r="C217" s="2">
        <v>57.307400000000001</v>
      </c>
      <c r="D217" s="2">
        <v>41.395832157821779</v>
      </c>
      <c r="E217" s="2">
        <v>53.00334059549747</v>
      </c>
      <c r="F217" s="2">
        <v>66.986730529428058</v>
      </c>
      <c r="G217" s="2">
        <v>56.995184812248006</v>
      </c>
      <c r="I217" s="8"/>
      <c r="J217" s="7">
        <f t="shared" si="36"/>
        <v>161.4921648812342</v>
      </c>
      <c r="K217" s="7">
        <f t="shared" si="40"/>
        <v>398.78387267708615</v>
      </c>
      <c r="L217" s="8"/>
      <c r="M217" s="7">
        <f t="shared" si="41"/>
        <v>0.17422276000000056</v>
      </c>
      <c r="N217" s="7">
        <f t="shared" si="37"/>
        <v>398.78387267708615</v>
      </c>
      <c r="O217" s="8"/>
      <c r="P217" s="7">
        <f t="shared" si="38"/>
        <v>240.06923712158971</v>
      </c>
      <c r="Q217" s="7">
        <f t="shared" si="39"/>
        <v>20.029257349592456</v>
      </c>
      <c r="R217" s="8"/>
      <c r="S217" s="7">
        <f t="shared" si="42"/>
        <v>15.106121326607967</v>
      </c>
      <c r="T217" s="7">
        <f t="shared" si="43"/>
        <v>398.78387267708615</v>
      </c>
      <c r="U217" s="8"/>
      <c r="V217" s="7">
        <f t="shared" si="44"/>
        <v>101.94396738388458</v>
      </c>
      <c r="W217" s="7">
        <f t="shared" si="45"/>
        <v>398.78387267708615</v>
      </c>
      <c r="X217" s="8"/>
      <c r="Y217" s="7">
        <f t="shared" si="46"/>
        <v>1.1063844727648113E-2</v>
      </c>
      <c r="Z217" s="7">
        <f t="shared" si="47"/>
        <v>398.78387267708615</v>
      </c>
      <c r="AA217" s="8"/>
    </row>
    <row r="218" spans="1:27" ht="15.4" x14ac:dyDescent="0.4">
      <c r="A218" s="2">
        <v>57.127099999999999</v>
      </c>
      <c r="B218" s="2">
        <v>56.616700000000002</v>
      </c>
      <c r="C218" s="2">
        <v>57.947299999999998</v>
      </c>
      <c r="D218" s="2">
        <v>45.303713970656531</v>
      </c>
      <c r="E218" s="2">
        <v>53.253012048192772</v>
      </c>
      <c r="F218" s="2">
        <v>68.08199607730424</v>
      </c>
      <c r="G218" s="2">
        <v>61.822367334142996</v>
      </c>
      <c r="I218" s="8"/>
      <c r="J218" s="7">
        <f t="shared" si="36"/>
        <v>0.26050815999999699</v>
      </c>
      <c r="K218" s="7">
        <f t="shared" si="40"/>
        <v>408.30966092277174</v>
      </c>
      <c r="L218" s="8"/>
      <c r="M218" s="7">
        <f t="shared" si="41"/>
        <v>0.67272803999999975</v>
      </c>
      <c r="N218" s="7">
        <f t="shared" si="37"/>
        <v>408.30966092277174</v>
      </c>
      <c r="O218" s="8"/>
      <c r="P218" s="7">
        <f t="shared" si="38"/>
        <v>139.79245719887427</v>
      </c>
      <c r="Q218" s="7">
        <f t="shared" si="39"/>
        <v>70.279511714483903</v>
      </c>
      <c r="R218" s="8"/>
      <c r="S218" s="7">
        <f t="shared" si="42"/>
        <v>15.00855745833791</v>
      </c>
      <c r="T218" s="7">
        <f t="shared" si="43"/>
        <v>408.30966092277174</v>
      </c>
      <c r="U218" s="8"/>
      <c r="V218" s="7">
        <f t="shared" si="44"/>
        <v>120.00974806453584</v>
      </c>
      <c r="W218" s="7">
        <f t="shared" si="45"/>
        <v>408.30966092277174</v>
      </c>
      <c r="X218" s="8"/>
      <c r="Y218" s="7">
        <f t="shared" si="46"/>
        <v>22.045535339070288</v>
      </c>
      <c r="Z218" s="7">
        <f t="shared" si="47"/>
        <v>408.30966092277174</v>
      </c>
      <c r="AA218" s="8"/>
    </row>
    <row r="219" spans="1:27" ht="15.4" x14ac:dyDescent="0.4">
      <c r="A219" s="2">
        <v>60.5289</v>
      </c>
      <c r="B219" s="2">
        <v>58.598199999999999</v>
      </c>
      <c r="C219" s="2">
        <v>61.156599999999997</v>
      </c>
      <c r="D219" s="2">
        <v>46.936050048887545</v>
      </c>
      <c r="E219" s="2">
        <v>55.76315789473685</v>
      </c>
      <c r="F219" s="2">
        <v>73.549418002270926</v>
      </c>
      <c r="G219" s="2">
        <v>66.122589462251881</v>
      </c>
      <c r="I219" s="8"/>
      <c r="J219" s="7">
        <f t="shared" si="36"/>
        <v>3.7276024900000064</v>
      </c>
      <c r="K219" s="7">
        <f t="shared" si="40"/>
        <v>557.36002916366408</v>
      </c>
      <c r="L219" s="8"/>
      <c r="M219" s="7">
        <f t="shared" si="41"/>
        <v>0.39400728999999657</v>
      </c>
      <c r="N219" s="7">
        <f t="shared" si="37"/>
        <v>557.36002916366408</v>
      </c>
      <c r="O219" s="8"/>
      <c r="P219" s="7">
        <f t="shared" si="38"/>
        <v>184.7655697934579</v>
      </c>
      <c r="Q219" s="7">
        <f t="shared" si="39"/>
        <v>100.31271853628559</v>
      </c>
      <c r="R219" s="8"/>
      <c r="S219" s="7">
        <f t="shared" si="42"/>
        <v>22.712297813878045</v>
      </c>
      <c r="T219" s="7">
        <f t="shared" si="43"/>
        <v>557.36002916366408</v>
      </c>
      <c r="U219" s="8"/>
      <c r="V219" s="7">
        <f t="shared" si="44"/>
        <v>169.53388904746126</v>
      </c>
      <c r="W219" s="7">
        <f t="shared" si="45"/>
        <v>557.36002916366408</v>
      </c>
      <c r="X219" s="8"/>
      <c r="Y219" s="7">
        <f t="shared" si="46"/>
        <v>31.289361800107734</v>
      </c>
      <c r="Z219" s="7">
        <f t="shared" si="47"/>
        <v>557.36002916366408</v>
      </c>
      <c r="AA219" s="8"/>
    </row>
    <row r="220" spans="1:27" ht="15.4" x14ac:dyDescent="0.4">
      <c r="A220" s="2">
        <v>61.16</v>
      </c>
      <c r="B220" s="2">
        <v>50.894801940773803</v>
      </c>
      <c r="C220" s="2">
        <v>84.362700000000004</v>
      </c>
      <c r="D220" s="2">
        <v>30.539387345016241</v>
      </c>
      <c r="E220" s="2">
        <v>47.903330625507721</v>
      </c>
      <c r="F220" s="2">
        <v>267.65554968306651</v>
      </c>
      <c r="G220" s="2">
        <v>91.968038843202365</v>
      </c>
      <c r="I220" s="8"/>
      <c r="J220" s="7">
        <f t="shared" si="36"/>
        <v>105.37429119514121</v>
      </c>
      <c r="K220" s="7">
        <f t="shared" si="40"/>
        <v>587.55693184358893</v>
      </c>
      <c r="L220" s="8"/>
      <c r="M220" s="7">
        <f t="shared" si="41"/>
        <v>538.36528729000031</v>
      </c>
      <c r="N220" s="7">
        <f t="shared" si="37"/>
        <v>587.55693184358893</v>
      </c>
      <c r="O220" s="8"/>
      <c r="P220" s="7">
        <f t="shared" si="38"/>
        <v>937.62191936655131</v>
      </c>
      <c r="Q220" s="7">
        <f t="shared" si="39"/>
        <v>40.717658490966699</v>
      </c>
      <c r="R220" s="8"/>
      <c r="S220" s="7">
        <f t="shared" si="42"/>
        <v>175.73928290460142</v>
      </c>
      <c r="T220" s="7">
        <f t="shared" si="43"/>
        <v>587.55693184358893</v>
      </c>
      <c r="U220" s="8"/>
      <c r="V220" s="7">
        <f t="shared" si="44"/>
        <v>42640.412038911789</v>
      </c>
      <c r="W220" s="7">
        <f t="shared" si="45"/>
        <v>587.55693184358893</v>
      </c>
      <c r="X220" s="8"/>
      <c r="Y220" s="7">
        <f t="shared" si="46"/>
        <v>949.13525736426595</v>
      </c>
      <c r="Z220" s="7">
        <f t="shared" si="47"/>
        <v>587.55693184358893</v>
      </c>
      <c r="AA220" s="8"/>
    </row>
    <row r="221" spans="1:27" ht="15.4" x14ac:dyDescent="0.4">
      <c r="A221" s="2">
        <v>64.156700000000001</v>
      </c>
      <c r="B221" s="2">
        <v>60.168300000000002</v>
      </c>
      <c r="C221" s="1">
        <v>63.8459</v>
      </c>
      <c r="D221" s="1">
        <v>48.281887624726124</v>
      </c>
      <c r="E221" s="2">
        <v>57.859154929577457</v>
      </c>
      <c r="F221" s="2">
        <v>78.317075942060114</v>
      </c>
      <c r="G221" s="2">
        <v>69.817930455612625</v>
      </c>
      <c r="I221" s="8"/>
      <c r="J221" s="7">
        <f t="shared" si="36"/>
        <v>15.907334559999988</v>
      </c>
      <c r="K221" s="7">
        <f t="shared" si="40"/>
        <v>741.81460358470372</v>
      </c>
      <c r="L221" s="8"/>
      <c r="M221" s="7">
        <f t="shared" si="41"/>
        <v>9.6596640000000261E-2</v>
      </c>
      <c r="N221" s="7">
        <f t="shared" si="37"/>
        <v>741.81460358470372</v>
      </c>
      <c r="O221" s="8"/>
      <c r="P221" s="7">
        <f t="shared" si="38"/>
        <v>252.00966795014861</v>
      </c>
      <c r="Q221" s="7">
        <f t="shared" si="39"/>
        <v>129.08280281728864</v>
      </c>
      <c r="R221" s="8"/>
      <c r="S221" s="7">
        <f t="shared" si="42"/>
        <v>39.65907391400328</v>
      </c>
      <c r="T221" s="7">
        <f t="shared" si="43"/>
        <v>741.81460358470372</v>
      </c>
      <c r="U221" s="8"/>
      <c r="V221" s="7">
        <f t="shared" si="44"/>
        <v>200.51624682047486</v>
      </c>
      <c r="W221" s="7">
        <f t="shared" si="45"/>
        <v>741.81460358470372</v>
      </c>
      <c r="X221" s="8"/>
      <c r="Y221" s="7">
        <f t="shared" si="46"/>
        <v>32.049530271555923</v>
      </c>
      <c r="Z221" s="7">
        <f t="shared" si="47"/>
        <v>741.81460358470372</v>
      </c>
      <c r="AA221" s="8"/>
    </row>
    <row r="222" spans="1:27" ht="15.4" x14ac:dyDescent="0.4">
      <c r="A222" s="2">
        <v>64.61</v>
      </c>
      <c r="B222" s="2">
        <v>41.6957313796674</v>
      </c>
      <c r="C222" s="1">
        <v>108.2778</v>
      </c>
      <c r="D222" s="1">
        <v>43.130110465145968</v>
      </c>
      <c r="E222" s="2">
        <v>84.376723479875182</v>
      </c>
      <c r="F222" s="2">
        <v>199.67291605530107</v>
      </c>
      <c r="G222" s="2">
        <v>83.260602827603961</v>
      </c>
      <c r="I222" s="8"/>
      <c r="J222" s="7">
        <f t="shared" si="36"/>
        <v>525.06370640475927</v>
      </c>
      <c r="K222" s="7">
        <f t="shared" si="40"/>
        <v>766.71249018654817</v>
      </c>
      <c r="L222" s="8"/>
      <c r="M222" s="7">
        <f t="shared" si="41"/>
        <v>1906.8767568399999</v>
      </c>
      <c r="N222" s="7">
        <f t="shared" si="37"/>
        <v>766.71249018654817</v>
      </c>
      <c r="O222" s="8"/>
      <c r="P222" s="7">
        <f t="shared" si="38"/>
        <v>461.38565442953171</v>
      </c>
      <c r="Q222" s="7">
        <f t="shared" si="39"/>
        <v>38.560177094208065</v>
      </c>
      <c r="R222" s="8"/>
      <c r="S222" s="7">
        <f t="shared" si="42"/>
        <v>390.72335712984881</v>
      </c>
      <c r="T222" s="7">
        <f t="shared" si="43"/>
        <v>766.71249018654817</v>
      </c>
      <c r="U222" s="8"/>
      <c r="V222" s="7">
        <f t="shared" si="44"/>
        <v>18241.991293361301</v>
      </c>
      <c r="W222" s="7">
        <f t="shared" si="45"/>
        <v>766.71249018654817</v>
      </c>
      <c r="X222" s="8"/>
      <c r="Y222" s="7">
        <f t="shared" si="46"/>
        <v>347.84498583302889</v>
      </c>
      <c r="Z222" s="7">
        <f t="shared" si="47"/>
        <v>766.71249018654817</v>
      </c>
      <c r="AA222" s="8"/>
    </row>
    <row r="223" spans="1:27" ht="15.4" x14ac:dyDescent="0.4">
      <c r="A223" s="2">
        <v>66.13</v>
      </c>
      <c r="B223" s="2">
        <v>68.825734930786595</v>
      </c>
      <c r="C223" s="1">
        <v>88.242099999999994</v>
      </c>
      <c r="D223" s="1">
        <v>46.885989790130502</v>
      </c>
      <c r="E223" s="2">
        <v>65.628742514970057</v>
      </c>
      <c r="F223" s="2">
        <v>176.05897105831059</v>
      </c>
      <c r="G223" s="2">
        <v>108.78932715650936</v>
      </c>
      <c r="J223" s="7">
        <f t="shared" ref="J223:J243" si="48">(B223-A223)^2</f>
        <v>7.2669868170630334</v>
      </c>
      <c r="K223" s="7">
        <f t="shared" si="40"/>
        <v>853.19919415214144</v>
      </c>
      <c r="L223" s="8"/>
      <c r="M223" s="7">
        <f t="shared" ref="M223:M243" si="49">(A223-C223)^2</f>
        <v>488.94496640999989</v>
      </c>
      <c r="N223" s="7">
        <f t="shared" ref="N223:N243" si="50">(A223-$I$2)^2</f>
        <v>853.19919415214144</v>
      </c>
      <c r="O223" s="8"/>
      <c r="P223" s="7">
        <f t="shared" ref="P223:P243" si="51">(D223-A223)^2</f>
        <v>370.33192895756133</v>
      </c>
      <c r="Q223" s="7">
        <f t="shared" ref="Q223:Q243" si="52">(D223-$I$2)^2</f>
        <v>99.312455135541427</v>
      </c>
      <c r="R223" s="8"/>
      <c r="S223" s="7">
        <f t="shared" ref="S223:S243" si="53">(E223-A223)^2</f>
        <v>0.25125906629853922</v>
      </c>
      <c r="T223" s="7">
        <f t="shared" ref="T223:T243" si="54">(A223-$I$2)^2</f>
        <v>853.19919415214144</v>
      </c>
      <c r="U223" s="8"/>
      <c r="V223" s="7">
        <f t="shared" ref="V223:V243" si="55">(F223-A223)^2</f>
        <v>12084.378677938888</v>
      </c>
      <c r="W223" s="7">
        <f t="shared" ref="W223:W243" si="56">(A223-$I$2)^2</f>
        <v>853.19919415214144</v>
      </c>
      <c r="X223" s="8"/>
      <c r="Y223" s="7">
        <f t="shared" ref="Y223:Y243" si="57">(G223-A223)^2</f>
        <v>1819.8181934460972</v>
      </c>
      <c r="Z223" s="7">
        <f t="shared" ref="Z223:Z243" si="58">(A223-$I$2)^2</f>
        <v>853.19919415214144</v>
      </c>
    </row>
    <row r="224" spans="1:27" ht="15.4" x14ac:dyDescent="0.4">
      <c r="A224" s="2">
        <v>66.379099999999994</v>
      </c>
      <c r="B224" s="2">
        <v>65.855999999999995</v>
      </c>
      <c r="C224" s="1">
        <v>64.535499999999999</v>
      </c>
      <c r="D224" s="1">
        <v>50.303369573193393</v>
      </c>
      <c r="E224" s="2">
        <v>58.395956192080874</v>
      </c>
      <c r="F224" s="2">
        <v>79.56825257895477</v>
      </c>
      <c r="G224" s="2">
        <v>72.969657577149079</v>
      </c>
      <c r="J224" s="7">
        <f t="shared" si="48"/>
        <v>0.27363360999999942</v>
      </c>
      <c r="K224" s="7">
        <f t="shared" si="40"/>
        <v>867.81345456597649</v>
      </c>
      <c r="L224" s="8"/>
      <c r="M224" s="7">
        <f t="shared" si="49"/>
        <v>3.3988609599999817</v>
      </c>
      <c r="N224" s="7">
        <f t="shared" si="50"/>
        <v>867.81345456597649</v>
      </c>
      <c r="O224" s="8"/>
      <c r="P224" s="7">
        <f t="shared" si="51"/>
        <v>258.42910875535551</v>
      </c>
      <c r="Q224" s="7">
        <f t="shared" si="52"/>
        <v>179.10316992795927</v>
      </c>
      <c r="R224" s="8"/>
      <c r="S224" s="7">
        <f t="shared" si="53"/>
        <v>63.730585057917388</v>
      </c>
      <c r="T224" s="7">
        <f t="shared" si="54"/>
        <v>867.81345456597649</v>
      </c>
      <c r="U224" s="8"/>
      <c r="V224" s="7">
        <f t="shared" si="55"/>
        <v>173.95374575094942</v>
      </c>
      <c r="W224" s="7">
        <f t="shared" si="56"/>
        <v>867.81345456597649</v>
      </c>
      <c r="X224" s="8"/>
      <c r="Y224" s="7">
        <f t="shared" si="57"/>
        <v>43.43544917771721</v>
      </c>
      <c r="Z224" s="7">
        <f t="shared" si="58"/>
        <v>867.81345456597649</v>
      </c>
    </row>
    <row r="225" spans="1:26" ht="15.4" x14ac:dyDescent="0.4">
      <c r="A225" s="2">
        <v>68.2179</v>
      </c>
      <c r="B225" s="2">
        <v>62.497599999999998</v>
      </c>
      <c r="C225" s="1">
        <v>68.088999999999999</v>
      </c>
      <c r="D225" s="1">
        <v>50.37072740877727</v>
      </c>
      <c r="E225" s="2">
        <v>61.160621761658035</v>
      </c>
      <c r="F225" s="2">
        <v>86.210962804923795</v>
      </c>
      <c r="G225" s="2">
        <v>75.829099108058728</v>
      </c>
      <c r="J225" s="7">
        <f t="shared" si="48"/>
        <v>32.721832090000021</v>
      </c>
      <c r="K225" s="7">
        <f t="shared" si="40"/>
        <v>979.53185830540679</v>
      </c>
      <c r="L225" s="8"/>
      <c r="M225" s="7">
        <f t="shared" si="49"/>
        <v>1.6615210000000404E-2</v>
      </c>
      <c r="N225" s="7">
        <f t="shared" si="50"/>
        <v>979.53185830540679</v>
      </c>
      <c r="O225" s="8"/>
      <c r="P225" s="7">
        <f t="shared" si="51"/>
        <v>318.52156950089187</v>
      </c>
      <c r="Q225" s="7">
        <f t="shared" si="52"/>
        <v>180.91059918757026</v>
      </c>
      <c r="R225" s="8"/>
      <c r="S225" s="7">
        <f t="shared" si="53"/>
        <v>49.80517613337507</v>
      </c>
      <c r="T225" s="7">
        <f t="shared" si="54"/>
        <v>979.53185830540679</v>
      </c>
      <c r="U225" s="8"/>
      <c r="V225" s="7">
        <f t="shared" si="55"/>
        <v>323.75030910193215</v>
      </c>
      <c r="W225" s="7">
        <f t="shared" si="56"/>
        <v>979.53185830540679</v>
      </c>
      <c r="X225" s="8"/>
      <c r="Y225" s="7">
        <f t="shared" si="57"/>
        <v>57.930351862513966</v>
      </c>
      <c r="Z225" s="7">
        <f t="shared" si="58"/>
        <v>979.53185830540679</v>
      </c>
    </row>
    <row r="226" spans="1:26" ht="15.4" x14ac:dyDescent="0.4">
      <c r="A226" s="2">
        <v>69.976600000000005</v>
      </c>
      <c r="B226" s="2">
        <v>68.087599999999995</v>
      </c>
      <c r="C226" s="1">
        <v>68.088999999999999</v>
      </c>
      <c r="D226" s="1">
        <v>52.21342798557869</v>
      </c>
      <c r="E226" s="2">
        <v>61.160621761658035</v>
      </c>
      <c r="F226" s="2">
        <v>86.210962804923795</v>
      </c>
      <c r="G226" s="2">
        <v>78.39678595294518</v>
      </c>
      <c r="J226" s="7">
        <f t="shared" si="48"/>
        <v>3.5683210000000378</v>
      </c>
      <c r="K226" s="7">
        <f t="shared" si="40"/>
        <v>1092.7106178924396</v>
      </c>
      <c r="L226" s="8"/>
      <c r="M226" s="7">
        <f t="shared" si="49"/>
        <v>3.5630337600000233</v>
      </c>
      <c r="N226" s="7">
        <f t="shared" si="50"/>
        <v>1092.7106178924396</v>
      </c>
      <c r="O226" s="8"/>
      <c r="P226" s="7">
        <f t="shared" si="51"/>
        <v>315.53028001392062</v>
      </c>
      <c r="Q226" s="7">
        <f t="shared" si="52"/>
        <v>233.87589972600628</v>
      </c>
      <c r="R226" s="8"/>
      <c r="S226" s="7">
        <f t="shared" si="53"/>
        <v>77.721472298919181</v>
      </c>
      <c r="T226" s="7">
        <f t="shared" si="54"/>
        <v>1092.7106178924396</v>
      </c>
      <c r="U226" s="8"/>
      <c r="V226" s="7">
        <f t="shared" si="55"/>
        <v>263.55453568189307</v>
      </c>
      <c r="W226" s="7">
        <f t="shared" si="56"/>
        <v>1092.7106178924396</v>
      </c>
      <c r="X226" s="8"/>
      <c r="Y226" s="7">
        <f t="shared" si="57"/>
        <v>70.899531482175249</v>
      </c>
      <c r="Z226" s="7">
        <f t="shared" si="58"/>
        <v>1092.7106178924396</v>
      </c>
    </row>
    <row r="227" spans="1:26" ht="15.4" x14ac:dyDescent="0.4">
      <c r="A227" s="2">
        <v>73.7</v>
      </c>
      <c r="B227" s="2">
        <v>91.6315809044291</v>
      </c>
      <c r="C227" s="1">
        <v>84.362700000000004</v>
      </c>
      <c r="D227" s="1">
        <v>36.457850400483608</v>
      </c>
      <c r="E227" s="2">
        <v>47.903330625507721</v>
      </c>
      <c r="F227" s="2">
        <v>267.65554968306651</v>
      </c>
      <c r="G227" s="2">
        <v>131.83274674012046</v>
      </c>
      <c r="J227" s="7">
        <f t="shared" si="48"/>
        <v>321.54159373208626</v>
      </c>
      <c r="K227" s="7">
        <f t="shared" si="40"/>
        <v>1352.7370395597363</v>
      </c>
      <c r="L227" s="8"/>
      <c r="M227" s="7">
        <f t="shared" si="49"/>
        <v>113.69317129000002</v>
      </c>
      <c r="N227" s="7">
        <f t="shared" si="50"/>
        <v>1352.7370395597363</v>
      </c>
      <c r="O227" s="8"/>
      <c r="P227" s="7">
        <f t="shared" si="51"/>
        <v>1386.9777067927591</v>
      </c>
      <c r="Q227" s="7">
        <f t="shared" si="52"/>
        <v>0.21397648789184018</v>
      </c>
      <c r="R227" s="8"/>
      <c r="S227" s="7">
        <f t="shared" si="53"/>
        <v>665.46815081686805</v>
      </c>
      <c r="T227" s="7">
        <f t="shared" si="54"/>
        <v>1352.7370395597363</v>
      </c>
      <c r="U227" s="8"/>
      <c r="V227" s="7">
        <f t="shared" si="55"/>
        <v>37618.755252860487</v>
      </c>
      <c r="W227" s="7">
        <f t="shared" si="56"/>
        <v>1352.7370395597363</v>
      </c>
      <c r="X227" s="8"/>
      <c r="Y227" s="7">
        <f t="shared" si="57"/>
        <v>3379.4162435509852</v>
      </c>
      <c r="Z227" s="7">
        <f t="shared" si="58"/>
        <v>1352.7370395597363</v>
      </c>
    </row>
    <row r="228" spans="1:26" ht="15.4" x14ac:dyDescent="0.4">
      <c r="A228" s="2">
        <v>74.287899999999993</v>
      </c>
      <c r="B228" s="2">
        <v>70.294899999999998</v>
      </c>
      <c r="C228" s="1">
        <v>71.822199999999995</v>
      </c>
      <c r="D228" s="1">
        <v>54.19616699981961</v>
      </c>
      <c r="E228" s="2">
        <v>64.06731620903453</v>
      </c>
      <c r="F228" s="2">
        <v>93.563915069980155</v>
      </c>
      <c r="G228" s="2">
        <v>84.318193876498697</v>
      </c>
      <c r="J228" s="7">
        <f t="shared" si="48"/>
        <v>15.944048999999961</v>
      </c>
      <c r="K228" s="7">
        <f t="shared" si="40"/>
        <v>1396.3280886943228</v>
      </c>
      <c r="L228" s="8"/>
      <c r="M228" s="7">
        <f t="shared" si="49"/>
        <v>6.0796764899999909</v>
      </c>
      <c r="N228" s="7">
        <f t="shared" si="50"/>
        <v>1396.3280886943228</v>
      </c>
      <c r="O228" s="8"/>
      <c r="P228" s="7">
        <f t="shared" si="51"/>
        <v>403.6777349505374</v>
      </c>
      <c r="Q228" s="7">
        <f t="shared" si="52"/>
        <v>298.45121579080364</v>
      </c>
      <c r="R228" s="8"/>
      <c r="S228" s="7">
        <f t="shared" si="53"/>
        <v>104.46033302814597</v>
      </c>
      <c r="T228" s="7">
        <f t="shared" si="54"/>
        <v>1396.3280886943228</v>
      </c>
      <c r="U228" s="8"/>
      <c r="V228" s="7">
        <f t="shared" si="55"/>
        <v>371.56475697810231</v>
      </c>
      <c r="W228" s="7">
        <f t="shared" si="56"/>
        <v>1396.3280886943228</v>
      </c>
      <c r="X228" s="8"/>
      <c r="Y228" s="7">
        <f t="shared" si="57"/>
        <v>100.60679524892738</v>
      </c>
      <c r="Z228" s="7">
        <f t="shared" si="58"/>
        <v>1396.3280886943228</v>
      </c>
    </row>
    <row r="229" spans="1:26" ht="15.4" x14ac:dyDescent="0.4">
      <c r="A229" s="2">
        <v>78.462800000000001</v>
      </c>
      <c r="B229" s="2">
        <v>72.478200000000001</v>
      </c>
      <c r="C229" s="1">
        <v>75.744799999999998</v>
      </c>
      <c r="D229" s="1">
        <v>56.255815482991046</v>
      </c>
      <c r="E229" s="2">
        <v>67.127272727272725</v>
      </c>
      <c r="F229" s="2">
        <v>101.73080135870502</v>
      </c>
      <c r="G229" s="2">
        <v>90.79265232295208</v>
      </c>
      <c r="J229" s="7">
        <f t="shared" si="48"/>
        <v>35.815437160000002</v>
      </c>
      <c r="K229" s="7">
        <f t="shared" si="40"/>
        <v>1725.7688103782421</v>
      </c>
      <c r="L229" s="8"/>
      <c r="M229" s="7">
        <f t="shared" si="49"/>
        <v>7.3875240000000195</v>
      </c>
      <c r="N229" s="7">
        <f t="shared" si="50"/>
        <v>1725.7688103782421</v>
      </c>
      <c r="O229" s="8"/>
      <c r="P229" s="7">
        <f t="shared" si="51"/>
        <v>493.15016133867545</v>
      </c>
      <c r="Q229" s="7">
        <f t="shared" si="52"/>
        <v>373.85727380946372</v>
      </c>
      <c r="R229" s="8"/>
      <c r="S229" s="7">
        <f t="shared" si="53"/>
        <v>128.49417855074387</v>
      </c>
      <c r="T229" s="7">
        <f t="shared" si="54"/>
        <v>1725.7688103782421</v>
      </c>
      <c r="U229" s="8"/>
      <c r="V229" s="7">
        <f t="shared" si="55"/>
        <v>541.39988722869873</v>
      </c>
      <c r="W229" s="7">
        <f t="shared" si="56"/>
        <v>1725.7688103782421</v>
      </c>
      <c r="X229" s="8"/>
      <c r="Y229" s="7">
        <f t="shared" si="57"/>
        <v>152.02525830580677</v>
      </c>
      <c r="Z229" s="7">
        <f t="shared" si="58"/>
        <v>1725.7688103782421</v>
      </c>
    </row>
    <row r="230" spans="1:26" ht="15.4" x14ac:dyDescent="0.4">
      <c r="A230" s="2">
        <v>82.06</v>
      </c>
      <c r="B230" s="2">
        <v>95.520861792800204</v>
      </c>
      <c r="C230" s="1">
        <v>117.0325</v>
      </c>
      <c r="D230" s="1">
        <v>54.228533063380361</v>
      </c>
      <c r="E230" s="2">
        <v>83.025519848771282</v>
      </c>
      <c r="F230" s="2">
        <v>189.99590824553496</v>
      </c>
      <c r="G230" s="2">
        <v>108.47775206856453</v>
      </c>
      <c r="J230" s="7">
        <f t="shared" si="48"/>
        <v>181.19480020486827</v>
      </c>
      <c r="K230" s="7">
        <f t="shared" si="40"/>
        <v>2037.5811113705008</v>
      </c>
      <c r="L230" s="8"/>
      <c r="M230" s="7">
        <f t="shared" si="49"/>
        <v>1223.0757562499998</v>
      </c>
      <c r="N230" s="7">
        <f t="shared" si="50"/>
        <v>2037.5811113705008</v>
      </c>
      <c r="O230" s="8"/>
      <c r="P230" s="7">
        <f t="shared" si="51"/>
        <v>774.59055184415229</v>
      </c>
      <c r="Q230" s="7">
        <f t="shared" si="52"/>
        <v>299.57055879421819</v>
      </c>
      <c r="R230" s="8"/>
      <c r="S230" s="7">
        <f t="shared" si="53"/>
        <v>0.93222857837131445</v>
      </c>
      <c r="T230" s="7">
        <f t="shared" si="54"/>
        <v>2037.5811113705008</v>
      </c>
      <c r="U230" s="8"/>
      <c r="V230" s="7">
        <f t="shared" si="55"/>
        <v>11650.160288788542</v>
      </c>
      <c r="W230" s="7">
        <f t="shared" si="56"/>
        <v>2037.5811113705008</v>
      </c>
      <c r="X230" s="8"/>
      <c r="Y230" s="7">
        <f t="shared" si="57"/>
        <v>697.89762435614523</v>
      </c>
      <c r="Z230" s="7">
        <f t="shared" si="58"/>
        <v>2037.5811113705008</v>
      </c>
    </row>
    <row r="231" spans="1:26" ht="15.4" x14ac:dyDescent="0.4">
      <c r="A231" s="2">
        <v>87.02</v>
      </c>
      <c r="B231" s="2">
        <v>103.42251188543599</v>
      </c>
      <c r="C231" s="1">
        <v>181.53229999999999</v>
      </c>
      <c r="D231" s="1">
        <v>63.00056388728261</v>
      </c>
      <c r="E231" s="2">
        <v>108.94265734265734</v>
      </c>
      <c r="F231" s="2">
        <v>609.17701540462622</v>
      </c>
      <c r="G231" s="2">
        <v>175.62216004194423</v>
      </c>
      <c r="J231" s="7">
        <f t="shared" si="48"/>
        <v>269.04239615186918</v>
      </c>
      <c r="K231" s="7">
        <f t="shared" si="40"/>
        <v>2509.967282205595</v>
      </c>
      <c r="L231" s="8"/>
      <c r="M231" s="7">
        <f t="shared" si="49"/>
        <v>8932.5748512899991</v>
      </c>
      <c r="N231" s="7">
        <f t="shared" si="50"/>
        <v>2509.967282205595</v>
      </c>
      <c r="O231" s="8"/>
      <c r="P231" s="7">
        <f t="shared" si="51"/>
        <v>576.93331117291211</v>
      </c>
      <c r="Q231" s="7">
        <f t="shared" si="52"/>
        <v>680.17357515766287</v>
      </c>
      <c r="R231" s="8"/>
      <c r="S231" s="7">
        <f t="shared" si="53"/>
        <v>480.60290496356799</v>
      </c>
      <c r="T231" s="7">
        <f t="shared" si="54"/>
        <v>2509.967282205595</v>
      </c>
      <c r="U231" s="8"/>
      <c r="V231" s="7">
        <f t="shared" si="55"/>
        <v>272647.94873626711</v>
      </c>
      <c r="W231" s="7">
        <f t="shared" si="56"/>
        <v>2509.967282205595</v>
      </c>
      <c r="X231" s="8"/>
      <c r="Y231" s="7">
        <f t="shared" si="57"/>
        <v>7850.3427640982991</v>
      </c>
      <c r="Z231" s="7">
        <f t="shared" si="58"/>
        <v>2509.967282205595</v>
      </c>
    </row>
    <row r="232" spans="1:26" ht="15.4" x14ac:dyDescent="0.4">
      <c r="A232" s="2">
        <v>103.34</v>
      </c>
      <c r="B232" s="2">
        <v>80.773158176360994</v>
      </c>
      <c r="C232" s="1">
        <v>352.45589999999999</v>
      </c>
      <c r="D232" s="1">
        <v>71.715561415985363</v>
      </c>
      <c r="E232" s="2">
        <v>166.79681316392413</v>
      </c>
      <c r="F232" s="2">
        <v>-563.4675313809978</v>
      </c>
      <c r="G232" s="2">
        <v>354.68968195720856</v>
      </c>
      <c r="J232" s="7">
        <f t="shared" si="48"/>
        <v>509.26234989314281</v>
      </c>
      <c r="K232" s="7">
        <f t="shared" si="40"/>
        <v>4411.5597668888113</v>
      </c>
      <c r="L232" s="8"/>
      <c r="M232" s="7">
        <f t="shared" si="49"/>
        <v>62058.731632809991</v>
      </c>
      <c r="N232" s="7">
        <f t="shared" si="50"/>
        <v>4411.5597668888113</v>
      </c>
      <c r="O232" s="8"/>
      <c r="P232" s="7">
        <f t="shared" si="51"/>
        <v>1000.105115754114</v>
      </c>
      <c r="Q232" s="7">
        <f t="shared" si="52"/>
        <v>1210.7014258532679</v>
      </c>
      <c r="R232" s="8"/>
      <c r="S232" s="7">
        <f t="shared" si="53"/>
        <v>4026.7671369211739</v>
      </c>
      <c r="T232" s="7">
        <f t="shared" si="54"/>
        <v>4411.5597668888113</v>
      </c>
      <c r="U232" s="8"/>
      <c r="V232" s="7">
        <f t="shared" si="55"/>
        <v>444632.2839064204</v>
      </c>
      <c r="W232" s="7">
        <f t="shared" si="56"/>
        <v>4411.5597668888113</v>
      </c>
      <c r="X232" s="8"/>
      <c r="Y232" s="7">
        <f t="shared" si="57"/>
        <v>63176.662619989896</v>
      </c>
      <c r="Z232" s="7">
        <f t="shared" si="58"/>
        <v>4411.5597668888113</v>
      </c>
    </row>
    <row r="233" spans="1:26" ht="15.4" x14ac:dyDescent="0.4">
      <c r="A233" s="2">
        <v>129.82</v>
      </c>
      <c r="B233" s="2">
        <v>129.140898596195</v>
      </c>
      <c r="C233" s="1">
        <v>352.45589999999999</v>
      </c>
      <c r="D233" s="1">
        <v>91.795273009349501</v>
      </c>
      <c r="E233" s="2">
        <v>166.79681316392413</v>
      </c>
      <c r="F233" s="2">
        <v>-563.4675313809978</v>
      </c>
      <c r="G233" s="2">
        <v>1005.8604625878512</v>
      </c>
      <c r="J233" s="7">
        <f t="shared" si="48"/>
        <v>0.46117871664991117</v>
      </c>
      <c r="K233" s="7">
        <f t="shared" si="40"/>
        <v>8630.3307886052025</v>
      </c>
      <c r="L233" s="8"/>
      <c r="M233" s="7">
        <f t="shared" si="49"/>
        <v>49566.743968809998</v>
      </c>
      <c r="N233" s="7">
        <f t="shared" si="50"/>
        <v>8630.3307886052025</v>
      </c>
      <c r="O233" s="8"/>
      <c r="P233" s="7">
        <f t="shared" si="51"/>
        <v>1445.8798627135041</v>
      </c>
      <c r="Q233" s="7">
        <f t="shared" si="52"/>
        <v>3011.2487983995793</v>
      </c>
      <c r="R233" s="8"/>
      <c r="S233" s="7">
        <f t="shared" si="53"/>
        <v>1367.2847117597532</v>
      </c>
      <c r="T233" s="7">
        <f t="shared" si="54"/>
        <v>8630.3307886052025</v>
      </c>
      <c r="U233" s="8"/>
      <c r="V233" s="7">
        <f t="shared" si="55"/>
        <v>480647.60116835794</v>
      </c>
      <c r="W233" s="7">
        <f t="shared" si="56"/>
        <v>8630.3307886052025</v>
      </c>
      <c r="X233" s="8"/>
      <c r="Y233" s="7">
        <f t="shared" si="57"/>
        <v>767446.89209113619</v>
      </c>
      <c r="Z233" s="7">
        <f t="shared" si="58"/>
        <v>8630.3307886052025</v>
      </c>
    </row>
    <row r="234" spans="1:26" ht="15.4" x14ac:dyDescent="0.4">
      <c r="A234" s="2">
        <v>155.25</v>
      </c>
      <c r="B234" s="2">
        <v>234.49120139057399</v>
      </c>
      <c r="C234" s="1">
        <v>352.45589999999999</v>
      </c>
      <c r="D234" s="1">
        <v>117.71081185995557</v>
      </c>
      <c r="E234" s="2">
        <v>166.79681316392413</v>
      </c>
      <c r="F234" s="2">
        <v>-563.4675313809978</v>
      </c>
      <c r="G234" s="2">
        <v>-2578.4570805944691</v>
      </c>
      <c r="J234" s="7">
        <f t="shared" si="48"/>
        <v>6279.1679978215052</v>
      </c>
      <c r="K234" s="7">
        <f t="shared" si="40"/>
        <v>14001.888005608522</v>
      </c>
      <c r="L234" s="8"/>
      <c r="M234" s="7">
        <f t="shared" si="49"/>
        <v>38890.166994809995</v>
      </c>
      <c r="N234" s="7">
        <f t="shared" si="50"/>
        <v>14001.888005608522</v>
      </c>
      <c r="O234" s="8"/>
      <c r="P234" s="7">
        <f t="shared" si="51"/>
        <v>1409.1906462136524</v>
      </c>
      <c r="Q234" s="7">
        <f t="shared" si="52"/>
        <v>6527.0863945462461</v>
      </c>
      <c r="R234" s="8"/>
      <c r="S234" s="7">
        <f t="shared" si="53"/>
        <v>133.32889424257152</v>
      </c>
      <c r="T234" s="7">
        <f t="shared" si="54"/>
        <v>14001.888005608522</v>
      </c>
      <c r="U234" s="8"/>
      <c r="V234" s="7">
        <f t="shared" si="55"/>
        <v>516554.88991439558</v>
      </c>
      <c r="W234" s="7">
        <f t="shared" si="56"/>
        <v>14001.888005608522</v>
      </c>
      <c r="X234" s="8"/>
      <c r="Y234" s="7">
        <f t="shared" si="57"/>
        <v>7473154.4024923351</v>
      </c>
      <c r="Z234" s="7">
        <f t="shared" si="58"/>
        <v>14001.888005608522</v>
      </c>
    </row>
    <row r="235" spans="1:26" ht="15.4" x14ac:dyDescent="0.4">
      <c r="A235" s="2">
        <v>237.9</v>
      </c>
      <c r="B235" s="2">
        <v>322.095770125115</v>
      </c>
      <c r="C235" s="1">
        <v>352.45589999999999</v>
      </c>
      <c r="D235" s="1">
        <v>130.31611302754675</v>
      </c>
      <c r="E235" s="2">
        <v>166.79681316392413</v>
      </c>
      <c r="F235" s="2">
        <v>-563.4675313809978</v>
      </c>
      <c r="G235" s="2">
        <v>-1175.0597881976348</v>
      </c>
      <c r="J235" s="7">
        <f t="shared" si="48"/>
        <v>7088.9277069612062</v>
      </c>
      <c r="K235" s="7">
        <f t="shared" si="40"/>
        <v>40392.789033737674</v>
      </c>
      <c r="L235" s="8"/>
      <c r="M235" s="7">
        <f t="shared" si="49"/>
        <v>13123.054224809996</v>
      </c>
      <c r="N235" s="7">
        <f t="shared" si="50"/>
        <v>40392.789033737674</v>
      </c>
      <c r="O235" s="8"/>
      <c r="P235" s="7">
        <f t="shared" si="51"/>
        <v>11574.292736101597</v>
      </c>
      <c r="Q235" s="7">
        <f t="shared" si="52"/>
        <v>8722.754294246628</v>
      </c>
      <c r="R235" s="8"/>
      <c r="S235" s="7">
        <f t="shared" si="53"/>
        <v>5055.6631782459144</v>
      </c>
      <c r="T235" s="7">
        <f t="shared" si="54"/>
        <v>40392.789033737674</v>
      </c>
      <c r="U235" s="8"/>
      <c r="V235" s="7">
        <f t="shared" si="55"/>
        <v>642189.92035167443</v>
      </c>
      <c r="W235" s="7">
        <f t="shared" si="56"/>
        <v>40392.789033737674</v>
      </c>
      <c r="X235" s="8"/>
      <c r="Y235" s="7">
        <f t="shared" si="57"/>
        <v>1996455.3630635054</v>
      </c>
      <c r="Z235" s="7">
        <f t="shared" si="58"/>
        <v>40392.789033737674</v>
      </c>
    </row>
    <row r="236" spans="1:26" ht="15.4" x14ac:dyDescent="0.4">
      <c r="A236" s="2">
        <v>442.68</v>
      </c>
      <c r="B236" s="2">
        <v>430.35414918112298</v>
      </c>
      <c r="C236" s="1">
        <v>962.10421721501098</v>
      </c>
      <c r="D236" s="1">
        <v>533.69025626638404</v>
      </c>
      <c r="E236" s="2">
        <v>930.4256301566877</v>
      </c>
      <c r="F236" s="2">
        <v>1036.5639188946973</v>
      </c>
      <c r="G236" s="2">
        <v>744.94849355800409</v>
      </c>
      <c r="J236" s="7">
        <f t="shared" si="48"/>
        <v>151.92659840921152</v>
      </c>
      <c r="K236" s="7">
        <f t="shared" si="40"/>
        <v>164640.8316272076</v>
      </c>
      <c r="L236" s="8"/>
      <c r="M236" s="7">
        <f t="shared" si="49"/>
        <v>269801.51742942684</v>
      </c>
      <c r="N236" s="7">
        <f t="shared" si="50"/>
        <v>164640.8316272076</v>
      </c>
      <c r="O236" s="8"/>
      <c r="P236" s="7">
        <f t="shared" si="51"/>
        <v>8282.8667456728945</v>
      </c>
      <c r="Q236" s="7">
        <f t="shared" si="52"/>
        <v>246780.26393789783</v>
      </c>
      <c r="R236" s="8"/>
      <c r="S236" s="7">
        <f t="shared" si="53"/>
        <v>237895.79973694438</v>
      </c>
      <c r="T236" s="7">
        <f t="shared" si="54"/>
        <v>164640.8316272076</v>
      </c>
      <c r="U236" s="8"/>
      <c r="V236" s="7">
        <f t="shared" si="55"/>
        <v>352698.10912172328</v>
      </c>
      <c r="W236" s="7">
        <f t="shared" si="56"/>
        <v>164640.8316272076</v>
      </c>
      <c r="X236" s="8"/>
      <c r="Y236" s="7">
        <f t="shared" si="57"/>
        <v>91366.242197825151</v>
      </c>
      <c r="Z236" s="7">
        <f t="shared" si="58"/>
        <v>164640.8316272076</v>
      </c>
    </row>
    <row r="237" spans="1:26" ht="15.4" x14ac:dyDescent="0.4">
      <c r="A237" s="2">
        <v>537.78</v>
      </c>
      <c r="B237" s="2">
        <v>538.52050101059694</v>
      </c>
      <c r="C237" s="1">
        <v>1102.6204214188399</v>
      </c>
      <c r="D237" s="1">
        <v>607.68216327496941</v>
      </c>
      <c r="E237" s="2">
        <v>1027.3747964832303</v>
      </c>
      <c r="F237" s="2">
        <v>1341.6865792180961</v>
      </c>
      <c r="G237" s="2">
        <v>917.74986383971873</v>
      </c>
      <c r="J237" s="7">
        <f t="shared" si="48"/>
        <v>0.54834174669513724</v>
      </c>
      <c r="K237" s="7">
        <f t="shared" si="40"/>
        <v>250860.31253979169</v>
      </c>
      <c r="L237" s="8"/>
      <c r="M237" s="7">
        <f t="shared" si="49"/>
        <v>319044.70166861266</v>
      </c>
      <c r="N237" s="7">
        <f t="shared" si="50"/>
        <v>250860.31253979169</v>
      </c>
      <c r="O237" s="8"/>
      <c r="P237" s="7">
        <f t="shared" si="51"/>
        <v>4886.3124305204865</v>
      </c>
      <c r="Q237" s="7">
        <f t="shared" si="52"/>
        <v>325768.96036374045</v>
      </c>
      <c r="R237" s="8"/>
      <c r="S237" s="7">
        <f t="shared" si="53"/>
        <v>239703.0647434557</v>
      </c>
      <c r="T237" s="7">
        <f t="shared" si="54"/>
        <v>250860.31253979169</v>
      </c>
      <c r="U237" s="8"/>
      <c r="V237" s="7">
        <f t="shared" si="55"/>
        <v>646265.78811014106</v>
      </c>
      <c r="W237" s="7">
        <f t="shared" si="56"/>
        <v>250860.31253979169</v>
      </c>
      <c r="X237" s="8"/>
      <c r="Y237" s="7">
        <f t="shared" si="57"/>
        <v>144377.09742637441</v>
      </c>
      <c r="Z237" s="7">
        <f t="shared" si="58"/>
        <v>250860.31253979169</v>
      </c>
    </row>
    <row r="238" spans="1:26" ht="15.4" x14ac:dyDescent="0.4">
      <c r="A238" s="2">
        <v>577.66</v>
      </c>
      <c r="B238" s="2">
        <v>552.50563544854901</v>
      </c>
      <c r="C238" s="1">
        <v>1172.0751459524899</v>
      </c>
      <c r="D238" s="1">
        <v>628.15792763549553</v>
      </c>
      <c r="E238" s="2">
        <v>1110.3512892519786</v>
      </c>
      <c r="F238" s="2">
        <v>1501.2223901197658</v>
      </c>
      <c r="G238" s="2">
        <v>984.45099308972055</v>
      </c>
      <c r="J238" s="7">
        <f t="shared" si="48"/>
        <v>632.74205598729236</v>
      </c>
      <c r="K238" s="7">
        <f t="shared" si="40"/>
        <v>292399.28653594159</v>
      </c>
      <c r="L238" s="8"/>
      <c r="M238" s="7">
        <f t="shared" si="49"/>
        <v>353329.36573771999</v>
      </c>
      <c r="N238" s="7">
        <f t="shared" si="50"/>
        <v>292399.28653594159</v>
      </c>
      <c r="O238" s="8"/>
      <c r="P238" s="7">
        <f t="shared" si="51"/>
        <v>2550.0406954797459</v>
      </c>
      <c r="Q238" s="7">
        <f t="shared" si="52"/>
        <v>349561.78295338625</v>
      </c>
      <c r="R238" s="8"/>
      <c r="S238" s="7">
        <f t="shared" si="53"/>
        <v>283760.0096449352</v>
      </c>
      <c r="T238" s="7">
        <f t="shared" si="54"/>
        <v>292399.28653594159</v>
      </c>
      <c r="U238" s="8"/>
      <c r="V238" s="7">
        <f t="shared" si="55"/>
        <v>852967.48844373459</v>
      </c>
      <c r="W238" s="7">
        <f t="shared" si="56"/>
        <v>292399.28653594159</v>
      </c>
      <c r="X238" s="8"/>
      <c r="Y238" s="7">
        <f t="shared" si="57"/>
        <v>165478.91205892109</v>
      </c>
      <c r="Z238" s="7">
        <f t="shared" si="58"/>
        <v>292399.28653594159</v>
      </c>
    </row>
    <row r="239" spans="1:26" ht="15.4" x14ac:dyDescent="0.4">
      <c r="A239" s="2">
        <v>672.03</v>
      </c>
      <c r="B239" s="2">
        <v>588.70507725621701</v>
      </c>
      <c r="C239" s="1">
        <v>976.573413294842</v>
      </c>
      <c r="D239" s="1">
        <v>652.82729897666547</v>
      </c>
      <c r="E239" s="2">
        <v>949.51718068416619</v>
      </c>
      <c r="F239" s="2">
        <v>1061.7980557695116</v>
      </c>
      <c r="G239" s="2">
        <v>906.87368942227931</v>
      </c>
      <c r="J239" s="7">
        <f t="shared" si="48"/>
        <v>6943.0427502573993</v>
      </c>
      <c r="K239" s="7">
        <f t="shared" si="40"/>
        <v>403364.17057096335</v>
      </c>
      <c r="L239" s="8"/>
      <c r="M239" s="7">
        <f t="shared" si="49"/>
        <v>92746.690581272967</v>
      </c>
      <c r="N239" s="7">
        <f t="shared" si="50"/>
        <v>403364.17057096335</v>
      </c>
      <c r="O239" s="8"/>
      <c r="P239" s="7">
        <f t="shared" si="51"/>
        <v>368.74372659157177</v>
      </c>
      <c r="Q239" s="7">
        <f t="shared" si="52"/>
        <v>379341.27577695897</v>
      </c>
      <c r="R239" s="8"/>
      <c r="S239" s="7">
        <f t="shared" si="53"/>
        <v>76999.135444047104</v>
      </c>
      <c r="T239" s="7">
        <f t="shared" si="54"/>
        <v>403364.17057096335</v>
      </c>
      <c r="U239" s="8"/>
      <c r="V239" s="7">
        <f t="shared" si="55"/>
        <v>151919.13729834513</v>
      </c>
      <c r="W239" s="7">
        <f t="shared" si="56"/>
        <v>403364.17057096335</v>
      </c>
      <c r="X239" s="8"/>
      <c r="Y239" s="7">
        <f t="shared" si="57"/>
        <v>55151.558461467997</v>
      </c>
      <c r="Z239" s="7">
        <f t="shared" si="58"/>
        <v>403364.17057096335</v>
      </c>
    </row>
    <row r="240" spans="1:26" ht="15.4" x14ac:dyDescent="0.4">
      <c r="A240" s="2">
        <v>744.63</v>
      </c>
      <c r="B240" s="2">
        <v>573.60743557615001</v>
      </c>
      <c r="C240" s="1">
        <v>1268.3865428056499</v>
      </c>
      <c r="D240" s="1">
        <v>649.23728398418859</v>
      </c>
      <c r="E240" s="2">
        <v>1201.212693884828</v>
      </c>
      <c r="F240" s="2">
        <v>1682.8119678171738</v>
      </c>
      <c r="G240" s="2">
        <v>1055.5890043263407</v>
      </c>
      <c r="J240" s="7">
        <f t="shared" si="48"/>
        <v>29248.71754210992</v>
      </c>
      <c r="K240" s="7">
        <f t="shared" si="40"/>
        <v>500852.8406682674</v>
      </c>
      <c r="L240" s="8"/>
      <c r="M240" s="7">
        <f t="shared" si="49"/>
        <v>274320.91613172658</v>
      </c>
      <c r="N240" s="7">
        <f t="shared" si="50"/>
        <v>500852.8406682674</v>
      </c>
      <c r="O240" s="8"/>
      <c r="P240" s="7">
        <f t="shared" si="51"/>
        <v>9099.7702688732406</v>
      </c>
      <c r="Q240" s="7">
        <f t="shared" si="52"/>
        <v>374931.93417104223</v>
      </c>
      <c r="R240" s="8"/>
      <c r="S240" s="7">
        <f t="shared" si="53"/>
        <v>208467.75635512656</v>
      </c>
      <c r="T240" s="7">
        <f t="shared" si="54"/>
        <v>500852.8406682674</v>
      </c>
      <c r="U240" s="8"/>
      <c r="V240" s="7">
        <f t="shared" si="55"/>
        <v>880185.40473730455</v>
      </c>
      <c r="W240" s="7">
        <f t="shared" si="56"/>
        <v>500852.8406682674</v>
      </c>
      <c r="X240" s="8"/>
      <c r="Y240" s="7">
        <f t="shared" si="57"/>
        <v>96695.502371629191</v>
      </c>
      <c r="Z240" s="7">
        <f t="shared" si="58"/>
        <v>500852.8406682674</v>
      </c>
    </row>
    <row r="241" spans="1:26" ht="15.4" x14ac:dyDescent="0.4">
      <c r="A241" s="2">
        <v>851.13</v>
      </c>
      <c r="B241" s="2">
        <v>818.26051527965296</v>
      </c>
      <c r="C241" s="1">
        <v>1013.3242977533999</v>
      </c>
      <c r="D241" s="1">
        <v>807.77354543257275</v>
      </c>
      <c r="E241" s="2">
        <v>975.22278304084489</v>
      </c>
      <c r="F241" s="2">
        <v>1095.8064743298446</v>
      </c>
      <c r="G241" s="2">
        <v>1105.0846671090062</v>
      </c>
      <c r="J241" s="7">
        <f t="shared" si="48"/>
        <v>1080.4030257811271</v>
      </c>
      <c r="K241" s="7">
        <f t="shared" si="40"/>
        <v>662937.22986059345</v>
      </c>
      <c r="L241" s="8"/>
      <c r="M241" s="7">
        <f t="shared" si="49"/>
        <v>26306.99022371856</v>
      </c>
      <c r="N241" s="7">
        <f t="shared" si="50"/>
        <v>662937.22986059345</v>
      </c>
      <c r="O241" s="8"/>
      <c r="P241" s="7">
        <f t="shared" si="51"/>
        <v>1879.7821526573832</v>
      </c>
      <c r="Q241" s="7">
        <f t="shared" si="52"/>
        <v>594214.53123462468</v>
      </c>
      <c r="R241" s="8"/>
      <c r="S241" s="7">
        <f t="shared" si="53"/>
        <v>15399.018802822202</v>
      </c>
      <c r="T241" s="7">
        <f t="shared" si="54"/>
        <v>662937.22986059345</v>
      </c>
      <c r="U241" s="8"/>
      <c r="V241" s="7">
        <f t="shared" si="55"/>
        <v>59866.577090483108</v>
      </c>
      <c r="W241" s="7">
        <f t="shared" si="56"/>
        <v>662937.22986059345</v>
      </c>
      <c r="X241" s="8"/>
      <c r="Y241" s="7">
        <f t="shared" si="57"/>
        <v>64492.972946446163</v>
      </c>
      <c r="Z241" s="7">
        <f t="shared" si="58"/>
        <v>662937.22986059345</v>
      </c>
    </row>
    <row r="242" spans="1:26" ht="15.4" x14ac:dyDescent="0.4">
      <c r="A242" s="2">
        <v>888.17</v>
      </c>
      <c r="B242" s="2">
        <v>940.97794034196602</v>
      </c>
      <c r="C242" s="1">
        <v>1009.66734671365</v>
      </c>
      <c r="D242" s="1">
        <v>877.26081137933488</v>
      </c>
      <c r="E242" s="2">
        <v>971.50445563734991</v>
      </c>
      <c r="F242" s="2">
        <v>1090.8853342245056</v>
      </c>
      <c r="G242" s="2">
        <v>1179.9215789212744</v>
      </c>
      <c r="J242" s="7">
        <f t="shared" si="48"/>
        <v>2788.6785631606463</v>
      </c>
      <c r="K242" s="7">
        <f t="shared" si="40"/>
        <v>724625.83667828131</v>
      </c>
      <c r="L242" s="8"/>
      <c r="M242" s="7">
        <f t="shared" si="49"/>
        <v>14761.605258456882</v>
      </c>
      <c r="N242" s="7">
        <f t="shared" si="50"/>
        <v>724625.83667828131</v>
      </c>
      <c r="O242" s="8"/>
      <c r="P242" s="7">
        <f t="shared" si="51"/>
        <v>119.01039636124841</v>
      </c>
      <c r="Q242" s="7">
        <f t="shared" si="52"/>
        <v>706171.96274972591</v>
      </c>
      <c r="R242" s="8"/>
      <c r="S242" s="7">
        <f t="shared" si="53"/>
        <v>6944.6314963734467</v>
      </c>
      <c r="T242" s="7">
        <f t="shared" si="54"/>
        <v>724625.83667828131</v>
      </c>
      <c r="U242" s="8"/>
      <c r="V242" s="7">
        <f t="shared" si="55"/>
        <v>41093.506729753048</v>
      </c>
      <c r="W242" s="7">
        <f t="shared" si="56"/>
        <v>724625.83667828131</v>
      </c>
      <c r="X242" s="8"/>
      <c r="Y242" s="7">
        <f t="shared" si="57"/>
        <v>85118.983803056646</v>
      </c>
      <c r="Z242" s="7">
        <f t="shared" si="58"/>
        <v>724625.83667828131</v>
      </c>
    </row>
    <row r="243" spans="1:26" ht="15.4" x14ac:dyDescent="0.4">
      <c r="A243" s="2">
        <v>904</v>
      </c>
      <c r="B243" s="2">
        <v>986.605758474239</v>
      </c>
      <c r="C243" s="1">
        <v>1018.18731228876</v>
      </c>
      <c r="D243" s="1">
        <v>905.85429093609378</v>
      </c>
      <c r="E243" s="2">
        <v>980.20487463011989</v>
      </c>
      <c r="F243" s="2">
        <v>1102.4009602138717</v>
      </c>
      <c r="G243" s="2">
        <v>1217.0867395213947</v>
      </c>
      <c r="J243" s="7">
        <f t="shared" si="48"/>
        <v>6823.7113331043074</v>
      </c>
      <c r="K243" s="7">
        <f t="shared" si="40"/>
        <v>751826.98708076519</v>
      </c>
      <c r="L243" s="8"/>
      <c r="M243" s="7">
        <f t="shared" si="49"/>
        <v>13038.742287730809</v>
      </c>
      <c r="N243" s="7">
        <f t="shared" si="50"/>
        <v>751826.98708076519</v>
      </c>
      <c r="O243" s="8"/>
      <c r="P243" s="7">
        <f t="shared" si="51"/>
        <v>3.4383948756795304</v>
      </c>
      <c r="Q243" s="7">
        <f t="shared" si="52"/>
        <v>755046.06106430828</v>
      </c>
      <c r="R243" s="8"/>
      <c r="S243" s="7">
        <f t="shared" si="53"/>
        <v>5807.1829173922897</v>
      </c>
      <c r="T243" s="7">
        <f t="shared" si="54"/>
        <v>751826.98708076519</v>
      </c>
      <c r="U243" s="8"/>
      <c r="V243" s="7">
        <f t="shared" si="55"/>
        <v>39362.941013786309</v>
      </c>
      <c r="W243" s="7">
        <f t="shared" si="56"/>
        <v>751826.98708076519</v>
      </c>
      <c r="X243" s="8"/>
      <c r="Y243" s="7">
        <f t="shared" si="57"/>
        <v>98023.306464137684</v>
      </c>
      <c r="Z243" s="7">
        <f t="shared" si="58"/>
        <v>751826.98708076519</v>
      </c>
    </row>
    <row r="244" spans="1:26" ht="15.4" x14ac:dyDescent="0.4">
      <c r="B244" s="2"/>
      <c r="C244" s="1"/>
      <c r="D244" s="1"/>
    </row>
    <row r="245" spans="1:26" ht="15.4" x14ac:dyDescent="0.4">
      <c r="B245" s="2"/>
      <c r="C245" s="1"/>
      <c r="D245" s="1"/>
    </row>
    <row r="246" spans="1:26" ht="15.4" x14ac:dyDescent="0.4">
      <c r="B246" s="2"/>
      <c r="C246" s="1"/>
      <c r="D246" s="1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0F53-7DB4-452B-9D53-0C1F83996646}">
  <dimension ref="A1:J243"/>
  <sheetViews>
    <sheetView workbookViewId="0">
      <selection activeCell="G10" sqref="G10"/>
    </sheetView>
  </sheetViews>
  <sheetFormatPr defaultRowHeight="15" x14ac:dyDescent="0.4"/>
  <cols>
    <col min="1" max="1" width="14.3984375" style="52" customWidth="1"/>
    <col min="2" max="5" width="12.73046875" style="5" customWidth="1"/>
    <col min="7" max="7" width="19" customWidth="1"/>
    <col min="8" max="8" width="13.86328125" customWidth="1"/>
    <col min="9" max="9" width="20.265625" customWidth="1"/>
    <col min="10" max="10" width="13.73046875" customWidth="1"/>
  </cols>
  <sheetData>
    <row r="1" spans="1:10" ht="33" x14ac:dyDescent="0.4">
      <c r="A1" s="10" t="s">
        <v>15</v>
      </c>
      <c r="B1" s="10" t="s">
        <v>69</v>
      </c>
      <c r="C1" s="10" t="s">
        <v>56</v>
      </c>
      <c r="D1" s="10" t="s">
        <v>57</v>
      </c>
      <c r="E1" s="10" t="s">
        <v>58</v>
      </c>
      <c r="G1" s="14" t="s">
        <v>16</v>
      </c>
      <c r="H1" s="10" t="s">
        <v>56</v>
      </c>
      <c r="I1" s="10" t="s">
        <v>57</v>
      </c>
      <c r="J1" s="10" t="s">
        <v>58</v>
      </c>
    </row>
    <row r="2" spans="1:10" ht="15.4" x14ac:dyDescent="0.4">
      <c r="A2" s="51" t="s">
        <v>8</v>
      </c>
      <c r="B2" s="43">
        <v>0.89999999999999991</v>
      </c>
      <c r="C2" s="2">
        <v>2.7489748643313145</v>
      </c>
      <c r="D2" s="2">
        <v>3.4639709622641934</v>
      </c>
      <c r="E2" s="2">
        <v>3.6382162259297086</v>
      </c>
      <c r="G2" s="16" t="s">
        <v>8</v>
      </c>
      <c r="H2" s="3">
        <f>AVERAGE(C2:C63)</f>
        <v>16.698625382844956</v>
      </c>
      <c r="I2" s="3">
        <f t="shared" ref="I2:J2" si="0">AVERAGE(D2:D63)</f>
        <v>17.29754374553367</v>
      </c>
      <c r="J2" s="3">
        <f t="shared" si="0"/>
        <v>17.099102560291566</v>
      </c>
    </row>
    <row r="3" spans="1:10" ht="15.4" x14ac:dyDescent="0.4">
      <c r="B3" s="43">
        <v>1</v>
      </c>
      <c r="C3" s="2">
        <v>3.5169032850033637</v>
      </c>
      <c r="D3" s="2">
        <v>4.2156228691080528</v>
      </c>
      <c r="E3" s="2">
        <v>4.3358739245164521</v>
      </c>
      <c r="G3" s="16" t="s">
        <v>9</v>
      </c>
      <c r="H3" s="3">
        <f>AVERAGE(C64:C104)</f>
        <v>24.391204897555184</v>
      </c>
      <c r="I3" s="3">
        <f t="shared" ref="I3:J3" si="1">AVERAGE(D64:D104)</f>
        <v>26.112003293808058</v>
      </c>
      <c r="J3" s="3">
        <f t="shared" si="1"/>
        <v>22.97275631107577</v>
      </c>
    </row>
    <row r="4" spans="1:10" ht="15.4" x14ac:dyDescent="0.4">
      <c r="B4" s="43">
        <v>1.5817223198594026</v>
      </c>
      <c r="C4" s="2">
        <v>5.2383604387338734</v>
      </c>
      <c r="D4" s="2">
        <v>3.9218308371087667</v>
      </c>
      <c r="E4" s="2">
        <v>3.7477311293980353</v>
      </c>
      <c r="G4" s="16" t="s">
        <v>10</v>
      </c>
      <c r="H4" s="3">
        <f>AVERAGE(C105:C134)</f>
        <v>30.321725845057628</v>
      </c>
      <c r="I4" s="3">
        <f t="shared" ref="I4:J4" si="2">AVERAGE(D105:D134)</f>
        <v>33.916359791623286</v>
      </c>
      <c r="J4" s="3">
        <f t="shared" si="2"/>
        <v>24.925731116807707</v>
      </c>
    </row>
    <row r="5" spans="1:10" ht="15.4" x14ac:dyDescent="0.4">
      <c r="B5" s="43">
        <v>2</v>
      </c>
      <c r="C5" s="2">
        <v>5.265069935728599</v>
      </c>
      <c r="D5" s="2">
        <v>6.4509380963018907</v>
      </c>
      <c r="E5" s="2">
        <v>6.8961378513143172</v>
      </c>
      <c r="G5" s="16" t="s">
        <v>11</v>
      </c>
      <c r="H5" s="3">
        <f>AVERAGE(C135:C159)</f>
        <v>25.521025418597432</v>
      </c>
      <c r="I5" s="3">
        <f t="shared" ref="I5:J5" si="3">AVERAGE(D135:D159)</f>
        <v>63.368869596550752</v>
      </c>
      <c r="J5" s="3">
        <f t="shared" si="3"/>
        <v>22.529715079811876</v>
      </c>
    </row>
    <row r="6" spans="1:10" ht="15.4" x14ac:dyDescent="0.4">
      <c r="B6" s="43">
        <v>2</v>
      </c>
      <c r="C6" s="2">
        <v>7.2408907644857097</v>
      </c>
      <c r="D6" s="2">
        <v>8.2969556207082373</v>
      </c>
      <c r="E6" s="2">
        <v>8.563953527548005</v>
      </c>
      <c r="G6" s="16" t="s">
        <v>12</v>
      </c>
      <c r="H6" s="3">
        <f>AVERAGE(C160:C200)</f>
        <v>41.215421635583645</v>
      </c>
      <c r="I6" s="3">
        <f t="shared" ref="I6:J6" si="4">AVERAGE(D160:D200)</f>
        <v>333.49933855801271</v>
      </c>
      <c r="J6" s="3">
        <f t="shared" si="4"/>
        <v>47.241770397880657</v>
      </c>
    </row>
    <row r="7" spans="1:10" ht="15.4" x14ac:dyDescent="0.4">
      <c r="B7" s="43">
        <v>2.4</v>
      </c>
      <c r="C7" s="2">
        <v>24.129576453697059</v>
      </c>
      <c r="D7" s="2">
        <v>25.077022098231076</v>
      </c>
      <c r="E7" s="2">
        <v>26.714323436926467</v>
      </c>
      <c r="G7" s="16" t="s">
        <v>13</v>
      </c>
      <c r="H7" s="3">
        <f>AVERAGE(C201:C221)</f>
        <v>39.604353757086258</v>
      </c>
      <c r="I7" s="3">
        <f t="shared" ref="I7:J7" si="5">AVERAGE(D201:D221)</f>
        <v>861.58386576769271</v>
      </c>
      <c r="J7" s="3">
        <f t="shared" si="5"/>
        <v>468.76363999222781</v>
      </c>
    </row>
    <row r="8" spans="1:10" ht="15.4" x14ac:dyDescent="0.4">
      <c r="B8" s="43">
        <v>2.5</v>
      </c>
      <c r="C8" s="2">
        <v>15.072225672670459</v>
      </c>
      <c r="D8" s="2">
        <v>16.461055959422882</v>
      </c>
      <c r="E8" s="2">
        <v>16.719493921569224</v>
      </c>
      <c r="G8" s="16" t="s">
        <v>14</v>
      </c>
      <c r="H8" s="3">
        <f>AVERAGE(C222:C243)</f>
        <v>50.287646829085062</v>
      </c>
      <c r="I8" s="3">
        <f t="shared" ref="I8:J8" si="6">AVERAGE(D222:D243)</f>
        <v>318.84405513767717</v>
      </c>
      <c r="J8" s="3">
        <f t="shared" si="6"/>
        <v>877.20608798035028</v>
      </c>
    </row>
    <row r="9" spans="1:10" ht="15.4" x14ac:dyDescent="0.4">
      <c r="B9" s="43">
        <v>2.5</v>
      </c>
      <c r="C9" s="2">
        <v>1.1371793667714956</v>
      </c>
      <c r="D9" s="2">
        <v>2.7577869964429427</v>
      </c>
      <c r="E9" s="2">
        <v>3.7599643382757377</v>
      </c>
    </row>
    <row r="10" spans="1:10" ht="15.4" x14ac:dyDescent="0.4">
      <c r="B10" s="43">
        <v>2.7027027027027026</v>
      </c>
      <c r="C10" s="2">
        <v>7.4509391514022321</v>
      </c>
      <c r="D10" s="2">
        <v>8.9688497294663989</v>
      </c>
      <c r="E10" s="2">
        <v>9.6216183512543374</v>
      </c>
    </row>
    <row r="11" spans="1:10" ht="15.4" x14ac:dyDescent="0.4">
      <c r="B11" s="43">
        <v>3</v>
      </c>
      <c r="C11" s="2">
        <v>6.4645480242844124</v>
      </c>
      <c r="D11" s="2">
        <v>8.1282569196847092</v>
      </c>
      <c r="E11" s="2">
        <v>8.6024885571178675</v>
      </c>
    </row>
    <row r="12" spans="1:10" ht="15.4" x14ac:dyDescent="0.4">
      <c r="B12" s="43">
        <v>3</v>
      </c>
      <c r="C12" s="2">
        <v>19.869610150903291</v>
      </c>
      <c r="D12" s="2">
        <v>21.057785372411303</v>
      </c>
      <c r="E12" s="2">
        <v>21.685007539939285</v>
      </c>
    </row>
    <row r="13" spans="1:10" ht="15.4" x14ac:dyDescent="0.4">
      <c r="B13" s="43">
        <v>3</v>
      </c>
      <c r="C13" s="2">
        <v>12.738985019358315</v>
      </c>
      <c r="D13" s="2">
        <v>13.916863768933075</v>
      </c>
      <c r="E13" s="2">
        <v>14.334411331435406</v>
      </c>
    </row>
    <row r="14" spans="1:10" ht="15.4" x14ac:dyDescent="0.4">
      <c r="B14" s="43">
        <v>3.0674846625766872</v>
      </c>
      <c r="C14" s="2">
        <v>4.8136086948283667</v>
      </c>
      <c r="D14" s="2">
        <v>6.517711796621767</v>
      </c>
      <c r="E14" s="2">
        <v>7.6342327030957282</v>
      </c>
    </row>
    <row r="15" spans="1:10" ht="15.4" x14ac:dyDescent="0.4">
      <c r="B15" s="43">
        <v>3.2211047952193561</v>
      </c>
      <c r="C15" s="2">
        <v>2.1684471935045537</v>
      </c>
      <c r="D15" s="2">
        <v>0.3990217627987131</v>
      </c>
      <c r="E15" s="2">
        <v>2.0825738203974445E-2</v>
      </c>
    </row>
    <row r="16" spans="1:10" ht="15.4" x14ac:dyDescent="0.4">
      <c r="B16" s="43">
        <v>3.5106670267350801</v>
      </c>
      <c r="C16" s="2">
        <v>12.7566232620958</v>
      </c>
      <c r="D16" s="2">
        <v>14.27392754763491</v>
      </c>
      <c r="E16" s="2">
        <v>15.314183294540159</v>
      </c>
    </row>
    <row r="17" spans="1:5" ht="15.4" x14ac:dyDescent="0.4">
      <c r="B17" s="43">
        <v>3.5106670267350801</v>
      </c>
      <c r="C17" s="2">
        <v>17.399286325753678</v>
      </c>
      <c r="D17" s="2">
        <v>18.835847145986936</v>
      </c>
      <c r="E17" s="2">
        <v>19.574883103865353</v>
      </c>
    </row>
    <row r="18" spans="1:5" ht="15.4" x14ac:dyDescent="0.4">
      <c r="B18" s="43">
        <v>3.5106670267350801</v>
      </c>
      <c r="C18" s="2">
        <v>17.945106019636363</v>
      </c>
      <c r="D18" s="2">
        <v>19.372174147224907</v>
      </c>
      <c r="E18" s="2">
        <v>20.079112742823874</v>
      </c>
    </row>
    <row r="19" spans="1:5" ht="15.4" x14ac:dyDescent="0.4">
      <c r="B19" s="43">
        <v>3.6144578313253009</v>
      </c>
      <c r="C19" s="2">
        <v>3.4925779222903532</v>
      </c>
      <c r="D19" s="2">
        <v>5.2672851837014658</v>
      </c>
      <c r="E19" s="2">
        <v>6.8297752292619611</v>
      </c>
    </row>
    <row r="20" spans="1:5" ht="15.4" x14ac:dyDescent="0.4">
      <c r="B20" s="43">
        <v>3.9292730844793713</v>
      </c>
      <c r="C20" s="2">
        <v>47.804423282576515</v>
      </c>
      <c r="D20" s="2">
        <v>48.763097969700368</v>
      </c>
      <c r="E20" s="2">
        <v>48.858740732577949</v>
      </c>
    </row>
    <row r="21" spans="1:5" ht="15.4" x14ac:dyDescent="0.4">
      <c r="B21" s="43">
        <v>3.9525691699604737</v>
      </c>
      <c r="C21" s="2">
        <v>1.8926442145725759</v>
      </c>
      <c r="D21" s="2">
        <v>3.6993957532198536</v>
      </c>
      <c r="E21" s="2">
        <v>4.4609693081663577</v>
      </c>
    </row>
    <row r="22" spans="1:5" ht="15.4" x14ac:dyDescent="0.4">
      <c r="B22" s="43">
        <v>3.9525691699604737</v>
      </c>
      <c r="C22" s="2">
        <v>0.36260940346991311</v>
      </c>
      <c r="D22" s="2">
        <v>1.483736075841799</v>
      </c>
      <c r="E22" s="2">
        <v>2.2852648483749127</v>
      </c>
    </row>
    <row r="23" spans="1:5" ht="15.4" x14ac:dyDescent="0.4">
      <c r="B23" s="43">
        <v>4</v>
      </c>
      <c r="C23" s="2">
        <v>18.033624740940251</v>
      </c>
      <c r="D23" s="2">
        <v>19.286973524855931</v>
      </c>
      <c r="E23" s="2">
        <v>20.218105723386046</v>
      </c>
    </row>
    <row r="24" spans="1:5" ht="15.4" x14ac:dyDescent="0.4">
      <c r="B24" s="43">
        <v>4</v>
      </c>
      <c r="C24" s="2">
        <v>5.9681252687333881</v>
      </c>
      <c r="D24" s="2">
        <v>7.2802890029823253</v>
      </c>
      <c r="E24" s="2">
        <v>7.9322214231917263</v>
      </c>
    </row>
    <row r="25" spans="1:5" ht="15.4" x14ac:dyDescent="0.4">
      <c r="B25" s="43">
        <v>4.8811013767209008</v>
      </c>
      <c r="C25" s="2">
        <v>1.5772886837961926</v>
      </c>
      <c r="D25" s="2">
        <v>9.5017497897518649E-2</v>
      </c>
      <c r="E25" s="2">
        <v>0.82710149496739338</v>
      </c>
    </row>
    <row r="26" spans="1:5" ht="15.4" x14ac:dyDescent="0.4">
      <c r="B26" s="43">
        <v>5</v>
      </c>
      <c r="C26" s="2">
        <v>36.976639606163168</v>
      </c>
      <c r="D26" s="2">
        <v>38.022994717003179</v>
      </c>
      <c r="E26" s="2">
        <v>38.508253764347586</v>
      </c>
    </row>
    <row r="27" spans="1:5" ht="15.4" x14ac:dyDescent="0.4">
      <c r="B27" s="43">
        <v>5</v>
      </c>
      <c r="C27" s="2">
        <v>1.9733211916691731</v>
      </c>
      <c r="D27" s="2">
        <v>0.24319373156733126</v>
      </c>
      <c r="E27" s="2">
        <v>0.74675547025929512</v>
      </c>
    </row>
    <row r="28" spans="1:5" ht="15.4" x14ac:dyDescent="0.4">
      <c r="B28" s="43">
        <v>5</v>
      </c>
      <c r="C28" s="2">
        <v>1.0734724028946576</v>
      </c>
      <c r="D28" s="2">
        <v>0.60883155858822058</v>
      </c>
      <c r="E28" s="2">
        <v>3.1455386390050166</v>
      </c>
    </row>
    <row r="29" spans="1:5" ht="15.4" x14ac:dyDescent="0.4">
      <c r="B29" s="43">
        <v>5</v>
      </c>
      <c r="C29" s="2">
        <v>55.424719960483728</v>
      </c>
      <c r="D29" s="2">
        <v>56.145396369430188</v>
      </c>
      <c r="E29" s="2">
        <v>56.489099923659062</v>
      </c>
    </row>
    <row r="30" spans="1:5" ht="15.4" x14ac:dyDescent="0.4">
      <c r="A30" s="11"/>
      <c r="B30" s="43">
        <v>5</v>
      </c>
      <c r="C30" s="2">
        <v>13.061251088585687</v>
      </c>
      <c r="D30" s="2">
        <v>14.290487284918704</v>
      </c>
      <c r="E30" s="2">
        <v>15.618206333958689</v>
      </c>
    </row>
    <row r="31" spans="1:5" ht="15.4" x14ac:dyDescent="0.4">
      <c r="B31" s="43">
        <v>5</v>
      </c>
      <c r="C31" s="2">
        <v>22.260503782596537</v>
      </c>
      <c r="D31" s="2">
        <v>23.268782461992444</v>
      </c>
      <c r="E31" s="2">
        <v>23.992295395855137</v>
      </c>
    </row>
    <row r="32" spans="1:5" ht="15.4" x14ac:dyDescent="0.4">
      <c r="B32" s="43">
        <v>5.8139534883720927</v>
      </c>
      <c r="C32" s="2">
        <v>1.5304439291830469</v>
      </c>
      <c r="D32" s="2">
        <v>0.11103182832144728</v>
      </c>
      <c r="E32" s="2">
        <v>3.45049001889087</v>
      </c>
    </row>
    <row r="33" spans="1:5" ht="15.4" x14ac:dyDescent="0.4">
      <c r="B33" s="43">
        <v>5.8823529411764701</v>
      </c>
      <c r="C33" s="2">
        <v>21.06620113596048</v>
      </c>
      <c r="D33" s="2">
        <v>22.134157528873789</v>
      </c>
      <c r="E33" s="2">
        <v>23.708642691067524</v>
      </c>
    </row>
    <row r="34" spans="1:5" ht="15.4" x14ac:dyDescent="0.4">
      <c r="B34" s="43">
        <v>5.9438275636838664</v>
      </c>
      <c r="C34" s="2">
        <v>0.90237638237259521</v>
      </c>
      <c r="D34" s="2">
        <v>2.2262074083836358</v>
      </c>
      <c r="E34" s="2">
        <v>3.1679276633863953</v>
      </c>
    </row>
    <row r="35" spans="1:5" ht="15.4" x14ac:dyDescent="0.4">
      <c r="B35" s="43">
        <v>6</v>
      </c>
      <c r="C35" s="2">
        <v>22.321177487614445</v>
      </c>
      <c r="D35" s="2">
        <v>23.216660074251962</v>
      </c>
      <c r="E35" s="2">
        <v>24.73543376269388</v>
      </c>
    </row>
    <row r="36" spans="1:5" ht="15.4" x14ac:dyDescent="0.4">
      <c r="B36" s="43">
        <v>6</v>
      </c>
      <c r="C36" s="2">
        <v>24.651285802841652</v>
      </c>
      <c r="D36" s="2">
        <v>25.456843016922768</v>
      </c>
      <c r="E36" s="2">
        <v>26.353393500233263</v>
      </c>
    </row>
    <row r="37" spans="1:5" ht="15.4" x14ac:dyDescent="0.4">
      <c r="B37" s="43">
        <v>6.1349693251533743</v>
      </c>
      <c r="C37" s="2">
        <v>11.447916847822935</v>
      </c>
      <c r="D37" s="2">
        <v>12.616587598187436</v>
      </c>
      <c r="E37" s="2">
        <v>15.253638658308088</v>
      </c>
    </row>
    <row r="38" spans="1:5" ht="15.4" x14ac:dyDescent="0.4">
      <c r="B38" s="43">
        <v>6.5250000000000004</v>
      </c>
      <c r="C38" s="2">
        <v>19.43143482018235</v>
      </c>
      <c r="D38" s="2">
        <v>18.074035443640305</v>
      </c>
      <c r="E38" s="2">
        <v>6.7113037248876353</v>
      </c>
    </row>
    <row r="39" spans="1:5" ht="15.4" x14ac:dyDescent="0.4">
      <c r="B39" s="43">
        <v>6.9767441860465116</v>
      </c>
      <c r="C39" s="2">
        <v>0.35256875311101249</v>
      </c>
      <c r="D39" s="2">
        <v>1.2496418817948751</v>
      </c>
      <c r="E39" s="2">
        <v>5.1974676181694033</v>
      </c>
    </row>
    <row r="40" spans="1:5" ht="15.4" x14ac:dyDescent="0.4">
      <c r="B40" s="43">
        <v>7.0000000000000009</v>
      </c>
      <c r="C40" s="2">
        <v>24.063486451706829</v>
      </c>
      <c r="D40" s="2">
        <v>24.612051487912101</v>
      </c>
      <c r="E40" s="2">
        <v>25.728727316947779</v>
      </c>
    </row>
    <row r="41" spans="1:5" ht="15.4" x14ac:dyDescent="0.4">
      <c r="B41" s="43">
        <v>7.5</v>
      </c>
      <c r="C41" s="2">
        <v>50.293749611418683</v>
      </c>
      <c r="D41" s="2">
        <v>50.577073617850019</v>
      </c>
      <c r="E41" s="2">
        <v>51.262346025508222</v>
      </c>
    </row>
    <row r="42" spans="1:5" ht="15.4" x14ac:dyDescent="0.4">
      <c r="A42" s="11"/>
      <c r="B42" s="43">
        <v>7.5669383003492436</v>
      </c>
      <c r="C42" s="2">
        <v>21.354484255824403</v>
      </c>
      <c r="D42" s="2">
        <v>21.756911140266208</v>
      </c>
      <c r="E42" s="2">
        <v>23.787460323312693</v>
      </c>
    </row>
    <row r="43" spans="1:5" ht="15.4" x14ac:dyDescent="0.4">
      <c r="B43" s="43">
        <v>7.5669383003492436</v>
      </c>
      <c r="C43" s="2">
        <v>22.234844506692038</v>
      </c>
      <c r="D43" s="2">
        <v>22.632766612576663</v>
      </c>
      <c r="E43" s="2">
        <v>24.568087210195923</v>
      </c>
    </row>
    <row r="44" spans="1:5" ht="15.4" x14ac:dyDescent="0.4">
      <c r="B44" s="43">
        <v>7.5669383003492436</v>
      </c>
      <c r="C44" s="2">
        <v>27.635202527060638</v>
      </c>
      <c r="D44" s="2">
        <v>28.005491153369938</v>
      </c>
      <c r="E44" s="2">
        <v>30.473387320765351</v>
      </c>
    </row>
    <row r="45" spans="1:5" ht="15.4" x14ac:dyDescent="0.4">
      <c r="B45" s="43">
        <v>7.7</v>
      </c>
      <c r="C45" s="2">
        <v>6.5401978226469524</v>
      </c>
      <c r="D45" s="2">
        <v>6.9601345026707104</v>
      </c>
      <c r="E45" s="2">
        <v>8.7183307737470805</v>
      </c>
    </row>
    <row r="46" spans="1:5" ht="15.4" x14ac:dyDescent="0.4">
      <c r="B46" s="43">
        <v>8.4269662921348321</v>
      </c>
      <c r="C46" s="2">
        <v>45.432012864096649</v>
      </c>
      <c r="D46" s="2">
        <v>45.385457816106751</v>
      </c>
      <c r="E46" s="2">
        <v>45.686704481172505</v>
      </c>
    </row>
    <row r="47" spans="1:5" ht="15.4" x14ac:dyDescent="0.4">
      <c r="B47" s="43">
        <v>8.6</v>
      </c>
      <c r="C47" s="1">
        <v>32.304629168740661</v>
      </c>
      <c r="D47" s="1">
        <v>32.261986039115598</v>
      </c>
      <c r="E47" s="1">
        <v>39.289816362649269</v>
      </c>
    </row>
    <row r="48" spans="1:5" ht="15.4" x14ac:dyDescent="0.4">
      <c r="B48" s="43">
        <v>8.75</v>
      </c>
      <c r="C48" s="2">
        <v>25.862332629355727</v>
      </c>
      <c r="D48" s="2">
        <v>26.300326693367243</v>
      </c>
      <c r="E48" s="2">
        <v>8.7666968404565981</v>
      </c>
    </row>
    <row r="49" spans="1:5" ht="15.4" x14ac:dyDescent="0.4">
      <c r="B49" s="43">
        <v>9</v>
      </c>
      <c r="C49" s="2">
        <v>22.311822042852</v>
      </c>
      <c r="D49" s="2">
        <v>22.96887292982025</v>
      </c>
      <c r="E49" s="2">
        <v>18.624521956531936</v>
      </c>
    </row>
    <row r="50" spans="1:5" ht="15.4" x14ac:dyDescent="0.4">
      <c r="B50" s="43">
        <v>9.0575724239090576</v>
      </c>
      <c r="C50" s="2">
        <v>4.7132869656274163</v>
      </c>
      <c r="D50" s="2">
        <v>5.3219094067969817</v>
      </c>
      <c r="E50" s="2">
        <v>3.4696439812570397</v>
      </c>
    </row>
    <row r="51" spans="1:5" ht="15.4" x14ac:dyDescent="0.4">
      <c r="B51" s="43">
        <v>9.2024539877300615</v>
      </c>
      <c r="C51" s="2">
        <v>15.93214500765564</v>
      </c>
      <c r="D51" s="2">
        <v>15.306039623887221</v>
      </c>
      <c r="E51" s="2">
        <v>19.80249182190947</v>
      </c>
    </row>
    <row r="52" spans="1:5" ht="15.4" x14ac:dyDescent="0.4">
      <c r="B52" s="43">
        <v>9.67741935483871</v>
      </c>
      <c r="C52" s="2">
        <v>28.215002354959445</v>
      </c>
      <c r="D52" s="2">
        <v>27.408245868996552</v>
      </c>
      <c r="E52" s="2">
        <v>30.359771607235942</v>
      </c>
    </row>
    <row r="53" spans="1:5" ht="15.4" x14ac:dyDescent="0.4">
      <c r="B53" s="43">
        <v>9.7000000000000011</v>
      </c>
      <c r="C53" s="2">
        <v>14.486020170278158</v>
      </c>
      <c r="D53" s="2">
        <v>13.446934510287189</v>
      </c>
      <c r="E53" s="2">
        <v>15.646529326203002</v>
      </c>
    </row>
    <row r="54" spans="1:5" ht="15.4" x14ac:dyDescent="0.4">
      <c r="A54" s="11"/>
      <c r="B54" s="43">
        <v>10</v>
      </c>
      <c r="C54" s="2">
        <v>9.381505954767059</v>
      </c>
      <c r="D54" s="2">
        <v>11.00295899568202</v>
      </c>
      <c r="E54" s="2">
        <v>2.6550624769389675</v>
      </c>
    </row>
    <row r="55" spans="1:5" ht="15.4" x14ac:dyDescent="0.4">
      <c r="B55" s="43">
        <v>10</v>
      </c>
      <c r="C55" s="2">
        <v>40.790008498688252</v>
      </c>
      <c r="D55" s="2">
        <v>39.892126473399124</v>
      </c>
      <c r="E55" s="2">
        <v>41.614557294064149</v>
      </c>
    </row>
    <row r="56" spans="1:5" ht="15.4" x14ac:dyDescent="0.4">
      <c r="B56" s="43">
        <v>10</v>
      </c>
      <c r="C56" s="2">
        <v>38.184219023600328</v>
      </c>
      <c r="D56" s="2">
        <v>40.182494541648083</v>
      </c>
      <c r="E56" s="2">
        <v>33.644522209336216</v>
      </c>
    </row>
    <row r="57" spans="1:5" ht="15.4" x14ac:dyDescent="0.4">
      <c r="B57" s="43">
        <v>10</v>
      </c>
      <c r="C57" s="2">
        <v>31.69222868136195</v>
      </c>
      <c r="D57" s="2">
        <v>33.596623831188481</v>
      </c>
      <c r="E57" s="2">
        <v>21.410028204543153</v>
      </c>
    </row>
    <row r="58" spans="1:5" ht="15.4" x14ac:dyDescent="0.4">
      <c r="B58" s="43">
        <v>10</v>
      </c>
      <c r="C58" s="2">
        <v>23.407465345111504</v>
      </c>
      <c r="D58" s="2">
        <v>25.255858917223179</v>
      </c>
      <c r="E58" s="2">
        <v>16.628906032175873</v>
      </c>
    </row>
    <row r="59" spans="1:5" ht="15.4" x14ac:dyDescent="0.4">
      <c r="B59" s="43">
        <v>10</v>
      </c>
      <c r="C59" s="2">
        <v>3.1337980591123409</v>
      </c>
      <c r="D59" s="2">
        <v>1.6966642375121368</v>
      </c>
      <c r="E59" s="2">
        <v>8.1993555432480498</v>
      </c>
    </row>
    <row r="60" spans="1:5" ht="15.4" x14ac:dyDescent="0.4">
      <c r="B60" s="43">
        <v>10</v>
      </c>
      <c r="C60" s="2">
        <v>4.4432751169906481</v>
      </c>
      <c r="D60" s="2">
        <v>6.0175899253067291</v>
      </c>
      <c r="E60" s="2">
        <v>1.0468601707480285</v>
      </c>
    </row>
    <row r="61" spans="1:5" ht="15.4" x14ac:dyDescent="0.4">
      <c r="B61" s="43">
        <v>10</v>
      </c>
      <c r="C61" s="2">
        <v>55.321771282683343</v>
      </c>
      <c r="D61" s="2">
        <v>54.681874128397055</v>
      </c>
      <c r="E61" s="2">
        <v>55.634341837404477</v>
      </c>
    </row>
    <row r="62" spans="1:5" ht="15.4" x14ac:dyDescent="0.4">
      <c r="B62" s="43">
        <v>10</v>
      </c>
      <c r="C62" s="2">
        <v>4.9884191476226095E-2</v>
      </c>
      <c r="D62" s="2">
        <v>2.2666365797527312E-2</v>
      </c>
      <c r="E62" s="2">
        <v>2.5133266159854748</v>
      </c>
    </row>
    <row r="63" spans="1:5" ht="15.4" x14ac:dyDescent="0.4">
      <c r="B63" s="43">
        <v>10</v>
      </c>
      <c r="C63" s="2">
        <v>9.9704598726306415</v>
      </c>
      <c r="D63" s="2">
        <v>11.498385861483403</v>
      </c>
      <c r="E63" s="2">
        <v>0.87979936333756337</v>
      </c>
    </row>
    <row r="64" spans="1:5" ht="15.4" x14ac:dyDescent="0.4">
      <c r="A64" s="52" t="s">
        <v>9</v>
      </c>
      <c r="B64" s="43">
        <v>10.112359550561797</v>
      </c>
      <c r="C64" s="2">
        <v>4.5485593439459207</v>
      </c>
      <c r="D64" s="2">
        <v>2.9905846847349755</v>
      </c>
      <c r="E64" s="2">
        <v>9.4986547013570171</v>
      </c>
    </row>
    <row r="65" spans="1:5" ht="15.4" x14ac:dyDescent="0.4">
      <c r="B65" s="43">
        <v>10.911</v>
      </c>
      <c r="C65" s="2">
        <v>32.93715445457984</v>
      </c>
      <c r="D65" s="2">
        <v>36.266760460701008</v>
      </c>
      <c r="E65" s="2">
        <v>11.391940130482169</v>
      </c>
    </row>
    <row r="66" spans="1:5" ht="15.4" x14ac:dyDescent="0.4">
      <c r="B66" s="43">
        <v>11.322248614410135</v>
      </c>
      <c r="C66" s="2">
        <v>7.9542037292345285</v>
      </c>
      <c r="D66" s="2">
        <v>5.3360981764197959</v>
      </c>
      <c r="E66" s="2">
        <v>7.6505367635096482</v>
      </c>
    </row>
    <row r="67" spans="1:5" ht="15.4" x14ac:dyDescent="0.4">
      <c r="B67" s="43">
        <v>12</v>
      </c>
      <c r="C67" s="2">
        <v>7.9883945342850069</v>
      </c>
      <c r="D67" s="2">
        <v>4.6623379928291531</v>
      </c>
      <c r="E67" s="2">
        <v>14.059578841280148</v>
      </c>
    </row>
    <row r="68" spans="1:5" ht="15.4" x14ac:dyDescent="0.4">
      <c r="B68" s="43">
        <v>12.195121951219512</v>
      </c>
      <c r="C68" s="2">
        <v>1.1820425886259198</v>
      </c>
      <c r="D68" s="2">
        <v>2.7252949856119248</v>
      </c>
      <c r="E68" s="2">
        <v>7.3699060470178228</v>
      </c>
    </row>
    <row r="69" spans="1:5" ht="15.4" x14ac:dyDescent="0.4">
      <c r="B69" s="43">
        <v>12.269938650306749</v>
      </c>
      <c r="C69" s="2">
        <v>16.579465070528656</v>
      </c>
      <c r="D69" s="2">
        <v>13.054533974515492</v>
      </c>
      <c r="E69" s="2">
        <v>20.011894679243198</v>
      </c>
    </row>
    <row r="70" spans="1:5" ht="15.4" x14ac:dyDescent="0.4">
      <c r="B70" s="43">
        <v>12.306721363206059</v>
      </c>
      <c r="C70" s="2">
        <v>34.769436376554744</v>
      </c>
      <c r="D70" s="2">
        <v>32.159048225316909</v>
      </c>
      <c r="E70" s="2">
        <v>36.788282351570537</v>
      </c>
    </row>
    <row r="71" spans="1:5" ht="15.4" x14ac:dyDescent="0.4">
      <c r="B71" s="43">
        <v>12.306721363206059</v>
      </c>
      <c r="C71" s="2">
        <v>41.678092129776786</v>
      </c>
      <c r="D71" s="2">
        <v>39.344173659581379</v>
      </c>
      <c r="E71" s="2">
        <v>42.508837295125502</v>
      </c>
    </row>
    <row r="72" spans="1:5" ht="15.4" x14ac:dyDescent="0.4">
      <c r="B72" s="43">
        <v>12.306721363206059</v>
      </c>
      <c r="C72" s="2">
        <v>41.963983835022972</v>
      </c>
      <c r="D72" s="2">
        <v>39.641506141642246</v>
      </c>
      <c r="E72" s="2">
        <v>42.680347765549357</v>
      </c>
    </row>
    <row r="73" spans="1:5" ht="15.4" x14ac:dyDescent="0.4">
      <c r="A73" s="11"/>
      <c r="B73" s="43">
        <v>12.5</v>
      </c>
      <c r="C73" s="2">
        <v>16.010020393823218</v>
      </c>
      <c r="D73" s="2">
        <v>17.647483038854897</v>
      </c>
      <c r="E73" s="2">
        <v>11.51564559285324</v>
      </c>
    </row>
    <row r="74" spans="1:5" ht="15.4" x14ac:dyDescent="0.4">
      <c r="B74" s="43">
        <v>14.285714285714288</v>
      </c>
      <c r="C74" s="2">
        <v>34.163991816004405</v>
      </c>
      <c r="D74" s="2">
        <v>29.666686567969318</v>
      </c>
      <c r="E74" s="2">
        <v>34.70344888565571</v>
      </c>
    </row>
    <row r="75" spans="1:5" ht="15.4" x14ac:dyDescent="0.4">
      <c r="B75" s="43">
        <v>15</v>
      </c>
      <c r="C75" s="2">
        <v>12.711544748157991</v>
      </c>
      <c r="D75" s="2">
        <v>5.2940747522802125</v>
      </c>
      <c r="E75" s="2">
        <v>9.9431750345120946</v>
      </c>
    </row>
    <row r="76" spans="1:5" ht="15.4" x14ac:dyDescent="0.4">
      <c r="B76" s="43">
        <v>15</v>
      </c>
      <c r="C76" s="2">
        <v>0.1544464178495277</v>
      </c>
      <c r="D76" s="2">
        <v>2.5044598764896393</v>
      </c>
      <c r="E76" s="2">
        <v>1.7966523629030402</v>
      </c>
    </row>
    <row r="77" spans="1:5" ht="15.4" x14ac:dyDescent="0.4">
      <c r="B77" s="43">
        <v>15</v>
      </c>
      <c r="C77" s="2">
        <v>16.226877722050542</v>
      </c>
      <c r="D77" s="2">
        <v>19.619844376325844</v>
      </c>
      <c r="E77" s="2">
        <v>11.74408006989951</v>
      </c>
    </row>
    <row r="78" spans="1:5" ht="15.4" x14ac:dyDescent="0.4">
      <c r="B78" s="43">
        <v>15.337423312883436</v>
      </c>
      <c r="C78" s="2">
        <v>11.911008955482774</v>
      </c>
      <c r="D78" s="2">
        <v>3.8905319723674392</v>
      </c>
      <c r="E78" s="2">
        <v>14.520106847053135</v>
      </c>
    </row>
    <row r="79" spans="1:5" ht="15.4" x14ac:dyDescent="0.4">
      <c r="B79" s="43">
        <v>15.789473684210526</v>
      </c>
      <c r="C79" s="2">
        <v>30.868285998996605</v>
      </c>
      <c r="D79" s="2">
        <v>23.994191223797117</v>
      </c>
      <c r="E79" s="2">
        <v>33.629468653992944</v>
      </c>
    </row>
    <row r="80" spans="1:5" ht="15.4" x14ac:dyDescent="0.4">
      <c r="B80" s="43">
        <v>16</v>
      </c>
      <c r="C80" s="1">
        <v>10.669869795468726</v>
      </c>
      <c r="D80" s="1">
        <v>21.553512535942382</v>
      </c>
      <c r="E80" s="1">
        <v>11.58571138363526</v>
      </c>
    </row>
    <row r="81" spans="2:5" ht="15.4" x14ac:dyDescent="0.4">
      <c r="B81" s="43">
        <v>16.404</v>
      </c>
      <c r="C81" s="1">
        <v>51.111049088142792</v>
      </c>
      <c r="D81" s="1">
        <v>67.890339726776588</v>
      </c>
      <c r="E81" s="1">
        <v>17.677025858303537</v>
      </c>
    </row>
    <row r="82" spans="2:5" ht="15.4" x14ac:dyDescent="0.4">
      <c r="B82" s="43">
        <v>17.7</v>
      </c>
      <c r="C82" s="1">
        <v>22.854066198394257</v>
      </c>
      <c r="D82" s="1">
        <v>15.783724062784069</v>
      </c>
      <c r="E82" s="1">
        <v>36.714408741849006</v>
      </c>
    </row>
    <row r="83" spans="2:5" ht="15.4" x14ac:dyDescent="0.4">
      <c r="B83" s="43">
        <v>17.723032767280557</v>
      </c>
      <c r="C83" s="2">
        <v>25.630550403117159</v>
      </c>
      <c r="D83" s="2">
        <v>15.887205871340457</v>
      </c>
      <c r="E83" s="2">
        <v>19.986445450392882</v>
      </c>
    </row>
    <row r="84" spans="2:5" ht="15.4" x14ac:dyDescent="0.4">
      <c r="B84" s="43">
        <v>17.918676774638183</v>
      </c>
      <c r="C84" s="2">
        <v>40.07573737742603</v>
      </c>
      <c r="D84" s="2">
        <v>32.081185296574638</v>
      </c>
      <c r="E84" s="2">
        <v>40.102077738730685</v>
      </c>
    </row>
    <row r="85" spans="2:5" ht="15.4" x14ac:dyDescent="0.4">
      <c r="B85" s="43">
        <v>17.918676774638183</v>
      </c>
      <c r="C85" s="2">
        <v>47.772954745691948</v>
      </c>
      <c r="D85" s="2">
        <v>40.805295653341922</v>
      </c>
      <c r="E85" s="2">
        <v>46.217938777736997</v>
      </c>
    </row>
    <row r="86" spans="2:5" ht="15.4" x14ac:dyDescent="0.4">
      <c r="B86" s="43">
        <v>17.918676774638183</v>
      </c>
      <c r="C86" s="2">
        <v>49.128244149881596</v>
      </c>
      <c r="D86" s="2">
        <v>42.341395488102279</v>
      </c>
      <c r="E86" s="2">
        <v>47.436234424561071</v>
      </c>
    </row>
    <row r="87" spans="2:5" ht="15.4" x14ac:dyDescent="0.4">
      <c r="B87" s="43">
        <v>18.404907975460123</v>
      </c>
      <c r="C87" s="2">
        <v>6.9883119869622004</v>
      </c>
      <c r="D87" s="2">
        <v>7.4129052154154706</v>
      </c>
      <c r="E87" s="2">
        <v>8.1269819898654703</v>
      </c>
    </row>
    <row r="88" spans="2:5" ht="15.4" x14ac:dyDescent="0.4">
      <c r="B88" s="43">
        <v>19.230769230769234</v>
      </c>
      <c r="C88" s="2">
        <v>4.0704291633581811</v>
      </c>
      <c r="D88" s="2">
        <v>11.898927184629269</v>
      </c>
      <c r="E88" s="2">
        <v>8.9625389411471694</v>
      </c>
    </row>
    <row r="89" spans="2:5" ht="15.4" x14ac:dyDescent="0.4">
      <c r="B89" s="43">
        <v>19.5</v>
      </c>
      <c r="C89" s="2">
        <v>34.516870552228511</v>
      </c>
      <c r="D89" s="2">
        <v>58.13577190748164</v>
      </c>
      <c r="E89" s="2">
        <v>27.386283424356151</v>
      </c>
    </row>
    <row r="90" spans="2:5" ht="15.4" x14ac:dyDescent="0.4">
      <c r="B90" s="43">
        <v>19.704433497536947</v>
      </c>
      <c r="C90" s="2">
        <v>80.331122355487466</v>
      </c>
      <c r="D90" s="2">
        <v>76.663817315743145</v>
      </c>
      <c r="E90" s="2">
        <v>77.15578705928003</v>
      </c>
    </row>
    <row r="91" spans="2:5" ht="15.4" x14ac:dyDescent="0.4">
      <c r="B91" s="43">
        <v>20</v>
      </c>
      <c r="C91" s="2">
        <v>10.538992026568152</v>
      </c>
      <c r="D91" s="2">
        <v>31.458961921662933</v>
      </c>
      <c r="E91" s="2">
        <v>5.2494528197810011</v>
      </c>
    </row>
    <row r="92" spans="2:5" ht="15.4" x14ac:dyDescent="0.4">
      <c r="B92" s="43">
        <v>20</v>
      </c>
      <c r="C92" s="2">
        <v>63.216942880762097</v>
      </c>
      <c r="D92" s="2">
        <v>56.058758894493231</v>
      </c>
      <c r="E92" s="2">
        <v>59.722501239778545</v>
      </c>
    </row>
    <row r="93" spans="2:5" ht="15.4" x14ac:dyDescent="0.4">
      <c r="B93" s="43">
        <v>20</v>
      </c>
      <c r="C93" s="2">
        <v>32.45765805511855</v>
      </c>
      <c r="D93" s="2">
        <v>57.843245959565913</v>
      </c>
      <c r="E93" s="2">
        <v>28.61876095158355</v>
      </c>
    </row>
    <row r="94" spans="2:5" ht="15.4" x14ac:dyDescent="0.4">
      <c r="B94" s="43">
        <v>20</v>
      </c>
      <c r="C94" s="2">
        <v>30.547599729992967</v>
      </c>
      <c r="D94" s="2">
        <v>54.538653647760938</v>
      </c>
      <c r="E94" s="2">
        <v>18.403157061945347</v>
      </c>
    </row>
    <row r="95" spans="2:5" ht="15.4" x14ac:dyDescent="0.4">
      <c r="B95" s="43">
        <v>20</v>
      </c>
      <c r="C95" s="2">
        <v>27.126424470245187</v>
      </c>
      <c r="D95" s="2">
        <v>50.488760584786583</v>
      </c>
      <c r="E95" s="2">
        <v>31.004419331720108</v>
      </c>
    </row>
    <row r="96" spans="2:5" ht="15.4" x14ac:dyDescent="0.4">
      <c r="B96" s="43">
        <v>20</v>
      </c>
      <c r="C96" s="2">
        <v>2.1441894606906171</v>
      </c>
      <c r="D96" s="2">
        <v>16.882717838157539</v>
      </c>
      <c r="E96" s="2">
        <v>7.46153966592657</v>
      </c>
    </row>
    <row r="97" spans="1:5" ht="15.4" x14ac:dyDescent="0.4">
      <c r="B97" s="43">
        <v>20</v>
      </c>
      <c r="C97" s="2">
        <v>5.2956508922236374</v>
      </c>
      <c r="D97" s="2">
        <v>12.645723704607747</v>
      </c>
      <c r="E97" s="2">
        <v>7.4372299526762564</v>
      </c>
    </row>
    <row r="98" spans="1:5" ht="15.4" x14ac:dyDescent="0.4">
      <c r="B98" s="43">
        <v>20</v>
      </c>
      <c r="C98" s="2">
        <v>27.545466484427816</v>
      </c>
      <c r="D98" s="2">
        <v>14.543719246244191</v>
      </c>
      <c r="E98" s="2">
        <v>25.978525436435145</v>
      </c>
    </row>
    <row r="99" spans="1:5" ht="15.4" x14ac:dyDescent="0.4">
      <c r="A99" s="11"/>
      <c r="B99" s="43">
        <v>20</v>
      </c>
      <c r="C99" s="2">
        <v>13.56542617046818</v>
      </c>
      <c r="D99" s="2">
        <v>1.556786530469666</v>
      </c>
      <c r="E99" s="2">
        <v>14.126541476130511</v>
      </c>
    </row>
    <row r="100" spans="1:5" ht="15.4" x14ac:dyDescent="0.4">
      <c r="B100" s="43">
        <v>20</v>
      </c>
      <c r="C100" s="2">
        <v>12.839325018341896</v>
      </c>
      <c r="D100" s="2">
        <v>2.29435889798645</v>
      </c>
      <c r="E100" s="2">
        <v>13.476273580098278</v>
      </c>
    </row>
    <row r="101" spans="1:5" ht="15.4" x14ac:dyDescent="0.4">
      <c r="B101" s="43">
        <v>20</v>
      </c>
      <c r="C101" s="2">
        <v>53.526230110801876</v>
      </c>
      <c r="D101" s="2">
        <v>45.080317927785721</v>
      </c>
      <c r="E101" s="2">
        <v>48.436696377070341</v>
      </c>
    </row>
    <row r="102" spans="1:5" ht="15.4" x14ac:dyDescent="0.4">
      <c r="B102" s="43">
        <v>20</v>
      </c>
      <c r="C102" s="2">
        <v>7.0672424423533071</v>
      </c>
      <c r="D102" s="2">
        <v>13.089049907894076</v>
      </c>
      <c r="E102" s="2">
        <v>6.2127067661598074</v>
      </c>
    </row>
    <row r="103" spans="1:5" ht="15.4" x14ac:dyDescent="0.4">
      <c r="B103" s="43">
        <v>20</v>
      </c>
      <c r="C103" s="2">
        <v>23.080486247760511</v>
      </c>
      <c r="D103" s="2">
        <v>31.391247803251645</v>
      </c>
      <c r="E103" s="2">
        <v>18.893118130640065</v>
      </c>
    </row>
    <row r="104" spans="1:5" ht="15.4" x14ac:dyDescent="0.4">
      <c r="B104" s="43">
        <v>20</v>
      </c>
      <c r="C104" s="2">
        <v>6.2910528789293405</v>
      </c>
      <c r="D104" s="2">
        <v>13.468141813894071</v>
      </c>
      <c r="E104" s="2">
        <v>5.6980961522977953</v>
      </c>
    </row>
    <row r="105" spans="1:5" ht="15.4" x14ac:dyDescent="0.4">
      <c r="A105" s="52" t="s">
        <v>10</v>
      </c>
      <c r="B105" s="43">
        <v>21</v>
      </c>
      <c r="C105" s="2">
        <v>32.666099748552938</v>
      </c>
      <c r="D105" s="2">
        <v>17.710906391975531</v>
      </c>
      <c r="E105" s="2">
        <v>24.639172501650229</v>
      </c>
    </row>
    <row r="106" spans="1:5" ht="15.4" x14ac:dyDescent="0.4">
      <c r="B106" s="43">
        <v>23</v>
      </c>
      <c r="C106" s="2">
        <v>25.688274890813222</v>
      </c>
      <c r="D106" s="2">
        <v>6.3297581585418978</v>
      </c>
      <c r="E106" s="2">
        <v>29.219034921886156</v>
      </c>
    </row>
    <row r="107" spans="1:5" ht="15.4" x14ac:dyDescent="0.4">
      <c r="B107" s="43">
        <v>24.667931688804558</v>
      </c>
      <c r="C107" s="2">
        <v>50.810530542960628</v>
      </c>
      <c r="D107" s="2">
        <v>35.387968459139458</v>
      </c>
      <c r="E107" s="2">
        <v>45.155260024609149</v>
      </c>
    </row>
    <row r="108" spans="1:5" ht="15.4" x14ac:dyDescent="0.4">
      <c r="B108" s="43">
        <v>24.667931688804558</v>
      </c>
      <c r="C108" s="2">
        <v>50.810530542960628</v>
      </c>
      <c r="D108" s="2">
        <v>35.387968459139458</v>
      </c>
      <c r="E108" s="2">
        <v>47.780213042068162</v>
      </c>
    </row>
    <row r="109" spans="1:5" ht="15.4" x14ac:dyDescent="0.4">
      <c r="B109" s="43">
        <v>24.667931688804558</v>
      </c>
      <c r="C109" s="2">
        <v>59.893984718769744</v>
      </c>
      <c r="D109" s="2">
        <v>47.319392688464006</v>
      </c>
      <c r="E109" s="2">
        <v>55.031129132613643</v>
      </c>
    </row>
    <row r="110" spans="1:5" ht="15.4" x14ac:dyDescent="0.4">
      <c r="B110" s="43">
        <v>24.807747080603818</v>
      </c>
      <c r="C110" s="2">
        <v>32.522583386870409</v>
      </c>
      <c r="D110" s="2">
        <v>10.722938381844934</v>
      </c>
      <c r="E110" s="2">
        <v>18.349473016398797</v>
      </c>
    </row>
    <row r="111" spans="1:5" ht="15.4" x14ac:dyDescent="0.4">
      <c r="B111" s="43">
        <v>25</v>
      </c>
      <c r="C111" s="2">
        <v>7.5451642687994491</v>
      </c>
      <c r="D111" s="2">
        <v>17.989625330155675</v>
      </c>
      <c r="E111" s="2">
        <v>8.4247907301686151</v>
      </c>
    </row>
    <row r="112" spans="1:5" ht="15.4" x14ac:dyDescent="0.4">
      <c r="B112" s="43">
        <v>25</v>
      </c>
      <c r="C112" s="2">
        <v>27.601961100555172</v>
      </c>
      <c r="D112" s="2">
        <v>42.370448018469695</v>
      </c>
      <c r="E112" s="2">
        <v>24.381106843311596</v>
      </c>
    </row>
    <row r="113" spans="1:5" ht="15.4" x14ac:dyDescent="0.4">
      <c r="B113" s="43">
        <v>25</v>
      </c>
      <c r="C113" s="2">
        <v>8.740977677250136</v>
      </c>
      <c r="D113" s="2">
        <v>21.32651862361665</v>
      </c>
      <c r="E113" s="2">
        <v>10.195053033687069</v>
      </c>
    </row>
    <row r="114" spans="1:5" ht="15.4" x14ac:dyDescent="0.4">
      <c r="B114" s="43">
        <v>25.8</v>
      </c>
      <c r="C114" s="2">
        <v>41.179969609898279</v>
      </c>
      <c r="D114" s="2">
        <v>72.23818992090213</v>
      </c>
      <c r="E114" s="2">
        <v>31.839597900552612</v>
      </c>
    </row>
    <row r="115" spans="1:5" ht="15.4" x14ac:dyDescent="0.4">
      <c r="B115" s="43">
        <v>26</v>
      </c>
      <c r="C115" s="1">
        <v>10.489115725459268</v>
      </c>
      <c r="D115" s="1">
        <v>51.344568927379086</v>
      </c>
      <c r="E115" s="1">
        <v>24.794471955057844</v>
      </c>
    </row>
    <row r="116" spans="1:5" ht="15.4" x14ac:dyDescent="0.4">
      <c r="B116" s="43">
        <v>26.905829596412556</v>
      </c>
      <c r="C116" s="2">
        <v>86.737731634482003</v>
      </c>
      <c r="D116" s="2">
        <v>80.988473876509246</v>
      </c>
      <c r="E116" s="2">
        <v>81.702735429850875</v>
      </c>
    </row>
    <row r="117" spans="1:5" ht="15.4" x14ac:dyDescent="0.4">
      <c r="B117" s="43">
        <v>27.027027027027025</v>
      </c>
      <c r="C117" s="2">
        <v>0.33121169949461143</v>
      </c>
      <c r="D117" s="2">
        <v>41.844352145394154</v>
      </c>
      <c r="E117" s="2">
        <v>1.2718877515945939</v>
      </c>
    </row>
    <row r="118" spans="1:5" ht="15.4" x14ac:dyDescent="0.4">
      <c r="B118" s="43">
        <v>27.027027027027028</v>
      </c>
      <c r="C118" s="2">
        <v>38.114975632805496</v>
      </c>
      <c r="D118" s="2">
        <v>10.801186745649808</v>
      </c>
      <c r="E118" s="2">
        <v>23.537085907511692</v>
      </c>
    </row>
    <row r="119" spans="1:5" ht="15.4" x14ac:dyDescent="0.4">
      <c r="B119" s="43">
        <v>27.027027027027028</v>
      </c>
      <c r="C119" s="2">
        <v>57.659333130686804</v>
      </c>
      <c r="D119" s="2">
        <v>39.006444451686797</v>
      </c>
      <c r="E119" s="2">
        <v>47.922464898630082</v>
      </c>
    </row>
    <row r="120" spans="1:5" ht="15.4" x14ac:dyDescent="0.4">
      <c r="B120" s="43">
        <v>28.999999999999996</v>
      </c>
      <c r="C120" s="2">
        <v>30.401529333773613</v>
      </c>
      <c r="D120" s="2">
        <v>6.9924376533579693</v>
      </c>
      <c r="E120" s="2">
        <v>9.0046857106127121</v>
      </c>
    </row>
    <row r="121" spans="1:5" ht="15.4" x14ac:dyDescent="0.4">
      <c r="B121" s="43">
        <v>30</v>
      </c>
      <c r="C121" s="2">
        <v>5.4847887940468283</v>
      </c>
      <c r="D121" s="2">
        <v>65.658144534992687</v>
      </c>
      <c r="E121" s="2">
        <v>6.0269407346164225</v>
      </c>
    </row>
    <row r="122" spans="1:5" ht="15.4" x14ac:dyDescent="0.4">
      <c r="B122" s="43">
        <v>30</v>
      </c>
      <c r="C122" s="2">
        <v>39.194076605439278</v>
      </c>
      <c r="D122" s="2">
        <v>3.1316758401341773</v>
      </c>
      <c r="E122" s="2">
        <v>18.752004134585754</v>
      </c>
    </row>
    <row r="123" spans="1:5" ht="15.4" x14ac:dyDescent="0.4">
      <c r="B123" s="43">
        <v>30</v>
      </c>
      <c r="C123" s="2">
        <v>72.192413081755774</v>
      </c>
      <c r="D123" s="2">
        <v>55.700461512256481</v>
      </c>
      <c r="E123" s="2">
        <v>63.253368423921415</v>
      </c>
    </row>
    <row r="124" spans="1:5" ht="15.4" x14ac:dyDescent="0.4">
      <c r="B124" s="43">
        <v>30</v>
      </c>
      <c r="C124" s="2">
        <v>21.953161620651642</v>
      </c>
      <c r="D124" s="2">
        <v>88.763026500708975</v>
      </c>
      <c r="E124" s="2">
        <v>12.077363618326016</v>
      </c>
    </row>
    <row r="125" spans="1:5" ht="15.4" x14ac:dyDescent="0.4">
      <c r="A125" s="11"/>
      <c r="B125" s="43">
        <v>30</v>
      </c>
      <c r="C125" s="2">
        <v>6.9054794758690541</v>
      </c>
      <c r="D125" s="2">
        <v>44.09469349740526</v>
      </c>
      <c r="E125" s="2">
        <v>8.3538533413898755</v>
      </c>
    </row>
    <row r="126" spans="1:5" ht="15.4" x14ac:dyDescent="0.4">
      <c r="B126" s="43">
        <v>30</v>
      </c>
      <c r="C126" s="2">
        <v>21.35060573571818</v>
      </c>
      <c r="D126" s="2">
        <v>25.237995114392177</v>
      </c>
      <c r="E126" s="2">
        <v>4.5403777075356162</v>
      </c>
    </row>
    <row r="127" spans="1:5" ht="15.4" x14ac:dyDescent="0.4">
      <c r="B127" s="43">
        <v>30</v>
      </c>
      <c r="C127" s="2">
        <v>9.6887582491981128</v>
      </c>
      <c r="D127" s="2">
        <v>41.901346840999437</v>
      </c>
      <c r="E127" s="2">
        <v>4.7089069958623897</v>
      </c>
    </row>
    <row r="128" spans="1:5" ht="15.4" x14ac:dyDescent="0.4">
      <c r="B128" s="43">
        <v>30</v>
      </c>
      <c r="C128" s="2">
        <v>44.404952992432939</v>
      </c>
      <c r="D128" s="2">
        <v>14.918477037881232</v>
      </c>
      <c r="E128" s="2">
        <v>36.493500725445472</v>
      </c>
    </row>
    <row r="129" spans="1:5" ht="15.4" x14ac:dyDescent="0.4">
      <c r="B129" s="43">
        <v>30</v>
      </c>
      <c r="C129" s="2">
        <v>8.4277383395110927</v>
      </c>
      <c r="D129" s="2">
        <v>72.062559384954909</v>
      </c>
      <c r="E129" s="2">
        <v>14.761631631799659</v>
      </c>
    </row>
    <row r="130" spans="1:5" ht="15.4" x14ac:dyDescent="0.4">
      <c r="B130" s="43">
        <v>30</v>
      </c>
      <c r="C130" s="2">
        <v>31.508650031689388</v>
      </c>
      <c r="D130" s="2">
        <v>3.6008000056788232</v>
      </c>
      <c r="E130" s="2">
        <v>25.936703015196738</v>
      </c>
    </row>
    <row r="131" spans="1:5" ht="15.4" x14ac:dyDescent="0.4">
      <c r="B131" s="43">
        <v>30</v>
      </c>
      <c r="C131" s="1">
        <v>30.919077728811406</v>
      </c>
      <c r="D131" s="1">
        <v>4.1349070101293073</v>
      </c>
      <c r="E131" s="1">
        <v>25.456010326703034</v>
      </c>
    </row>
    <row r="132" spans="1:5" ht="15.4" x14ac:dyDescent="0.4">
      <c r="B132" s="43">
        <v>30</v>
      </c>
      <c r="C132" s="2">
        <v>44.92520200917231</v>
      </c>
      <c r="D132" s="2">
        <v>15.208537277037271</v>
      </c>
      <c r="E132" s="2">
        <v>25.812447838029879</v>
      </c>
    </row>
    <row r="133" spans="1:5" ht="15.4" x14ac:dyDescent="0.4">
      <c r="B133" s="43">
        <v>30</v>
      </c>
      <c r="C133" s="2">
        <v>2.1108991699422215</v>
      </c>
      <c r="D133" s="2">
        <v>16.955383366385469</v>
      </c>
      <c r="E133" s="2">
        <v>4.9607954913645145</v>
      </c>
    </row>
    <row r="134" spans="1:5" ht="15.4" x14ac:dyDescent="0.4">
      <c r="B134" s="43">
        <v>30</v>
      </c>
      <c r="C134" s="2">
        <v>9.3919978733583385</v>
      </c>
      <c r="D134" s="2">
        <v>28.361607593515981</v>
      </c>
      <c r="E134" s="2">
        <v>13.389866719250726</v>
      </c>
    </row>
    <row r="135" spans="1:5" ht="15.4" x14ac:dyDescent="0.4">
      <c r="A135" s="52" t="s">
        <v>11</v>
      </c>
      <c r="B135" s="43">
        <v>32.5</v>
      </c>
      <c r="C135" s="2">
        <v>39.776590577950451</v>
      </c>
      <c r="D135" s="2">
        <v>14.785086185730719</v>
      </c>
      <c r="E135" s="2">
        <v>56.392637961518545</v>
      </c>
    </row>
    <row r="136" spans="1:5" ht="15.4" x14ac:dyDescent="0.4">
      <c r="B136" s="43">
        <v>33.333333333333329</v>
      </c>
      <c r="C136" s="2">
        <v>17.880077750166084</v>
      </c>
      <c r="D136" s="2">
        <v>49.026561158155964</v>
      </c>
      <c r="E136" s="2">
        <v>5.7199673372932667</v>
      </c>
    </row>
    <row r="137" spans="1:5" ht="15.4" x14ac:dyDescent="0.4">
      <c r="B137" s="43">
        <v>35</v>
      </c>
      <c r="C137" s="2">
        <v>37.905813049524248</v>
      </c>
      <c r="D137" s="2">
        <v>22.123859410228636</v>
      </c>
      <c r="E137" s="2">
        <v>5.192950414708509</v>
      </c>
    </row>
    <row r="138" spans="1:5" ht="15.4" x14ac:dyDescent="0.4">
      <c r="B138" s="43">
        <v>35</v>
      </c>
      <c r="C138" s="2">
        <v>25.736064330600033</v>
      </c>
      <c r="D138" s="2">
        <v>93.622844356082808</v>
      </c>
      <c r="E138" s="2">
        <v>57.394351845759864</v>
      </c>
    </row>
    <row r="139" spans="1:5" ht="15.4" x14ac:dyDescent="0.4">
      <c r="B139" s="43">
        <v>35</v>
      </c>
      <c r="C139" s="2">
        <v>0.75560863781011645</v>
      </c>
      <c r="D139" s="2">
        <v>20.992414371347156</v>
      </c>
      <c r="E139" s="2">
        <v>5.8400124116580159</v>
      </c>
    </row>
    <row r="140" spans="1:5" ht="15.4" x14ac:dyDescent="0.4">
      <c r="B140" s="43">
        <v>35</v>
      </c>
      <c r="C140" s="2">
        <v>10.01467274343219</v>
      </c>
      <c r="D140" s="2">
        <v>36.508915173160425</v>
      </c>
      <c r="E140" s="2">
        <v>16.967992324204687</v>
      </c>
    </row>
    <row r="141" spans="1:5" ht="15.4" x14ac:dyDescent="0.4">
      <c r="B141" s="43">
        <v>35.573122529644266</v>
      </c>
      <c r="C141" s="2">
        <v>86.57215064215616</v>
      </c>
      <c r="D141" s="2">
        <v>72.886296319928093</v>
      </c>
      <c r="E141" s="2">
        <v>74.845524553695171</v>
      </c>
    </row>
    <row r="142" spans="1:5" ht="15.4" x14ac:dyDescent="0.4">
      <c r="B142" s="43">
        <v>35.714285714285722</v>
      </c>
      <c r="C142" s="2">
        <v>4.6160055641444178</v>
      </c>
      <c r="D142" s="2">
        <v>85.795514845106183</v>
      </c>
      <c r="E142" s="2">
        <v>0.31073187866495661</v>
      </c>
    </row>
    <row r="143" spans="1:5" ht="15.4" x14ac:dyDescent="0.4">
      <c r="B143" s="43">
        <v>36</v>
      </c>
      <c r="C143" s="2">
        <v>3.0218383411436798</v>
      </c>
      <c r="D143" s="2">
        <v>94.171502824293157</v>
      </c>
      <c r="E143" s="2">
        <v>1.0228206008338685</v>
      </c>
    </row>
    <row r="144" spans="1:5" ht="15.4" x14ac:dyDescent="0.4">
      <c r="B144" s="43">
        <v>36</v>
      </c>
      <c r="C144" s="2">
        <v>7.4811139585485602</v>
      </c>
      <c r="D144" s="2">
        <v>110.9824492366487</v>
      </c>
      <c r="E144" s="2">
        <v>44.446808185754293</v>
      </c>
    </row>
    <row r="145" spans="1:5" ht="15.4" x14ac:dyDescent="0.4">
      <c r="B145" s="43">
        <v>36.84210526315789</v>
      </c>
      <c r="C145" s="2">
        <v>43.481502136261788</v>
      </c>
      <c r="D145" s="2">
        <v>13.899234311904344</v>
      </c>
      <c r="E145" s="2">
        <v>24.309901407126542</v>
      </c>
    </row>
    <row r="146" spans="1:5" ht="15.4" x14ac:dyDescent="0.4">
      <c r="B146" s="43">
        <v>37.5</v>
      </c>
      <c r="C146" s="2">
        <v>6.7815239208838296</v>
      </c>
      <c r="D146" s="2">
        <v>19.176356015453681</v>
      </c>
      <c r="E146" s="2">
        <v>8.2189842196488136</v>
      </c>
    </row>
    <row r="147" spans="1:5" ht="15.4" x14ac:dyDescent="0.4">
      <c r="B147" s="43">
        <v>37.938677502770595</v>
      </c>
      <c r="C147" s="2">
        <v>36.911062848900123</v>
      </c>
      <c r="D147" s="2">
        <v>35.086284849864221</v>
      </c>
      <c r="E147" s="2">
        <v>7.4442792108970215</v>
      </c>
    </row>
    <row r="148" spans="1:5" ht="15.4" x14ac:dyDescent="0.4">
      <c r="B148" s="43">
        <v>38</v>
      </c>
      <c r="C148" s="2">
        <v>45.051520049718313</v>
      </c>
      <c r="D148" s="2">
        <v>27.037323477273144</v>
      </c>
      <c r="E148" s="2">
        <v>7.3770782134579731</v>
      </c>
    </row>
    <row r="149" spans="1:5" ht="15.4" x14ac:dyDescent="0.4">
      <c r="B149" s="43">
        <v>40</v>
      </c>
      <c r="C149" s="2">
        <v>45.136883658028431</v>
      </c>
      <c r="D149" s="2">
        <v>44.389657454268203</v>
      </c>
      <c r="E149" s="2">
        <v>0.85912157892562846</v>
      </c>
    </row>
    <row r="150" spans="1:5" ht="15.4" x14ac:dyDescent="0.4">
      <c r="B150" s="43">
        <v>40</v>
      </c>
      <c r="C150" s="2">
        <v>76.731207465856414</v>
      </c>
      <c r="D150" s="2">
        <v>38.760806760641103</v>
      </c>
      <c r="E150" s="2">
        <v>58.849808928559874</v>
      </c>
    </row>
    <row r="151" spans="1:5" ht="15.4" x14ac:dyDescent="0.4">
      <c r="B151" s="43">
        <v>40</v>
      </c>
      <c r="C151" s="2">
        <v>10.725629605052005</v>
      </c>
      <c r="D151" s="2">
        <v>168.41035427823562</v>
      </c>
      <c r="E151" s="2">
        <v>4.6318840269886348</v>
      </c>
    </row>
    <row r="152" spans="1:5" ht="15.4" x14ac:dyDescent="0.4">
      <c r="B152" s="43">
        <v>40</v>
      </c>
      <c r="C152" s="2">
        <v>5.0765377529541533</v>
      </c>
      <c r="D152" s="2">
        <v>144.11251397254745</v>
      </c>
      <c r="E152" s="2">
        <v>10.068246550226137</v>
      </c>
    </row>
    <row r="153" spans="1:5" ht="15.4" x14ac:dyDescent="0.4">
      <c r="B153" s="43">
        <v>40</v>
      </c>
      <c r="C153" s="2">
        <v>14.420491662368926</v>
      </c>
      <c r="D153" s="2">
        <v>107.45356096681633</v>
      </c>
      <c r="E153" s="2">
        <v>18.941330928426652</v>
      </c>
    </row>
    <row r="154" spans="1:5" ht="15.4" x14ac:dyDescent="0.4">
      <c r="B154" s="43">
        <v>40</v>
      </c>
      <c r="C154" s="2">
        <v>27.541359995131025</v>
      </c>
      <c r="D154" s="2">
        <v>90.445689121131849</v>
      </c>
      <c r="E154" s="2">
        <v>29.582744084418582</v>
      </c>
    </row>
    <row r="155" spans="1:5" ht="15.4" x14ac:dyDescent="0.4">
      <c r="B155" s="43">
        <v>40</v>
      </c>
      <c r="C155" s="2">
        <v>55.002383979656713</v>
      </c>
      <c r="D155" s="2">
        <v>7.4848358824368608</v>
      </c>
      <c r="E155" s="2">
        <v>18.384847848023682</v>
      </c>
    </row>
    <row r="156" spans="1:5" ht="15.4" x14ac:dyDescent="0.4">
      <c r="B156" s="43">
        <v>40</v>
      </c>
      <c r="C156" s="2">
        <v>21.523610825280219</v>
      </c>
      <c r="D156" s="2">
        <v>116.27771190228617</v>
      </c>
      <c r="E156" s="2">
        <v>64.821392871804633</v>
      </c>
    </row>
    <row r="157" spans="1:5" ht="15.4" x14ac:dyDescent="0.4">
      <c r="B157" s="43">
        <v>40</v>
      </c>
      <c r="C157" s="2">
        <v>6.8318850492222376</v>
      </c>
      <c r="D157" s="2">
        <v>17.74781249679743</v>
      </c>
      <c r="E157" s="2">
        <v>0.18489156661628625</v>
      </c>
    </row>
    <row r="158" spans="1:5" ht="15.4" x14ac:dyDescent="0.4">
      <c r="B158" s="43">
        <v>40</v>
      </c>
      <c r="C158" s="2">
        <v>7.8734986184502782</v>
      </c>
      <c r="D158" s="2">
        <v>21.511241741169798</v>
      </c>
      <c r="E158" s="2">
        <v>9.2413532415951405</v>
      </c>
    </row>
    <row r="159" spans="1:5" ht="15.4" x14ac:dyDescent="0.4">
      <c r="B159" s="43">
        <v>40</v>
      </c>
      <c r="C159" s="2">
        <v>1.1766023016954417</v>
      </c>
      <c r="D159" s="2">
        <v>131.53291280226048</v>
      </c>
      <c r="E159" s="2">
        <v>32.19321480449004</v>
      </c>
    </row>
    <row r="160" spans="1:5" ht="15.4" x14ac:dyDescent="0.4">
      <c r="A160" s="52" t="s">
        <v>12</v>
      </c>
      <c r="B160" s="43">
        <v>41.099999999999994</v>
      </c>
      <c r="C160" s="2">
        <v>62.745374904643782</v>
      </c>
      <c r="D160" s="2">
        <v>175.13348979418103</v>
      </c>
      <c r="E160" s="2">
        <v>62.012474921682696</v>
      </c>
    </row>
    <row r="161" spans="2:5" ht="15.4" x14ac:dyDescent="0.4">
      <c r="B161" s="43">
        <v>41.099999999999994</v>
      </c>
      <c r="C161" s="2">
        <v>58.965084138904267</v>
      </c>
      <c r="D161" s="2">
        <v>168.74261944579766</v>
      </c>
      <c r="E161" s="2">
        <v>52.986378466100028</v>
      </c>
    </row>
    <row r="162" spans="2:5" ht="15.4" x14ac:dyDescent="0.4">
      <c r="B162" s="43">
        <v>42</v>
      </c>
      <c r="C162" s="2">
        <v>9.815880602372852</v>
      </c>
      <c r="D162" s="2">
        <v>22.071546607073174</v>
      </c>
      <c r="E162" s="2">
        <v>8.8240674093471529</v>
      </c>
    </row>
    <row r="163" spans="2:5" ht="15.4" x14ac:dyDescent="0.4">
      <c r="B163" s="43">
        <v>42.199999999999996</v>
      </c>
      <c r="C163" s="2">
        <v>17.448586619150625</v>
      </c>
      <c r="D163" s="2">
        <v>159.06271615838702</v>
      </c>
      <c r="E163" s="2">
        <v>72.258343591904435</v>
      </c>
    </row>
    <row r="164" spans="2:5" ht="15.4" x14ac:dyDescent="0.4">
      <c r="B164" s="43">
        <v>42.199999999999996</v>
      </c>
      <c r="C164" s="2">
        <v>39.82382221784011</v>
      </c>
      <c r="D164" s="2">
        <v>88.844786852466157</v>
      </c>
      <c r="E164" s="2">
        <v>16.243524096834605</v>
      </c>
    </row>
    <row r="165" spans="2:5" ht="15.4" x14ac:dyDescent="0.4">
      <c r="B165" s="43">
        <v>42.5</v>
      </c>
      <c r="C165" s="2">
        <v>12.026592418274911</v>
      </c>
      <c r="D165" s="2">
        <v>19.869435679234542</v>
      </c>
      <c r="E165" s="2">
        <v>9.9286636564055328</v>
      </c>
    </row>
    <row r="166" spans="2:5" ht="15.4" x14ac:dyDescent="0.4">
      <c r="B166" s="43">
        <v>43</v>
      </c>
      <c r="C166" s="2">
        <v>25.476177268525891</v>
      </c>
      <c r="D166" s="2">
        <v>113.49783003061324</v>
      </c>
      <c r="E166" s="2">
        <v>19.85006801299</v>
      </c>
    </row>
    <row r="167" spans="2:5" ht="15.4" x14ac:dyDescent="0.4">
      <c r="B167" s="43">
        <v>44.239442394423946</v>
      </c>
      <c r="C167" s="2">
        <v>33.897940087392286</v>
      </c>
      <c r="D167" s="2">
        <v>114.83086847036415</v>
      </c>
      <c r="E167" s="2">
        <v>45.750831361998657</v>
      </c>
    </row>
    <row r="168" spans="2:5" ht="15.4" x14ac:dyDescent="0.4">
      <c r="B168" s="43">
        <v>45</v>
      </c>
      <c r="C168" s="2">
        <v>40.434197161780702</v>
      </c>
      <c r="D168" s="2">
        <v>128.05469973504066</v>
      </c>
      <c r="E168" s="2">
        <v>26.534183966089831</v>
      </c>
    </row>
    <row r="169" spans="2:5" ht="15.4" x14ac:dyDescent="0.4">
      <c r="B169" s="43">
        <v>45</v>
      </c>
      <c r="C169" s="2">
        <v>40.668682764238277</v>
      </c>
      <c r="D169" s="2">
        <v>146.59913707741848</v>
      </c>
      <c r="E169" s="2">
        <v>34.016962984133905</v>
      </c>
    </row>
    <row r="170" spans="2:5" ht="15.4" x14ac:dyDescent="0.4">
      <c r="B170" s="43">
        <v>45</v>
      </c>
      <c r="C170" s="2">
        <v>57.352392202704536</v>
      </c>
      <c r="D170" s="2">
        <v>41.127581727880305</v>
      </c>
      <c r="E170" s="2">
        <v>5.7370730914414505</v>
      </c>
    </row>
    <row r="171" spans="2:5" ht="15.4" x14ac:dyDescent="0.4">
      <c r="B171" s="43">
        <v>45</v>
      </c>
      <c r="C171" s="2">
        <v>8.5749598842947812</v>
      </c>
      <c r="D171" s="2">
        <v>131.03416610260496</v>
      </c>
      <c r="E171" s="2">
        <v>61.522443516578221</v>
      </c>
    </row>
    <row r="172" spans="2:5" ht="15.4" x14ac:dyDescent="0.4">
      <c r="B172" s="43">
        <v>45</v>
      </c>
      <c r="C172" s="2">
        <v>10.345200069691336</v>
      </c>
      <c r="D172" s="2">
        <v>26.375867338226179</v>
      </c>
      <c r="E172" s="2">
        <v>11.157187641452943</v>
      </c>
    </row>
    <row r="173" spans="2:5" ht="15.4" x14ac:dyDescent="0.4">
      <c r="B173" s="43">
        <v>45</v>
      </c>
      <c r="C173" s="2">
        <v>12.598466113446449</v>
      </c>
      <c r="D173" s="2">
        <v>23.199702193195709</v>
      </c>
      <c r="E173" s="2">
        <v>12.032859488665032</v>
      </c>
    </row>
    <row r="174" spans="2:5" ht="15.4" x14ac:dyDescent="0.4">
      <c r="B174" s="43">
        <v>46</v>
      </c>
      <c r="C174" s="2">
        <v>12.677624601005661</v>
      </c>
      <c r="D174" s="2">
        <v>343.52825034234775</v>
      </c>
      <c r="E174" s="2">
        <v>95.663083683047688</v>
      </c>
    </row>
    <row r="175" spans="2:5" ht="15.4" x14ac:dyDescent="0.4">
      <c r="B175" s="43">
        <v>46.204620462046208</v>
      </c>
      <c r="C175" s="2">
        <v>85.805907399581514</v>
      </c>
      <c r="D175" s="2">
        <v>31.376366350203931</v>
      </c>
      <c r="E175" s="2">
        <v>45.52270435730243</v>
      </c>
    </row>
    <row r="176" spans="2:5" ht="15.4" x14ac:dyDescent="0.4">
      <c r="B176" s="43">
        <v>46.357615894039732</v>
      </c>
      <c r="C176" s="2">
        <v>46.364143711895437</v>
      </c>
      <c r="D176" s="2">
        <v>169.84689942199191</v>
      </c>
      <c r="E176" s="2">
        <v>24.995876898989223</v>
      </c>
    </row>
    <row r="177" spans="2:5" ht="15.4" x14ac:dyDescent="0.4">
      <c r="B177" s="43">
        <v>46.357615894039732</v>
      </c>
      <c r="C177" s="2">
        <v>58.879870490105269</v>
      </c>
      <c r="D177" s="2">
        <v>105.64357417834609</v>
      </c>
      <c r="E177" s="2">
        <v>5.883910795924395</v>
      </c>
    </row>
    <row r="178" spans="2:5" ht="15.4" x14ac:dyDescent="0.4">
      <c r="B178" s="43">
        <v>47.5</v>
      </c>
      <c r="C178" s="2">
        <v>13.758073375294583</v>
      </c>
      <c r="D178" s="2">
        <v>25.947718363259913</v>
      </c>
      <c r="E178" s="2">
        <v>13.501921411829793</v>
      </c>
    </row>
    <row r="179" spans="2:5" ht="15.4" x14ac:dyDescent="0.4">
      <c r="B179" s="43">
        <v>48</v>
      </c>
      <c r="C179" s="2">
        <v>305.61668607542521</v>
      </c>
      <c r="D179" s="2">
        <v>2166.3467373672015</v>
      </c>
      <c r="E179" s="2">
        <v>85.838713704430774</v>
      </c>
    </row>
    <row r="180" spans="2:5" ht="15.4" x14ac:dyDescent="0.4">
      <c r="B180" s="43">
        <v>48</v>
      </c>
      <c r="C180" s="2">
        <v>52.509807785761609</v>
      </c>
      <c r="D180" s="2">
        <v>752.13482866305799</v>
      </c>
      <c r="E180" s="2">
        <v>3.5567909178256127</v>
      </c>
    </row>
    <row r="181" spans="2:5" ht="15.4" x14ac:dyDescent="0.4">
      <c r="B181" s="43">
        <v>48</v>
      </c>
      <c r="C181" s="2">
        <v>46.180441335086101</v>
      </c>
      <c r="D181" s="2">
        <v>716.7700631158574</v>
      </c>
      <c r="E181" s="2">
        <v>103.53830597233664</v>
      </c>
    </row>
    <row r="182" spans="2:5" ht="15.4" x14ac:dyDescent="0.4">
      <c r="B182" s="43">
        <v>48</v>
      </c>
      <c r="C182" s="2">
        <v>21.675391390602154</v>
      </c>
      <c r="D182" s="2">
        <v>337.6317032097229</v>
      </c>
      <c r="E182" s="2">
        <v>50.372856185746194</v>
      </c>
    </row>
    <row r="183" spans="2:5" ht="15.4" x14ac:dyDescent="0.4">
      <c r="B183" s="43">
        <v>48</v>
      </c>
      <c r="C183" s="2">
        <v>35.002265094290749</v>
      </c>
      <c r="D183" s="2">
        <v>263.16899549941184</v>
      </c>
      <c r="E183" s="2">
        <v>78.877539674518928</v>
      </c>
    </row>
    <row r="184" spans="2:5" ht="15.4" x14ac:dyDescent="0.4">
      <c r="B184" s="43">
        <v>49</v>
      </c>
      <c r="C184" s="2">
        <v>54.118928165523151</v>
      </c>
      <c r="D184" s="2">
        <v>285.22665327461101</v>
      </c>
      <c r="E184" s="2">
        <v>33.520257272938956</v>
      </c>
    </row>
    <row r="185" spans="2:5" ht="15.4" x14ac:dyDescent="0.4">
      <c r="B185" s="43">
        <v>49.243098842386459</v>
      </c>
      <c r="C185" s="2">
        <v>35.507182174389506</v>
      </c>
      <c r="D185" s="2">
        <v>364.56705239276943</v>
      </c>
      <c r="E185" s="2">
        <v>72.793194055283351</v>
      </c>
    </row>
    <row r="186" spans="2:5" ht="15.4" x14ac:dyDescent="0.4">
      <c r="B186" s="43">
        <v>49.243098842386459</v>
      </c>
      <c r="C186" s="2">
        <v>72.136598123886728</v>
      </c>
      <c r="D186" s="2">
        <v>100.71100807260429</v>
      </c>
      <c r="E186" s="2">
        <v>20.133396644334635</v>
      </c>
    </row>
    <row r="187" spans="2:5" ht="15.4" x14ac:dyDescent="0.4">
      <c r="B187" s="43">
        <v>49.243098842386459</v>
      </c>
      <c r="C187" s="2">
        <v>88.107685374466755</v>
      </c>
      <c r="D187" s="2">
        <v>108.03954231106168</v>
      </c>
      <c r="E187" s="2">
        <v>61.163556411835188</v>
      </c>
    </row>
    <row r="188" spans="2:5" ht="15.4" x14ac:dyDescent="0.4">
      <c r="B188" s="43">
        <v>50</v>
      </c>
      <c r="C188" s="2">
        <v>39.411182273811484</v>
      </c>
      <c r="D188" s="2">
        <v>435.47209505219155</v>
      </c>
      <c r="E188" s="2">
        <v>70.648599484264679</v>
      </c>
    </row>
    <row r="189" spans="2:5" ht="15.4" x14ac:dyDescent="0.4">
      <c r="B189" s="43">
        <v>50</v>
      </c>
      <c r="C189" s="2">
        <v>42.288557213930325</v>
      </c>
      <c r="D189" s="2">
        <v>563.14197668541806</v>
      </c>
      <c r="E189" s="2">
        <v>79.994351211430583</v>
      </c>
    </row>
    <row r="190" spans="2:5" ht="15.4" x14ac:dyDescent="0.4">
      <c r="B190" s="43">
        <v>50</v>
      </c>
      <c r="C190" s="2">
        <v>14.319683794466401</v>
      </c>
      <c r="D190" s="2">
        <v>718.25537130860732</v>
      </c>
      <c r="E190" s="2">
        <v>11.817709921273938</v>
      </c>
    </row>
    <row r="191" spans="2:5" ht="15.4" x14ac:dyDescent="0.4">
      <c r="B191" s="43">
        <v>50</v>
      </c>
      <c r="C191" s="2">
        <v>6.183858533677733</v>
      </c>
      <c r="D191" s="2">
        <v>824.51699822817227</v>
      </c>
      <c r="E191" s="2">
        <v>25.709026532028577</v>
      </c>
    </row>
    <row r="192" spans="2:5" ht="15.4" x14ac:dyDescent="0.4">
      <c r="B192" s="43">
        <v>50</v>
      </c>
      <c r="C192" s="2">
        <v>10.894028750330712</v>
      </c>
      <c r="D192" s="2">
        <v>537.78552538509973</v>
      </c>
      <c r="E192" s="2">
        <v>60.990995480212604</v>
      </c>
    </row>
    <row r="193" spans="1:5" ht="15.4" x14ac:dyDescent="0.4">
      <c r="B193" s="43">
        <v>50</v>
      </c>
      <c r="C193" s="2">
        <v>30.260131338234668</v>
      </c>
      <c r="D193" s="2">
        <v>693.88092183046876</v>
      </c>
      <c r="E193" s="2">
        <v>112.23728753190456</v>
      </c>
    </row>
    <row r="194" spans="1:5" ht="15.4" x14ac:dyDescent="0.4">
      <c r="B194" s="43">
        <v>50</v>
      </c>
      <c r="C194" s="2">
        <v>52.083645926288611</v>
      </c>
      <c r="D194" s="2">
        <v>417.33579197674305</v>
      </c>
      <c r="E194" s="2">
        <v>78.810990717055219</v>
      </c>
    </row>
    <row r="195" spans="1:5" ht="15.4" x14ac:dyDescent="0.4">
      <c r="B195" s="43">
        <v>50</v>
      </c>
      <c r="C195" s="2">
        <v>53.489438921091889</v>
      </c>
      <c r="D195" s="2">
        <v>182.08636985214216</v>
      </c>
      <c r="E195" s="2">
        <v>37.741307268036941</v>
      </c>
    </row>
    <row r="196" spans="1:5" ht="15.4" x14ac:dyDescent="0.4">
      <c r="B196" s="43">
        <v>50</v>
      </c>
      <c r="C196" s="2">
        <v>5.6406602541265762</v>
      </c>
      <c r="D196" s="2">
        <v>1056.2306979424957</v>
      </c>
      <c r="E196" s="2">
        <v>121.60890270735905</v>
      </c>
    </row>
    <row r="197" spans="1:5" ht="15.4" x14ac:dyDescent="0.4">
      <c r="B197" s="43">
        <v>50</v>
      </c>
      <c r="C197" s="2">
        <v>0.75798803119603619</v>
      </c>
      <c r="D197" s="2">
        <v>166.23162113762376</v>
      </c>
      <c r="E197" s="2">
        <v>64.508282408149654</v>
      </c>
    </row>
    <row r="198" spans="1:5" ht="15.4" x14ac:dyDescent="0.4">
      <c r="B198" s="43">
        <v>50</v>
      </c>
      <c r="C198" s="2">
        <v>14.447008356478836</v>
      </c>
      <c r="D198" s="2">
        <v>29.654819046357026</v>
      </c>
      <c r="E198" s="2">
        <v>15.714265005776085</v>
      </c>
    </row>
    <row r="199" spans="1:5" ht="15.4" x14ac:dyDescent="0.4">
      <c r="B199" s="43">
        <v>50</v>
      </c>
      <c r="C199" s="2">
        <v>25.192665298388121</v>
      </c>
      <c r="D199" s="2">
        <v>600.04253666355578</v>
      </c>
      <c r="E199" s="2">
        <v>101.81815679377641</v>
      </c>
    </row>
    <row r="200" spans="1:5" ht="15.4" x14ac:dyDescent="0.4">
      <c r="B200" s="43">
        <v>50.000000000000014</v>
      </c>
      <c r="C200" s="2">
        <v>36.349476816333322</v>
      </c>
      <c r="D200" s="2">
        <v>319.45431599471578</v>
      </c>
      <c r="E200" s="2">
        <v>21.095541059870744</v>
      </c>
    </row>
    <row r="201" spans="1:5" ht="15.4" x14ac:dyDescent="0.4">
      <c r="A201" s="52" t="s">
        <v>13</v>
      </c>
      <c r="B201" s="43">
        <v>51</v>
      </c>
      <c r="C201" s="2">
        <v>0.40759102811285575</v>
      </c>
      <c r="D201" s="2">
        <v>825.80116920642456</v>
      </c>
      <c r="E201" s="2">
        <v>109.31119352695215</v>
      </c>
    </row>
    <row r="202" spans="1:5" ht="15.4" x14ac:dyDescent="0.4">
      <c r="B202" s="43">
        <v>51.2</v>
      </c>
      <c r="C202" s="2">
        <v>64.99163762196946</v>
      </c>
      <c r="D202" s="2">
        <v>290.44371539949367</v>
      </c>
      <c r="E202" s="2">
        <v>70.64322287877178</v>
      </c>
    </row>
    <row r="203" spans="1:5" ht="15.4" x14ac:dyDescent="0.4">
      <c r="B203" s="43">
        <v>51.2</v>
      </c>
      <c r="C203" s="2">
        <v>30.593907258745055</v>
      </c>
      <c r="D203" s="2">
        <v>209.04336179430595</v>
      </c>
      <c r="E203" s="2">
        <v>28.866433721721034</v>
      </c>
    </row>
    <row r="204" spans="1:5" ht="15.4" x14ac:dyDescent="0.4">
      <c r="B204" s="43">
        <v>52.095808383233546</v>
      </c>
      <c r="C204" s="2">
        <v>31.919839132861167</v>
      </c>
      <c r="D204" s="2">
        <v>725.0530081255572</v>
      </c>
      <c r="E204" s="2">
        <v>157.55993269242964</v>
      </c>
    </row>
    <row r="205" spans="1:5" ht="15.4" x14ac:dyDescent="0.4">
      <c r="B205" s="43">
        <v>53.5</v>
      </c>
      <c r="C205" s="2">
        <v>41.745955840501544</v>
      </c>
      <c r="D205" s="2">
        <v>1799.7483762770923</v>
      </c>
      <c r="E205" s="2">
        <v>208.86934707940679</v>
      </c>
    </row>
    <row r="206" spans="1:5" ht="15.4" x14ac:dyDescent="0.4">
      <c r="B206" s="43">
        <v>53.5</v>
      </c>
      <c r="C206" s="2">
        <v>49.051379219402925</v>
      </c>
      <c r="D206" s="2">
        <v>1586.5892436286229</v>
      </c>
      <c r="E206" s="2">
        <v>110.18531237701532</v>
      </c>
    </row>
    <row r="207" spans="1:5" ht="15.4" x14ac:dyDescent="0.4">
      <c r="B207" s="43">
        <v>55.000000000000007</v>
      </c>
      <c r="C207" s="2">
        <v>36.736983757165738</v>
      </c>
      <c r="D207" s="2">
        <v>1294.212070785813</v>
      </c>
      <c r="E207" s="2">
        <v>180.62252534803417</v>
      </c>
    </row>
    <row r="208" spans="1:5" ht="15.4" x14ac:dyDescent="0.4">
      <c r="B208" s="43">
        <v>55.000000000000007</v>
      </c>
      <c r="C208" s="2">
        <v>43.038528095393971</v>
      </c>
      <c r="D208" s="2">
        <v>761.20945826350078</v>
      </c>
      <c r="E208" s="2">
        <v>210.97320146009494</v>
      </c>
    </row>
    <row r="209" spans="1:5" ht="15.4" x14ac:dyDescent="0.4">
      <c r="B209" s="43">
        <v>55.000000000000007</v>
      </c>
      <c r="C209" s="2">
        <v>49.117763386182311</v>
      </c>
      <c r="D209" s="2">
        <v>4045.1683314897145</v>
      </c>
      <c r="E209" s="2">
        <v>142.012458408604</v>
      </c>
    </row>
    <row r="210" spans="1:5" ht="15.4" x14ac:dyDescent="0.4">
      <c r="B210" s="43">
        <v>56.000000000000007</v>
      </c>
      <c r="C210" s="2">
        <v>9.3825581914635983</v>
      </c>
      <c r="D210" s="2">
        <v>2090.4881975495841</v>
      </c>
      <c r="E210" s="2">
        <v>193.82400530742714</v>
      </c>
    </row>
    <row r="211" spans="1:5" ht="15.4" x14ac:dyDescent="0.4">
      <c r="B211" s="43">
        <v>56.799214531173291</v>
      </c>
      <c r="C211" s="2">
        <v>38.141156315513591</v>
      </c>
      <c r="D211" s="2">
        <v>946.94863073436227</v>
      </c>
      <c r="E211" s="2">
        <v>362.17459356953077</v>
      </c>
    </row>
    <row r="212" spans="1:5" ht="15.4" x14ac:dyDescent="0.4">
      <c r="A212" s="11"/>
      <c r="B212" s="43">
        <v>58.4</v>
      </c>
      <c r="C212" s="2">
        <v>43.460593579824582</v>
      </c>
      <c r="D212" s="2">
        <v>354.11458597979765</v>
      </c>
      <c r="E212" s="2">
        <v>1562.2708026491271</v>
      </c>
    </row>
    <row r="213" spans="1:5" ht="15.4" x14ac:dyDescent="0.4">
      <c r="B213" s="43">
        <v>58.4</v>
      </c>
      <c r="C213" s="2">
        <v>52.395510324019966</v>
      </c>
      <c r="D213" s="2">
        <v>313.95688336187681</v>
      </c>
      <c r="E213" s="2">
        <v>395.23395321723223</v>
      </c>
    </row>
    <row r="214" spans="1:5" ht="15.4" x14ac:dyDescent="0.4">
      <c r="B214" s="43">
        <v>59.553349875930515</v>
      </c>
      <c r="C214" s="2">
        <v>82.751923140528007</v>
      </c>
      <c r="D214" s="2">
        <v>165.20414685347066</v>
      </c>
      <c r="E214" s="2">
        <v>192.61360818700791</v>
      </c>
    </row>
    <row r="215" spans="1:5" ht="15.4" x14ac:dyDescent="0.4">
      <c r="B215" s="43">
        <v>60</v>
      </c>
      <c r="C215" s="2">
        <v>37.698125000290929</v>
      </c>
      <c r="D215" s="2">
        <v>354.50920332843947</v>
      </c>
      <c r="E215" s="2">
        <v>715.99857676816509</v>
      </c>
    </row>
    <row r="216" spans="1:5" ht="15.4" x14ac:dyDescent="0.4">
      <c r="B216" s="43">
        <v>60</v>
      </c>
      <c r="C216" s="2">
        <v>11.769565974261004</v>
      </c>
      <c r="D216" s="2">
        <v>408.49748479412006</v>
      </c>
      <c r="E216" s="2">
        <v>2427.0976073858656</v>
      </c>
    </row>
    <row r="217" spans="1:5" ht="15.4" x14ac:dyDescent="0.4">
      <c r="B217" s="43">
        <v>60</v>
      </c>
      <c r="C217" s="2">
        <v>39.890686316940503</v>
      </c>
      <c r="D217" s="2">
        <v>316.07034528474111</v>
      </c>
      <c r="E217" s="2">
        <v>1434.5168341658457</v>
      </c>
    </row>
    <row r="218" spans="1:5" ht="15.4" x14ac:dyDescent="0.4">
      <c r="B218" s="43">
        <v>60</v>
      </c>
      <c r="C218" s="2">
        <v>2.8589153897942898</v>
      </c>
      <c r="D218" s="2">
        <v>452.29587796632762</v>
      </c>
      <c r="E218" s="2">
        <v>72.909816232678153</v>
      </c>
    </row>
    <row r="219" spans="1:5" ht="15.4" x14ac:dyDescent="0.4">
      <c r="B219" s="43">
        <v>60</v>
      </c>
      <c r="C219" s="2">
        <v>44.825666705338868</v>
      </c>
      <c r="D219" s="2">
        <v>440.99187122138818</v>
      </c>
      <c r="E219" s="2">
        <v>745.28230149868784</v>
      </c>
    </row>
    <row r="220" spans="1:5" ht="15.4" x14ac:dyDescent="0.4">
      <c r="B220" s="43">
        <v>60</v>
      </c>
      <c r="C220" s="2">
        <v>29.87316410080318</v>
      </c>
      <c r="D220" s="2">
        <v>563.42907618983986</v>
      </c>
      <c r="E220" s="2">
        <v>452.41545213274009</v>
      </c>
    </row>
    <row r="221" spans="1:5" ht="15.4" x14ac:dyDescent="0.4">
      <c r="B221" s="43">
        <v>60</v>
      </c>
      <c r="C221" s="2">
        <v>91.039978519697712</v>
      </c>
      <c r="D221" s="2">
        <v>149.48614288707208</v>
      </c>
      <c r="E221" s="2">
        <v>70.655261229446751</v>
      </c>
    </row>
    <row r="222" spans="1:5" ht="15.4" x14ac:dyDescent="0.4">
      <c r="A222" s="52" t="s">
        <v>14</v>
      </c>
      <c r="B222" s="43">
        <v>61</v>
      </c>
      <c r="C222" s="2">
        <v>8.104990240918168</v>
      </c>
      <c r="D222" s="2">
        <v>543.66034724854694</v>
      </c>
      <c r="E222" s="2">
        <v>333.80088256051567</v>
      </c>
    </row>
    <row r="223" spans="1:5" ht="15.4" x14ac:dyDescent="0.4">
      <c r="B223" s="43">
        <v>61.878829135466304</v>
      </c>
      <c r="C223" s="2">
        <v>31.353071441504959</v>
      </c>
      <c r="D223" s="2">
        <v>356.87596790385675</v>
      </c>
      <c r="E223" s="2">
        <v>2501.2282096716253</v>
      </c>
    </row>
    <row r="224" spans="1:5" ht="15.4" x14ac:dyDescent="0.4">
      <c r="B224" s="43">
        <v>64.004096262160772</v>
      </c>
      <c r="C224" s="2">
        <v>296.7574052424456</v>
      </c>
      <c r="D224" s="2">
        <v>1440.312871981441</v>
      </c>
      <c r="E224" s="2">
        <v>225.98401109352108</v>
      </c>
    </row>
    <row r="225" spans="2:5" ht="15.4" x14ac:dyDescent="0.4">
      <c r="B225" s="43">
        <v>64.004096262160772</v>
      </c>
      <c r="C225" s="2">
        <v>61.405857522667041</v>
      </c>
      <c r="D225" s="2">
        <v>645.25598159570143</v>
      </c>
      <c r="E225" s="2">
        <v>243.22593570467248</v>
      </c>
    </row>
    <row r="226" spans="2:5" ht="15.4" x14ac:dyDescent="0.4">
      <c r="B226" s="43">
        <v>64.004096262160772</v>
      </c>
      <c r="C226" s="2">
        <v>28.483140628504188</v>
      </c>
      <c r="D226" s="2">
        <v>534.0375376529023</v>
      </c>
      <c r="E226" s="2">
        <v>674.81163348317</v>
      </c>
    </row>
    <row r="227" spans="2:5" ht="15.4" x14ac:dyDescent="0.4">
      <c r="B227" s="43">
        <v>64.004096262160772</v>
      </c>
      <c r="C227" s="2">
        <v>7.437560814121821</v>
      </c>
      <c r="D227" s="2">
        <v>462.94204919871032</v>
      </c>
      <c r="E227" s="2">
        <v>1760.8419198676127</v>
      </c>
    </row>
    <row r="228" spans="2:5" ht="15.4" x14ac:dyDescent="0.4">
      <c r="B228" s="43">
        <v>64.004096262160772</v>
      </c>
      <c r="C228" s="2">
        <v>29.887846505286202</v>
      </c>
      <c r="D228" s="2">
        <v>336.85058065615709</v>
      </c>
      <c r="E228" s="2">
        <v>593.9301337526839</v>
      </c>
    </row>
    <row r="229" spans="2:5" ht="15.4" x14ac:dyDescent="0.4">
      <c r="B229" s="43">
        <v>64.600000000000009</v>
      </c>
      <c r="C229" s="2">
        <v>110.18018210822437</v>
      </c>
      <c r="D229" s="2">
        <v>134.1564829887723</v>
      </c>
      <c r="E229" s="2">
        <v>68.281488560134648</v>
      </c>
    </row>
    <row r="230" spans="2:5" ht="15.4" x14ac:dyDescent="0.4">
      <c r="B230" s="43">
        <v>65</v>
      </c>
      <c r="C230" s="2">
        <v>36.350377488411894</v>
      </c>
      <c r="D230" s="2">
        <v>234.21496848564169</v>
      </c>
      <c r="E230" s="2">
        <v>729.83909369228752</v>
      </c>
    </row>
    <row r="231" spans="2:5" ht="15.4" x14ac:dyDescent="0.4">
      <c r="B231" s="43">
        <v>65</v>
      </c>
      <c r="C231" s="2">
        <v>38.138717390478547</v>
      </c>
      <c r="D231" s="2">
        <v>268.61476939021145</v>
      </c>
      <c r="E231" s="2">
        <v>689.7990419804338</v>
      </c>
    </row>
    <row r="232" spans="2:5" ht="15.4" x14ac:dyDescent="0.4">
      <c r="B232" s="43">
        <v>65</v>
      </c>
      <c r="C232" s="2">
        <v>92.215367041508628</v>
      </c>
      <c r="D232" s="2">
        <v>159.87992765982858</v>
      </c>
      <c r="E232" s="2">
        <v>70.420488365079919</v>
      </c>
    </row>
    <row r="233" spans="2:5" ht="15.4" x14ac:dyDescent="0.4">
      <c r="B233" s="43">
        <v>66</v>
      </c>
      <c r="C233" s="2">
        <v>7.8311262225950706</v>
      </c>
      <c r="D233" s="2">
        <v>329.72269981401894</v>
      </c>
      <c r="E233" s="2">
        <v>941.80189868544949</v>
      </c>
    </row>
    <row r="234" spans="2:5" ht="15.4" x14ac:dyDescent="0.4">
      <c r="B234" s="43">
        <v>66.2</v>
      </c>
      <c r="C234" s="2">
        <v>41.290891877470685</v>
      </c>
      <c r="D234" s="2">
        <v>57.998609551584259</v>
      </c>
      <c r="E234" s="2">
        <v>34.945417529318533</v>
      </c>
    </row>
    <row r="235" spans="2:5" ht="15.4" x14ac:dyDescent="0.4">
      <c r="B235" s="43">
        <v>66.666666666666657</v>
      </c>
      <c r="C235" s="2">
        <v>53.873534200343997</v>
      </c>
      <c r="D235" s="2">
        <v>350.97120617774419</v>
      </c>
      <c r="E235" s="2">
        <v>6883.6876337066342</v>
      </c>
    </row>
    <row r="236" spans="2:5" ht="15.4" x14ac:dyDescent="0.4">
      <c r="B236" s="43">
        <v>68</v>
      </c>
      <c r="C236" s="2">
        <v>9.3827145295776653</v>
      </c>
      <c r="D236" s="2">
        <v>22.823933956844488</v>
      </c>
      <c r="E236" s="2">
        <v>32.848618949218562</v>
      </c>
    </row>
    <row r="237" spans="2:5" ht="15.4" x14ac:dyDescent="0.4">
      <c r="B237" s="43">
        <v>68.300000000000011</v>
      </c>
      <c r="C237" s="2">
        <v>14.579768430303819</v>
      </c>
      <c r="D237" s="2">
        <v>28.747250635019867</v>
      </c>
      <c r="E237" s="2">
        <v>29.837353531071187</v>
      </c>
    </row>
    <row r="238" spans="2:5" ht="15.4" x14ac:dyDescent="0.4">
      <c r="B238" s="43">
        <v>68.7</v>
      </c>
      <c r="C238" s="2">
        <v>8.4297427688185707</v>
      </c>
      <c r="D238" s="2">
        <v>21.947008873215896</v>
      </c>
      <c r="E238" s="2">
        <v>34.633488885110033</v>
      </c>
    </row>
    <row r="239" spans="2:5" ht="15.4" x14ac:dyDescent="0.4">
      <c r="B239" s="43">
        <v>70</v>
      </c>
      <c r="C239" s="2">
        <v>34.308449860150077</v>
      </c>
      <c r="D239" s="2">
        <v>206.27394328136535</v>
      </c>
      <c r="E239" s="2">
        <v>310.22817944920706</v>
      </c>
    </row>
    <row r="240" spans="2:5" ht="15.4" x14ac:dyDescent="0.4">
      <c r="B240" s="43">
        <v>70</v>
      </c>
      <c r="C240" s="2">
        <v>61.316720234858657</v>
      </c>
      <c r="D240" s="2">
        <v>125.9930392029832</v>
      </c>
      <c r="E240" s="2">
        <v>41.760203634871104</v>
      </c>
    </row>
    <row r="241" spans="2:5" ht="15.4" x14ac:dyDescent="0.4">
      <c r="B241" s="43">
        <v>71</v>
      </c>
      <c r="C241" s="2">
        <v>9.4546912650545352</v>
      </c>
      <c r="D241" s="2">
        <v>245.69012498955232</v>
      </c>
      <c r="E241" s="2">
        <v>1532.8487675852441</v>
      </c>
    </row>
    <row r="242" spans="2:5" ht="15.4" x14ac:dyDescent="0.4">
      <c r="B242" s="43">
        <v>71.428571428571431</v>
      </c>
      <c r="C242" s="2">
        <v>59.635716971010247</v>
      </c>
      <c r="D242" s="2">
        <v>272.39129595286278</v>
      </c>
      <c r="E242" s="2">
        <v>1008.3690924074587</v>
      </c>
    </row>
    <row r="243" spans="2:5" ht="15.4" x14ac:dyDescent="0.4">
      <c r="B243" s="43">
        <v>75</v>
      </c>
      <c r="C243" s="2">
        <v>65.910357455616548</v>
      </c>
      <c r="D243" s="2">
        <v>235.20861583193883</v>
      </c>
      <c r="E243" s="2">
        <v>555.4104424723871</v>
      </c>
    </row>
  </sheetData>
  <sortState xmlns:xlrd2="http://schemas.microsoft.com/office/spreadsheetml/2017/richdata2" ref="A2:E267">
    <sortCondition ref="B1:B267"/>
  </sortState>
  <phoneticPr fontId="2" type="noConversion"/>
  <pageMargins left="0.7" right="0.7" top="0.75" bottom="0.75" header="0.3" footer="0.3"/>
  <ignoredErrors>
    <ignoredError sqref="H2:J8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7A05-935E-4451-A7BB-D656405D9CF0}">
  <dimension ref="A1:I69"/>
  <sheetViews>
    <sheetView workbookViewId="0">
      <selection activeCell="H24" sqref="H24"/>
    </sheetView>
  </sheetViews>
  <sheetFormatPr defaultRowHeight="13.9" x14ac:dyDescent="0.4"/>
  <cols>
    <col min="1" max="1" width="7.86328125" customWidth="1"/>
    <col min="2" max="2" width="14.59765625" style="41" bestFit="1" customWidth="1"/>
    <col min="3" max="5" width="14.59765625" style="34" bestFit="1" customWidth="1"/>
    <col min="6" max="6" width="15.1328125" style="34" bestFit="1" customWidth="1"/>
    <col min="7" max="8" width="15.1328125" style="34" customWidth="1"/>
    <col min="9" max="9" width="22.3984375" style="34" customWidth="1"/>
  </cols>
  <sheetData>
    <row r="1" spans="1:9" ht="45" x14ac:dyDescent="0.4">
      <c r="A1" s="10" t="s">
        <v>69</v>
      </c>
      <c r="B1" s="37" t="s">
        <v>60</v>
      </c>
      <c r="C1" s="38" t="s">
        <v>61</v>
      </c>
      <c r="D1" s="38" t="s">
        <v>62</v>
      </c>
      <c r="E1" s="38" t="s">
        <v>63</v>
      </c>
      <c r="F1" s="38" t="s">
        <v>64</v>
      </c>
      <c r="G1" s="38" t="s">
        <v>65</v>
      </c>
      <c r="H1" s="38" t="s">
        <v>66</v>
      </c>
      <c r="I1" s="38" t="s">
        <v>92</v>
      </c>
    </row>
    <row r="2" spans="1:9" ht="15.4" x14ac:dyDescent="0.4">
      <c r="A2" s="28">
        <v>1</v>
      </c>
      <c r="B2" s="7">
        <v>0.22407247323611401</v>
      </c>
      <c r="C2" s="23">
        <v>10483.837</v>
      </c>
      <c r="D2" s="23">
        <v>375033.71399999998</v>
      </c>
      <c r="E2" s="23">
        <v>10483.837</v>
      </c>
      <c r="F2" s="23">
        <v>123227.673</v>
      </c>
      <c r="G2" s="23">
        <v>6366.1977236758103</v>
      </c>
      <c r="H2" s="23">
        <f>C2+D2+E2</f>
        <v>396001.38799999998</v>
      </c>
      <c r="I2" s="23">
        <f>C2+D2+E2+2*G2</f>
        <v>408733.7834473516</v>
      </c>
    </row>
    <row r="3" spans="1:9" ht="15.4" x14ac:dyDescent="0.4">
      <c r="A3" s="28">
        <v>2</v>
      </c>
      <c r="B3" s="7">
        <v>0.254852330015714</v>
      </c>
      <c r="C3" s="23">
        <v>10483.837</v>
      </c>
      <c r="D3" s="23">
        <v>241006.88</v>
      </c>
      <c r="E3" s="23">
        <v>10483.837</v>
      </c>
      <c r="F3" s="23">
        <v>169662.837</v>
      </c>
      <c r="G3" s="23">
        <v>6366.1977236758103</v>
      </c>
      <c r="H3" s="23">
        <f t="shared" ref="H3:H66" si="0">C3+D3+E3</f>
        <v>261974.554</v>
      </c>
      <c r="I3" s="23">
        <f t="shared" ref="I3:I66" si="1">C3+D3+E3+2*G3</f>
        <v>274706.94944735162</v>
      </c>
    </row>
    <row r="4" spans="1:9" ht="15.4" x14ac:dyDescent="0.4">
      <c r="A4" s="28">
        <v>3</v>
      </c>
      <c r="B4" s="7">
        <v>0.29189135954499901</v>
      </c>
      <c r="C4" s="23">
        <v>10483.837</v>
      </c>
      <c r="D4" s="23">
        <v>175819.35500000001</v>
      </c>
      <c r="E4" s="23">
        <v>10483.837</v>
      </c>
      <c r="F4" s="23">
        <v>209791.79</v>
      </c>
      <c r="G4" s="23">
        <v>6366.1977236758103</v>
      </c>
      <c r="H4" s="23">
        <f t="shared" si="0"/>
        <v>196787.02900000001</v>
      </c>
      <c r="I4" s="23">
        <f t="shared" si="1"/>
        <v>209519.42444735163</v>
      </c>
    </row>
    <row r="5" spans="1:9" ht="15.4" x14ac:dyDescent="0.4">
      <c r="A5" s="28">
        <v>4</v>
      </c>
      <c r="B5" s="7">
        <v>0.33581163069194803</v>
      </c>
      <c r="C5" s="23">
        <v>10483.837</v>
      </c>
      <c r="D5" s="23">
        <v>134629.712</v>
      </c>
      <c r="E5" s="23">
        <v>10483.837</v>
      </c>
      <c r="F5" s="23">
        <v>248102.98300000001</v>
      </c>
      <c r="G5" s="23">
        <v>6366.1977236758103</v>
      </c>
      <c r="H5" s="23">
        <f t="shared" si="0"/>
        <v>155597.386</v>
      </c>
      <c r="I5" s="23">
        <f t="shared" si="1"/>
        <v>168329.78144735162</v>
      </c>
    </row>
    <row r="6" spans="1:9" ht="15.4" x14ac:dyDescent="0.4">
      <c r="A6" s="28">
        <v>5</v>
      </c>
      <c r="B6" s="7">
        <v>0.38768087135066798</v>
      </c>
      <c r="C6" s="23">
        <v>10483.837</v>
      </c>
      <c r="D6" s="23">
        <v>105292.523</v>
      </c>
      <c r="E6" s="23">
        <v>10483.837</v>
      </c>
      <c r="F6" s="23">
        <v>286395.973</v>
      </c>
      <c r="G6" s="23">
        <v>6366.1977236758103</v>
      </c>
      <c r="H6" s="23">
        <f t="shared" si="0"/>
        <v>126260.197</v>
      </c>
      <c r="I6" s="23">
        <f t="shared" si="1"/>
        <v>138992.59244735161</v>
      </c>
    </row>
    <row r="7" spans="1:9" ht="15.4" x14ac:dyDescent="0.4">
      <c r="A7" s="28">
        <v>6</v>
      </c>
      <c r="B7" s="7">
        <v>0.449010323342448</v>
      </c>
      <c r="C7" s="23">
        <v>10483.837</v>
      </c>
      <c r="D7" s="23">
        <v>82890.339699999997</v>
      </c>
      <c r="E7" s="23">
        <v>10483.837</v>
      </c>
      <c r="F7" s="23">
        <v>325732.67300000001</v>
      </c>
      <c r="G7" s="23">
        <v>6366.1977236758103</v>
      </c>
      <c r="H7" s="23">
        <f t="shared" si="0"/>
        <v>103858.0137</v>
      </c>
      <c r="I7" s="23">
        <f t="shared" si="1"/>
        <v>116590.40914735162</v>
      </c>
    </row>
    <row r="8" spans="1:9" ht="15.4" x14ac:dyDescent="0.4">
      <c r="A8" s="28">
        <v>7.0000000000000009</v>
      </c>
      <c r="B8" s="7">
        <v>0.52186881093159898</v>
      </c>
      <c r="C8" s="23">
        <v>10483.837</v>
      </c>
      <c r="D8" s="23">
        <v>64983.289400000001</v>
      </c>
      <c r="E8" s="23">
        <v>10483.837</v>
      </c>
      <c r="F8" s="23">
        <v>366903.74699999997</v>
      </c>
      <c r="G8" s="23">
        <v>6366.1977236758103</v>
      </c>
      <c r="H8" s="23">
        <f t="shared" si="0"/>
        <v>85950.963400000008</v>
      </c>
      <c r="I8" s="23">
        <f t="shared" si="1"/>
        <v>98683.358847351628</v>
      </c>
    </row>
    <row r="9" spans="1:9" ht="15.4" x14ac:dyDescent="0.4">
      <c r="A9" s="28">
        <v>8</v>
      </c>
      <c r="B9" s="7">
        <v>0.60909415826268098</v>
      </c>
      <c r="C9" s="23">
        <v>10483.837</v>
      </c>
      <c r="D9" s="23">
        <v>50198.098400000003</v>
      </c>
      <c r="E9" s="23">
        <v>10483.837</v>
      </c>
      <c r="F9" s="23">
        <v>410577.41200000001</v>
      </c>
      <c r="G9" s="23">
        <v>6366.1977236758103</v>
      </c>
      <c r="H9" s="23">
        <f t="shared" si="0"/>
        <v>71165.772400000002</v>
      </c>
      <c r="I9" s="23">
        <f t="shared" si="1"/>
        <v>83898.167847351622</v>
      </c>
    </row>
    <row r="10" spans="1:9" ht="15.4" x14ac:dyDescent="0.4">
      <c r="A10" s="28">
        <v>9</v>
      </c>
      <c r="B10" s="7">
        <v>0.71464315584236204</v>
      </c>
      <c r="C10" s="23">
        <v>10483.837</v>
      </c>
      <c r="D10" s="23">
        <v>37691.8341</v>
      </c>
      <c r="E10" s="23">
        <v>10483.837</v>
      </c>
      <c r="F10" s="23">
        <v>457309.45199999999</v>
      </c>
      <c r="G10" s="23">
        <v>6366.1977236758103</v>
      </c>
      <c r="H10" s="23">
        <f t="shared" si="0"/>
        <v>58659.508099999999</v>
      </c>
      <c r="I10" s="23">
        <f t="shared" si="1"/>
        <v>71391.903547351627</v>
      </c>
    </row>
    <row r="11" spans="1:9" ht="15.4" x14ac:dyDescent="0.4">
      <c r="A11" s="28">
        <v>10</v>
      </c>
      <c r="B11" s="7">
        <v>0.84417651805899596</v>
      </c>
      <c r="C11" s="23">
        <v>10483.837</v>
      </c>
      <c r="D11" s="23">
        <v>26913.155999999999</v>
      </c>
      <c r="E11" s="23">
        <v>10483.837</v>
      </c>
      <c r="F11" s="23">
        <v>507375.60800000001</v>
      </c>
      <c r="G11" s="23">
        <v>6366.1977236758103</v>
      </c>
      <c r="H11" s="23">
        <f t="shared" si="0"/>
        <v>47880.83</v>
      </c>
      <c r="I11" s="23">
        <f t="shared" si="1"/>
        <v>60613.225447351622</v>
      </c>
    </row>
    <row r="12" spans="1:9" ht="15.4" x14ac:dyDescent="0.4">
      <c r="A12" s="28">
        <v>11</v>
      </c>
      <c r="B12" s="7">
        <v>1.00608350439623</v>
      </c>
      <c r="C12" s="23">
        <v>10483.837</v>
      </c>
      <c r="D12" s="23">
        <v>17483.457200000001</v>
      </c>
      <c r="E12" s="23">
        <v>10483.837</v>
      </c>
      <c r="F12" s="23">
        <v>560113.76500000001</v>
      </c>
      <c r="G12" s="23">
        <v>6366.1977236758103</v>
      </c>
      <c r="H12" s="23">
        <f t="shared" si="0"/>
        <v>38451.131200000003</v>
      </c>
      <c r="I12" s="23">
        <f t="shared" si="1"/>
        <v>51183.526647351624</v>
      </c>
    </row>
    <row r="13" spans="1:9" ht="15.4" x14ac:dyDescent="0.4">
      <c r="A13" s="28">
        <v>12</v>
      </c>
      <c r="B13" s="7">
        <v>1.21343299700935</v>
      </c>
      <c r="C13" s="23">
        <v>10483.837</v>
      </c>
      <c r="D13" s="23">
        <v>9132.5308600000008</v>
      </c>
      <c r="E13" s="23">
        <v>10483.837</v>
      </c>
      <c r="F13" s="23">
        <v>611415.03300000005</v>
      </c>
      <c r="G13" s="23">
        <v>6366.1977236758103</v>
      </c>
      <c r="H13" s="23">
        <f t="shared" si="0"/>
        <v>30100.204859999998</v>
      </c>
      <c r="I13" s="23">
        <f t="shared" si="1"/>
        <v>42832.600307351619</v>
      </c>
    </row>
    <row r="14" spans="1:9" ht="15.4" x14ac:dyDescent="0.4">
      <c r="A14" s="28">
        <v>13</v>
      </c>
      <c r="B14" s="7">
        <v>1.48843478606308</v>
      </c>
      <c r="C14" s="23">
        <v>10483.837</v>
      </c>
      <c r="D14" s="23">
        <v>1661.40129</v>
      </c>
      <c r="E14" s="23">
        <v>10483.837</v>
      </c>
      <c r="F14" s="23">
        <v>641911.92700000003</v>
      </c>
      <c r="G14" s="23">
        <v>6366.1977236758103</v>
      </c>
      <c r="H14" s="23">
        <f t="shared" si="0"/>
        <v>22629.075290000001</v>
      </c>
      <c r="I14" s="23">
        <f t="shared" si="1"/>
        <v>35361.470737351621</v>
      </c>
    </row>
    <row r="15" spans="1:9" ht="15.4" x14ac:dyDescent="0.4">
      <c r="A15" s="28">
        <v>14.000000000000002</v>
      </c>
      <c r="B15" s="7">
        <v>1.80876924043415</v>
      </c>
      <c r="C15" s="23">
        <v>7492.5426488562798</v>
      </c>
      <c r="D15" s="23">
        <v>1661.1876322569101</v>
      </c>
      <c r="E15" s="23">
        <v>7492.5426488562798</v>
      </c>
      <c r="F15" s="23">
        <v>748709.62788538903</v>
      </c>
      <c r="G15" s="23">
        <v>6366.1977236758103</v>
      </c>
      <c r="H15" s="23">
        <f t="shared" si="0"/>
        <v>16646.272929969469</v>
      </c>
      <c r="I15" s="23">
        <f t="shared" si="1"/>
        <v>29378.66837732109</v>
      </c>
    </row>
    <row r="16" spans="1:9" ht="15.4" x14ac:dyDescent="0.4">
      <c r="A16" s="28">
        <v>15</v>
      </c>
      <c r="B16" s="7">
        <v>1.99244513313442</v>
      </c>
      <c r="C16" s="23">
        <v>6240.8170647102197</v>
      </c>
      <c r="D16" s="23">
        <v>1914.1520754666201</v>
      </c>
      <c r="E16" s="23">
        <v>6240.8170647102197</v>
      </c>
      <c r="F16" s="23">
        <v>820930.76245201996</v>
      </c>
      <c r="G16" s="23">
        <v>6366.1977236758103</v>
      </c>
      <c r="H16" s="23">
        <f t="shared" si="0"/>
        <v>14395.786204887059</v>
      </c>
      <c r="I16" s="23">
        <f t="shared" si="1"/>
        <v>27128.18165223868</v>
      </c>
    </row>
    <row r="17" spans="1:9" ht="15.4" x14ac:dyDescent="0.4">
      <c r="A17" s="28">
        <v>16</v>
      </c>
      <c r="B17" s="7">
        <v>2.1368345536181699</v>
      </c>
      <c r="C17" s="23">
        <v>5487.6006500117001</v>
      </c>
      <c r="D17" s="23">
        <v>2027.1868774091399</v>
      </c>
      <c r="E17" s="23">
        <v>5487.6006500117001</v>
      </c>
      <c r="F17" s="23">
        <v>898742.56252613897</v>
      </c>
      <c r="G17" s="23">
        <v>6366.1977236758103</v>
      </c>
      <c r="H17" s="23">
        <f t="shared" si="0"/>
        <v>13002.38817743254</v>
      </c>
      <c r="I17" s="23">
        <f t="shared" si="1"/>
        <v>25734.783624784162</v>
      </c>
    </row>
    <row r="18" spans="1:9" ht="15.4" x14ac:dyDescent="0.4">
      <c r="A18" s="28">
        <v>17</v>
      </c>
      <c r="B18" s="7">
        <v>2.2607183005054199</v>
      </c>
      <c r="C18" s="23">
        <v>4952.80809381787</v>
      </c>
      <c r="D18" s="23">
        <v>2099.6384921682302</v>
      </c>
      <c r="E18" s="23">
        <v>4952.80809381787</v>
      </c>
      <c r="F18" s="23">
        <v>982616.73148750397</v>
      </c>
      <c r="G18" s="23">
        <v>6366.1977236758103</v>
      </c>
      <c r="H18" s="23">
        <f t="shared" si="0"/>
        <v>12005.254679803969</v>
      </c>
      <c r="I18" s="23">
        <f t="shared" si="1"/>
        <v>24737.65012715559</v>
      </c>
    </row>
    <row r="19" spans="1:9" ht="15.4" x14ac:dyDescent="0.4">
      <c r="A19" s="28">
        <v>18</v>
      </c>
      <c r="B19" s="7">
        <v>2.3715730885466102</v>
      </c>
      <c r="C19" s="23">
        <v>4540.8790896582104</v>
      </c>
      <c r="D19" s="23">
        <v>2154.2207692431998</v>
      </c>
      <c r="E19" s="23">
        <v>4540.8790896582104</v>
      </c>
      <c r="F19" s="23">
        <v>1073066.4154693</v>
      </c>
      <c r="G19" s="23">
        <v>6366.1977236758103</v>
      </c>
      <c r="H19" s="23">
        <f t="shared" si="0"/>
        <v>11235.978948559621</v>
      </c>
      <c r="I19" s="23">
        <f t="shared" si="1"/>
        <v>23968.37439591124</v>
      </c>
    </row>
    <row r="20" spans="1:9" ht="15.4" x14ac:dyDescent="0.4">
      <c r="A20" s="28">
        <v>19</v>
      </c>
      <c r="B20" s="7">
        <v>2.47320595679078</v>
      </c>
      <c r="C20" s="23">
        <v>4207.5996926131402</v>
      </c>
      <c r="D20" s="23">
        <v>2199.02752901548</v>
      </c>
      <c r="E20" s="23">
        <v>4207.5996926131402</v>
      </c>
      <c r="F20" s="23">
        <v>1170651.9396246599</v>
      </c>
      <c r="G20" s="23">
        <v>6366.1977236758103</v>
      </c>
      <c r="H20" s="23">
        <f t="shared" si="0"/>
        <v>10614.226914241761</v>
      </c>
      <c r="I20" s="23">
        <f t="shared" si="1"/>
        <v>23346.622361593381</v>
      </c>
    </row>
    <row r="21" spans="1:9" ht="15.4" x14ac:dyDescent="0.4">
      <c r="A21" s="28">
        <v>20</v>
      </c>
      <c r="B21" s="7">
        <v>2.5678504997934799</v>
      </c>
      <c r="C21" s="23">
        <v>3928.87623638697</v>
      </c>
      <c r="D21" s="23">
        <v>2237.7043140391102</v>
      </c>
      <c r="E21" s="23">
        <v>3928.87623638697</v>
      </c>
      <c r="F21" s="23">
        <v>1275987.14608471</v>
      </c>
      <c r="G21" s="23">
        <v>6366.1977236758103</v>
      </c>
      <c r="H21" s="23">
        <f t="shared" si="0"/>
        <v>10095.456786813051</v>
      </c>
      <c r="I21" s="23">
        <f t="shared" si="1"/>
        <v>22827.852234164671</v>
      </c>
    </row>
    <row r="22" spans="1:9" ht="15.4" x14ac:dyDescent="0.4">
      <c r="A22" s="28">
        <v>21</v>
      </c>
      <c r="B22" s="7">
        <v>2.6569451597397999</v>
      </c>
      <c r="C22" s="23">
        <v>3690.1378212740301</v>
      </c>
      <c r="D22" s="23">
        <v>2272.15895649199</v>
      </c>
      <c r="E22" s="23">
        <v>3690.1378212740301</v>
      </c>
      <c r="F22" s="23">
        <v>1389746.48048859</v>
      </c>
      <c r="G22" s="23">
        <v>6366.1977236758103</v>
      </c>
      <c r="H22" s="23">
        <f t="shared" si="0"/>
        <v>9652.4345990400507</v>
      </c>
      <c r="I22" s="23">
        <f t="shared" si="1"/>
        <v>22384.830046391671</v>
      </c>
    </row>
    <row r="23" spans="1:9" ht="15.4" x14ac:dyDescent="0.4">
      <c r="A23" s="28">
        <v>22</v>
      </c>
      <c r="B23" s="7">
        <v>2.7414797565086602</v>
      </c>
      <c r="C23" s="23">
        <v>3481.9082221978001</v>
      </c>
      <c r="D23" s="23">
        <v>2303.5017195600599</v>
      </c>
      <c r="E23" s="23">
        <v>3481.9082221978001</v>
      </c>
      <c r="F23" s="23">
        <v>1512672.9901747999</v>
      </c>
      <c r="G23" s="23">
        <v>6366.1977236758103</v>
      </c>
      <c r="H23" s="23">
        <f t="shared" si="0"/>
        <v>9267.3181639556606</v>
      </c>
      <c r="I23" s="23">
        <f t="shared" si="1"/>
        <v>21999.713611307281</v>
      </c>
    </row>
    <row r="24" spans="1:9" ht="15.4" x14ac:dyDescent="0.4">
      <c r="A24" s="28">
        <v>23</v>
      </c>
      <c r="B24" s="7">
        <v>2.8221700353474102</v>
      </c>
      <c r="C24" s="23">
        <v>3297.6839334177398</v>
      </c>
      <c r="D24" s="23">
        <v>2332.4323772826001</v>
      </c>
      <c r="E24" s="23">
        <v>3297.6839334177398</v>
      </c>
      <c r="F24" s="23">
        <v>1645587.41862743</v>
      </c>
      <c r="G24" s="23">
        <v>6366.1977236758103</v>
      </c>
      <c r="H24" s="23">
        <f t="shared" si="0"/>
        <v>8927.8002441180797</v>
      </c>
      <c r="I24" s="23">
        <f t="shared" si="1"/>
        <v>21660.1956914697</v>
      </c>
    </row>
    <row r="25" spans="1:9" ht="15.4" x14ac:dyDescent="0.4">
      <c r="A25" s="28">
        <v>24</v>
      </c>
      <c r="B25" s="7">
        <v>2.8995538729772998</v>
      </c>
      <c r="C25" s="23">
        <v>3132.8124342139699</v>
      </c>
      <c r="D25" s="23">
        <v>2359.4203466993899</v>
      </c>
      <c r="E25" s="23">
        <v>3132.8124342139699</v>
      </c>
      <c r="F25" s="23">
        <v>1789398.60935648</v>
      </c>
      <c r="G25" s="23">
        <v>6366.1977236758103</v>
      </c>
      <c r="H25" s="23">
        <f t="shared" si="0"/>
        <v>8625.0452151273312</v>
      </c>
      <c r="I25" s="23">
        <f t="shared" si="1"/>
        <v>21357.440662478952</v>
      </c>
    </row>
    <row r="26" spans="1:9" ht="15.4" x14ac:dyDescent="0.4">
      <c r="A26" s="28">
        <v>25</v>
      </c>
      <c r="B26" s="7">
        <v>2.9740480927257198</v>
      </c>
      <c r="C26" s="23">
        <v>2983.8535305286</v>
      </c>
      <c r="D26" s="23">
        <v>2384.7966602270699</v>
      </c>
      <c r="E26" s="23">
        <v>2983.8535305286</v>
      </c>
      <c r="F26" s="23">
        <v>1945115.46943035</v>
      </c>
      <c r="G26" s="23">
        <v>6366.1977236758103</v>
      </c>
      <c r="H26" s="23">
        <f t="shared" si="0"/>
        <v>8352.5037212842708</v>
      </c>
      <c r="I26" s="23">
        <f t="shared" si="1"/>
        <v>21084.899168635893</v>
      </c>
    </row>
    <row r="27" spans="1:9" ht="15.4" x14ac:dyDescent="0.4">
      <c r="A27" s="28">
        <v>26</v>
      </c>
      <c r="B27" s="7">
        <v>3.0459839051716502</v>
      </c>
      <c r="C27" s="23">
        <v>2848.1939309229901</v>
      </c>
      <c r="D27" s="23">
        <v>2408.8044900084001</v>
      </c>
      <c r="E27" s="23">
        <v>2848.1939309229901</v>
      </c>
      <c r="F27" s="23">
        <v>2113860.7900069002</v>
      </c>
      <c r="G27" s="23">
        <v>6366.1977236758103</v>
      </c>
      <c r="H27" s="23">
        <f t="shared" si="0"/>
        <v>8105.1923518543799</v>
      </c>
      <c r="I27" s="23">
        <f t="shared" si="1"/>
        <v>20837.587799206001</v>
      </c>
    </row>
    <row r="28" spans="1:9" ht="15.4" x14ac:dyDescent="0.4">
      <c r="A28" s="28">
        <v>27</v>
      </c>
      <c r="B28" s="7">
        <v>3.1156300233315402</v>
      </c>
      <c r="C28" s="23">
        <v>2723.8034506456302</v>
      </c>
      <c r="D28" s="23">
        <v>2431.6286049872301</v>
      </c>
      <c r="E28" s="23">
        <v>2723.8034506456302</v>
      </c>
      <c r="F28" s="23">
        <v>2296887.2806054899</v>
      </c>
      <c r="G28" s="23">
        <v>6366.1977236758103</v>
      </c>
      <c r="H28" s="23">
        <f t="shared" si="0"/>
        <v>7879.23550627849</v>
      </c>
      <c r="I28" s="23">
        <f t="shared" si="1"/>
        <v>20611.630953630112</v>
      </c>
    </row>
    <row r="29" spans="1:9" ht="15.4" x14ac:dyDescent="0.4">
      <c r="A29" s="28">
        <v>28.000000000000004</v>
      </c>
      <c r="B29" s="7">
        <v>3.1832083077228202</v>
      </c>
      <c r="C29" s="23">
        <v>2609.0747005551202</v>
      </c>
      <c r="D29" s="23">
        <v>2453.4134175416598</v>
      </c>
      <c r="E29" s="23">
        <v>2609.0747005551202</v>
      </c>
      <c r="F29" s="23">
        <v>2495596.2484478001</v>
      </c>
      <c r="G29" s="23">
        <v>6366.1977236758103</v>
      </c>
      <c r="H29" s="23">
        <f t="shared" si="0"/>
        <v>7671.5628186519007</v>
      </c>
      <c r="I29" s="23">
        <f t="shared" si="1"/>
        <v>20403.958266003523</v>
      </c>
    </row>
    <row r="30" spans="1:9" ht="15.4" x14ac:dyDescent="0.4">
      <c r="A30" s="28">
        <v>28.999999999999996</v>
      </c>
      <c r="B30" s="7">
        <v>3.2489046918422702</v>
      </c>
      <c r="C30" s="23">
        <v>2502.7141804886001</v>
      </c>
      <c r="D30" s="23">
        <v>2474.2745139959402</v>
      </c>
      <c r="E30" s="23">
        <v>2502.7141804886001</v>
      </c>
      <c r="F30" s="23">
        <v>2711559.4478550698</v>
      </c>
      <c r="G30" s="23">
        <v>6366.1977236758103</v>
      </c>
      <c r="H30" s="23">
        <f t="shared" si="0"/>
        <v>7479.7028749731398</v>
      </c>
      <c r="I30" s="23">
        <f t="shared" si="1"/>
        <v>20212.09832232476</v>
      </c>
    </row>
    <row r="31" spans="1:9" ht="15.4" x14ac:dyDescent="0.4">
      <c r="A31" s="28">
        <v>30</v>
      </c>
      <c r="B31" s="7">
        <v>3.31287701878956</v>
      </c>
      <c r="C31" s="23">
        <v>2403.6662099169098</v>
      </c>
      <c r="D31" s="23">
        <v>2494.3062929707598</v>
      </c>
      <c r="E31" s="23">
        <v>2403.6662099169098</v>
      </c>
      <c r="F31" s="23">
        <v>2946544.7425753898</v>
      </c>
      <c r="G31" s="23">
        <v>6366.1977236758103</v>
      </c>
      <c r="H31" s="23">
        <f t="shared" si="0"/>
        <v>7301.638712804579</v>
      </c>
      <c r="I31" s="23">
        <f t="shared" si="1"/>
        <v>20034.0341601562</v>
      </c>
    </row>
    <row r="32" spans="1:9" ht="15.4" x14ac:dyDescent="0.4">
      <c r="A32" s="28">
        <v>31</v>
      </c>
      <c r="B32" s="7">
        <v>3.3752607940687298</v>
      </c>
      <c r="C32" s="23">
        <v>2311.0585057401299</v>
      </c>
      <c r="D32" s="23">
        <v>2513.5871871347199</v>
      </c>
      <c r="E32" s="23">
        <v>2311.0585057401299</v>
      </c>
      <c r="F32" s="23">
        <v>3202546.3728469601</v>
      </c>
      <c r="G32" s="23">
        <v>6366.1977236758103</v>
      </c>
      <c r="H32" s="23">
        <f t="shared" si="0"/>
        <v>7135.7041986149798</v>
      </c>
      <c r="I32" s="23">
        <f t="shared" si="1"/>
        <v>19868.099645966598</v>
      </c>
    </row>
    <row r="33" spans="1:9" ht="15.4" x14ac:dyDescent="0.4">
      <c r="A33" s="28">
        <v>32</v>
      </c>
      <c r="B33" s="7">
        <v>3.4361734950402401</v>
      </c>
      <c r="C33" s="23">
        <v>2224.1624245422499</v>
      </c>
      <c r="D33" s="23">
        <v>2532.1833329944998</v>
      </c>
      <c r="E33" s="23">
        <v>2224.1624245422499</v>
      </c>
      <c r="F33" s="23">
        <v>3481820.8080510702</v>
      </c>
      <c r="G33" s="23">
        <v>6366.1977236758103</v>
      </c>
      <c r="H33" s="23">
        <f t="shared" si="0"/>
        <v>6980.5081820790001</v>
      </c>
      <c r="I33" s="23">
        <f t="shared" si="1"/>
        <v>19712.903629430621</v>
      </c>
    </row>
    <row r="34" spans="1:9" ht="15.4" x14ac:dyDescent="0.4">
      <c r="A34" s="28">
        <v>33</v>
      </c>
      <c r="B34" s="7">
        <v>3.4957178572532501</v>
      </c>
      <c r="C34" s="23">
        <v>2142.3633785666002</v>
      </c>
      <c r="D34" s="23">
        <v>2550.1512139066899</v>
      </c>
      <c r="E34" s="23">
        <v>2142.3633785666002</v>
      </c>
      <c r="F34" s="23">
        <v>3786929.4070753702</v>
      </c>
      <c r="G34" s="23">
        <v>6366.1977236758103</v>
      </c>
      <c r="H34" s="23">
        <f t="shared" si="0"/>
        <v>6834.8779710398903</v>
      </c>
      <c r="I34" s="23">
        <f t="shared" si="1"/>
        <v>19567.273418391509</v>
      </c>
    </row>
    <row r="35" spans="1:9" ht="15.4" x14ac:dyDescent="0.4">
      <c r="A35" s="28">
        <v>34</v>
      </c>
      <c r="B35" s="7">
        <v>3.55398442055081</v>
      </c>
      <c r="C35" s="23">
        <v>2065.13845983594</v>
      </c>
      <c r="D35" s="23">
        <v>2567.53960557339</v>
      </c>
      <c r="E35" s="23">
        <v>2065.13845983594</v>
      </c>
      <c r="F35" s="23">
        <v>4120789.4182680701</v>
      </c>
      <c r="G35" s="23">
        <v>6366.1977236758103</v>
      </c>
      <c r="H35" s="23">
        <f t="shared" si="0"/>
        <v>6697.81652524527</v>
      </c>
      <c r="I35" s="23">
        <f t="shared" si="1"/>
        <v>19430.211972596891</v>
      </c>
    </row>
    <row r="36" spans="1:9" ht="15.4" x14ac:dyDescent="0.4">
      <c r="A36" s="28">
        <v>35</v>
      </c>
      <c r="B36" s="7">
        <v>3.6110535297745501</v>
      </c>
      <c r="C36" s="23">
        <v>1992.03926763601</v>
      </c>
      <c r="D36" s="23">
        <v>2584.3910363508699</v>
      </c>
      <c r="E36" s="23">
        <v>1992.03926763601</v>
      </c>
      <c r="F36" s="23">
        <v>4486735.2511302801</v>
      </c>
      <c r="G36" s="23">
        <v>6366.1977236758103</v>
      </c>
      <c r="H36" s="23">
        <f t="shared" si="0"/>
        <v>6568.4695716228898</v>
      </c>
      <c r="I36" s="23">
        <f t="shared" si="1"/>
        <v>19300.865018974509</v>
      </c>
    </row>
    <row r="37" spans="1:9" ht="15.4" x14ac:dyDescent="0.4">
      <c r="A37" s="28">
        <v>36</v>
      </c>
      <c r="B37" s="7">
        <v>3.6669969270033498</v>
      </c>
      <c r="C37" s="23">
        <v>1922.6785555296501</v>
      </c>
      <c r="D37" s="23">
        <v>2600.7429027964899</v>
      </c>
      <c r="E37" s="23">
        <v>1922.6785555296501</v>
      </c>
      <c r="F37" s="23">
        <v>4888592.4727036804</v>
      </c>
      <c r="G37" s="23">
        <v>6366.1977236758103</v>
      </c>
      <c r="H37" s="23">
        <f t="shared" si="0"/>
        <v>6446.1000138557902</v>
      </c>
      <c r="I37" s="23">
        <f t="shared" si="1"/>
        <v>19178.495461207411</v>
      </c>
    </row>
    <row r="38" spans="1:9" ht="15.4" x14ac:dyDescent="0.4">
      <c r="A38" s="28">
        <v>37</v>
      </c>
      <c r="B38" s="7">
        <v>3.7218790333464802</v>
      </c>
      <c r="C38" s="23">
        <v>1856.7197246557701</v>
      </c>
      <c r="D38" s="23">
        <v>2616.62833546497</v>
      </c>
      <c r="E38" s="23">
        <v>1856.7197246557701</v>
      </c>
      <c r="F38" s="23">
        <v>5330767.6642732201</v>
      </c>
      <c r="G38" s="23">
        <v>6366.1977236758103</v>
      </c>
      <c r="H38" s="23">
        <f t="shared" si="0"/>
        <v>6330.0677847765101</v>
      </c>
      <c r="I38" s="23">
        <f t="shared" si="1"/>
        <v>19062.463232128131</v>
      </c>
    </row>
    <row r="39" spans="1:9" ht="15.4" x14ac:dyDescent="0.4">
      <c r="A39" s="28">
        <v>38</v>
      </c>
      <c r="B39" s="7">
        <v>3.77575799162635</v>
      </c>
      <c r="C39" s="23">
        <v>1793.8684671808501</v>
      </c>
      <c r="D39" s="23">
        <v>2632.07688058129</v>
      </c>
      <c r="E39" s="23">
        <v>1793.8684671808501</v>
      </c>
      <c r="F39" s="23">
        <v>5818358.1758506596</v>
      </c>
      <c r="G39" s="23">
        <v>6366.1977236758103</v>
      </c>
      <c r="H39" s="23">
        <f t="shared" si="0"/>
        <v>6219.8138149429906</v>
      </c>
      <c r="I39" s="23">
        <f t="shared" si="1"/>
        <v>18952.209262294611</v>
      </c>
    </row>
    <row r="40" spans="1:9" ht="15.4" x14ac:dyDescent="0.4">
      <c r="A40" s="28">
        <v>39</v>
      </c>
      <c r="B40" s="7">
        <v>3.82868652265002</v>
      </c>
      <c r="C40" s="23">
        <v>1733.8660543076401</v>
      </c>
      <c r="D40" s="23">
        <v>2647.1150437828401</v>
      </c>
      <c r="E40" s="23">
        <v>1733.8660543076401</v>
      </c>
      <c r="F40" s="23">
        <v>6357287.0172855798</v>
      </c>
      <c r="G40" s="23">
        <v>6366.1977236758103</v>
      </c>
      <c r="H40" s="23">
        <f t="shared" si="0"/>
        <v>6114.8471523981207</v>
      </c>
      <c r="I40" s="23">
        <f t="shared" si="1"/>
        <v>18847.242599749741</v>
      </c>
    </row>
    <row r="41" spans="1:9" ht="15.4" x14ac:dyDescent="0.4">
      <c r="A41" s="28">
        <v>40</v>
      </c>
      <c r="B41" s="7">
        <v>3.8807126345379599</v>
      </c>
      <c r="C41" s="23">
        <v>1676.48389647422</v>
      </c>
      <c r="D41" s="23">
        <v>2661.7667290108502</v>
      </c>
      <c r="E41" s="23">
        <v>1676.48389647422</v>
      </c>
      <c r="F41" s="23">
        <v>6954469.7394894501</v>
      </c>
      <c r="G41" s="23">
        <v>6366.1977236758103</v>
      </c>
      <c r="H41" s="23">
        <f t="shared" si="0"/>
        <v>6014.7345219592908</v>
      </c>
      <c r="I41" s="23">
        <f t="shared" si="1"/>
        <v>18747.12996931091</v>
      </c>
    </row>
    <row r="42" spans="1:9" ht="15.4" x14ac:dyDescent="0.4">
      <c r="A42" s="28">
        <v>41</v>
      </c>
      <c r="B42" s="7">
        <v>3.9318802150426202</v>
      </c>
      <c r="C42" s="23">
        <v>1621.5190979789299</v>
      </c>
      <c r="D42" s="23">
        <v>2676.0535966187399</v>
      </c>
      <c r="E42" s="23">
        <v>1621.5190979789299</v>
      </c>
      <c r="F42" s="23">
        <v>7618022.3499258403</v>
      </c>
      <c r="G42" s="23">
        <v>6366.1977236758103</v>
      </c>
      <c r="H42" s="23">
        <f t="shared" si="0"/>
        <v>5919.0917925765989</v>
      </c>
      <c r="I42" s="23">
        <f t="shared" si="1"/>
        <v>18651.487239928218</v>
      </c>
    </row>
    <row r="43" spans="1:9" ht="15.4" x14ac:dyDescent="0.4">
      <c r="A43" s="28">
        <v>42</v>
      </c>
      <c r="B43" s="7">
        <v>3.9822295298203501</v>
      </c>
      <c r="C43" s="23">
        <v>1568.7907963933901</v>
      </c>
      <c r="D43" s="23">
        <v>2689.9953584663199</v>
      </c>
      <c r="E43" s="23">
        <v>1568.7907963933901</v>
      </c>
      <c r="F43" s="23">
        <v>8357522.30884076</v>
      </c>
      <c r="G43" s="23">
        <v>6366.1977236758103</v>
      </c>
      <c r="H43" s="23">
        <f t="shared" si="0"/>
        <v>5827.5769512531006</v>
      </c>
      <c r="I43" s="23">
        <f t="shared" si="1"/>
        <v>18559.972398604721</v>
      </c>
    </row>
    <row r="44" spans="1:9" ht="15.4" x14ac:dyDescent="0.4">
      <c r="A44" s="28">
        <v>43</v>
      </c>
      <c r="B44" s="7">
        <v>4.0317976444629302</v>
      </c>
      <c r="C44" s="23">
        <v>1518.1371268236801</v>
      </c>
      <c r="D44" s="23">
        <v>2703.6100232967301</v>
      </c>
      <c r="E44" s="23">
        <v>1518.1371268236801</v>
      </c>
      <c r="F44" s="23">
        <v>9184338.8120489791</v>
      </c>
      <c r="G44" s="23">
        <v>6366.1977236758103</v>
      </c>
      <c r="H44" s="23">
        <f t="shared" si="0"/>
        <v>5739.8842769440898</v>
      </c>
      <c r="I44" s="23">
        <f t="shared" si="1"/>
        <v>18472.279724295709</v>
      </c>
    </row>
    <row r="45" spans="1:9" ht="15.4" x14ac:dyDescent="0.4">
      <c r="A45" s="28">
        <v>44</v>
      </c>
      <c r="B45" s="7">
        <v>4.0806187842318096</v>
      </c>
      <c r="C45" s="23">
        <v>1469.4126877732499</v>
      </c>
      <c r="D45" s="23">
        <v>2716.9141024721598</v>
      </c>
      <c r="E45" s="23">
        <v>1469.4126877732499</v>
      </c>
      <c r="F45" s="23">
        <v>10112054.395398</v>
      </c>
      <c r="G45" s="23">
        <v>6366.1977236758103</v>
      </c>
      <c r="H45" s="23">
        <f t="shared" si="0"/>
        <v>5655.7394780186596</v>
      </c>
      <c r="I45" s="23">
        <f t="shared" si="1"/>
        <v>18388.134925370279</v>
      </c>
    </row>
    <row r="46" spans="1:9" ht="15.4" x14ac:dyDescent="0.4">
      <c r="A46" s="28">
        <v>45</v>
      </c>
      <c r="B46" s="7">
        <v>4.1287246425153299</v>
      </c>
      <c r="C46" s="23">
        <v>1422.4864127502401</v>
      </c>
      <c r="D46" s="23">
        <v>2729.9227837927601</v>
      </c>
      <c r="E46" s="23">
        <v>1422.4864127502401</v>
      </c>
      <c r="F46" s="23">
        <v>11157008.1680259</v>
      </c>
      <c r="G46" s="23">
        <v>6366.1977236758103</v>
      </c>
      <c r="H46" s="23">
        <f t="shared" si="0"/>
        <v>5574.8956092932403</v>
      </c>
      <c r="I46" s="23">
        <f t="shared" si="1"/>
        <v>18307.291056644863</v>
      </c>
    </row>
    <row r="47" spans="1:9" ht="15.4" x14ac:dyDescent="0.4">
      <c r="A47" s="28">
        <v>46</v>
      </c>
      <c r="B47" s="7">
        <v>4.1761446467930696</v>
      </c>
      <c r="C47" s="23">
        <v>1377.2397724207201</v>
      </c>
      <c r="D47" s="23">
        <v>2742.6500793850601</v>
      </c>
      <c r="E47" s="23">
        <v>1377.2397724207201</v>
      </c>
      <c r="F47" s="23">
        <v>12339002.878151299</v>
      </c>
      <c r="G47" s="23">
        <v>6366.1977236758103</v>
      </c>
      <c r="H47" s="23">
        <f t="shared" si="0"/>
        <v>5497.1296242265007</v>
      </c>
      <c r="I47" s="23">
        <f t="shared" si="1"/>
        <v>18229.525071578122</v>
      </c>
    </row>
    <row r="48" spans="1:9" ht="15.4" x14ac:dyDescent="0.4">
      <c r="A48" s="28">
        <v>47</v>
      </c>
      <c r="B48" s="7">
        <v>4.2229061891674204</v>
      </c>
      <c r="C48" s="23">
        <v>1333.56524783846</v>
      </c>
      <c r="D48" s="23">
        <v>2755.1089523460601</v>
      </c>
      <c r="E48" s="23">
        <v>1333.56524783846</v>
      </c>
      <c r="F48" s="23">
        <v>13682235.374410599</v>
      </c>
      <c r="G48" s="23">
        <v>6366.1977236758103</v>
      </c>
      <c r="H48" s="23">
        <f t="shared" si="0"/>
        <v>5422.2394480229796</v>
      </c>
      <c r="I48" s="23">
        <f t="shared" si="1"/>
        <v>18154.634895374598</v>
      </c>
    </row>
    <row r="49" spans="1:9" ht="15.4" x14ac:dyDescent="0.4">
      <c r="A49" s="28">
        <v>48</v>
      </c>
      <c r="B49" s="7">
        <v>4.2690348271801399</v>
      </c>
      <c r="C49" s="23">
        <v>1291.3650273670301</v>
      </c>
      <c r="D49" s="23">
        <v>2767.3114258464402</v>
      </c>
      <c r="E49" s="23">
        <v>1291.3650273670301</v>
      </c>
      <c r="F49" s="23">
        <v>15216535.7570621</v>
      </c>
      <c r="G49" s="23">
        <v>6366.1977236758103</v>
      </c>
      <c r="H49" s="23">
        <f t="shared" si="0"/>
        <v>5350.0414805805003</v>
      </c>
      <c r="I49" s="23">
        <f t="shared" si="1"/>
        <v>18082.436927932122</v>
      </c>
    </row>
    <row r="50" spans="1:9" ht="15.4" x14ac:dyDescent="0.4">
      <c r="A50" s="28">
        <v>49</v>
      </c>
      <c r="B50" s="7">
        <v>4.3145544595805001</v>
      </c>
      <c r="C50" s="23">
        <v>1250.5498892716901</v>
      </c>
      <c r="D50" s="23">
        <v>2779.26867764503</v>
      </c>
      <c r="E50" s="23">
        <v>1250.5498892716901</v>
      </c>
      <c r="F50" s="23">
        <v>16979039.312468398</v>
      </c>
      <c r="G50" s="23">
        <v>6366.1977236758103</v>
      </c>
      <c r="H50" s="23">
        <f t="shared" si="0"/>
        <v>5280.3684561884102</v>
      </c>
      <c r="I50" s="23">
        <f t="shared" si="1"/>
        <v>18012.763903540032</v>
      </c>
    </row>
    <row r="51" spans="1:9" ht="15.4" x14ac:dyDescent="0.4">
      <c r="A51" s="28">
        <v>50</v>
      </c>
      <c r="B51" s="7">
        <v>4.3594874808818798</v>
      </c>
      <c r="C51" s="23">
        <v>1211.0382392694601</v>
      </c>
      <c r="D51" s="23">
        <v>2790.9911223879099</v>
      </c>
      <c r="E51" s="23">
        <v>1211.0382392694601</v>
      </c>
      <c r="F51" s="23">
        <v>19016474.930926099</v>
      </c>
      <c r="G51" s="23">
        <v>6366.1977236758103</v>
      </c>
      <c r="H51" s="23">
        <f t="shared" si="0"/>
        <v>5213.06760092683</v>
      </c>
      <c r="I51" s="23">
        <f t="shared" si="1"/>
        <v>17945.463048278449</v>
      </c>
    </row>
    <row r="52" spans="1:9" ht="15.4" x14ac:dyDescent="0.4">
      <c r="A52" s="28">
        <v>51</v>
      </c>
      <c r="B52" s="7">
        <v>4.40385491788662</v>
      </c>
      <c r="C52" s="23">
        <v>1172.7552780743299</v>
      </c>
      <c r="D52" s="23">
        <v>2802.4884836145202</v>
      </c>
      <c r="E52" s="23">
        <v>1172.7552780743299</v>
      </c>
      <c r="F52" s="23">
        <v>21388347.178246502</v>
      </c>
      <c r="G52" s="23">
        <v>6366.1977236758103</v>
      </c>
      <c r="H52" s="23">
        <f t="shared" si="0"/>
        <v>5147.99903976318</v>
      </c>
      <c r="I52" s="23">
        <f t="shared" si="1"/>
        <v>17880.394487114801</v>
      </c>
    </row>
    <row r="53" spans="1:9" ht="15.4" x14ac:dyDescent="0.4">
      <c r="A53" s="28">
        <v>52</v>
      </c>
      <c r="B53" s="7">
        <v>4.4476765508371399</v>
      </c>
      <c r="C53" s="23">
        <v>1135.63227852982</v>
      </c>
      <c r="D53" s="23">
        <v>2813.7698570395401</v>
      </c>
      <c r="E53" s="23">
        <v>1135.63227852982</v>
      </c>
      <c r="F53" s="23">
        <v>24171439.114591099</v>
      </c>
      <c r="G53" s="23">
        <v>6366.1977236758103</v>
      </c>
      <c r="H53" s="23">
        <f t="shared" si="0"/>
        <v>5085.0344140991801</v>
      </c>
      <c r="I53" s="23">
        <f t="shared" si="1"/>
        <v>17817.429861450801</v>
      </c>
    </row>
    <row r="54" spans="1:9" ht="15.4" x14ac:dyDescent="0.4">
      <c r="A54" s="28">
        <v>53</v>
      </c>
      <c r="B54" s="7">
        <v>4.49097102143784</v>
      </c>
      <c r="C54" s="23">
        <v>1099.60595555073</v>
      </c>
      <c r="D54" s="23">
        <v>2824.8437663990399</v>
      </c>
      <c r="E54" s="23">
        <v>1099.60595555073</v>
      </c>
      <c r="F54" s="23">
        <v>27466309.525888</v>
      </c>
      <c r="G54" s="23">
        <v>6366.1977236758103</v>
      </c>
      <c r="H54" s="23">
        <f t="shared" si="0"/>
        <v>5024.0556775004998</v>
      </c>
      <c r="I54" s="23">
        <f t="shared" si="1"/>
        <v>17756.451124852119</v>
      </c>
    </row>
    <row r="55" spans="1:9" ht="15.4" x14ac:dyDescent="0.4">
      <c r="A55" s="28">
        <v>54</v>
      </c>
      <c r="B55" s="7">
        <v>4.5337559296682004</v>
      </c>
      <c r="C55" s="23">
        <v>1064.6179150089199</v>
      </c>
      <c r="D55" s="23">
        <v>2835.7182129267198</v>
      </c>
      <c r="E55" s="23">
        <v>1064.6179150089199</v>
      </c>
      <c r="F55" s="23">
        <v>31406875.243090101</v>
      </c>
      <c r="G55" s="23">
        <v>6366.1977236758103</v>
      </c>
      <c r="H55" s="23">
        <f t="shared" si="0"/>
        <v>4964.9540429445597</v>
      </c>
      <c r="I55" s="23">
        <f t="shared" si="1"/>
        <v>17697.349490296179</v>
      </c>
    </row>
    <row r="56" spans="1:9" ht="15.4" x14ac:dyDescent="0.4">
      <c r="A56" s="28">
        <v>55.000000000000007</v>
      </c>
      <c r="B56" s="7">
        <v>4.5760479210601703</v>
      </c>
      <c r="C56" s="23">
        <v>1030.6141700471501</v>
      </c>
      <c r="D56" s="23">
        <v>2846.4007193463099</v>
      </c>
      <c r="E56" s="23">
        <v>1030.6141700471501</v>
      </c>
      <c r="F56" s="23">
        <v>36174896.937407799</v>
      </c>
      <c r="G56" s="23">
        <v>6366.1977236758103</v>
      </c>
      <c r="H56" s="23">
        <f t="shared" si="0"/>
        <v>4907.62905944061</v>
      </c>
      <c r="I56" s="23">
        <f t="shared" si="1"/>
        <v>17640.02450679223</v>
      </c>
    </row>
    <row r="57" spans="1:9" ht="15.4" x14ac:dyDescent="0.4">
      <c r="A57" s="28">
        <v>56.000000000000007</v>
      </c>
      <c r="B57" s="7">
        <v>4.6178627659374296</v>
      </c>
      <c r="C57" s="23">
        <v>997.54471521203004</v>
      </c>
      <c r="D57" s="23">
        <v>2856.89836912183</v>
      </c>
      <c r="E57" s="23">
        <v>997.54471521203004</v>
      </c>
      <c r="F57" s="23">
        <v>42022502.500129901</v>
      </c>
      <c r="G57" s="23">
        <v>6366.1977236758103</v>
      </c>
      <c r="H57" s="23">
        <f t="shared" si="0"/>
        <v>4851.9877995458901</v>
      </c>
      <c r="I57" s="23">
        <f t="shared" si="1"/>
        <v>17584.383246897509</v>
      </c>
    </row>
    <row r="58" spans="1:9" ht="15.4" x14ac:dyDescent="0.4">
      <c r="A58" s="28">
        <v>56.999999999999993</v>
      </c>
      <c r="B58" s="7">
        <v>4.6592154320121697</v>
      </c>
      <c r="C58" s="23">
        <v>965.36315035163398</v>
      </c>
      <c r="D58" s="23">
        <v>2867.2178415891899</v>
      </c>
      <c r="E58" s="23">
        <v>965.36315035163398</v>
      </c>
      <c r="F58" s="23">
        <v>49308359.084142096</v>
      </c>
      <c r="G58" s="23">
        <v>6366.1977236758103</v>
      </c>
      <c r="H58" s="23">
        <f t="shared" si="0"/>
        <v>4797.9441422924574</v>
      </c>
      <c r="I58" s="23">
        <f t="shared" si="1"/>
        <v>17530.339589644078</v>
      </c>
    </row>
    <row r="59" spans="1:9" ht="15.4" x14ac:dyDescent="0.4">
      <c r="A59" s="28">
        <v>57.999999999999993</v>
      </c>
      <c r="B59" s="7">
        <v>4.7001201517225004</v>
      </c>
      <c r="C59" s="23">
        <v>934.02634749804997</v>
      </c>
      <c r="D59" s="23">
        <v>2877.36544349626</v>
      </c>
      <c r="E59" s="23">
        <v>934.02634749804997</v>
      </c>
      <c r="F59" s="23">
        <v>58557990.301831901</v>
      </c>
      <c r="G59" s="23">
        <v>6366.1977236758103</v>
      </c>
      <c r="H59" s="23">
        <f t="shared" si="0"/>
        <v>4745.4181384923604</v>
      </c>
      <c r="I59" s="23">
        <f t="shared" si="1"/>
        <v>17477.813585843982</v>
      </c>
    </row>
    <row r="60" spans="1:9" ht="15.4" x14ac:dyDescent="0.4">
      <c r="A60" s="28">
        <v>59</v>
      </c>
      <c r="B60" s="7">
        <v>4.7405904858048098</v>
      </c>
      <c r="C60" s="23">
        <v>903.49415500489204</v>
      </c>
      <c r="D60" s="23">
        <v>2887.3471373993898</v>
      </c>
      <c r="E60" s="23">
        <v>903.49415500489204</v>
      </c>
      <c r="F60" s="23">
        <v>70568908.423931599</v>
      </c>
      <c r="G60" s="23">
        <v>6366.1977236758103</v>
      </c>
      <c r="H60" s="23">
        <f t="shared" si="0"/>
        <v>4694.3354474091739</v>
      </c>
      <c r="I60" s="23">
        <f t="shared" si="1"/>
        <v>17426.730894760796</v>
      </c>
    </row>
    <row r="61" spans="1:9" ht="15.4" x14ac:dyDescent="0.4">
      <c r="A61" s="28">
        <v>60</v>
      </c>
      <c r="B61" s="7">
        <v>4.7806393849086497</v>
      </c>
      <c r="C61" s="23">
        <v>873.72913407806197</v>
      </c>
      <c r="D61" s="23">
        <v>2897.1685672981298</v>
      </c>
      <c r="E61" s="23">
        <v>873.72913407806197</v>
      </c>
      <c r="F61" s="23">
        <v>86603821.513085097</v>
      </c>
      <c r="G61" s="23">
        <v>6366.1977236758103</v>
      </c>
      <c r="H61" s="23">
        <f t="shared" si="0"/>
        <v>4644.6268354542535</v>
      </c>
      <c r="I61" s="23">
        <f t="shared" si="1"/>
        <v>17377.022282805876</v>
      </c>
    </row>
    <row r="62" spans="1:9" ht="15.4" x14ac:dyDescent="0.4">
      <c r="A62" s="28">
        <v>61</v>
      </c>
      <c r="B62" s="7">
        <v>4.8202792517390103</v>
      </c>
      <c r="C62" s="23">
        <v>844.69632355979797</v>
      </c>
      <c r="D62" s="23">
        <v>2906.8350818357899</v>
      </c>
      <c r="E62" s="23">
        <v>844.69632355979797</v>
      </c>
      <c r="F62" s="23">
        <v>108769368.900564</v>
      </c>
      <c r="G62" s="23">
        <v>6366.1977236758103</v>
      </c>
      <c r="H62" s="23">
        <f t="shared" si="0"/>
        <v>4596.2277289553858</v>
      </c>
      <c r="I62" s="23">
        <f t="shared" si="1"/>
        <v>17328.623176307006</v>
      </c>
    </row>
    <row r="63" spans="1:9" ht="15.4" x14ac:dyDescent="0.4">
      <c r="A63" s="28">
        <v>62</v>
      </c>
      <c r="B63" s="7">
        <v>4.8595220076236698</v>
      </c>
      <c r="C63" s="23">
        <v>816.36302942800705</v>
      </c>
      <c r="D63" s="23">
        <v>2916.3517553472302</v>
      </c>
      <c r="E63" s="23">
        <v>816.36302942800705</v>
      </c>
      <c r="F63" s="23">
        <v>140820826.32439399</v>
      </c>
      <c r="G63" s="23">
        <v>6366.1977236758103</v>
      </c>
      <c r="H63" s="23">
        <f t="shared" si="0"/>
        <v>4549.0778142032441</v>
      </c>
      <c r="I63" s="23">
        <f t="shared" si="1"/>
        <v>17281.473261554864</v>
      </c>
    </row>
    <row r="64" spans="1:9" ht="15.4" x14ac:dyDescent="0.4">
      <c r="A64" s="28">
        <v>63</v>
      </c>
      <c r="B64" s="7">
        <v>4.8983791704459696</v>
      </c>
      <c r="C64" s="23">
        <v>788.69863597720303</v>
      </c>
      <c r="D64" s="23">
        <v>2925.7234069974502</v>
      </c>
      <c r="E64" s="23">
        <v>788.69863597720303</v>
      </c>
      <c r="F64" s="23">
        <v>190058830.126917</v>
      </c>
      <c r="G64" s="23">
        <v>6366.1977236758103</v>
      </c>
      <c r="H64" s="23">
        <f t="shared" si="0"/>
        <v>4503.1206789518565</v>
      </c>
      <c r="I64" s="23">
        <f t="shared" si="1"/>
        <v>17235.516126303475</v>
      </c>
    </row>
    <row r="65" spans="1:9" ht="15.4" x14ac:dyDescent="0.4">
      <c r="A65" s="28">
        <v>64</v>
      </c>
      <c r="B65" s="7">
        <v>4.9368619579883397</v>
      </c>
      <c r="C65" s="23">
        <v>761.67443607126995</v>
      </c>
      <c r="D65" s="23">
        <v>2934.9546182215799</v>
      </c>
      <c r="E65" s="23">
        <v>761.67443607126995</v>
      </c>
      <c r="F65" s="23">
        <v>272469314.14975899</v>
      </c>
      <c r="G65" s="23">
        <v>6366.1977236758103</v>
      </c>
      <c r="H65" s="23">
        <f t="shared" si="0"/>
        <v>4458.3034903641201</v>
      </c>
      <c r="I65" s="23">
        <f t="shared" si="1"/>
        <v>17190.698937715741</v>
      </c>
    </row>
    <row r="66" spans="1:9" ht="15.4" x14ac:dyDescent="0.4">
      <c r="A66" s="28">
        <v>65</v>
      </c>
      <c r="B66" s="7">
        <v>4.9749814495408602</v>
      </c>
      <c r="C66" s="23">
        <v>735.26347821631998</v>
      </c>
      <c r="D66" s="23">
        <v>2944.0497486498698</v>
      </c>
      <c r="E66" s="23">
        <v>735.26347821631998</v>
      </c>
      <c r="F66" s="23">
        <v>429731653.15257001</v>
      </c>
      <c r="G66" s="23">
        <v>6366.1977236758103</v>
      </c>
      <c r="H66" s="23">
        <f t="shared" si="0"/>
        <v>4414.5767050825098</v>
      </c>
      <c r="I66" s="23">
        <f t="shared" si="1"/>
        <v>17146.972152434129</v>
      </c>
    </row>
    <row r="67" spans="1:9" ht="15.4" x14ac:dyDescent="0.4">
      <c r="A67" s="28">
        <v>66</v>
      </c>
      <c r="B67" s="7">
        <v>5.0127488989888498</v>
      </c>
      <c r="C67" s="23">
        <v>709.44042850448704</v>
      </c>
      <c r="D67" s="23">
        <v>2953.0129506778098</v>
      </c>
      <c r="E67" s="23">
        <v>709.44042850448704</v>
      </c>
      <c r="F67" s="23">
        <v>806526119.289083</v>
      </c>
      <c r="G67" s="23">
        <v>6366.1977236758103</v>
      </c>
      <c r="H67" s="23">
        <f t="shared" ref="H67:H69" si="2">C67+D67+E67</f>
        <v>4371.8938076867835</v>
      </c>
      <c r="I67" s="23">
        <f t="shared" ref="I67:I69" si="3">C67+D67+E67+2*G67</f>
        <v>17104.289255038406</v>
      </c>
    </row>
    <row r="68" spans="1:9" ht="15.4" x14ac:dyDescent="0.4">
      <c r="A68" s="28">
        <v>67</v>
      </c>
      <c r="B68" s="7">
        <v>5.0501765611682004</v>
      </c>
      <c r="C68" s="23">
        <v>684.18144573724203</v>
      </c>
      <c r="D68" s="23">
        <v>2961.8481828213899</v>
      </c>
      <c r="E68" s="23">
        <v>684.18144573724203</v>
      </c>
      <c r="F68" s="23">
        <v>2308918883.50421</v>
      </c>
      <c r="G68" s="23">
        <v>6366.1977236758103</v>
      </c>
      <c r="H68" s="23">
        <f t="shared" si="2"/>
        <v>4330.2110742958739</v>
      </c>
      <c r="I68" s="23">
        <f t="shared" si="3"/>
        <v>17062.606521647496</v>
      </c>
    </row>
    <row r="69" spans="1:9" ht="15.4" x14ac:dyDescent="0.4">
      <c r="A69" s="28">
        <v>68</v>
      </c>
      <c r="B69" s="7">
        <v>5.0872823542323902</v>
      </c>
      <c r="C69" s="23">
        <v>659.46406825598694</v>
      </c>
      <c r="D69" s="23">
        <v>2970.55922198076</v>
      </c>
      <c r="E69" s="23">
        <v>659.46406825598694</v>
      </c>
      <c r="F69" s="23">
        <v>1050597012989.5</v>
      </c>
      <c r="G69" s="23">
        <v>6366.1977236758103</v>
      </c>
      <c r="H69" s="23">
        <f t="shared" si="2"/>
        <v>4289.4873584927336</v>
      </c>
      <c r="I69" s="23">
        <f t="shared" si="3"/>
        <v>17021.882805844354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3192-37F5-48DB-B2BE-FD95A6BFB272}">
  <dimension ref="A1:Q19"/>
  <sheetViews>
    <sheetView workbookViewId="0">
      <selection sqref="A1:E1"/>
    </sheetView>
  </sheetViews>
  <sheetFormatPr defaultRowHeight="13.9" x14ac:dyDescent="0.4"/>
  <cols>
    <col min="1" max="1" width="9.1328125" bestFit="1" customWidth="1"/>
    <col min="2" max="2" width="10.1328125" bestFit="1" customWidth="1"/>
    <col min="3" max="3" width="10.1328125" customWidth="1"/>
    <col min="4" max="4" width="9.1328125" bestFit="1" customWidth="1"/>
    <col min="5" max="5" width="12.265625" customWidth="1"/>
    <col min="7" max="7" width="9.1328125" bestFit="1" customWidth="1"/>
    <col min="8" max="8" width="10.1328125" bestFit="1" customWidth="1"/>
    <col min="9" max="9" width="10.1328125" customWidth="1"/>
    <col min="10" max="10" width="9.1328125" bestFit="1" customWidth="1"/>
    <col min="11" max="11" width="12.265625" customWidth="1"/>
    <col min="13" max="13" width="9.1328125" bestFit="1" customWidth="1"/>
    <col min="14" max="14" width="10.1328125" bestFit="1" customWidth="1"/>
    <col min="15" max="15" width="10.1328125" customWidth="1"/>
    <col min="16" max="16" width="12.73046875" bestFit="1" customWidth="1"/>
    <col min="17" max="17" width="12.265625" customWidth="1"/>
  </cols>
  <sheetData>
    <row r="1" spans="1:17" ht="35.25" x14ac:dyDescent="0.4">
      <c r="A1" s="10" t="s">
        <v>69</v>
      </c>
      <c r="B1" s="39" t="s">
        <v>67</v>
      </c>
      <c r="C1" s="37" t="s">
        <v>60</v>
      </c>
      <c r="D1" s="39" t="s">
        <v>65</v>
      </c>
      <c r="E1" s="39" t="s">
        <v>68</v>
      </c>
      <c r="F1" s="8"/>
      <c r="G1" s="10" t="s">
        <v>69</v>
      </c>
      <c r="H1" s="39" t="s">
        <v>67</v>
      </c>
      <c r="I1" s="37" t="s">
        <v>60</v>
      </c>
      <c r="J1" s="39" t="s">
        <v>65</v>
      </c>
      <c r="K1" s="39" t="s">
        <v>68</v>
      </c>
      <c r="L1" s="8"/>
      <c r="M1" s="10" t="s">
        <v>69</v>
      </c>
      <c r="N1" s="39" t="s">
        <v>67</v>
      </c>
      <c r="O1" s="37" t="s">
        <v>60</v>
      </c>
      <c r="P1" s="39" t="s">
        <v>65</v>
      </c>
      <c r="Q1" s="39" t="s">
        <v>68</v>
      </c>
    </row>
    <row r="2" spans="1:17" ht="15.4" x14ac:dyDescent="0.4">
      <c r="A2" s="28">
        <v>2</v>
      </c>
      <c r="B2" s="26">
        <v>4.9999999999999998E-7</v>
      </c>
      <c r="C2" s="28">
        <v>0.254852330015714</v>
      </c>
      <c r="D2" s="8">
        <v>12732.395447351601</v>
      </c>
      <c r="E2" s="8">
        <v>523949.11310933932</v>
      </c>
      <c r="F2" s="8"/>
      <c r="G2" s="28">
        <v>2</v>
      </c>
      <c r="H2" s="26">
        <v>5.0000000000000004E-6</v>
      </c>
      <c r="I2" s="28">
        <v>0.226210504519997</v>
      </c>
      <c r="J2" s="8">
        <v>127323.954473516</v>
      </c>
      <c r="K2" s="8">
        <v>523949.11310933932</v>
      </c>
      <c r="L2" s="8"/>
      <c r="M2" s="28">
        <v>2</v>
      </c>
      <c r="N2" s="26">
        <v>5.0000000000000002E-5</v>
      </c>
      <c r="O2" s="28">
        <v>0.17495961661392601</v>
      </c>
      <c r="P2" s="8">
        <v>1273239.54473516</v>
      </c>
      <c r="Q2" s="8">
        <v>523949.11310933932</v>
      </c>
    </row>
    <row r="3" spans="1:17" ht="15.4" x14ac:dyDescent="0.4">
      <c r="A3" s="28">
        <v>4</v>
      </c>
      <c r="B3" s="26">
        <v>4.9999999999999998E-7</v>
      </c>
      <c r="C3" s="28">
        <v>0.33581163069194803</v>
      </c>
      <c r="D3" s="8">
        <v>12732.395447351601</v>
      </c>
      <c r="E3" s="8">
        <v>311194.77683568036</v>
      </c>
      <c r="F3" s="8"/>
      <c r="G3" s="28">
        <v>4</v>
      </c>
      <c r="H3" s="26">
        <v>5.0000000000000004E-6</v>
      </c>
      <c r="I3" s="28">
        <v>0.25477717065514499</v>
      </c>
      <c r="J3" s="8">
        <v>127323.954473516</v>
      </c>
      <c r="K3" s="8">
        <v>311194.77683568036</v>
      </c>
      <c r="L3" s="8"/>
      <c r="M3" s="28">
        <v>4</v>
      </c>
      <c r="N3" s="26">
        <v>5.0000000000000002E-5</v>
      </c>
      <c r="O3" s="28">
        <v>0.159311321284025</v>
      </c>
      <c r="P3" s="8">
        <v>1273239.54473516</v>
      </c>
      <c r="Q3" s="8">
        <v>311194.77683568036</v>
      </c>
    </row>
    <row r="4" spans="1:17" ht="15.4" x14ac:dyDescent="0.4">
      <c r="A4" s="28">
        <v>6</v>
      </c>
      <c r="B4" s="26">
        <v>4.9999999999999998E-7</v>
      </c>
      <c r="C4" s="28">
        <v>0.449010323342448</v>
      </c>
      <c r="D4" s="8">
        <v>12732.395447351601</v>
      </c>
      <c r="E4" s="8">
        <v>207716.03077824542</v>
      </c>
      <c r="F4" s="8"/>
      <c r="G4" s="28">
        <v>6</v>
      </c>
      <c r="H4" s="26">
        <v>5.0000000000000004E-6</v>
      </c>
      <c r="I4" s="28">
        <v>0.28511116894463001</v>
      </c>
      <c r="J4" s="8">
        <v>127323.954473516</v>
      </c>
      <c r="K4" s="8">
        <v>207716.03077824542</v>
      </c>
      <c r="L4" s="8"/>
      <c r="M4" s="28">
        <v>6</v>
      </c>
      <c r="N4" s="26">
        <v>5.0000000000000002E-5</v>
      </c>
      <c r="O4" s="28">
        <v>0.146347799519535</v>
      </c>
      <c r="P4" s="8">
        <v>1273239.54473516</v>
      </c>
      <c r="Q4" s="8">
        <v>207716.03077824542</v>
      </c>
    </row>
    <row r="5" spans="1:17" ht="15.4" x14ac:dyDescent="0.4">
      <c r="A5" s="28">
        <v>8</v>
      </c>
      <c r="B5" s="26">
        <v>4.9999999999999998E-7</v>
      </c>
      <c r="C5" s="28">
        <v>0.60909415826268198</v>
      </c>
      <c r="D5" s="8">
        <v>12732.395447351601</v>
      </c>
      <c r="E5" s="8">
        <v>142331.54822987839</v>
      </c>
      <c r="F5" s="8"/>
      <c r="G5" s="28">
        <v>8</v>
      </c>
      <c r="H5" s="26">
        <v>5.0000000000000004E-6</v>
      </c>
      <c r="I5" s="28">
        <v>0.31711676466220601</v>
      </c>
      <c r="J5" s="8">
        <v>127323.954473516</v>
      </c>
      <c r="K5" s="8">
        <v>142331.54822987839</v>
      </c>
      <c r="L5" s="8"/>
      <c r="M5" s="28">
        <v>8</v>
      </c>
      <c r="N5" s="26">
        <v>5.0000000000000002E-5</v>
      </c>
      <c r="O5" s="28">
        <v>0.13490706545035899</v>
      </c>
      <c r="P5" s="8">
        <v>1273239.54473516</v>
      </c>
      <c r="Q5" s="8">
        <v>142331.54822987839</v>
      </c>
    </row>
    <row r="6" spans="1:17" ht="15.4" x14ac:dyDescent="0.4">
      <c r="A6" s="28">
        <v>10</v>
      </c>
      <c r="B6" s="26">
        <v>4.9999999999999998E-7</v>
      </c>
      <c r="C6" s="28">
        <v>0.84417651805899796</v>
      </c>
      <c r="D6" s="8">
        <v>12732.395447351601</v>
      </c>
      <c r="E6" s="8">
        <v>95761.663452176406</v>
      </c>
      <c r="F6" s="8"/>
      <c r="G6" s="28">
        <v>10</v>
      </c>
      <c r="H6" s="26">
        <v>5.0000000000000004E-6</v>
      </c>
      <c r="I6" s="28">
        <v>0.35096896884081302</v>
      </c>
      <c r="J6" s="8">
        <v>127323.954473516</v>
      </c>
      <c r="K6" s="8">
        <v>95761.663452176406</v>
      </c>
      <c r="L6" s="8"/>
      <c r="M6" s="28">
        <v>10</v>
      </c>
      <c r="N6" s="26">
        <v>5.0000000000000002E-5</v>
      </c>
      <c r="O6" s="28">
        <v>0.124684507885834</v>
      </c>
      <c r="P6" s="8">
        <v>1273239.54473516</v>
      </c>
      <c r="Q6" s="8">
        <v>95761.663452176406</v>
      </c>
    </row>
    <row r="7" spans="1:17" ht="15.4" x14ac:dyDescent="0.4">
      <c r="A7" s="28">
        <v>12</v>
      </c>
      <c r="B7" s="26">
        <v>4.9999999999999998E-7</v>
      </c>
      <c r="C7" s="28">
        <v>1.21343299700935</v>
      </c>
      <c r="D7" s="8">
        <v>12732.395447351601</v>
      </c>
      <c r="E7" s="8">
        <v>60200.413055917394</v>
      </c>
      <c r="F7" s="8"/>
      <c r="G7" s="28">
        <v>12</v>
      </c>
      <c r="H7" s="26">
        <v>5.0000000000000004E-6</v>
      </c>
      <c r="I7" s="28">
        <v>0.387982577619854</v>
      </c>
      <c r="J7" s="8">
        <v>127323.954473516</v>
      </c>
      <c r="K7" s="8">
        <v>60200.413055917394</v>
      </c>
      <c r="L7" s="8"/>
      <c r="M7" s="28">
        <v>12</v>
      </c>
      <c r="N7" s="26">
        <v>5.0000000000000002E-5</v>
      </c>
      <c r="O7" s="28">
        <v>0.116708803994841</v>
      </c>
      <c r="P7" s="8">
        <v>1273239.54473516</v>
      </c>
      <c r="Q7" s="8">
        <v>60200.413055917394</v>
      </c>
    </row>
    <row r="8" spans="1:17" ht="15.4" x14ac:dyDescent="0.4">
      <c r="A8" s="28">
        <v>15</v>
      </c>
      <c r="B8" s="26">
        <v>4.9999999999999998E-7</v>
      </c>
      <c r="C8" s="28">
        <v>1.99244513313441</v>
      </c>
      <c r="D8" s="8">
        <v>12732.395447351601</v>
      </c>
      <c r="E8" s="8">
        <v>28791.572409774439</v>
      </c>
      <c r="F8" s="8"/>
      <c r="G8" s="28">
        <v>15</v>
      </c>
      <c r="H8" s="26">
        <v>5.0000000000000004E-6</v>
      </c>
      <c r="I8" s="28">
        <v>0.43293162353610598</v>
      </c>
      <c r="J8" s="8">
        <v>127323.954473516</v>
      </c>
      <c r="K8" s="8">
        <v>28791.572409774439</v>
      </c>
      <c r="L8" s="8"/>
      <c r="M8" s="28">
        <v>15</v>
      </c>
      <c r="N8" s="26">
        <v>5.0000000000000002E-5</v>
      </c>
      <c r="O8" s="28">
        <v>0.10436992007137701</v>
      </c>
      <c r="P8" s="8">
        <v>1273239.54473516</v>
      </c>
      <c r="Q8" s="8">
        <v>28791.572409774439</v>
      </c>
    </row>
    <row r="9" spans="1:17" ht="15.4" x14ac:dyDescent="0.4">
      <c r="A9" s="28">
        <v>20</v>
      </c>
      <c r="B9" s="26">
        <v>4.9999999999999998E-7</v>
      </c>
      <c r="C9" s="28">
        <v>2.5678504997934799</v>
      </c>
      <c r="D9" s="8">
        <v>12732.395447351601</v>
      </c>
      <c r="E9" s="8">
        <v>20190.91357362608</v>
      </c>
      <c r="F9" s="8"/>
      <c r="G9" s="28">
        <v>20</v>
      </c>
      <c r="H9" s="26">
        <v>5.0000000000000004E-6</v>
      </c>
      <c r="I9" s="28">
        <v>0.46420146995605099</v>
      </c>
      <c r="J9" s="8">
        <v>127323.954473516</v>
      </c>
      <c r="K9" s="8">
        <v>20190.91357362608</v>
      </c>
      <c r="L9" s="8"/>
      <c r="M9" s="28">
        <v>20</v>
      </c>
      <c r="N9" s="26">
        <v>5.0000000000000002E-5</v>
      </c>
      <c r="O9" s="28">
        <v>9.0006196323514906E-2</v>
      </c>
      <c r="P9" s="8">
        <v>1273239.54473516</v>
      </c>
      <c r="Q9" s="8">
        <v>20190.91357362608</v>
      </c>
    </row>
    <row r="10" spans="1:17" ht="15.4" x14ac:dyDescent="0.4">
      <c r="A10" s="28">
        <v>25</v>
      </c>
      <c r="B10" s="26">
        <v>4.9999999999999998E-7</v>
      </c>
      <c r="C10" s="28">
        <v>2.9740480927257198</v>
      </c>
      <c r="D10" s="8">
        <v>12732.395447351601</v>
      </c>
      <c r="E10" s="8">
        <v>16705.007442568531</v>
      </c>
      <c r="F10" s="8"/>
      <c r="G10" s="28">
        <v>25</v>
      </c>
      <c r="H10" s="26">
        <v>5.0000000000000004E-6</v>
      </c>
      <c r="I10" s="28">
        <v>0.48912053780108899</v>
      </c>
      <c r="J10" s="8">
        <v>127323.954473516</v>
      </c>
      <c r="K10" s="8">
        <v>16705.007442568531</v>
      </c>
      <c r="L10" s="8"/>
      <c r="M10" s="28">
        <v>25</v>
      </c>
      <c r="N10" s="26">
        <v>5.0000000000000002E-5</v>
      </c>
      <c r="O10" s="28">
        <v>8.0297410347586001E-2</v>
      </c>
      <c r="P10" s="8">
        <v>1273239.54473516</v>
      </c>
      <c r="Q10" s="8">
        <v>16705.007442568531</v>
      </c>
    </row>
    <row r="11" spans="1:17" ht="15.4" x14ac:dyDescent="0.4">
      <c r="A11" s="28">
        <v>30</v>
      </c>
      <c r="B11" s="26">
        <v>4.9999999999999998E-7</v>
      </c>
      <c r="C11" s="28">
        <v>3.31287701878956</v>
      </c>
      <c r="D11" s="8">
        <v>12732.395447351601</v>
      </c>
      <c r="E11" s="8">
        <v>14603.277425609129</v>
      </c>
      <c r="F11" s="8"/>
      <c r="G11" s="28">
        <v>30</v>
      </c>
      <c r="H11" s="26">
        <v>5.0000000000000004E-6</v>
      </c>
      <c r="I11" s="28">
        <v>0.51204239101968296</v>
      </c>
      <c r="J11" s="8">
        <v>127323.954473516</v>
      </c>
      <c r="K11" s="8">
        <v>14603.277425609129</v>
      </c>
      <c r="L11" s="8"/>
      <c r="M11" s="28">
        <v>30</v>
      </c>
      <c r="N11" s="26">
        <v>5.0000000000000002E-5</v>
      </c>
      <c r="O11" s="28">
        <v>7.38525277416925E-2</v>
      </c>
      <c r="P11" s="8">
        <v>1273239.54473516</v>
      </c>
      <c r="Q11" s="8">
        <v>14603.277425609129</v>
      </c>
    </row>
    <row r="12" spans="1:17" ht="15.4" x14ac:dyDescent="0.4">
      <c r="A12" s="28">
        <v>35</v>
      </c>
      <c r="B12" s="26">
        <v>4.9999999999999998E-7</v>
      </c>
      <c r="C12" s="28">
        <v>3.6110535297745399</v>
      </c>
      <c r="D12" s="8">
        <v>12732.395447351601</v>
      </c>
      <c r="E12" s="8">
        <v>13136.939143245789</v>
      </c>
      <c r="F12" s="8"/>
      <c r="G12" s="28">
        <v>35</v>
      </c>
      <c r="H12" s="26">
        <v>5.0000000000000004E-6</v>
      </c>
      <c r="I12" s="28">
        <v>0.53377840829074796</v>
      </c>
      <c r="J12" s="8">
        <v>127323.954473516</v>
      </c>
      <c r="K12" s="8">
        <v>13136.939143245789</v>
      </c>
      <c r="L12" s="8"/>
      <c r="M12" s="28">
        <v>35</v>
      </c>
      <c r="N12" s="26">
        <v>5.0000000000000002E-5</v>
      </c>
      <c r="O12" s="28">
        <v>6.9692615093256E-2</v>
      </c>
      <c r="P12" s="8">
        <v>1273239.54473516</v>
      </c>
      <c r="Q12" s="8">
        <v>13136.939143245789</v>
      </c>
    </row>
    <row r="13" spans="1:17" ht="15.4" x14ac:dyDescent="0.4">
      <c r="A13" s="28">
        <v>40</v>
      </c>
      <c r="B13" s="26">
        <v>4.9999999999999998E-7</v>
      </c>
      <c r="C13" s="28">
        <v>3.8807126345379599</v>
      </c>
      <c r="D13" s="8">
        <v>12732.395447351601</v>
      </c>
      <c r="E13" s="8">
        <v>12029.469043918611</v>
      </c>
      <c r="F13" s="8"/>
      <c r="G13" s="28">
        <v>40</v>
      </c>
      <c r="H13" s="26">
        <v>5.0000000000000004E-6</v>
      </c>
      <c r="I13" s="28">
        <v>0.55458598812395199</v>
      </c>
      <c r="J13" s="8">
        <v>127323.954473516</v>
      </c>
      <c r="K13" s="8">
        <v>12029.469043918611</v>
      </c>
      <c r="L13" s="8"/>
      <c r="M13" s="28">
        <v>40</v>
      </c>
      <c r="N13" s="26">
        <v>5.0000000000000002E-5</v>
      </c>
      <c r="O13" s="28">
        <v>6.7151007090141698E-2</v>
      </c>
      <c r="P13" s="8">
        <v>1273239.54473516</v>
      </c>
      <c r="Q13" s="8">
        <v>12029.469043918611</v>
      </c>
    </row>
    <row r="14" spans="1:17" ht="15.4" x14ac:dyDescent="0.4">
      <c r="A14" s="28">
        <v>45</v>
      </c>
      <c r="B14" s="26">
        <v>4.9999999999999998E-7</v>
      </c>
      <c r="C14" s="28">
        <v>4.1287246425153299</v>
      </c>
      <c r="D14" s="8">
        <v>12732.395447351601</v>
      </c>
      <c r="E14" s="8">
        <v>11149.791218586481</v>
      </c>
      <c r="F14" s="8"/>
      <c r="G14" s="28">
        <v>45</v>
      </c>
      <c r="H14" s="26">
        <v>5.0000000000000004E-6</v>
      </c>
      <c r="I14" s="28">
        <v>0.574578480150716</v>
      </c>
      <c r="J14" s="8">
        <v>127323.954473516</v>
      </c>
      <c r="K14" s="8">
        <v>11149.791218586481</v>
      </c>
      <c r="L14" s="8"/>
      <c r="M14" s="28">
        <v>45</v>
      </c>
      <c r="N14" s="26">
        <v>5.0000000000000002E-5</v>
      </c>
      <c r="O14" s="28">
        <v>6.5772931827847297E-2</v>
      </c>
      <c r="P14" s="8">
        <v>1273239.54473516</v>
      </c>
      <c r="Q14" s="8">
        <v>11149.791218586481</v>
      </c>
    </row>
    <row r="15" spans="1:17" ht="15.4" x14ac:dyDescent="0.4">
      <c r="A15" s="28">
        <v>50</v>
      </c>
      <c r="B15" s="26">
        <v>4.9999999999999998E-7</v>
      </c>
      <c r="C15" s="28">
        <v>4.3594874808818798</v>
      </c>
      <c r="D15" s="8">
        <v>12732.395447351601</v>
      </c>
      <c r="E15" s="8">
        <v>10426.135201853631</v>
      </c>
      <c r="F15" s="8"/>
      <c r="G15" s="28">
        <v>50</v>
      </c>
      <c r="H15" s="26">
        <v>5.0000000000000004E-6</v>
      </c>
      <c r="I15" s="28">
        <v>0.59382654692881298</v>
      </c>
      <c r="J15" s="8">
        <v>127323.954473516</v>
      </c>
      <c r="K15" s="8">
        <v>10426.135201853631</v>
      </c>
      <c r="L15" s="8"/>
      <c r="M15" s="28">
        <v>50</v>
      </c>
      <c r="N15" s="26">
        <v>5.0000000000000002E-5</v>
      </c>
      <c r="O15" s="28">
        <v>6.5245913665298694E-2</v>
      </c>
      <c r="P15" s="8">
        <v>1273239.54473516</v>
      </c>
      <c r="Q15" s="8">
        <v>10426.135201853631</v>
      </c>
    </row>
    <row r="16" spans="1:17" ht="15.4" x14ac:dyDescent="0.4">
      <c r="A16" s="28">
        <v>55.000000000000007</v>
      </c>
      <c r="B16" s="26">
        <v>4.9999999999999998E-7</v>
      </c>
      <c r="C16" s="28">
        <v>4.5760479210601703</v>
      </c>
      <c r="D16" s="8">
        <v>12732.395447351601</v>
      </c>
      <c r="E16" s="8">
        <v>9815.2581188812092</v>
      </c>
      <c r="F16" s="8"/>
      <c r="G16" s="28">
        <v>55.000000000000007</v>
      </c>
      <c r="H16" s="26">
        <v>5.0000000000000004E-6</v>
      </c>
      <c r="I16" s="28">
        <v>0.61238906196881104</v>
      </c>
      <c r="J16" s="8">
        <v>127323.954473516</v>
      </c>
      <c r="K16" s="8">
        <v>9815.2581188812092</v>
      </c>
      <c r="L16" s="8"/>
      <c r="M16" s="28">
        <v>55.000000000000007</v>
      </c>
      <c r="N16" s="26">
        <v>5.0000000000000002E-5</v>
      </c>
      <c r="O16" s="28">
        <v>6.5354723166043696E-2</v>
      </c>
      <c r="P16" s="8">
        <v>1273239.54473516</v>
      </c>
      <c r="Q16" s="8">
        <v>9815.2581188812092</v>
      </c>
    </row>
    <row r="17" spans="1:17" ht="15.4" x14ac:dyDescent="0.4">
      <c r="A17" s="28">
        <v>60</v>
      </c>
      <c r="B17" s="26">
        <v>4.9999999999999998E-7</v>
      </c>
      <c r="C17" s="28">
        <v>4.7806393849086399</v>
      </c>
      <c r="D17" s="8">
        <v>12732.395447351601</v>
      </c>
      <c r="E17" s="8">
        <v>9289.2536709085198</v>
      </c>
      <c r="F17" s="8"/>
      <c r="G17" s="28">
        <v>60</v>
      </c>
      <c r="H17" s="26">
        <v>5.0000000000000004E-6</v>
      </c>
      <c r="I17" s="28">
        <v>0.630325599403604</v>
      </c>
      <c r="J17" s="8">
        <v>127323.954473516</v>
      </c>
      <c r="K17" s="8">
        <v>9289.2536709085198</v>
      </c>
      <c r="L17" s="8"/>
      <c r="M17" s="28">
        <v>60</v>
      </c>
      <c r="N17" s="26">
        <v>5.0000000000000002E-5</v>
      </c>
      <c r="O17" s="28">
        <v>6.5954455791139899E-2</v>
      </c>
      <c r="P17" s="8">
        <v>1273239.54473516</v>
      </c>
      <c r="Q17" s="8">
        <v>9289.2536709085198</v>
      </c>
    </row>
    <row r="18" spans="1:17" ht="15.4" x14ac:dyDescent="0.4">
      <c r="A18" s="28">
        <v>65</v>
      </c>
      <c r="B18" s="26">
        <v>4.9999999999999998E-7</v>
      </c>
      <c r="C18" s="28">
        <v>4.9749814495408602</v>
      </c>
      <c r="D18" s="8">
        <v>12732.395447351601</v>
      </c>
      <c r="E18" s="8">
        <v>8829.1534101650395</v>
      </c>
      <c r="F18" s="8"/>
      <c r="G18" s="28">
        <v>65</v>
      </c>
      <c r="H18" s="26">
        <v>5.0000000000000004E-6</v>
      </c>
      <c r="I18" s="28">
        <v>0.64771190501589704</v>
      </c>
      <c r="J18" s="8">
        <v>127323.954473516</v>
      </c>
      <c r="K18" s="8">
        <v>8829.1534101650395</v>
      </c>
      <c r="L18" s="8"/>
      <c r="M18" s="28">
        <v>65</v>
      </c>
      <c r="N18" s="26">
        <v>5.0000000000000002E-5</v>
      </c>
      <c r="O18" s="28">
        <v>6.6963413456976706E-2</v>
      </c>
      <c r="P18" s="8">
        <v>1273239.54473516</v>
      </c>
      <c r="Q18" s="8">
        <v>8829.1534101650395</v>
      </c>
    </row>
    <row r="19" spans="1:17" ht="15.4" x14ac:dyDescent="0.4">
      <c r="A19" s="28">
        <v>70</v>
      </c>
      <c r="B19" s="26">
        <v>4.9999999999999998E-7</v>
      </c>
      <c r="C19" s="28">
        <v>5.1605430581341203</v>
      </c>
      <c r="D19" s="8">
        <v>12732.395447351601</v>
      </c>
      <c r="E19" s="8">
        <v>8421.5282674654591</v>
      </c>
      <c r="F19" s="8"/>
      <c r="G19" s="28">
        <v>70</v>
      </c>
      <c r="H19" s="26">
        <v>5.0000000000000004E-6</v>
      </c>
      <c r="I19" s="28">
        <v>0.66473631817390599</v>
      </c>
      <c r="J19" s="8">
        <v>127323.954473516</v>
      </c>
      <c r="K19" s="8">
        <v>8421.5282674654591</v>
      </c>
      <c r="L19" s="8"/>
      <c r="M19" s="28">
        <v>70</v>
      </c>
      <c r="N19" s="26">
        <v>5.0000000000000002E-5</v>
      </c>
      <c r="O19" s="28">
        <v>6.84456404699159E-2</v>
      </c>
      <c r="P19" s="8">
        <v>1273239.54473516</v>
      </c>
      <c r="Q19" s="8">
        <v>8421.5282674654591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C7C3E-6382-4548-971C-93416B5A65FC}">
  <dimension ref="A1:ER395"/>
  <sheetViews>
    <sheetView zoomScaleNormal="100" workbookViewId="0">
      <pane ySplit="1" topLeftCell="A2" activePane="bottomLeft" state="frozen"/>
      <selection pane="bottomLeft"/>
    </sheetView>
  </sheetViews>
  <sheetFormatPr defaultRowHeight="15.4" x14ac:dyDescent="0.4"/>
  <cols>
    <col min="1" max="1" width="9" style="28" bestFit="1" customWidth="1"/>
    <col min="2" max="2" width="8.1328125" style="28" bestFit="1" customWidth="1"/>
    <col min="3" max="4" width="10.59765625" style="28" bestFit="1" customWidth="1"/>
    <col min="5" max="5" width="9.3984375" style="28" bestFit="1" customWidth="1"/>
    <col min="6" max="6" width="12.1328125" style="28" bestFit="1" customWidth="1"/>
    <col min="7" max="7" width="8.46484375" style="28" bestFit="1" customWidth="1"/>
    <col min="8" max="8" width="10.59765625" style="7" bestFit="1" customWidth="1"/>
    <col min="9" max="9" width="12" style="7" bestFit="1" customWidth="1"/>
    <col min="10" max="10" width="13.265625" style="7" bestFit="1" customWidth="1"/>
    <col min="11" max="11" width="12" style="7" bestFit="1" customWidth="1"/>
    <col min="12" max="12" width="17.59765625" style="7" bestFit="1" customWidth="1"/>
    <col min="13" max="13" width="14.59765625" style="7" bestFit="1" customWidth="1"/>
    <col min="14" max="14" width="13.265625" style="7" bestFit="1" customWidth="1"/>
    <col min="15" max="15" width="9.1328125" style="28"/>
    <col min="16" max="16" width="9" style="28" bestFit="1" customWidth="1"/>
    <col min="17" max="17" width="8.1328125" style="28" bestFit="1" customWidth="1"/>
    <col min="18" max="19" width="10.59765625" style="28" bestFit="1" customWidth="1"/>
    <col min="20" max="20" width="11.46484375" style="28" bestFit="1" customWidth="1"/>
    <col min="21" max="21" width="12.1328125" style="28" bestFit="1" customWidth="1"/>
    <col min="22" max="22" width="8.46484375" style="28" bestFit="1" customWidth="1"/>
    <col min="23" max="24" width="10.59765625" style="7" bestFit="1" customWidth="1"/>
    <col min="25" max="25" width="13.265625" style="7" bestFit="1" customWidth="1"/>
    <col min="26" max="26" width="10.59765625" style="7" bestFit="1" customWidth="1"/>
    <col min="27" max="27" width="17.59765625" style="7" bestFit="1" customWidth="1"/>
    <col min="28" max="29" width="13.265625" style="7" bestFit="1" customWidth="1"/>
    <col min="30" max="30" width="9.1328125" style="28"/>
    <col min="31" max="31" width="9" style="28" bestFit="1" customWidth="1"/>
    <col min="32" max="32" width="8.1328125" style="28" bestFit="1" customWidth="1"/>
    <col min="33" max="34" width="10.59765625" style="28" bestFit="1" customWidth="1"/>
    <col min="35" max="35" width="11.46484375" style="28" bestFit="1" customWidth="1"/>
    <col min="36" max="36" width="12.1328125" style="28" bestFit="1" customWidth="1"/>
    <col min="37" max="37" width="8.1328125" style="28" bestFit="1" customWidth="1"/>
    <col min="38" max="39" width="10.59765625" style="7" bestFit="1" customWidth="1"/>
    <col min="40" max="40" width="13.265625" style="7" bestFit="1" customWidth="1"/>
    <col min="41" max="41" width="10.59765625" style="7" bestFit="1" customWidth="1"/>
    <col min="42" max="42" width="17.59765625" style="7" bestFit="1" customWidth="1"/>
    <col min="43" max="43" width="12" style="7" bestFit="1" customWidth="1"/>
    <col min="44" max="44" width="13.265625" style="7" bestFit="1" customWidth="1"/>
    <col min="45" max="45" width="9.1328125" style="28"/>
    <col min="46" max="46" width="9" style="28" bestFit="1" customWidth="1"/>
    <col min="47" max="47" width="8.1328125" style="28" bestFit="1" customWidth="1"/>
    <col min="48" max="49" width="10.59765625" style="28" bestFit="1" customWidth="1"/>
    <col min="50" max="50" width="11.46484375" style="28" bestFit="1" customWidth="1"/>
    <col min="51" max="51" width="12.1328125" style="28" bestFit="1" customWidth="1"/>
    <col min="52" max="52" width="8.46484375" style="28" bestFit="1" customWidth="1"/>
    <col min="53" max="53" width="10.59765625" style="7" bestFit="1" customWidth="1"/>
    <col min="54" max="54" width="12" style="7" bestFit="1" customWidth="1"/>
    <col min="55" max="55" width="13.265625" style="7" bestFit="1" customWidth="1"/>
    <col min="56" max="56" width="12" style="7" bestFit="1" customWidth="1"/>
    <col min="57" max="57" width="17.59765625" style="7" bestFit="1" customWidth="1"/>
    <col min="58" max="58" width="14.59765625" style="7" bestFit="1" customWidth="1"/>
    <col min="59" max="59" width="13.265625" style="7" bestFit="1" customWidth="1"/>
    <col min="60" max="60" width="9.1328125" style="28"/>
    <col min="61" max="61" width="9" style="28" bestFit="1" customWidth="1"/>
    <col min="62" max="62" width="8.1328125" style="28" bestFit="1" customWidth="1"/>
    <col min="63" max="64" width="10.59765625" style="28" bestFit="1" customWidth="1"/>
    <col min="65" max="65" width="11.46484375" style="28" bestFit="1" customWidth="1"/>
    <col min="66" max="66" width="12.1328125" style="28" bestFit="1" customWidth="1"/>
    <col min="67" max="67" width="8.46484375" style="28" bestFit="1" customWidth="1"/>
    <col min="68" max="69" width="10.59765625" style="7" bestFit="1" customWidth="1"/>
    <col min="70" max="70" width="13.265625" style="7" bestFit="1" customWidth="1"/>
    <col min="71" max="71" width="10.59765625" style="7" bestFit="1" customWidth="1"/>
    <col min="72" max="72" width="17.59765625" style="7" bestFit="1" customWidth="1"/>
    <col min="73" max="73" width="14.59765625" style="7" bestFit="1" customWidth="1"/>
    <col min="74" max="74" width="13.265625" style="7" bestFit="1" customWidth="1"/>
    <col min="75" max="75" width="9.1328125" style="28"/>
    <col min="76" max="76" width="9" style="28" bestFit="1" customWidth="1"/>
    <col min="77" max="77" width="8.1328125" style="28" bestFit="1" customWidth="1"/>
    <col min="78" max="79" width="10.59765625" style="28" bestFit="1" customWidth="1"/>
    <col min="80" max="80" width="11.46484375" style="28" bestFit="1" customWidth="1"/>
    <col min="81" max="81" width="12.1328125" style="28" bestFit="1" customWidth="1"/>
    <col min="82" max="82" width="8.46484375" style="28" bestFit="1" customWidth="1"/>
    <col min="83" max="83" width="10.59765625" style="7" bestFit="1" customWidth="1"/>
    <col min="84" max="84" width="9.46484375" style="7" bestFit="1" customWidth="1"/>
    <col min="85" max="85" width="12" style="7" bestFit="1" customWidth="1"/>
    <col min="86" max="86" width="9.46484375" style="7" bestFit="1" customWidth="1"/>
    <col min="87" max="87" width="16.265625" style="7" bestFit="1" customWidth="1"/>
    <col min="88" max="89" width="12" style="7" bestFit="1" customWidth="1"/>
    <col min="90" max="90" width="9.1328125" style="28"/>
    <col min="91" max="91" width="9" style="28" bestFit="1" customWidth="1"/>
    <col min="92" max="92" width="8.1328125" style="28" bestFit="1" customWidth="1"/>
    <col min="93" max="94" width="10.59765625" style="28" bestFit="1" customWidth="1"/>
    <col min="95" max="95" width="11.46484375" style="28" bestFit="1" customWidth="1"/>
    <col min="96" max="96" width="12.1328125" style="28" bestFit="1" customWidth="1"/>
    <col min="97" max="97" width="8.46484375" style="28" bestFit="1" customWidth="1"/>
    <col min="98" max="98" width="10.59765625" style="7" bestFit="1" customWidth="1"/>
    <col min="99" max="99" width="9.46484375" style="7" bestFit="1" customWidth="1"/>
    <col min="100" max="100" width="12" style="7" bestFit="1" customWidth="1"/>
    <col min="101" max="101" width="9.46484375" style="7" bestFit="1" customWidth="1"/>
    <col min="102" max="102" width="16.265625" style="7" bestFit="1" customWidth="1"/>
    <col min="103" max="104" width="12" style="7" bestFit="1" customWidth="1"/>
    <col min="105" max="105" width="9.1328125" style="28"/>
    <col min="106" max="106" width="9" style="28" bestFit="1" customWidth="1"/>
    <col min="107" max="107" width="8.1328125" style="28" bestFit="1" customWidth="1"/>
    <col min="108" max="109" width="10.59765625" style="28" bestFit="1" customWidth="1"/>
    <col min="110" max="110" width="11.46484375" style="28" bestFit="1" customWidth="1"/>
    <col min="111" max="111" width="12.1328125" style="28" bestFit="1" customWidth="1"/>
    <col min="112" max="112" width="8.46484375" style="28" bestFit="1" customWidth="1"/>
    <col min="113" max="113" width="10.59765625" style="7" bestFit="1" customWidth="1"/>
    <col min="114" max="114" width="9.46484375" style="7" bestFit="1" customWidth="1"/>
    <col min="115" max="115" width="12" style="7" bestFit="1" customWidth="1"/>
    <col min="116" max="116" width="9.46484375" style="7" bestFit="1" customWidth="1"/>
    <col min="117" max="117" width="16.265625" style="7" bestFit="1" customWidth="1"/>
    <col min="118" max="119" width="12" style="7" bestFit="1" customWidth="1"/>
    <col min="120" max="120" width="9.1328125" style="28"/>
    <col min="121" max="121" width="9" style="28" bestFit="1" customWidth="1"/>
    <col min="122" max="122" width="8.1328125" style="28" bestFit="1" customWidth="1"/>
    <col min="123" max="124" width="10.59765625" style="28" bestFit="1" customWidth="1"/>
    <col min="125" max="125" width="11.46484375" style="28" bestFit="1" customWidth="1"/>
    <col min="126" max="126" width="12.1328125" style="28" bestFit="1" customWidth="1"/>
    <col min="127" max="127" width="8.46484375" style="28" bestFit="1" customWidth="1"/>
    <col min="128" max="128" width="10.59765625" style="7" bestFit="1" customWidth="1"/>
    <col min="129" max="129" width="9.46484375" style="7" bestFit="1" customWidth="1"/>
    <col min="130" max="131" width="10.59765625" style="7" bestFit="1" customWidth="1"/>
    <col min="132" max="132" width="14.59765625" style="7" bestFit="1" customWidth="1"/>
    <col min="133" max="134" width="12" style="7" bestFit="1" customWidth="1"/>
    <col min="136" max="148" width="9.1328125" bestFit="1" customWidth="1"/>
  </cols>
  <sheetData>
    <row r="1" spans="1:148" s="36" customFormat="1" ht="47.25" x14ac:dyDescent="0.4">
      <c r="A1" s="53" t="s">
        <v>69</v>
      </c>
      <c r="B1" s="54" t="s">
        <v>93</v>
      </c>
      <c r="C1" s="39" t="s">
        <v>73</v>
      </c>
      <c r="D1" s="39" t="s">
        <v>98</v>
      </c>
      <c r="E1" s="39" t="s">
        <v>97</v>
      </c>
      <c r="F1" s="39" t="s">
        <v>99</v>
      </c>
      <c r="G1" s="39" t="s">
        <v>96</v>
      </c>
      <c r="H1" s="37" t="s">
        <v>60</v>
      </c>
      <c r="I1" s="37" t="s">
        <v>100</v>
      </c>
      <c r="J1" s="37" t="s">
        <v>101</v>
      </c>
      <c r="K1" s="37" t="s">
        <v>102</v>
      </c>
      <c r="L1" s="37" t="s">
        <v>103</v>
      </c>
      <c r="M1" s="37" t="s">
        <v>65</v>
      </c>
      <c r="N1" s="37" t="s">
        <v>68</v>
      </c>
      <c r="O1" s="55"/>
      <c r="P1" s="53" t="s">
        <v>69</v>
      </c>
      <c r="Q1" s="54" t="s">
        <v>93</v>
      </c>
      <c r="R1" s="39" t="s">
        <v>73</v>
      </c>
      <c r="S1" s="39" t="s">
        <v>98</v>
      </c>
      <c r="T1" s="39" t="s">
        <v>97</v>
      </c>
      <c r="U1" s="39" t="s">
        <v>99</v>
      </c>
      <c r="V1" s="39" t="s">
        <v>96</v>
      </c>
      <c r="W1" s="37" t="s">
        <v>60</v>
      </c>
      <c r="X1" s="37" t="s">
        <v>100</v>
      </c>
      <c r="Y1" s="37" t="s">
        <v>101</v>
      </c>
      <c r="Z1" s="37" t="s">
        <v>102</v>
      </c>
      <c r="AA1" s="37" t="s">
        <v>103</v>
      </c>
      <c r="AB1" s="37" t="s">
        <v>65</v>
      </c>
      <c r="AC1" s="37" t="s">
        <v>68</v>
      </c>
      <c r="AD1" s="55"/>
      <c r="AE1" s="53" t="s">
        <v>69</v>
      </c>
      <c r="AF1" s="54" t="s">
        <v>93</v>
      </c>
      <c r="AG1" s="39" t="s">
        <v>73</v>
      </c>
      <c r="AH1" s="39" t="s">
        <v>98</v>
      </c>
      <c r="AI1" s="39" t="s">
        <v>97</v>
      </c>
      <c r="AJ1" s="39" t="s">
        <v>99</v>
      </c>
      <c r="AK1" s="39" t="s">
        <v>96</v>
      </c>
      <c r="AL1" s="37" t="s">
        <v>60</v>
      </c>
      <c r="AM1" s="37" t="s">
        <v>100</v>
      </c>
      <c r="AN1" s="37" t="s">
        <v>101</v>
      </c>
      <c r="AO1" s="37" t="s">
        <v>102</v>
      </c>
      <c r="AP1" s="37" t="s">
        <v>103</v>
      </c>
      <c r="AQ1" s="37" t="s">
        <v>65</v>
      </c>
      <c r="AR1" s="37" t="s">
        <v>68</v>
      </c>
      <c r="AS1" s="55"/>
      <c r="AT1" s="53" t="s">
        <v>69</v>
      </c>
      <c r="AU1" s="54" t="s">
        <v>93</v>
      </c>
      <c r="AV1" s="39" t="s">
        <v>73</v>
      </c>
      <c r="AW1" s="39" t="s">
        <v>98</v>
      </c>
      <c r="AX1" s="39" t="s">
        <v>97</v>
      </c>
      <c r="AY1" s="39" t="s">
        <v>99</v>
      </c>
      <c r="AZ1" s="39" t="s">
        <v>96</v>
      </c>
      <c r="BA1" s="37" t="s">
        <v>60</v>
      </c>
      <c r="BB1" s="37" t="s">
        <v>100</v>
      </c>
      <c r="BC1" s="37" t="s">
        <v>101</v>
      </c>
      <c r="BD1" s="37" t="s">
        <v>102</v>
      </c>
      <c r="BE1" s="37" t="s">
        <v>103</v>
      </c>
      <c r="BF1" s="37" t="s">
        <v>65</v>
      </c>
      <c r="BG1" s="37" t="s">
        <v>68</v>
      </c>
      <c r="BH1" s="55"/>
      <c r="BI1" s="53" t="s">
        <v>69</v>
      </c>
      <c r="BJ1" s="54" t="s">
        <v>93</v>
      </c>
      <c r="BK1" s="39" t="s">
        <v>73</v>
      </c>
      <c r="BL1" s="39" t="s">
        <v>98</v>
      </c>
      <c r="BM1" s="39" t="s">
        <v>97</v>
      </c>
      <c r="BN1" s="39" t="s">
        <v>99</v>
      </c>
      <c r="BO1" s="39" t="s">
        <v>96</v>
      </c>
      <c r="BP1" s="37" t="s">
        <v>60</v>
      </c>
      <c r="BQ1" s="37" t="s">
        <v>100</v>
      </c>
      <c r="BR1" s="37" t="s">
        <v>101</v>
      </c>
      <c r="BS1" s="37" t="s">
        <v>102</v>
      </c>
      <c r="BT1" s="37" t="s">
        <v>103</v>
      </c>
      <c r="BU1" s="37" t="s">
        <v>65</v>
      </c>
      <c r="BV1" s="37" t="s">
        <v>68</v>
      </c>
      <c r="BW1" s="55"/>
      <c r="BX1" s="53" t="s">
        <v>69</v>
      </c>
      <c r="BY1" s="54" t="s">
        <v>93</v>
      </c>
      <c r="BZ1" s="39" t="s">
        <v>73</v>
      </c>
      <c r="CA1" s="39" t="s">
        <v>98</v>
      </c>
      <c r="CB1" s="39" t="s">
        <v>97</v>
      </c>
      <c r="CC1" s="39" t="s">
        <v>99</v>
      </c>
      <c r="CD1" s="39" t="s">
        <v>96</v>
      </c>
      <c r="CE1" s="37" t="s">
        <v>60</v>
      </c>
      <c r="CF1" s="37" t="s">
        <v>100</v>
      </c>
      <c r="CG1" s="37" t="s">
        <v>101</v>
      </c>
      <c r="CH1" s="37" t="s">
        <v>102</v>
      </c>
      <c r="CI1" s="37" t="s">
        <v>103</v>
      </c>
      <c r="CJ1" s="37" t="s">
        <v>65</v>
      </c>
      <c r="CK1" s="37" t="s">
        <v>68</v>
      </c>
      <c r="CL1" s="55"/>
      <c r="CM1" s="53" t="s">
        <v>69</v>
      </c>
      <c r="CN1" s="54" t="s">
        <v>93</v>
      </c>
      <c r="CO1" s="39" t="s">
        <v>73</v>
      </c>
      <c r="CP1" s="39" t="s">
        <v>98</v>
      </c>
      <c r="CQ1" s="39" t="s">
        <v>97</v>
      </c>
      <c r="CR1" s="39" t="s">
        <v>99</v>
      </c>
      <c r="CS1" s="39" t="s">
        <v>96</v>
      </c>
      <c r="CT1" s="37" t="s">
        <v>60</v>
      </c>
      <c r="CU1" s="37" t="s">
        <v>100</v>
      </c>
      <c r="CV1" s="37" t="s">
        <v>101</v>
      </c>
      <c r="CW1" s="37" t="s">
        <v>102</v>
      </c>
      <c r="CX1" s="37" t="s">
        <v>103</v>
      </c>
      <c r="CY1" s="37" t="s">
        <v>65</v>
      </c>
      <c r="CZ1" s="37" t="s">
        <v>68</v>
      </c>
      <c r="DA1" s="55"/>
      <c r="DB1" s="53" t="s">
        <v>69</v>
      </c>
      <c r="DC1" s="54" t="s">
        <v>93</v>
      </c>
      <c r="DD1" s="39" t="s">
        <v>73</v>
      </c>
      <c r="DE1" s="39" t="s">
        <v>98</v>
      </c>
      <c r="DF1" s="39" t="s">
        <v>97</v>
      </c>
      <c r="DG1" s="39" t="s">
        <v>99</v>
      </c>
      <c r="DH1" s="39" t="s">
        <v>96</v>
      </c>
      <c r="DI1" s="37" t="s">
        <v>60</v>
      </c>
      <c r="DJ1" s="37" t="s">
        <v>100</v>
      </c>
      <c r="DK1" s="37" t="s">
        <v>101</v>
      </c>
      <c r="DL1" s="37" t="s">
        <v>102</v>
      </c>
      <c r="DM1" s="37" t="s">
        <v>103</v>
      </c>
      <c r="DN1" s="37" t="s">
        <v>65</v>
      </c>
      <c r="DO1" s="37" t="s">
        <v>68</v>
      </c>
      <c r="DP1" s="55"/>
      <c r="DQ1" s="53" t="s">
        <v>69</v>
      </c>
      <c r="DR1" s="54" t="s">
        <v>93</v>
      </c>
      <c r="DS1" s="39" t="s">
        <v>73</v>
      </c>
      <c r="DT1" s="39" t="s">
        <v>98</v>
      </c>
      <c r="DU1" s="39" t="s">
        <v>97</v>
      </c>
      <c r="DV1" s="39" t="s">
        <v>99</v>
      </c>
      <c r="DW1" s="39" t="s">
        <v>96</v>
      </c>
      <c r="DX1" s="37" t="s">
        <v>60</v>
      </c>
      <c r="DY1" s="37" t="s">
        <v>100</v>
      </c>
      <c r="DZ1" s="37" t="s">
        <v>101</v>
      </c>
      <c r="EA1" s="37" t="s">
        <v>102</v>
      </c>
      <c r="EB1" s="37" t="s">
        <v>103</v>
      </c>
      <c r="EC1" s="37" t="s">
        <v>65</v>
      </c>
      <c r="ED1" s="37" t="s">
        <v>68</v>
      </c>
    </row>
    <row r="2" spans="1:148" x14ac:dyDescent="0.4">
      <c r="A2" s="28">
        <v>1</v>
      </c>
      <c r="B2" s="26">
        <v>1.0000000000000001E-5</v>
      </c>
      <c r="C2" s="28">
        <v>0.2</v>
      </c>
      <c r="D2" s="28">
        <v>30</v>
      </c>
      <c r="E2" s="26">
        <v>5.0000000000000001E-9</v>
      </c>
      <c r="F2" s="26">
        <f t="shared" ref="F2:F20" si="0">C2*E2</f>
        <v>1.0000000000000001E-9</v>
      </c>
      <c r="G2" s="26">
        <f t="shared" ref="G2:G20" si="1">F2/(B2/2)</f>
        <v>2.0000000000000001E-4</v>
      </c>
      <c r="H2" s="7">
        <v>0.22572415197839299</v>
      </c>
      <c r="I2" s="7">
        <v>20967.675665585699</v>
      </c>
      <c r="J2" s="7">
        <v>750067.42850576504</v>
      </c>
      <c r="K2" s="7">
        <v>20967.675665585699</v>
      </c>
      <c r="L2" s="7">
        <v>246455.34799285</v>
      </c>
      <c r="M2" s="7">
        <v>127.323954473516</v>
      </c>
      <c r="N2" s="7">
        <f t="shared" ref="N2:N20" si="2">I2+J2+K2</f>
        <v>792002.77983693639</v>
      </c>
      <c r="P2" s="28">
        <v>1</v>
      </c>
      <c r="Q2" s="26">
        <v>3.0000000000000001E-5</v>
      </c>
      <c r="R2" s="28">
        <v>0.2</v>
      </c>
      <c r="S2" s="28">
        <v>30</v>
      </c>
      <c r="T2" s="26">
        <v>5.0000000000000001E-9</v>
      </c>
      <c r="U2" s="26">
        <f t="shared" ref="U2:U20" si="3">R2*T2</f>
        <v>1.0000000000000001E-9</v>
      </c>
      <c r="V2" s="26">
        <f t="shared" ref="V2:V20" si="4">U2/(Q2/2)</f>
        <v>6.666666666666667E-5</v>
      </c>
      <c r="W2" s="7">
        <v>0.225735630774864</v>
      </c>
      <c r="X2" s="7">
        <v>6989.2252213633501</v>
      </c>
      <c r="Y2" s="7">
        <v>250022.476149864</v>
      </c>
      <c r="Z2" s="7">
        <v>6989.2252213633501</v>
      </c>
      <c r="AA2" s="7">
        <v>82151.782666878105</v>
      </c>
      <c r="AB2" s="7">
        <v>14.1471060526129</v>
      </c>
      <c r="AC2" s="7">
        <f t="shared" ref="AC2:AC20" si="5">X2+Y2+Z2</f>
        <v>264000.92659259069</v>
      </c>
      <c r="AE2" s="28">
        <v>1</v>
      </c>
      <c r="AF2" s="26">
        <v>5.0000000000000002E-5</v>
      </c>
      <c r="AG2" s="28">
        <v>0.2</v>
      </c>
      <c r="AH2" s="28">
        <v>30</v>
      </c>
      <c r="AI2" s="26">
        <v>5.0000000000000001E-9</v>
      </c>
      <c r="AJ2" s="26">
        <f t="shared" ref="AJ2:AJ20" si="6">AG2*AI2</f>
        <v>1.0000000000000001E-9</v>
      </c>
      <c r="AK2" s="26">
        <f t="shared" ref="AK2:AK20" si="7">AJ2/(AF2/2)</f>
        <v>4.0000000000000003E-5</v>
      </c>
      <c r="AL2" s="7">
        <v>0.22573792710465401</v>
      </c>
      <c r="AM2" s="7">
        <v>4193.5351285970401</v>
      </c>
      <c r="AN2" s="7">
        <v>150013.48553139099</v>
      </c>
      <c r="AO2" s="7">
        <v>4193.5351285970401</v>
      </c>
      <c r="AP2" s="7">
        <v>49291.069622095303</v>
      </c>
      <c r="AQ2" s="7">
        <v>5.0929581789406502</v>
      </c>
      <c r="AR2" s="7">
        <f t="shared" ref="AR2:AR20" si="8">AM2+AN2+AO2</f>
        <v>158400.5557885851</v>
      </c>
      <c r="AT2" s="28">
        <v>1</v>
      </c>
      <c r="AU2" s="26">
        <v>1.0000000000000001E-5</v>
      </c>
      <c r="AV2" s="28">
        <v>0.2</v>
      </c>
      <c r="AW2" s="28">
        <v>200</v>
      </c>
      <c r="AX2" s="26">
        <v>5.0000000000000001E-9</v>
      </c>
      <c r="AY2" s="26">
        <f t="shared" ref="AY2:AY20" si="9">AV2*AX2</f>
        <v>1.0000000000000001E-9</v>
      </c>
      <c r="AZ2" s="26">
        <f t="shared" ref="AZ2:AZ20" si="10">AY2/(AU2/2)</f>
        <v>2.0000000000000001E-4</v>
      </c>
      <c r="BA2" s="7">
        <v>0.22806996376097699</v>
      </c>
      <c r="BB2" s="7">
        <v>4345.3623253436699</v>
      </c>
      <c r="BC2" s="7">
        <v>750067.42850576504</v>
      </c>
      <c r="BD2" s="7">
        <v>4345.3623253436699</v>
      </c>
      <c r="BE2" s="7">
        <v>246455.34799285</v>
      </c>
      <c r="BF2" s="7">
        <v>127.323954473516</v>
      </c>
      <c r="BG2" s="7">
        <f t="shared" ref="BG2:BG20" si="11">BB2+BC2+BD2</f>
        <v>758758.15315645235</v>
      </c>
      <c r="BI2" s="28">
        <v>1</v>
      </c>
      <c r="BJ2" s="26">
        <v>1.0000000000000001E-5</v>
      </c>
      <c r="BK2" s="28">
        <v>0.5</v>
      </c>
      <c r="BL2" s="28">
        <v>200</v>
      </c>
      <c r="BM2" s="26">
        <v>5.0000000000000001E-9</v>
      </c>
      <c r="BN2" s="26">
        <f t="shared" ref="BN2:BN20" si="12">BK2*BM2</f>
        <v>2.5000000000000001E-9</v>
      </c>
      <c r="BO2" s="26">
        <f t="shared" ref="BO2:BO20" si="13">BN2/(BJ2/2)</f>
        <v>5.0000000000000001E-4</v>
      </c>
      <c r="BP2" s="7">
        <v>0.56826577930269995</v>
      </c>
      <c r="BQ2" s="7">
        <v>3764.12485338133</v>
      </c>
      <c r="BR2" s="7">
        <v>300026.97140230599</v>
      </c>
      <c r="BS2" s="7">
        <v>3764.12485338133</v>
      </c>
      <c r="BT2" s="7">
        <v>98582.139197140001</v>
      </c>
      <c r="BU2" s="7">
        <v>127.323954473516</v>
      </c>
      <c r="BV2" s="7">
        <f t="shared" ref="BV2:BV20" si="14">BQ2+BR2+BS2</f>
        <v>307555.2211090686</v>
      </c>
      <c r="BX2" s="28">
        <v>1</v>
      </c>
      <c r="BY2" s="26">
        <v>5.0000000000000002E-5</v>
      </c>
      <c r="BZ2" s="28">
        <v>0.5</v>
      </c>
      <c r="CA2" s="28">
        <v>200</v>
      </c>
      <c r="CB2" s="26">
        <v>5.0000000000000001E-9</v>
      </c>
      <c r="CC2" s="26">
        <f t="shared" ref="CC2:CC20" si="15">BZ2*CB2</f>
        <v>2.5000000000000001E-9</v>
      </c>
      <c r="CD2" s="26">
        <f t="shared" ref="CD2:CD20" si="16">CC2/(BY2/2)</f>
        <v>9.9999999999999991E-5</v>
      </c>
      <c r="CE2" s="7">
        <v>0.56835707271291402</v>
      </c>
      <c r="CF2" s="7">
        <v>752.82497001808497</v>
      </c>
      <c r="CG2" s="7">
        <v>60005.394212556603</v>
      </c>
      <c r="CH2" s="7">
        <v>752.82497001808497</v>
      </c>
      <c r="CI2" s="7">
        <v>19716.427848838099</v>
      </c>
      <c r="CJ2" s="7">
        <v>5.0929581789406502</v>
      </c>
      <c r="CK2" s="7">
        <f t="shared" ref="CK2:CK20" si="17">CF2+CG2+CH2</f>
        <v>61511.044152592767</v>
      </c>
      <c r="CM2" s="28">
        <v>1</v>
      </c>
      <c r="CN2" s="26">
        <v>5.0000000000000002E-5</v>
      </c>
      <c r="CO2" s="28">
        <v>1</v>
      </c>
      <c r="CP2" s="28">
        <v>200</v>
      </c>
      <c r="CQ2" s="26">
        <v>5.0000000000000001E-9</v>
      </c>
      <c r="CR2" s="26">
        <f t="shared" ref="CR2:CR20" si="18">CO2*CQ2</f>
        <v>5.0000000000000001E-9</v>
      </c>
      <c r="CS2" s="26">
        <f t="shared" ref="CS2:CS20" si="19">CR2/(CN2/2)</f>
        <v>1.9999999999999998E-4</v>
      </c>
      <c r="CT2" s="7">
        <v>1.13158497394067</v>
      </c>
      <c r="CU2" s="7">
        <v>665.23311259709499</v>
      </c>
      <c r="CV2" s="7">
        <v>30002.697106278301</v>
      </c>
      <c r="CW2" s="7">
        <v>665.23311259709499</v>
      </c>
      <c r="CX2" s="7">
        <v>9858.2139244190694</v>
      </c>
      <c r="CY2" s="7">
        <v>5.0929581789406502</v>
      </c>
      <c r="CZ2" s="7">
        <f t="shared" ref="CZ2:CZ20" si="20">CU2+CV2+CW2</f>
        <v>31333.163331472493</v>
      </c>
      <c r="DB2" s="28">
        <v>1</v>
      </c>
      <c r="DC2" s="26">
        <v>5.0000000000000002E-5</v>
      </c>
      <c r="DD2" s="28">
        <v>2</v>
      </c>
      <c r="DE2" s="28">
        <v>200</v>
      </c>
      <c r="DF2" s="26">
        <v>5.0000000000000001E-9</v>
      </c>
      <c r="DG2" s="26">
        <f t="shared" ref="DG2:DG20" si="21">DD2*DF2</f>
        <v>1E-8</v>
      </c>
      <c r="DH2" s="26">
        <f t="shared" ref="DH2:DH20" si="22">DG2/(DC2/2)</f>
        <v>3.9999999999999996E-4</v>
      </c>
      <c r="DI2" s="7">
        <v>2.2465470497384401</v>
      </c>
      <c r="DJ2" s="7">
        <v>578.22973015081095</v>
      </c>
      <c r="DK2" s="7">
        <v>15001.3485531391</v>
      </c>
      <c r="DL2" s="7">
        <v>578.22973015081095</v>
      </c>
      <c r="DM2" s="7">
        <v>4929.1069622095301</v>
      </c>
      <c r="DN2" s="7">
        <v>5.0929581789406502</v>
      </c>
      <c r="DO2" s="7">
        <f t="shared" ref="DO2:DO20" si="23">DJ2+DK2+DL2</f>
        <v>16157.808013440723</v>
      </c>
      <c r="DQ2" s="28">
        <v>1</v>
      </c>
      <c r="DR2" s="26">
        <v>5.0000000000000002E-5</v>
      </c>
      <c r="DS2" s="28">
        <v>15</v>
      </c>
      <c r="DT2" s="28">
        <v>300</v>
      </c>
      <c r="DU2" s="26">
        <v>1.0000000000000001E-9</v>
      </c>
      <c r="DV2" s="26">
        <f t="shared" ref="DV2:DV20" si="24">DS2*DU2</f>
        <v>1.5000000000000002E-8</v>
      </c>
      <c r="DW2" s="26">
        <f t="shared" ref="DW2:DW20" si="25">DV2/(DR2/2)</f>
        <v>6.0000000000000006E-4</v>
      </c>
      <c r="DX2" s="7">
        <v>16.291736314714399</v>
      </c>
      <c r="DY2" s="7">
        <v>254.539230510376</v>
      </c>
      <c r="DZ2" s="7">
        <v>2000.1798070852201</v>
      </c>
      <c r="EA2" s="7">
        <v>254.539230510376</v>
      </c>
      <c r="EB2" s="7">
        <v>657.21426162793796</v>
      </c>
      <c r="EC2" s="7">
        <v>1.0185916357881299</v>
      </c>
      <c r="ED2" s="7">
        <f t="shared" ref="ED2:ED20" si="26">DY2+DZ2+EA2</f>
        <v>2509.2582681059721</v>
      </c>
      <c r="EG2" s="32"/>
      <c r="EJ2" s="32"/>
      <c r="EQ2" s="32"/>
      <c r="ER2" s="32"/>
    </row>
    <row r="3" spans="1:148" x14ac:dyDescent="0.4">
      <c r="A3" s="28">
        <v>2</v>
      </c>
      <c r="B3" s="26">
        <v>1.0000000000000001E-5</v>
      </c>
      <c r="C3" s="28">
        <v>0.2</v>
      </c>
      <c r="D3" s="28">
        <v>30</v>
      </c>
      <c r="E3" s="26">
        <v>5.0000000000000001E-9</v>
      </c>
      <c r="F3" s="26">
        <f t="shared" si="0"/>
        <v>1.0000000000000001E-9</v>
      </c>
      <c r="G3" s="26">
        <f t="shared" si="1"/>
        <v>2.0000000000000001E-4</v>
      </c>
      <c r="H3" s="7">
        <v>0.25953190041660101</v>
      </c>
      <c r="I3" s="7">
        <v>20967.675665585699</v>
      </c>
      <c r="J3" s="7">
        <v>482013.76177816797</v>
      </c>
      <c r="K3" s="7">
        <v>20967.675665585699</v>
      </c>
      <c r="L3" s="7">
        <v>339325.67523914197</v>
      </c>
      <c r="M3" s="7">
        <v>127.323954473516</v>
      </c>
      <c r="N3" s="7">
        <f t="shared" si="2"/>
        <v>523949.11310933932</v>
      </c>
      <c r="P3" s="28">
        <v>2</v>
      </c>
      <c r="Q3" s="26">
        <v>3.0000000000000001E-5</v>
      </c>
      <c r="R3" s="28">
        <v>0.2</v>
      </c>
      <c r="S3" s="28">
        <v>30</v>
      </c>
      <c r="T3" s="26">
        <v>5.0000000000000001E-9</v>
      </c>
      <c r="U3" s="26">
        <f t="shared" si="3"/>
        <v>1.0000000000000001E-9</v>
      </c>
      <c r="V3" s="26">
        <f t="shared" si="4"/>
        <v>6.666666666666667E-5</v>
      </c>
      <c r="W3" s="7">
        <v>0.259564938871224</v>
      </c>
      <c r="X3" s="7">
        <v>6989.2252213633501</v>
      </c>
      <c r="Y3" s="7">
        <v>160671.25390733199</v>
      </c>
      <c r="Z3" s="7">
        <v>6989.2252213633501</v>
      </c>
      <c r="AA3" s="7">
        <v>113108.558420806</v>
      </c>
      <c r="AB3" s="7">
        <v>14.1471060526129</v>
      </c>
      <c r="AC3" s="7">
        <f t="shared" si="5"/>
        <v>174649.70435005872</v>
      </c>
      <c r="AE3" s="28">
        <v>2</v>
      </c>
      <c r="AF3" s="26">
        <v>5.0000000000000002E-5</v>
      </c>
      <c r="AG3" s="28">
        <v>0.2</v>
      </c>
      <c r="AH3" s="28">
        <v>30</v>
      </c>
      <c r="AI3" s="26">
        <v>5.0000000000000001E-9</v>
      </c>
      <c r="AJ3" s="26">
        <f t="shared" si="6"/>
        <v>1.0000000000000001E-9</v>
      </c>
      <c r="AK3" s="26">
        <f t="shared" si="7"/>
        <v>4.0000000000000003E-5</v>
      </c>
      <c r="AL3" s="7">
        <v>0.25957154914097202</v>
      </c>
      <c r="AM3" s="7">
        <v>4193.5351285970401</v>
      </c>
      <c r="AN3" s="7">
        <v>96402.752185872101</v>
      </c>
      <c r="AO3" s="7">
        <v>4193.5351285970401</v>
      </c>
      <c r="AP3" s="7">
        <v>67865.135118168895</v>
      </c>
      <c r="AQ3" s="7">
        <v>5.0929581789406502</v>
      </c>
      <c r="AR3" s="7">
        <f t="shared" si="8"/>
        <v>104789.82244306618</v>
      </c>
      <c r="AT3" s="28">
        <v>2</v>
      </c>
      <c r="AU3" s="26">
        <v>1.0000000000000001E-5</v>
      </c>
      <c r="AV3" s="28">
        <v>0.2</v>
      </c>
      <c r="AW3" s="28">
        <v>200</v>
      </c>
      <c r="AX3" s="26">
        <v>5.0000000000000001E-9</v>
      </c>
      <c r="AY3" s="26">
        <f t="shared" si="9"/>
        <v>1.0000000000000001E-9</v>
      </c>
      <c r="AZ3" s="26">
        <f t="shared" si="10"/>
        <v>2.0000000000000001E-4</v>
      </c>
      <c r="BA3" s="7">
        <v>0.26643758023163999</v>
      </c>
      <c r="BB3" s="7">
        <v>4345.3623253436699</v>
      </c>
      <c r="BC3" s="7">
        <v>482013.76177816797</v>
      </c>
      <c r="BD3" s="7">
        <v>4345.3623253436699</v>
      </c>
      <c r="BE3" s="7">
        <v>339325.67523914197</v>
      </c>
      <c r="BF3" s="7">
        <v>127.323954473516</v>
      </c>
      <c r="BG3" s="7">
        <f t="shared" si="11"/>
        <v>490704.48642885528</v>
      </c>
      <c r="BI3" s="28">
        <v>2</v>
      </c>
      <c r="BJ3" s="26">
        <v>1.0000000000000001E-5</v>
      </c>
      <c r="BK3" s="28">
        <v>0.5</v>
      </c>
      <c r="BL3" s="28">
        <v>200</v>
      </c>
      <c r="BM3" s="26">
        <v>5.0000000000000001E-9</v>
      </c>
      <c r="BN3" s="26">
        <f t="shared" si="12"/>
        <v>2.5000000000000001E-9</v>
      </c>
      <c r="BO3" s="26">
        <f t="shared" si="13"/>
        <v>5.0000000000000001E-4</v>
      </c>
      <c r="BP3" s="7">
        <v>0.66038758838688605</v>
      </c>
      <c r="BQ3" s="7">
        <v>3764.12485338133</v>
      </c>
      <c r="BR3" s="7">
        <v>192805.50471126701</v>
      </c>
      <c r="BS3" s="7">
        <v>3764.12485338133</v>
      </c>
      <c r="BT3" s="7">
        <v>135730.270095657</v>
      </c>
      <c r="BU3" s="7">
        <v>127.323954473516</v>
      </c>
      <c r="BV3" s="7">
        <f t="shared" si="14"/>
        <v>200333.75441802968</v>
      </c>
      <c r="BX3" s="28">
        <v>2</v>
      </c>
      <c r="BY3" s="26">
        <v>5.0000000000000002E-5</v>
      </c>
      <c r="BZ3" s="28">
        <v>0.5</v>
      </c>
      <c r="CA3" s="28">
        <v>200</v>
      </c>
      <c r="CB3" s="26">
        <v>5.0000000000000001E-9</v>
      </c>
      <c r="CC3" s="26">
        <f t="shared" si="15"/>
        <v>2.5000000000000001E-9</v>
      </c>
      <c r="CD3" s="26">
        <f t="shared" si="16"/>
        <v>9.9999999999999991E-5</v>
      </c>
      <c r="CE3" s="7">
        <v>0.660658539099229</v>
      </c>
      <c r="CF3" s="7">
        <v>752.82497001808497</v>
      </c>
      <c r="CG3" s="7">
        <v>38561.1008743489</v>
      </c>
      <c r="CH3" s="7">
        <v>752.82497001808497</v>
      </c>
      <c r="CI3" s="7">
        <v>27146.0540472676</v>
      </c>
      <c r="CJ3" s="7">
        <v>5.0929581789406502</v>
      </c>
      <c r="CK3" s="7">
        <f t="shared" si="17"/>
        <v>40066.750814385065</v>
      </c>
      <c r="CM3" s="28">
        <v>2</v>
      </c>
      <c r="CN3" s="26">
        <v>5.0000000000000002E-5</v>
      </c>
      <c r="CO3" s="28">
        <v>1</v>
      </c>
      <c r="CP3" s="28">
        <v>200</v>
      </c>
      <c r="CQ3" s="26">
        <v>5.0000000000000001E-9</v>
      </c>
      <c r="CR3" s="26">
        <f t="shared" si="18"/>
        <v>5.0000000000000001E-9</v>
      </c>
      <c r="CS3" s="26">
        <f t="shared" si="19"/>
        <v>1.9999999999999998E-4</v>
      </c>
      <c r="CT3" s="7">
        <v>1.3062387755679301</v>
      </c>
      <c r="CU3" s="7">
        <v>665.23311259709499</v>
      </c>
      <c r="CV3" s="7">
        <v>19280.550437174399</v>
      </c>
      <c r="CW3" s="7">
        <v>665.23311259709499</v>
      </c>
      <c r="CX3" s="7">
        <v>13573.0270236338</v>
      </c>
      <c r="CY3" s="7">
        <v>5.0929581789406502</v>
      </c>
      <c r="CZ3" s="7">
        <f t="shared" si="20"/>
        <v>20611.016662368591</v>
      </c>
      <c r="DB3" s="28">
        <v>2</v>
      </c>
      <c r="DC3" s="26">
        <v>5.0000000000000002E-5</v>
      </c>
      <c r="DD3" s="28">
        <v>2</v>
      </c>
      <c r="DE3" s="28">
        <v>200</v>
      </c>
      <c r="DF3" s="26">
        <v>5.0000000000000001E-9</v>
      </c>
      <c r="DG3" s="26">
        <f t="shared" si="21"/>
        <v>1E-8</v>
      </c>
      <c r="DH3" s="26">
        <f t="shared" si="22"/>
        <v>3.9999999999999996E-4</v>
      </c>
      <c r="DI3" s="7">
        <v>2.5648524768798699</v>
      </c>
      <c r="DJ3" s="7">
        <v>578.22973015081095</v>
      </c>
      <c r="DK3" s="7">
        <v>9640.2752185872196</v>
      </c>
      <c r="DL3" s="7">
        <v>578.22973015081095</v>
      </c>
      <c r="DM3" s="7">
        <v>6786.5135118168901</v>
      </c>
      <c r="DN3" s="7">
        <v>5.0929581789406502</v>
      </c>
      <c r="DO3" s="7">
        <f t="shared" si="23"/>
        <v>10796.734678888843</v>
      </c>
      <c r="DQ3" s="28">
        <v>2</v>
      </c>
      <c r="DR3" s="26">
        <v>5.0000000000000002E-5</v>
      </c>
      <c r="DS3" s="28">
        <v>15</v>
      </c>
      <c r="DT3" s="28">
        <v>300</v>
      </c>
      <c r="DU3" s="26">
        <v>1.0000000000000001E-9</v>
      </c>
      <c r="DV3" s="26">
        <f t="shared" si="24"/>
        <v>1.5000000000000002E-8</v>
      </c>
      <c r="DW3" s="26">
        <f t="shared" si="25"/>
        <v>6.0000000000000006E-4</v>
      </c>
      <c r="DX3" s="7">
        <v>17.767763329392199</v>
      </c>
      <c r="DY3" s="7">
        <v>254.539230510376</v>
      </c>
      <c r="DZ3" s="7">
        <v>1285.37002914496</v>
      </c>
      <c r="EA3" s="7">
        <v>1285.37002914496</v>
      </c>
      <c r="EB3" s="7">
        <v>904.86846824225199</v>
      </c>
      <c r="EC3" s="7">
        <v>1.0185916357881299</v>
      </c>
      <c r="ED3" s="7">
        <f t="shared" si="26"/>
        <v>2825.2792888002959</v>
      </c>
      <c r="EG3" s="32"/>
      <c r="EJ3" s="32"/>
      <c r="EQ3" s="32"/>
      <c r="ER3" s="32"/>
    </row>
    <row r="4" spans="1:148" x14ac:dyDescent="0.4">
      <c r="A4" s="28">
        <v>4</v>
      </c>
      <c r="B4" s="26">
        <v>1.0000000000000001E-5</v>
      </c>
      <c r="C4" s="28">
        <v>0.2</v>
      </c>
      <c r="D4" s="28">
        <v>30</v>
      </c>
      <c r="E4" s="26">
        <v>5.0000000000000001E-9</v>
      </c>
      <c r="F4" s="26">
        <f t="shared" si="0"/>
        <v>1.0000000000000001E-9</v>
      </c>
      <c r="G4" s="26">
        <f t="shared" si="1"/>
        <v>2.0000000000000001E-4</v>
      </c>
      <c r="H4" s="7">
        <v>0.35200624469720798</v>
      </c>
      <c r="I4" s="7">
        <v>20967.675665585699</v>
      </c>
      <c r="J4" s="7">
        <v>269259.42550450901</v>
      </c>
      <c r="K4" s="7">
        <v>20967.675665585699</v>
      </c>
      <c r="L4" s="7">
        <v>496205.96663466899</v>
      </c>
      <c r="M4" s="7">
        <v>127.323954473516</v>
      </c>
      <c r="N4" s="7">
        <f t="shared" si="2"/>
        <v>311194.77683568036</v>
      </c>
      <c r="P4" s="28">
        <v>4</v>
      </c>
      <c r="Q4" s="26">
        <v>3.0000000000000001E-5</v>
      </c>
      <c r="R4" s="28">
        <v>0.2</v>
      </c>
      <c r="S4" s="28">
        <v>30</v>
      </c>
      <c r="T4" s="26">
        <v>5.0000000000000001E-9</v>
      </c>
      <c r="U4" s="26">
        <f t="shared" si="3"/>
        <v>1.0000000000000001E-9</v>
      </c>
      <c r="V4" s="26">
        <f t="shared" si="4"/>
        <v>6.666666666666667E-5</v>
      </c>
      <c r="W4" s="7">
        <v>0.35212419102839698</v>
      </c>
      <c r="X4" s="7">
        <v>6989.2252213633501</v>
      </c>
      <c r="Y4" s="7">
        <v>89753.141816112096</v>
      </c>
      <c r="Z4" s="7">
        <v>6989.2252213633501</v>
      </c>
      <c r="AA4" s="7">
        <v>165401.98890513901</v>
      </c>
      <c r="AB4" s="7">
        <v>14.1471060526129</v>
      </c>
      <c r="AC4" s="7">
        <f t="shared" si="5"/>
        <v>103731.59225883879</v>
      </c>
      <c r="AE4" s="28">
        <v>4</v>
      </c>
      <c r="AF4" s="26">
        <v>5.0000000000000002E-5</v>
      </c>
      <c r="AG4" s="28">
        <v>0.2</v>
      </c>
      <c r="AH4" s="28">
        <v>30</v>
      </c>
      <c r="AI4" s="26">
        <v>5.0000000000000001E-9</v>
      </c>
      <c r="AJ4" s="26">
        <f t="shared" si="6"/>
        <v>1.0000000000000001E-9</v>
      </c>
      <c r="AK4" s="26">
        <f t="shared" si="7"/>
        <v>4.0000000000000003E-5</v>
      </c>
      <c r="AL4" s="7">
        <v>0.35214779599938001</v>
      </c>
      <c r="AM4" s="7">
        <v>4193.5351285970401</v>
      </c>
      <c r="AN4" s="7">
        <v>53851.884931140201</v>
      </c>
      <c r="AO4" s="7">
        <v>4193.5351285970401</v>
      </c>
      <c r="AP4" s="7">
        <v>99241.193570966701</v>
      </c>
      <c r="AQ4" s="7">
        <v>5.0929581789406502</v>
      </c>
      <c r="AR4" s="7">
        <f t="shared" si="8"/>
        <v>62238.955188334279</v>
      </c>
      <c r="AT4" s="28">
        <v>4</v>
      </c>
      <c r="AU4" s="26">
        <v>1.0000000000000001E-5</v>
      </c>
      <c r="AV4" s="28">
        <v>0.2</v>
      </c>
      <c r="AW4" s="28">
        <v>200</v>
      </c>
      <c r="AX4" s="26">
        <v>5.0000000000000001E-9</v>
      </c>
      <c r="AY4" s="26">
        <f t="shared" si="9"/>
        <v>1.0000000000000001E-9</v>
      </c>
      <c r="AZ4" s="26">
        <f t="shared" si="10"/>
        <v>2.0000000000000001E-4</v>
      </c>
      <c r="BA4" s="7">
        <v>0.37784925485911403</v>
      </c>
      <c r="BB4" s="7">
        <v>4345.3623253436699</v>
      </c>
      <c r="BC4" s="7">
        <v>269259.42550450901</v>
      </c>
      <c r="BD4" s="7">
        <v>4345.3623253436699</v>
      </c>
      <c r="BE4" s="7">
        <v>496205.96663466899</v>
      </c>
      <c r="BF4" s="7">
        <v>127.323954473516</v>
      </c>
      <c r="BG4" s="7">
        <f t="shared" si="11"/>
        <v>277950.15015519632</v>
      </c>
      <c r="BI4" s="28">
        <v>4</v>
      </c>
      <c r="BJ4" s="26">
        <v>1.0000000000000001E-5</v>
      </c>
      <c r="BK4" s="28">
        <v>0.5</v>
      </c>
      <c r="BL4" s="28">
        <v>200</v>
      </c>
      <c r="BM4" s="26">
        <v>5.0000000000000001E-9</v>
      </c>
      <c r="BN4" s="26">
        <f t="shared" si="12"/>
        <v>2.5000000000000001E-9</v>
      </c>
      <c r="BO4" s="26">
        <f t="shared" si="13"/>
        <v>5.0000000000000001E-4</v>
      </c>
      <c r="BP4" s="7">
        <v>0.922585888959499</v>
      </c>
      <c r="BQ4" s="7">
        <v>3764.12485338133</v>
      </c>
      <c r="BR4" s="7">
        <v>107703.770201803</v>
      </c>
      <c r="BS4" s="7">
        <v>3764.12485338133</v>
      </c>
      <c r="BT4" s="7">
        <v>198482.38665386799</v>
      </c>
      <c r="BU4" s="7">
        <v>127.323954473516</v>
      </c>
      <c r="BV4" s="7">
        <f t="shared" si="14"/>
        <v>115232.01990856566</v>
      </c>
      <c r="BX4" s="28">
        <v>4</v>
      </c>
      <c r="BY4" s="26">
        <v>5.0000000000000002E-5</v>
      </c>
      <c r="BZ4" s="28">
        <v>0.5</v>
      </c>
      <c r="CA4" s="28">
        <v>200</v>
      </c>
      <c r="CB4" s="26">
        <v>5.0000000000000001E-9</v>
      </c>
      <c r="CC4" s="26">
        <f t="shared" si="15"/>
        <v>2.5000000000000001E-9</v>
      </c>
      <c r="CD4" s="26">
        <f t="shared" si="16"/>
        <v>9.9999999999999991E-5</v>
      </c>
      <c r="CE4" s="7">
        <v>0.92361652979451703</v>
      </c>
      <c r="CF4" s="7">
        <v>752.82497001808497</v>
      </c>
      <c r="CG4" s="7">
        <v>21540.753972456099</v>
      </c>
      <c r="CH4" s="7">
        <v>752.82497001808497</v>
      </c>
      <c r="CI4" s="7">
        <v>39696.477428386701</v>
      </c>
      <c r="CJ4" s="7">
        <v>5.0929581789406502</v>
      </c>
      <c r="CK4" s="7">
        <f t="shared" si="17"/>
        <v>23046.403912492271</v>
      </c>
      <c r="CM4" s="28">
        <v>4</v>
      </c>
      <c r="CN4" s="26">
        <v>5.0000000000000002E-5</v>
      </c>
      <c r="CO4" s="28">
        <v>1</v>
      </c>
      <c r="CP4" s="28">
        <v>200</v>
      </c>
      <c r="CQ4" s="26">
        <v>5.0000000000000001E-9</v>
      </c>
      <c r="CR4" s="26">
        <f t="shared" si="18"/>
        <v>5.0000000000000001E-9</v>
      </c>
      <c r="CS4" s="26">
        <f t="shared" si="19"/>
        <v>1.9999999999999998E-4</v>
      </c>
      <c r="CT4" s="7">
        <v>1.7910082267566501</v>
      </c>
      <c r="CU4" s="7">
        <v>665.23311259709499</v>
      </c>
      <c r="CV4" s="7">
        <v>10770.376986228001</v>
      </c>
      <c r="CW4" s="7">
        <v>665.23311259709499</v>
      </c>
      <c r="CX4" s="7">
        <v>19848.2387141933</v>
      </c>
      <c r="CY4" s="7">
        <v>5.0929581789406502</v>
      </c>
      <c r="CZ4" s="7">
        <f t="shared" si="20"/>
        <v>12100.843211422191</v>
      </c>
      <c r="DB4" s="28">
        <v>4</v>
      </c>
      <c r="DC4" s="26">
        <v>5.0000000000000002E-5</v>
      </c>
      <c r="DD4" s="28">
        <v>2</v>
      </c>
      <c r="DE4" s="28">
        <v>200</v>
      </c>
      <c r="DF4" s="26">
        <v>5.0000000000000001E-9</v>
      </c>
      <c r="DG4" s="26">
        <f t="shared" si="21"/>
        <v>1E-8</v>
      </c>
      <c r="DH4" s="26">
        <f t="shared" si="22"/>
        <v>3.9999999999999996E-4</v>
      </c>
      <c r="DI4" s="7">
        <v>3.41349661998425</v>
      </c>
      <c r="DJ4" s="7">
        <v>578.22973015081095</v>
      </c>
      <c r="DK4" s="7">
        <v>5385.1884931140203</v>
      </c>
      <c r="DL4" s="7">
        <v>578.22973015081095</v>
      </c>
      <c r="DM4" s="7">
        <v>9924.1193570966698</v>
      </c>
      <c r="DN4" s="7">
        <v>5.0929581789406502</v>
      </c>
      <c r="DO4" s="7">
        <f t="shared" si="23"/>
        <v>6541.6479534156415</v>
      </c>
      <c r="DQ4" s="28">
        <v>4</v>
      </c>
      <c r="DR4" s="26">
        <v>5.0000000000000002E-5</v>
      </c>
      <c r="DS4" s="28">
        <v>15</v>
      </c>
      <c r="DT4" s="28">
        <v>300</v>
      </c>
      <c r="DU4" s="26">
        <v>1.0000000000000001E-9</v>
      </c>
      <c r="DV4" s="26">
        <f t="shared" si="24"/>
        <v>1.5000000000000002E-8</v>
      </c>
      <c r="DW4" s="26">
        <f t="shared" si="25"/>
        <v>6.0000000000000006E-4</v>
      </c>
      <c r="DX4" s="7">
        <v>21.140380857672699</v>
      </c>
      <c r="DY4" s="7">
        <v>254.539230510376</v>
      </c>
      <c r="DZ4" s="7">
        <v>718.02513241520205</v>
      </c>
      <c r="EA4" s="7">
        <v>718.02513241520205</v>
      </c>
      <c r="EB4" s="7">
        <v>1323.2159142795599</v>
      </c>
      <c r="EC4" s="7">
        <v>1.0185916357881299</v>
      </c>
      <c r="ED4" s="7">
        <f t="shared" si="26"/>
        <v>1690.5894953407801</v>
      </c>
      <c r="EG4" s="32"/>
      <c r="EJ4" s="32"/>
      <c r="EQ4" s="32"/>
      <c r="ER4" s="32"/>
    </row>
    <row r="5" spans="1:148" x14ac:dyDescent="0.4">
      <c r="A5" s="28">
        <v>6</v>
      </c>
      <c r="B5" s="26">
        <v>1.0000000000000001E-5</v>
      </c>
      <c r="C5" s="28">
        <v>0.2</v>
      </c>
      <c r="D5" s="28">
        <v>30</v>
      </c>
      <c r="E5" s="26">
        <v>5.0000000000000001E-9</v>
      </c>
      <c r="F5" s="26">
        <f t="shared" si="0"/>
        <v>1.0000000000000001E-9</v>
      </c>
      <c r="G5" s="26">
        <f t="shared" si="1"/>
        <v>2.0000000000000001E-4</v>
      </c>
      <c r="H5" s="7">
        <v>0.48909249509171598</v>
      </c>
      <c r="I5" s="7">
        <v>20967.675665585699</v>
      </c>
      <c r="J5" s="7">
        <v>165780.67944707401</v>
      </c>
      <c r="K5" s="7">
        <v>20967.675665585699</v>
      </c>
      <c r="L5" s="7">
        <v>651465.34785778704</v>
      </c>
      <c r="M5" s="7">
        <v>127.323954473516</v>
      </c>
      <c r="N5" s="7">
        <f t="shared" si="2"/>
        <v>207716.03077824542</v>
      </c>
      <c r="P5" s="28">
        <v>6</v>
      </c>
      <c r="Q5" s="26">
        <v>3.0000000000000001E-5</v>
      </c>
      <c r="R5" s="28">
        <v>0.2</v>
      </c>
      <c r="S5" s="28">
        <v>30</v>
      </c>
      <c r="T5" s="26">
        <v>5.0000000000000001E-9</v>
      </c>
      <c r="U5" s="26">
        <f t="shared" si="3"/>
        <v>1.0000000000000001E-9</v>
      </c>
      <c r="V5" s="26">
        <f t="shared" si="4"/>
        <v>6.666666666666667E-5</v>
      </c>
      <c r="W5" s="7">
        <v>0.48939537486251899</v>
      </c>
      <c r="X5" s="7">
        <v>6989.2252213633501</v>
      </c>
      <c r="Y5" s="7">
        <v>55260.226463633997</v>
      </c>
      <c r="Z5" s="7">
        <v>6989.2252213633501</v>
      </c>
      <c r="AA5" s="7">
        <v>217155.11601730101</v>
      </c>
      <c r="AB5" s="7">
        <v>14.1471060526129</v>
      </c>
      <c r="AC5" s="7">
        <f t="shared" si="5"/>
        <v>69238.676906360692</v>
      </c>
      <c r="AE5" s="28">
        <v>6</v>
      </c>
      <c r="AF5" s="26">
        <v>5.0000000000000002E-5</v>
      </c>
      <c r="AG5" s="28">
        <v>0.2</v>
      </c>
      <c r="AH5" s="28">
        <v>30</v>
      </c>
      <c r="AI5" s="26">
        <v>5.0000000000000001E-9</v>
      </c>
      <c r="AJ5" s="26">
        <f t="shared" si="6"/>
        <v>1.0000000000000001E-9</v>
      </c>
      <c r="AK5" s="26">
        <f t="shared" si="7"/>
        <v>4.0000000000000003E-5</v>
      </c>
      <c r="AL5" s="7">
        <v>0.489456011191712</v>
      </c>
      <c r="AM5" s="7">
        <v>4193.5351285970401</v>
      </c>
      <c r="AN5" s="7">
        <v>33156.135719653299</v>
      </c>
      <c r="AO5" s="7">
        <v>4193.5351285970401</v>
      </c>
      <c r="AP5" s="7">
        <v>130293.0701582</v>
      </c>
      <c r="AQ5" s="7">
        <v>5.0929581789406502</v>
      </c>
      <c r="AR5" s="7">
        <f t="shared" si="8"/>
        <v>41543.205976847377</v>
      </c>
      <c r="AT5" s="28">
        <v>6</v>
      </c>
      <c r="AU5" s="26">
        <v>1.0000000000000001E-5</v>
      </c>
      <c r="AV5" s="28">
        <v>0.2</v>
      </c>
      <c r="AW5" s="28">
        <v>200</v>
      </c>
      <c r="AX5" s="26">
        <v>5.0000000000000001E-9</v>
      </c>
      <c r="AY5" s="26">
        <f t="shared" si="9"/>
        <v>1.0000000000000001E-9</v>
      </c>
      <c r="AZ5" s="26">
        <f t="shared" si="10"/>
        <v>2.0000000000000001E-4</v>
      </c>
      <c r="BA5" s="7">
        <v>0.55963202489730801</v>
      </c>
      <c r="BB5" s="7">
        <v>4345.3623253436699</v>
      </c>
      <c r="BC5" s="7">
        <v>165780.67944707401</v>
      </c>
      <c r="BD5" s="7">
        <v>4345.3623253436699</v>
      </c>
      <c r="BE5" s="7">
        <v>651465.34785778704</v>
      </c>
      <c r="BF5" s="7">
        <v>127.323954473516</v>
      </c>
      <c r="BG5" s="7">
        <f t="shared" si="11"/>
        <v>174471.40409776138</v>
      </c>
      <c r="BI5" s="28">
        <v>6</v>
      </c>
      <c r="BJ5" s="26">
        <v>1.0000000000000001E-5</v>
      </c>
      <c r="BK5" s="28">
        <v>0.5</v>
      </c>
      <c r="BL5" s="28">
        <v>200</v>
      </c>
      <c r="BM5" s="26">
        <v>5.0000000000000001E-9</v>
      </c>
      <c r="BN5" s="26">
        <f t="shared" si="12"/>
        <v>2.5000000000000001E-9</v>
      </c>
      <c r="BO5" s="26">
        <f t="shared" si="13"/>
        <v>5.0000000000000001E-4</v>
      </c>
      <c r="BP5" s="7">
        <v>1.3364758786525599</v>
      </c>
      <c r="BQ5" s="7">
        <v>3764.12485338133</v>
      </c>
      <c r="BR5" s="7">
        <v>66312.271778829701</v>
      </c>
      <c r="BS5" s="7">
        <v>3764.12485338133</v>
      </c>
      <c r="BT5" s="7">
        <v>260586.139143115</v>
      </c>
      <c r="BU5" s="7">
        <v>127.323954473516</v>
      </c>
      <c r="BV5" s="7">
        <f t="shared" si="14"/>
        <v>73840.52148559237</v>
      </c>
      <c r="BX5" s="28">
        <v>6</v>
      </c>
      <c r="BY5" s="26">
        <v>5.0000000000000002E-5</v>
      </c>
      <c r="BZ5" s="28">
        <v>0.5</v>
      </c>
      <c r="CA5" s="28">
        <v>200</v>
      </c>
      <c r="CB5" s="26">
        <v>5.0000000000000001E-9</v>
      </c>
      <c r="CC5" s="26">
        <f t="shared" si="15"/>
        <v>2.5000000000000001E-9</v>
      </c>
      <c r="CD5" s="26">
        <f t="shared" si="16"/>
        <v>9.9999999999999991E-5</v>
      </c>
      <c r="CE5" s="7">
        <v>1.3393447919413</v>
      </c>
      <c r="CF5" s="7">
        <v>752.82497001808497</v>
      </c>
      <c r="CG5" s="7">
        <v>13262.454287861299</v>
      </c>
      <c r="CH5" s="7">
        <v>752.82497001808497</v>
      </c>
      <c r="CI5" s="7">
        <v>52117.228063280199</v>
      </c>
      <c r="CJ5" s="7">
        <v>5.0929581789406502</v>
      </c>
      <c r="CK5" s="7">
        <f t="shared" si="17"/>
        <v>14768.104227897471</v>
      </c>
      <c r="CM5" s="28">
        <v>6</v>
      </c>
      <c r="CN5" s="26">
        <v>5.0000000000000002E-5</v>
      </c>
      <c r="CO5" s="28">
        <v>1</v>
      </c>
      <c r="CP5" s="28">
        <v>200</v>
      </c>
      <c r="CQ5" s="26">
        <v>5.0000000000000001E-9</v>
      </c>
      <c r="CR5" s="26">
        <f t="shared" si="18"/>
        <v>5.0000000000000001E-9</v>
      </c>
      <c r="CS5" s="26">
        <f t="shared" si="19"/>
        <v>1.9999999999999998E-4</v>
      </c>
      <c r="CT5" s="7">
        <v>2.5261380850898201</v>
      </c>
      <c r="CU5" s="7">
        <v>665.23311259709499</v>
      </c>
      <c r="CV5" s="7">
        <v>6631.2271439306596</v>
      </c>
      <c r="CW5" s="7">
        <v>665.23311259709499</v>
      </c>
      <c r="CX5" s="7">
        <v>26058.6140316401</v>
      </c>
      <c r="CY5" s="7">
        <v>5.0929581789406502</v>
      </c>
      <c r="CZ5" s="7">
        <f t="shared" si="20"/>
        <v>7961.6933691248496</v>
      </c>
      <c r="DB5" s="28">
        <v>6</v>
      </c>
      <c r="DC5" s="26">
        <v>5.0000000000000002E-5</v>
      </c>
      <c r="DD5" s="28">
        <v>2</v>
      </c>
      <c r="DE5" s="28">
        <v>200</v>
      </c>
      <c r="DF5" s="26">
        <v>5.0000000000000001E-9</v>
      </c>
      <c r="DG5" s="26">
        <f t="shared" si="21"/>
        <v>1E-8</v>
      </c>
      <c r="DH5" s="26">
        <f t="shared" si="22"/>
        <v>3.9999999999999996E-4</v>
      </c>
      <c r="DI5" s="7">
        <v>4.6238910508058604</v>
      </c>
      <c r="DJ5" s="7">
        <v>578.22973015081095</v>
      </c>
      <c r="DK5" s="7">
        <v>3315.6135719653298</v>
      </c>
      <c r="DL5" s="7">
        <v>578.22973015081095</v>
      </c>
      <c r="DM5" s="7">
        <v>13029.307015820101</v>
      </c>
      <c r="DN5" s="7">
        <v>5.0929581789406502</v>
      </c>
      <c r="DO5" s="7">
        <f t="shared" si="23"/>
        <v>4472.0730322669515</v>
      </c>
      <c r="DQ5" s="28">
        <v>6</v>
      </c>
      <c r="DR5" s="26">
        <v>5.0000000000000002E-5</v>
      </c>
      <c r="DS5" s="28">
        <v>15</v>
      </c>
      <c r="DT5" s="28">
        <v>300</v>
      </c>
      <c r="DU5" s="26">
        <v>1.0000000000000001E-9</v>
      </c>
      <c r="DV5" s="26">
        <f t="shared" si="24"/>
        <v>1.5000000000000002E-8</v>
      </c>
      <c r="DW5" s="26">
        <f t="shared" si="25"/>
        <v>6.0000000000000006E-4</v>
      </c>
      <c r="DX5" s="7">
        <v>25.054226084233299</v>
      </c>
      <c r="DY5" s="7">
        <v>254.539230510376</v>
      </c>
      <c r="DZ5" s="7">
        <v>442.08180959537702</v>
      </c>
      <c r="EA5" s="7">
        <v>442.08180959537702</v>
      </c>
      <c r="EB5" s="7">
        <v>1737.24093544267</v>
      </c>
      <c r="EC5" s="7">
        <v>1.0185916357881299</v>
      </c>
      <c r="ED5" s="7">
        <f t="shared" si="26"/>
        <v>1138.7028497011302</v>
      </c>
      <c r="EG5" s="32"/>
      <c r="EJ5" s="32"/>
      <c r="EQ5" s="32"/>
      <c r="ER5" s="32"/>
    </row>
    <row r="6" spans="1:148" x14ac:dyDescent="0.4">
      <c r="A6" s="28">
        <v>8</v>
      </c>
      <c r="B6" s="26">
        <v>1.0000000000000001E-5</v>
      </c>
      <c r="C6" s="28">
        <v>0.2</v>
      </c>
      <c r="D6" s="28">
        <v>30</v>
      </c>
      <c r="E6" s="26">
        <v>5.0000000000000001E-9</v>
      </c>
      <c r="F6" s="26">
        <f t="shared" si="0"/>
        <v>1.0000000000000001E-9</v>
      </c>
      <c r="G6" s="26">
        <f t="shared" si="1"/>
        <v>2.0000000000000001E-4</v>
      </c>
      <c r="H6" s="7">
        <v>0.698513704750375</v>
      </c>
      <c r="I6" s="7">
        <v>20967.675665585699</v>
      </c>
      <c r="J6" s="7">
        <v>100396.196898707</v>
      </c>
      <c r="K6" s="7">
        <v>20967.675665585699</v>
      </c>
      <c r="L6" s="7">
        <v>821154.82400854595</v>
      </c>
      <c r="M6" s="7">
        <v>127.323954473516</v>
      </c>
      <c r="N6" s="7">
        <f t="shared" si="2"/>
        <v>142331.54822987839</v>
      </c>
      <c r="P6" s="28">
        <v>8</v>
      </c>
      <c r="Q6" s="26">
        <v>3.0000000000000001E-5</v>
      </c>
      <c r="R6" s="28">
        <v>0.2</v>
      </c>
      <c r="S6" s="28">
        <v>30</v>
      </c>
      <c r="T6" s="26">
        <v>5.0000000000000001E-9</v>
      </c>
      <c r="U6" s="26">
        <f t="shared" si="3"/>
        <v>1.0000000000000001E-9</v>
      </c>
      <c r="V6" s="26">
        <f t="shared" si="4"/>
        <v>6.666666666666667E-5</v>
      </c>
      <c r="W6" s="7">
        <v>0.69922316572672605</v>
      </c>
      <c r="X6" s="7">
        <v>6989.2252213633501</v>
      </c>
      <c r="Y6" s="7">
        <v>33465.398947511501</v>
      </c>
      <c r="Z6" s="7">
        <v>6989.2252213633501</v>
      </c>
      <c r="AA6" s="7">
        <v>273718.27480960399</v>
      </c>
      <c r="AB6" s="7">
        <v>14.1471060526129</v>
      </c>
      <c r="AC6" s="7">
        <f t="shared" si="5"/>
        <v>47443.849390238196</v>
      </c>
      <c r="AE6" s="28">
        <v>8</v>
      </c>
      <c r="AF6" s="26">
        <v>5.0000000000000002E-5</v>
      </c>
      <c r="AG6" s="28">
        <v>0.2</v>
      </c>
      <c r="AH6" s="28">
        <v>30</v>
      </c>
      <c r="AI6" s="26">
        <v>5.0000000000000001E-9</v>
      </c>
      <c r="AJ6" s="26">
        <f t="shared" si="6"/>
        <v>1.0000000000000001E-9</v>
      </c>
      <c r="AK6" s="26">
        <f t="shared" si="7"/>
        <v>4.0000000000000003E-5</v>
      </c>
      <c r="AL6" s="7">
        <v>0.69936526364831697</v>
      </c>
      <c r="AM6" s="7">
        <v>4193.5351285970401</v>
      </c>
      <c r="AN6" s="7">
        <v>20079.239209979802</v>
      </c>
      <c r="AO6" s="7">
        <v>4193.5351285970401</v>
      </c>
      <c r="AP6" s="7">
        <v>164230.96607182099</v>
      </c>
      <c r="AQ6" s="7">
        <v>5.0929581789406502</v>
      </c>
      <c r="AR6" s="7">
        <f t="shared" si="8"/>
        <v>28466.30946717388</v>
      </c>
      <c r="AT6" s="28">
        <v>8</v>
      </c>
      <c r="AU6" s="26">
        <v>1.0000000000000001E-5</v>
      </c>
      <c r="AV6" s="28">
        <v>0.2</v>
      </c>
      <c r="AW6" s="28">
        <v>200</v>
      </c>
      <c r="AX6" s="26">
        <v>5.0000000000000001E-9</v>
      </c>
      <c r="AY6" s="26">
        <f t="shared" si="9"/>
        <v>1.0000000000000001E-9</v>
      </c>
      <c r="AZ6" s="26">
        <f t="shared" si="10"/>
        <v>2.0000000000000001E-4</v>
      </c>
      <c r="BA6" s="7">
        <v>0.87947087343605501</v>
      </c>
      <c r="BB6" s="7">
        <v>4345.3623253436699</v>
      </c>
      <c r="BC6" s="7">
        <v>100396.196898707</v>
      </c>
      <c r="BD6" s="7">
        <v>4345.3623253436699</v>
      </c>
      <c r="BE6" s="7">
        <v>821154.82400854595</v>
      </c>
      <c r="BF6" s="7">
        <v>127.323954473516</v>
      </c>
      <c r="BG6" s="7">
        <f t="shared" si="11"/>
        <v>109086.92154939433</v>
      </c>
      <c r="BI6" s="28">
        <v>8</v>
      </c>
      <c r="BJ6" s="26">
        <v>1.0000000000000001E-5</v>
      </c>
      <c r="BK6" s="28">
        <v>0.5</v>
      </c>
      <c r="BL6" s="28">
        <v>200</v>
      </c>
      <c r="BM6" s="26">
        <v>5.0000000000000001E-9</v>
      </c>
      <c r="BN6" s="26">
        <f t="shared" si="12"/>
        <v>2.5000000000000001E-9</v>
      </c>
      <c r="BO6" s="26">
        <f t="shared" si="13"/>
        <v>5.0000000000000001E-4</v>
      </c>
      <c r="BP6" s="7">
        <v>2.0284999891608901</v>
      </c>
      <c r="BQ6" s="7">
        <v>3764.12485338133</v>
      </c>
      <c r="BR6" s="7">
        <v>40158.478759482699</v>
      </c>
      <c r="BS6" s="7">
        <v>3764.12485338133</v>
      </c>
      <c r="BT6" s="7">
        <v>328461.92960341799</v>
      </c>
      <c r="BU6" s="7">
        <v>127.323954473516</v>
      </c>
      <c r="BV6" s="7">
        <f t="shared" si="14"/>
        <v>47686.728466245353</v>
      </c>
      <c r="BX6" s="28">
        <v>8</v>
      </c>
      <c r="BY6" s="26">
        <v>5.0000000000000002E-5</v>
      </c>
      <c r="BZ6" s="28">
        <v>0.5</v>
      </c>
      <c r="CA6" s="28">
        <v>200</v>
      </c>
      <c r="CB6" s="26">
        <v>5.0000000000000001E-9</v>
      </c>
      <c r="CC6" s="26">
        <f t="shared" si="15"/>
        <v>2.5000000000000001E-9</v>
      </c>
      <c r="CD6" s="26">
        <f t="shared" si="16"/>
        <v>9.9999999999999991E-5</v>
      </c>
      <c r="CE6" s="7">
        <v>2.0360539762560901</v>
      </c>
      <c r="CF6" s="7">
        <v>752.82497001808497</v>
      </c>
      <c r="CG6" s="7">
        <v>8031.6956839919103</v>
      </c>
      <c r="CH6" s="7">
        <v>752.82497001808497</v>
      </c>
      <c r="CI6" s="7">
        <v>65692.386428728598</v>
      </c>
      <c r="CJ6" s="7">
        <v>5.0929581789406502</v>
      </c>
      <c r="CK6" s="7">
        <f t="shared" si="17"/>
        <v>9537.3456240280793</v>
      </c>
      <c r="CM6" s="28">
        <v>8</v>
      </c>
      <c r="CN6" s="26">
        <v>5.0000000000000002E-5</v>
      </c>
      <c r="CO6" s="28">
        <v>1</v>
      </c>
      <c r="CP6" s="28">
        <v>200</v>
      </c>
      <c r="CQ6" s="26">
        <v>5.0000000000000001E-9</v>
      </c>
      <c r="CR6" s="26">
        <f t="shared" si="18"/>
        <v>5.0000000000000001E-9</v>
      </c>
      <c r="CS6" s="26">
        <f t="shared" si="19"/>
        <v>1.9999999999999998E-4</v>
      </c>
      <c r="CT6" s="7">
        <v>3.6853177922103302</v>
      </c>
      <c r="CU6" s="7">
        <v>665.23311259709499</v>
      </c>
      <c r="CV6" s="7">
        <v>4015.8478419959501</v>
      </c>
      <c r="CW6" s="7">
        <v>665.23311259709499</v>
      </c>
      <c r="CX6" s="7">
        <v>32846.193214364299</v>
      </c>
      <c r="CY6" s="7">
        <v>5.0929581789406502</v>
      </c>
      <c r="CZ6" s="7">
        <f t="shared" si="20"/>
        <v>5346.3140671901401</v>
      </c>
      <c r="DB6" s="28">
        <v>8</v>
      </c>
      <c r="DC6" s="26">
        <v>5.0000000000000002E-5</v>
      </c>
      <c r="DD6" s="28">
        <v>2</v>
      </c>
      <c r="DE6" s="28">
        <v>200</v>
      </c>
      <c r="DF6" s="26">
        <v>5.0000000000000001E-9</v>
      </c>
      <c r="DG6" s="26">
        <f t="shared" si="21"/>
        <v>1E-8</v>
      </c>
      <c r="DH6" s="26">
        <f t="shared" si="22"/>
        <v>3.9999999999999996E-4</v>
      </c>
      <c r="DI6" s="7">
        <v>6.3798666994984101</v>
      </c>
      <c r="DJ6" s="7">
        <v>578.22973015081095</v>
      </c>
      <c r="DK6" s="7">
        <v>2007.9239209979801</v>
      </c>
      <c r="DL6" s="7">
        <v>578.22973015081095</v>
      </c>
      <c r="DM6" s="7">
        <v>16423.096607182099</v>
      </c>
      <c r="DN6" s="7">
        <v>5.0929581789406502</v>
      </c>
      <c r="DO6" s="7">
        <f t="shared" si="23"/>
        <v>3164.3833812996022</v>
      </c>
      <c r="DQ6" s="28">
        <v>8</v>
      </c>
      <c r="DR6" s="26">
        <v>5.0000000000000002E-5</v>
      </c>
      <c r="DS6" s="28">
        <v>15</v>
      </c>
      <c r="DT6" s="28">
        <v>300</v>
      </c>
      <c r="DU6" s="26">
        <v>1.0000000000000001E-9</v>
      </c>
      <c r="DV6" s="26">
        <f t="shared" si="24"/>
        <v>1.5000000000000002E-8</v>
      </c>
      <c r="DW6" s="26">
        <f t="shared" si="25"/>
        <v>6.0000000000000006E-4</v>
      </c>
      <c r="DX6" s="7">
        <v>29.543043099459499</v>
      </c>
      <c r="DY6" s="7">
        <v>254.539230510376</v>
      </c>
      <c r="DZ6" s="7">
        <v>267.723189466397</v>
      </c>
      <c r="EA6" s="7">
        <v>267.723189466397</v>
      </c>
      <c r="EB6" s="7">
        <v>2189.7462142909499</v>
      </c>
      <c r="EC6" s="7">
        <v>1.0185916357881299</v>
      </c>
      <c r="ED6" s="7">
        <f t="shared" si="26"/>
        <v>789.98560944317001</v>
      </c>
      <c r="EG6" s="32"/>
      <c r="EJ6" s="32"/>
      <c r="EQ6" s="32"/>
      <c r="ER6" s="32"/>
    </row>
    <row r="7" spans="1:148" x14ac:dyDescent="0.4">
      <c r="A7" s="28">
        <v>10</v>
      </c>
      <c r="B7" s="26">
        <v>1.0000000000000001E-5</v>
      </c>
      <c r="C7" s="28">
        <v>0.2</v>
      </c>
      <c r="D7" s="28">
        <v>30</v>
      </c>
      <c r="E7" s="26">
        <v>5.0000000000000001E-9</v>
      </c>
      <c r="F7" s="26">
        <f t="shared" si="0"/>
        <v>1.0000000000000001E-9</v>
      </c>
      <c r="G7" s="26">
        <f t="shared" si="1"/>
        <v>2.0000000000000001E-4</v>
      </c>
      <c r="H7" s="7">
        <v>1.0421711174902999</v>
      </c>
      <c r="I7" s="7">
        <v>20967.675665585699</v>
      </c>
      <c r="J7" s="7">
        <v>53826.312121005001</v>
      </c>
      <c r="K7" s="7">
        <v>20967.675665585699</v>
      </c>
      <c r="L7" s="7">
        <v>1014751.21705289</v>
      </c>
      <c r="M7" s="7">
        <v>127.323954473516</v>
      </c>
      <c r="N7" s="7">
        <f t="shared" si="2"/>
        <v>95761.663452176406</v>
      </c>
      <c r="P7" s="28">
        <v>10</v>
      </c>
      <c r="Q7" s="26">
        <v>3.0000000000000001E-5</v>
      </c>
      <c r="R7" s="28">
        <v>0.2</v>
      </c>
      <c r="S7" s="28">
        <v>30</v>
      </c>
      <c r="T7" s="26">
        <v>5.0000000000000001E-9</v>
      </c>
      <c r="U7" s="26">
        <f t="shared" si="3"/>
        <v>1.0000000000000001E-9</v>
      </c>
      <c r="V7" s="26">
        <f t="shared" si="4"/>
        <v>6.666666666666667E-5</v>
      </c>
      <c r="W7" s="7">
        <v>1.04385746842216</v>
      </c>
      <c r="X7" s="7">
        <v>6989.2252213633501</v>
      </c>
      <c r="Y7" s="7">
        <v>17942.1040216109</v>
      </c>
      <c r="Z7" s="7">
        <v>6989.2252213633501</v>
      </c>
      <c r="AA7" s="7">
        <v>338250.40599296999</v>
      </c>
      <c r="AB7" s="7">
        <v>14.1471060526129</v>
      </c>
      <c r="AC7" s="7">
        <f t="shared" si="5"/>
        <v>31920.554464337602</v>
      </c>
      <c r="AE7" s="28">
        <v>10</v>
      </c>
      <c r="AF7" s="26">
        <v>5.0000000000000002E-5</v>
      </c>
      <c r="AG7" s="28">
        <v>0.2</v>
      </c>
      <c r="AH7" s="28">
        <v>30</v>
      </c>
      <c r="AI7" s="26">
        <v>5.0000000000000001E-9</v>
      </c>
      <c r="AJ7" s="26">
        <f t="shared" si="6"/>
        <v>1.0000000000000001E-9</v>
      </c>
      <c r="AK7" s="26">
        <f t="shared" si="7"/>
        <v>4.0000000000000003E-5</v>
      </c>
      <c r="AL7" s="7">
        <v>1.04419546277032</v>
      </c>
      <c r="AM7" s="7">
        <v>4193.5351285970401</v>
      </c>
      <c r="AN7" s="7">
        <v>10765.2622544394</v>
      </c>
      <c r="AO7" s="7">
        <v>4193.5351285970401</v>
      </c>
      <c r="AP7" s="7">
        <v>202950.24620916101</v>
      </c>
      <c r="AQ7" s="7">
        <v>5.0929581789406502</v>
      </c>
      <c r="AR7" s="7">
        <f t="shared" si="8"/>
        <v>19152.332511633478</v>
      </c>
      <c r="AT7" s="28">
        <v>10</v>
      </c>
      <c r="AU7" s="26">
        <v>1.0000000000000001E-5</v>
      </c>
      <c r="AV7" s="28">
        <v>0.2</v>
      </c>
      <c r="AW7" s="28">
        <v>200</v>
      </c>
      <c r="AX7" s="26">
        <v>5.0000000000000001E-9</v>
      </c>
      <c r="AY7" s="26">
        <f t="shared" si="9"/>
        <v>1.0000000000000001E-9</v>
      </c>
      <c r="AZ7" s="26">
        <f t="shared" si="10"/>
        <v>2.0000000000000001E-4</v>
      </c>
      <c r="BA7" s="7">
        <v>1.54640626475156</v>
      </c>
      <c r="BB7" s="7">
        <v>4345.3623253436699</v>
      </c>
      <c r="BC7" s="7">
        <v>53826.312121005001</v>
      </c>
      <c r="BD7" s="7">
        <v>4345.3623253436699</v>
      </c>
      <c r="BE7" s="7">
        <v>1014751.21705289</v>
      </c>
      <c r="BF7" s="7">
        <v>127.323954473516</v>
      </c>
      <c r="BG7" s="7">
        <f t="shared" si="11"/>
        <v>62517.036771692336</v>
      </c>
      <c r="BI7" s="28">
        <v>10</v>
      </c>
      <c r="BJ7" s="26">
        <v>1.0000000000000001E-5</v>
      </c>
      <c r="BK7" s="28">
        <v>0.5</v>
      </c>
      <c r="BL7" s="28">
        <v>200</v>
      </c>
      <c r="BM7" s="26">
        <v>5.0000000000000001E-9</v>
      </c>
      <c r="BN7" s="26">
        <f t="shared" si="12"/>
        <v>2.5000000000000001E-9</v>
      </c>
      <c r="BO7" s="26">
        <f t="shared" si="13"/>
        <v>5.0000000000000001E-4</v>
      </c>
      <c r="BP7" s="7">
        <v>3.3437755963599098</v>
      </c>
      <c r="BQ7" s="7">
        <v>3764.12485338133</v>
      </c>
      <c r="BR7" s="7">
        <v>21530.524848402001</v>
      </c>
      <c r="BS7" s="7">
        <v>3764.12485338133</v>
      </c>
      <c r="BT7" s="7">
        <v>405900.48682115501</v>
      </c>
      <c r="BU7" s="7">
        <v>127.323954473516</v>
      </c>
      <c r="BV7" s="7">
        <f t="shared" si="14"/>
        <v>29058.774555164662</v>
      </c>
      <c r="BX7" s="28">
        <v>10</v>
      </c>
      <c r="BY7" s="26">
        <v>5.0000000000000002E-5</v>
      </c>
      <c r="BZ7" s="28">
        <v>0.5</v>
      </c>
      <c r="CA7" s="28">
        <v>200</v>
      </c>
      <c r="CB7" s="26">
        <v>5.0000000000000001E-9</v>
      </c>
      <c r="CC7" s="26">
        <f t="shared" si="15"/>
        <v>2.5000000000000001E-9</v>
      </c>
      <c r="CD7" s="26">
        <f t="shared" si="16"/>
        <v>9.9999999999999991E-5</v>
      </c>
      <c r="CE7" s="7">
        <v>3.36560022789903</v>
      </c>
      <c r="CF7" s="7">
        <v>752.82497001808497</v>
      </c>
      <c r="CG7" s="7">
        <v>4306.1049017757796</v>
      </c>
      <c r="CH7" s="7">
        <v>752.82497001808497</v>
      </c>
      <c r="CI7" s="7">
        <v>81180.098483664406</v>
      </c>
      <c r="CJ7" s="7">
        <v>5.0929581789406502</v>
      </c>
      <c r="CK7" s="7">
        <f t="shared" si="17"/>
        <v>5811.7548418119495</v>
      </c>
      <c r="CM7" s="28">
        <v>10</v>
      </c>
      <c r="CN7" s="26">
        <v>5.0000000000000002E-5</v>
      </c>
      <c r="CO7" s="28">
        <v>1</v>
      </c>
      <c r="CP7" s="28">
        <v>200</v>
      </c>
      <c r="CQ7" s="26">
        <v>5.0000000000000001E-9</v>
      </c>
      <c r="CR7" s="26">
        <f t="shared" si="18"/>
        <v>5.0000000000000001E-9</v>
      </c>
      <c r="CS7" s="26">
        <f t="shared" si="19"/>
        <v>1.9999999999999998E-4</v>
      </c>
      <c r="CT7" s="7">
        <v>5.6835968078862802</v>
      </c>
      <c r="CU7" s="7">
        <v>665.23311259709499</v>
      </c>
      <c r="CV7" s="7">
        <v>2153.0524508878898</v>
      </c>
      <c r="CW7" s="7">
        <v>665.23311259709499</v>
      </c>
      <c r="CX7" s="7">
        <v>40590.049241832203</v>
      </c>
      <c r="CY7" s="7">
        <v>5.0929581789406502</v>
      </c>
      <c r="CZ7" s="7">
        <f t="shared" si="20"/>
        <v>3483.5186760820798</v>
      </c>
      <c r="DB7" s="28">
        <v>10</v>
      </c>
      <c r="DC7" s="26">
        <v>5.0000000000000002E-5</v>
      </c>
      <c r="DD7" s="28">
        <v>2</v>
      </c>
      <c r="DE7" s="28">
        <v>200</v>
      </c>
      <c r="DF7" s="26">
        <v>5.0000000000000001E-9</v>
      </c>
      <c r="DG7" s="26">
        <f t="shared" si="21"/>
        <v>1E-8</v>
      </c>
      <c r="DH7" s="26">
        <f t="shared" si="22"/>
        <v>3.9999999999999996E-4</v>
      </c>
      <c r="DI7" s="7">
        <v>9.0514368722865299</v>
      </c>
      <c r="DJ7" s="7">
        <v>578.22973015081095</v>
      </c>
      <c r="DK7" s="7">
        <v>1076.5262254439399</v>
      </c>
      <c r="DL7" s="7">
        <v>578.22973015081095</v>
      </c>
      <c r="DM7" s="7">
        <v>20295.024620916101</v>
      </c>
      <c r="DN7" s="7">
        <v>5.0929581789406502</v>
      </c>
      <c r="DO7" s="7">
        <f t="shared" si="23"/>
        <v>2232.985685745562</v>
      </c>
      <c r="DQ7" s="28">
        <v>10</v>
      </c>
      <c r="DR7" s="26">
        <v>5.0000000000000002E-5</v>
      </c>
      <c r="DS7" s="28">
        <v>15</v>
      </c>
      <c r="DT7" s="28">
        <v>300</v>
      </c>
      <c r="DU7" s="26">
        <v>1.0000000000000001E-9</v>
      </c>
      <c r="DV7" s="26">
        <f t="shared" si="24"/>
        <v>1.5000000000000002E-8</v>
      </c>
      <c r="DW7" s="26">
        <f t="shared" si="25"/>
        <v>6.0000000000000006E-4</v>
      </c>
      <c r="DX7" s="7">
        <v>34.684492772355</v>
      </c>
      <c r="DY7" s="7">
        <v>254.539230510376</v>
      </c>
      <c r="DZ7" s="7">
        <v>143.53683005919299</v>
      </c>
      <c r="EA7" s="7">
        <v>143.53683005919299</v>
      </c>
      <c r="EB7" s="7">
        <v>2706.0032827888099</v>
      </c>
      <c r="EC7" s="7">
        <v>1.0185916357881299</v>
      </c>
      <c r="ED7" s="7">
        <f t="shared" si="26"/>
        <v>541.61289062876199</v>
      </c>
      <c r="EG7" s="32"/>
      <c r="EJ7" s="32"/>
      <c r="EQ7" s="32"/>
      <c r="ER7" s="32"/>
    </row>
    <row r="8" spans="1:148" x14ac:dyDescent="0.4">
      <c r="A8" s="28">
        <v>12</v>
      </c>
      <c r="B8" s="26">
        <v>1.0000000000000001E-5</v>
      </c>
      <c r="C8" s="28">
        <v>0.2</v>
      </c>
      <c r="D8" s="28">
        <v>30</v>
      </c>
      <c r="E8" s="26">
        <v>5.0000000000000001E-9</v>
      </c>
      <c r="F8" s="26">
        <f t="shared" si="0"/>
        <v>1.0000000000000001E-9</v>
      </c>
      <c r="G8" s="26">
        <f t="shared" si="1"/>
        <v>2.0000000000000001E-4</v>
      </c>
      <c r="H8" s="7">
        <v>1.6863145768521099</v>
      </c>
      <c r="I8" s="7">
        <v>20967.675665585699</v>
      </c>
      <c r="J8" s="7">
        <v>18265.061724746</v>
      </c>
      <c r="K8" s="7">
        <v>20967.675665585699</v>
      </c>
      <c r="L8" s="7">
        <v>1222830.0672564299</v>
      </c>
      <c r="M8" s="7">
        <v>127.323954473516</v>
      </c>
      <c r="N8" s="7">
        <f t="shared" si="2"/>
        <v>60200.413055917394</v>
      </c>
      <c r="P8" s="28">
        <v>12</v>
      </c>
      <c r="Q8" s="26">
        <v>3.0000000000000001E-5</v>
      </c>
      <c r="R8" s="28">
        <v>0.2</v>
      </c>
      <c r="S8" s="28">
        <v>30</v>
      </c>
      <c r="T8" s="26">
        <v>5.0000000000000001E-9</v>
      </c>
      <c r="U8" s="26">
        <f t="shared" si="3"/>
        <v>1.0000000000000001E-9</v>
      </c>
      <c r="V8" s="26">
        <f t="shared" si="4"/>
        <v>6.666666666666667E-5</v>
      </c>
      <c r="W8" s="7">
        <v>1.6908395826301801</v>
      </c>
      <c r="X8" s="7">
        <v>6989.2252213633501</v>
      </c>
      <c r="Y8" s="7">
        <v>6088.3538895246002</v>
      </c>
      <c r="Z8" s="7">
        <v>6989.2252213633501</v>
      </c>
      <c r="AA8" s="7">
        <v>407610.02322415198</v>
      </c>
      <c r="AB8" s="7">
        <v>14.1471060526129</v>
      </c>
      <c r="AC8" s="7">
        <f t="shared" si="5"/>
        <v>20066.8043322513</v>
      </c>
      <c r="AE8" s="28">
        <v>12</v>
      </c>
      <c r="AF8" s="26">
        <v>5.0000000000000002E-5</v>
      </c>
      <c r="AG8" s="28">
        <v>0.2</v>
      </c>
      <c r="AH8" s="28">
        <v>30</v>
      </c>
      <c r="AI8" s="26">
        <v>5.0000000000000001E-9</v>
      </c>
      <c r="AJ8" s="26">
        <f t="shared" si="6"/>
        <v>1.0000000000000001E-9</v>
      </c>
      <c r="AK8" s="26">
        <f t="shared" si="7"/>
        <v>4.0000000000000003E-5</v>
      </c>
      <c r="AL8" s="7">
        <v>1.6917476635642501</v>
      </c>
      <c r="AM8" s="7">
        <v>4193.5351285970401</v>
      </c>
      <c r="AN8" s="7">
        <v>3653.01217518762</v>
      </c>
      <c r="AO8" s="7">
        <v>4193.5351285970401</v>
      </c>
      <c r="AP8" s="7">
        <v>244566.02075291699</v>
      </c>
      <c r="AQ8" s="7">
        <v>5.0929581789406502</v>
      </c>
      <c r="AR8" s="7">
        <f t="shared" si="8"/>
        <v>12040.0824323817</v>
      </c>
      <c r="AT8" s="28">
        <v>12</v>
      </c>
      <c r="AU8" s="26">
        <v>1.0000000000000001E-5</v>
      </c>
      <c r="AV8" s="28">
        <v>0.2</v>
      </c>
      <c r="AW8" s="28">
        <v>200</v>
      </c>
      <c r="AX8" s="26">
        <v>5.0000000000000001E-9</v>
      </c>
      <c r="AY8" s="26">
        <f t="shared" si="9"/>
        <v>1.0000000000000001E-9</v>
      </c>
      <c r="AZ8" s="26">
        <f t="shared" si="10"/>
        <v>2.0000000000000001E-4</v>
      </c>
      <c r="BA8" s="7">
        <v>3.6495280628342899</v>
      </c>
      <c r="BB8" s="7">
        <v>4345.3623253436699</v>
      </c>
      <c r="BC8" s="7">
        <v>18265.061724746</v>
      </c>
      <c r="BD8" s="7">
        <v>4345.3623253436699</v>
      </c>
      <c r="BE8" s="7">
        <v>1222830.0672564299</v>
      </c>
      <c r="BF8" s="7">
        <v>127.323954473516</v>
      </c>
      <c r="BG8" s="7">
        <f t="shared" si="11"/>
        <v>26955.786375433341</v>
      </c>
      <c r="BI8" s="28">
        <v>12</v>
      </c>
      <c r="BJ8" s="26">
        <v>1.0000000000000001E-5</v>
      </c>
      <c r="BK8" s="28">
        <v>0.5</v>
      </c>
      <c r="BL8" s="28">
        <v>200</v>
      </c>
      <c r="BM8" s="26">
        <v>5.0000000000000001E-9</v>
      </c>
      <c r="BN8" s="26">
        <f t="shared" si="12"/>
        <v>2.5000000000000001E-9</v>
      </c>
      <c r="BO8" s="26">
        <f t="shared" si="13"/>
        <v>5.0000000000000001E-4</v>
      </c>
      <c r="BP8" s="7">
        <v>6.6366783261679902</v>
      </c>
      <c r="BQ8" s="7">
        <v>3764.12485338133</v>
      </c>
      <c r="BR8" s="7">
        <v>7306.0246898983996</v>
      </c>
      <c r="BS8" s="7">
        <v>3764.12485338133</v>
      </c>
      <c r="BT8" s="7">
        <v>489132.02690256998</v>
      </c>
      <c r="BU8" s="7">
        <v>127.323954473516</v>
      </c>
      <c r="BV8" s="7">
        <f t="shared" si="14"/>
        <v>14834.27439666106</v>
      </c>
      <c r="BX8" s="28">
        <v>12</v>
      </c>
      <c r="BY8" s="26">
        <v>5.0000000000000002E-5</v>
      </c>
      <c r="BZ8" s="28">
        <v>0.5</v>
      </c>
      <c r="CA8" s="28">
        <v>200</v>
      </c>
      <c r="CB8" s="26">
        <v>5.0000000000000001E-9</v>
      </c>
      <c r="CC8" s="26">
        <f t="shared" si="15"/>
        <v>2.5000000000000001E-9</v>
      </c>
      <c r="CD8" s="26">
        <f t="shared" si="16"/>
        <v>9.9999999999999991E-5</v>
      </c>
      <c r="CE8" s="7">
        <v>6.7247897080225698</v>
      </c>
      <c r="CF8" s="7">
        <v>752.82497001808497</v>
      </c>
      <c r="CG8" s="7">
        <v>1461.2048700750499</v>
      </c>
      <c r="CH8" s="7">
        <v>752.82497001808497</v>
      </c>
      <c r="CI8" s="7">
        <v>97826.408301166695</v>
      </c>
      <c r="CJ8" s="7">
        <v>5.0929581789406502</v>
      </c>
      <c r="CK8" s="7">
        <f t="shared" si="17"/>
        <v>2966.8548101112201</v>
      </c>
      <c r="CM8" s="28">
        <v>12</v>
      </c>
      <c r="CN8" s="26">
        <v>5.0000000000000002E-5</v>
      </c>
      <c r="CO8" s="28">
        <v>1</v>
      </c>
      <c r="CP8" s="28">
        <v>200</v>
      </c>
      <c r="CQ8" s="26">
        <v>5.0000000000000001E-9</v>
      </c>
      <c r="CR8" s="26">
        <f t="shared" si="18"/>
        <v>5.0000000000000001E-9</v>
      </c>
      <c r="CS8" s="26">
        <f t="shared" si="19"/>
        <v>1.9999999999999998E-4</v>
      </c>
      <c r="CT8" s="7">
        <v>9.7773783154240306</v>
      </c>
      <c r="CU8" s="7">
        <v>665.23311259709499</v>
      </c>
      <c r="CV8" s="7">
        <v>730.60243503752497</v>
      </c>
      <c r="CW8" s="7">
        <v>665.23311259709499</v>
      </c>
      <c r="CX8" s="7">
        <v>48913.204150583399</v>
      </c>
      <c r="CY8" s="7">
        <v>5.0929581789406502</v>
      </c>
      <c r="CZ8" s="7">
        <f t="shared" si="20"/>
        <v>2061.0686602317151</v>
      </c>
      <c r="DB8" s="28">
        <v>12</v>
      </c>
      <c r="DC8" s="26">
        <v>5.0000000000000002E-5</v>
      </c>
      <c r="DD8" s="28">
        <v>2</v>
      </c>
      <c r="DE8" s="28">
        <v>200</v>
      </c>
      <c r="DF8" s="26">
        <v>5.0000000000000001E-9</v>
      </c>
      <c r="DG8" s="26">
        <f t="shared" si="21"/>
        <v>1E-8</v>
      </c>
      <c r="DH8" s="26">
        <f t="shared" si="22"/>
        <v>3.9999999999999996E-4</v>
      </c>
      <c r="DI8" s="7">
        <v>13.476790738366599</v>
      </c>
      <c r="DJ8" s="7">
        <v>578.22973015081095</v>
      </c>
      <c r="DK8" s="7">
        <v>365.301217518763</v>
      </c>
      <c r="DL8" s="7">
        <v>578.22973015081095</v>
      </c>
      <c r="DM8" s="7">
        <v>24456.602075291699</v>
      </c>
      <c r="DN8" s="7">
        <v>5.0929581789406502</v>
      </c>
      <c r="DO8" s="7">
        <f t="shared" si="23"/>
        <v>1521.7606778203849</v>
      </c>
      <c r="DQ8" s="28">
        <v>12</v>
      </c>
      <c r="DR8" s="26">
        <v>5.0000000000000002E-5</v>
      </c>
      <c r="DS8" s="28">
        <v>15</v>
      </c>
      <c r="DT8" s="28">
        <v>300</v>
      </c>
      <c r="DU8" s="26">
        <v>1.0000000000000001E-9</v>
      </c>
      <c r="DV8" s="26">
        <f t="shared" si="24"/>
        <v>1.5000000000000002E-8</v>
      </c>
      <c r="DW8" s="26">
        <f t="shared" si="25"/>
        <v>6.0000000000000006E-4</v>
      </c>
      <c r="DX8" s="7">
        <v>40.663267086949098</v>
      </c>
      <c r="DY8" s="7">
        <v>254.539230510376</v>
      </c>
      <c r="DZ8" s="7">
        <v>48.7068290025016</v>
      </c>
      <c r="EA8" s="7">
        <v>48.7068290025016</v>
      </c>
      <c r="EB8" s="7">
        <v>3260.8802767055599</v>
      </c>
      <c r="EC8" s="7">
        <v>1.0185916357881299</v>
      </c>
      <c r="ED8" s="7">
        <f t="shared" si="26"/>
        <v>351.95288851537919</v>
      </c>
      <c r="EG8" s="32"/>
      <c r="EJ8" s="32"/>
      <c r="EQ8" s="32"/>
      <c r="ER8" s="32"/>
    </row>
    <row r="9" spans="1:148" x14ac:dyDescent="0.4">
      <c r="A9" s="28">
        <v>15</v>
      </c>
      <c r="B9" s="26">
        <v>1.0000000000000001E-5</v>
      </c>
      <c r="C9" s="28">
        <v>0.2</v>
      </c>
      <c r="D9" s="28">
        <v>30</v>
      </c>
      <c r="E9" s="26">
        <v>5.0000000000000001E-9</v>
      </c>
      <c r="F9" s="26">
        <f t="shared" si="0"/>
        <v>1.0000000000000001E-9</v>
      </c>
      <c r="G9" s="26">
        <f t="shared" si="1"/>
        <v>2.0000000000000001E-4</v>
      </c>
      <c r="H9" s="7">
        <v>3.66643391731033</v>
      </c>
      <c r="I9" s="7">
        <v>12481.634129420599</v>
      </c>
      <c r="J9" s="7">
        <v>3828.3041509332402</v>
      </c>
      <c r="K9" s="7">
        <v>12481.634129420599</v>
      </c>
      <c r="L9" s="7">
        <v>1641861.5249040499</v>
      </c>
      <c r="M9" s="7">
        <v>127.323954473516</v>
      </c>
      <c r="N9" s="7">
        <f t="shared" si="2"/>
        <v>28791.572409774439</v>
      </c>
      <c r="P9" s="28">
        <v>15</v>
      </c>
      <c r="Q9" s="26">
        <v>3.0000000000000001E-5</v>
      </c>
      <c r="R9" s="28">
        <v>0.2</v>
      </c>
      <c r="S9" s="28">
        <v>30</v>
      </c>
      <c r="T9" s="26">
        <v>5.0000000000000001E-9</v>
      </c>
      <c r="U9" s="26">
        <f t="shared" si="3"/>
        <v>1.0000000000000001E-9</v>
      </c>
      <c r="V9" s="26">
        <f t="shared" si="4"/>
        <v>6.666666666666667E-5</v>
      </c>
      <c r="W9" s="7">
        <v>3.6876142556665701</v>
      </c>
      <c r="X9" s="7">
        <v>4160.5447097236602</v>
      </c>
      <c r="Y9" s="7">
        <v>1276.1013836444099</v>
      </c>
      <c r="Z9" s="7">
        <v>4160.5447097236602</v>
      </c>
      <c r="AA9" s="7">
        <v>547287.17553344101</v>
      </c>
      <c r="AB9" s="7">
        <v>14.1471060526129</v>
      </c>
      <c r="AC9" s="7">
        <f t="shared" si="5"/>
        <v>9597.1908030917293</v>
      </c>
      <c r="AE9" s="28">
        <v>15</v>
      </c>
      <c r="AF9" s="26">
        <v>5.0000000000000002E-5</v>
      </c>
      <c r="AG9" s="28">
        <v>0.2</v>
      </c>
      <c r="AH9" s="28">
        <v>30</v>
      </c>
      <c r="AI9" s="26">
        <v>5.0000000000000001E-9</v>
      </c>
      <c r="AJ9" s="26">
        <f t="shared" si="6"/>
        <v>1.0000000000000001E-9</v>
      </c>
      <c r="AK9" s="26">
        <f t="shared" si="7"/>
        <v>4.0000000000000003E-5</v>
      </c>
      <c r="AL9" s="7">
        <v>3.6918802431901598</v>
      </c>
      <c r="AM9" s="7">
        <v>2496.32682512977</v>
      </c>
      <c r="AN9" s="7">
        <v>765.66083018664904</v>
      </c>
      <c r="AO9" s="7">
        <v>2496.32682512977</v>
      </c>
      <c r="AP9" s="7">
        <v>328372.31010722602</v>
      </c>
      <c r="AQ9" s="7">
        <v>5.0929581789406502</v>
      </c>
      <c r="AR9" s="7">
        <f t="shared" si="8"/>
        <v>5758.314480446189</v>
      </c>
      <c r="AT9" s="28">
        <v>15</v>
      </c>
      <c r="AU9" s="26">
        <v>1.0000000000000001E-5</v>
      </c>
      <c r="AV9" s="28">
        <v>0.2</v>
      </c>
      <c r="AW9" s="28">
        <v>200</v>
      </c>
      <c r="AX9" s="26">
        <v>5.0000000000000001E-9</v>
      </c>
      <c r="AY9" s="26">
        <f t="shared" si="9"/>
        <v>1.0000000000000001E-9</v>
      </c>
      <c r="AZ9" s="26">
        <f t="shared" si="10"/>
        <v>2.0000000000000001E-4</v>
      </c>
      <c r="BA9" s="7">
        <v>21.960603277247799</v>
      </c>
      <c r="BB9" s="7">
        <v>1941.00035424731</v>
      </c>
      <c r="BC9" s="7">
        <v>642.33504314082199</v>
      </c>
      <c r="BD9" s="7">
        <v>1941.00035424731</v>
      </c>
      <c r="BE9" s="7">
        <v>1641861.5249040499</v>
      </c>
      <c r="BF9" s="7">
        <v>127.323954473516</v>
      </c>
      <c r="BG9" s="7">
        <f t="shared" si="11"/>
        <v>4524.3357516354426</v>
      </c>
      <c r="BI9" s="28">
        <v>15</v>
      </c>
      <c r="BJ9" s="26">
        <v>1.0000000000000001E-5</v>
      </c>
      <c r="BK9" s="28">
        <v>0.5</v>
      </c>
      <c r="BL9" s="28">
        <v>200</v>
      </c>
      <c r="BM9" s="26">
        <v>5.0000000000000001E-9</v>
      </c>
      <c r="BN9" s="26">
        <f t="shared" si="12"/>
        <v>2.5000000000000001E-9</v>
      </c>
      <c r="BO9" s="26">
        <f t="shared" si="13"/>
        <v>5.0000000000000001E-4</v>
      </c>
      <c r="BP9" s="7">
        <v>22.323440395450699</v>
      </c>
      <c r="BQ9" s="7">
        <v>1921.9637593119501</v>
      </c>
      <c r="BR9" s="7">
        <v>622.78773017584695</v>
      </c>
      <c r="BS9" s="7">
        <v>1921.9637593119501</v>
      </c>
      <c r="BT9" s="7">
        <v>656744.60996161995</v>
      </c>
      <c r="BU9" s="7">
        <v>127.323954473516</v>
      </c>
      <c r="BV9" s="7">
        <f t="shared" si="14"/>
        <v>4466.7152487997464</v>
      </c>
      <c r="BX9" s="28">
        <v>15</v>
      </c>
      <c r="BY9" s="26">
        <v>5.0000000000000002E-5</v>
      </c>
      <c r="BZ9" s="28">
        <v>0.5</v>
      </c>
      <c r="CA9" s="28">
        <v>200</v>
      </c>
      <c r="CB9" s="26">
        <v>5.0000000000000001E-9</v>
      </c>
      <c r="CC9" s="26">
        <f t="shared" si="15"/>
        <v>2.5000000000000001E-9</v>
      </c>
      <c r="CD9" s="26">
        <f t="shared" si="16"/>
        <v>9.9999999999999991E-5</v>
      </c>
      <c r="CE9" s="7">
        <v>23.322906689788599</v>
      </c>
      <c r="CF9" s="7">
        <v>384.39275181655802</v>
      </c>
      <c r="CG9" s="7">
        <v>124.557546035169</v>
      </c>
      <c r="CH9" s="7">
        <v>384.39275181655802</v>
      </c>
      <c r="CI9" s="7">
        <v>131348.92404288999</v>
      </c>
      <c r="CJ9" s="7">
        <v>5.0929581789406502</v>
      </c>
      <c r="CK9" s="7">
        <f t="shared" si="17"/>
        <v>893.34304966828495</v>
      </c>
      <c r="CM9" s="28">
        <v>15</v>
      </c>
      <c r="CN9" s="26">
        <v>5.0000000000000002E-5</v>
      </c>
      <c r="CO9" s="28">
        <v>1</v>
      </c>
      <c r="CP9" s="28">
        <v>200</v>
      </c>
      <c r="CQ9" s="26">
        <v>5.0000000000000001E-9</v>
      </c>
      <c r="CR9" s="26">
        <f t="shared" si="18"/>
        <v>5.0000000000000001E-9</v>
      </c>
      <c r="CS9" s="26">
        <f t="shared" si="19"/>
        <v>1.9999999999999998E-4</v>
      </c>
      <c r="CT9" s="7">
        <v>23.9572566045988</v>
      </c>
      <c r="CU9" s="7">
        <v>378.32091509688701</v>
      </c>
      <c r="CV9" s="7">
        <v>118.54503217394399</v>
      </c>
      <c r="CW9" s="7">
        <v>378.32091509688701</v>
      </c>
      <c r="CX9" s="7">
        <v>65674.462021445201</v>
      </c>
      <c r="CY9" s="7">
        <v>5.0929581789406502</v>
      </c>
      <c r="CZ9" s="7">
        <f t="shared" si="20"/>
        <v>875.18686236771805</v>
      </c>
      <c r="DB9" s="28">
        <v>15</v>
      </c>
      <c r="DC9" s="26">
        <v>5.0000000000000002E-5</v>
      </c>
      <c r="DD9" s="28">
        <v>2</v>
      </c>
      <c r="DE9" s="28">
        <v>200</v>
      </c>
      <c r="DF9" s="26">
        <v>5.0000000000000001E-9</v>
      </c>
      <c r="DG9" s="26">
        <f t="shared" si="21"/>
        <v>1E-8</v>
      </c>
      <c r="DH9" s="26">
        <f t="shared" si="22"/>
        <v>3.9999999999999996E-4</v>
      </c>
      <c r="DI9" s="7">
        <v>25.188282896838</v>
      </c>
      <c r="DJ9" s="7">
        <v>367.08848561923799</v>
      </c>
      <c r="DK9" s="7">
        <v>108.10811969663401</v>
      </c>
      <c r="DL9" s="7">
        <v>367.08848561923799</v>
      </c>
      <c r="DM9" s="7">
        <v>32837.2310107226</v>
      </c>
      <c r="DN9" s="7">
        <v>5.0929581789406502</v>
      </c>
      <c r="DO9" s="7">
        <f t="shared" si="23"/>
        <v>842.28509093511002</v>
      </c>
      <c r="DQ9" s="28">
        <v>15</v>
      </c>
      <c r="DR9" s="26">
        <v>5.0000000000000002E-5</v>
      </c>
      <c r="DS9" s="28">
        <v>15</v>
      </c>
      <c r="DT9" s="28">
        <v>300</v>
      </c>
      <c r="DU9" s="26">
        <v>1.0000000000000001E-9</v>
      </c>
      <c r="DV9" s="26">
        <f t="shared" si="24"/>
        <v>1.5000000000000002E-8</v>
      </c>
      <c r="DW9" s="26">
        <f t="shared" si="25"/>
        <v>6.0000000000000006E-4</v>
      </c>
      <c r="DX9" s="7">
        <v>51.286449722106497</v>
      </c>
      <c r="DY9" s="7">
        <v>202.84957985735099</v>
      </c>
      <c r="DZ9" s="7">
        <v>42.287816140325297</v>
      </c>
      <c r="EA9" s="7">
        <v>202.84957985735099</v>
      </c>
      <c r="EB9" s="7">
        <v>4378.2974680963498</v>
      </c>
      <c r="EC9" s="7">
        <v>1.0185916357881299</v>
      </c>
      <c r="ED9" s="7">
        <f t="shared" si="26"/>
        <v>447.98697585502725</v>
      </c>
      <c r="EG9" s="32"/>
      <c r="EJ9" s="32"/>
      <c r="EQ9" s="32"/>
      <c r="ER9" s="32"/>
    </row>
    <row r="10" spans="1:148" x14ac:dyDescent="0.4">
      <c r="A10" s="28">
        <v>20</v>
      </c>
      <c r="B10" s="26">
        <v>1.0000000000000001E-5</v>
      </c>
      <c r="C10" s="28">
        <v>0.2</v>
      </c>
      <c r="D10" s="28">
        <v>30</v>
      </c>
      <c r="E10" s="26">
        <v>5.0000000000000001E-9</v>
      </c>
      <c r="F10" s="26">
        <f t="shared" si="0"/>
        <v>1.0000000000000001E-9</v>
      </c>
      <c r="G10" s="26">
        <f t="shared" si="1"/>
        <v>2.0000000000000001E-4</v>
      </c>
      <c r="H10" s="7">
        <v>5.6784565114456997</v>
      </c>
      <c r="I10" s="7">
        <v>7857.7524727739301</v>
      </c>
      <c r="J10" s="7">
        <v>4475.4086280782203</v>
      </c>
      <c r="K10" s="7">
        <v>7857.7524727739301</v>
      </c>
      <c r="L10" s="7">
        <v>2551974.2921694499</v>
      </c>
      <c r="M10" s="7">
        <v>127.323954473516</v>
      </c>
      <c r="N10" s="7">
        <f t="shared" si="2"/>
        <v>20190.91357362608</v>
      </c>
      <c r="P10" s="28">
        <v>20</v>
      </c>
      <c r="Q10" s="26">
        <v>3.0000000000000001E-5</v>
      </c>
      <c r="R10" s="28">
        <v>0.2</v>
      </c>
      <c r="S10" s="28">
        <v>30</v>
      </c>
      <c r="T10" s="26">
        <v>5.0000000000000001E-9</v>
      </c>
      <c r="U10" s="26">
        <f t="shared" si="3"/>
        <v>1.0000000000000001E-9</v>
      </c>
      <c r="V10" s="26">
        <f t="shared" si="4"/>
        <v>6.666666666666667E-5</v>
      </c>
      <c r="W10" s="7">
        <v>5.7256232323060603</v>
      </c>
      <c r="X10" s="7">
        <v>2619.2508242245099</v>
      </c>
      <c r="Y10" s="7">
        <v>1491.80287602607</v>
      </c>
      <c r="Z10" s="7">
        <v>2619.2508242245099</v>
      </c>
      <c r="AA10" s="7">
        <v>850658.09849467594</v>
      </c>
      <c r="AB10" s="7">
        <v>14.1471060526129</v>
      </c>
      <c r="AC10" s="7">
        <f t="shared" si="5"/>
        <v>6730.3045244750901</v>
      </c>
      <c r="AE10" s="28">
        <v>20</v>
      </c>
      <c r="AF10" s="26">
        <v>5.0000000000000002E-5</v>
      </c>
      <c r="AG10" s="28">
        <v>0.2</v>
      </c>
      <c r="AH10" s="28">
        <v>30</v>
      </c>
      <c r="AI10" s="26">
        <v>5.0000000000000001E-9</v>
      </c>
      <c r="AJ10" s="26">
        <f t="shared" si="6"/>
        <v>1.0000000000000001E-9</v>
      </c>
      <c r="AK10" s="26">
        <f t="shared" si="7"/>
        <v>4.0000000000000003E-5</v>
      </c>
      <c r="AL10" s="7">
        <v>5.7351515156827402</v>
      </c>
      <c r="AM10" s="7">
        <v>1571.5504942513201</v>
      </c>
      <c r="AN10" s="7">
        <v>895.08172561564299</v>
      </c>
      <c r="AO10" s="7">
        <v>1571.5504942513201</v>
      </c>
      <c r="AP10" s="7">
        <v>510394.86845111102</v>
      </c>
      <c r="AQ10" s="7">
        <v>5.0929581789406502</v>
      </c>
      <c r="AR10" s="7">
        <f t="shared" si="8"/>
        <v>4038.182714118283</v>
      </c>
      <c r="AT10" s="28">
        <v>20</v>
      </c>
      <c r="AU10" s="26">
        <v>1.0000000000000001E-5</v>
      </c>
      <c r="AV10" s="28">
        <v>0.2</v>
      </c>
      <c r="AW10" s="28">
        <v>200</v>
      </c>
      <c r="AX10" s="26">
        <v>5.0000000000000001E-9</v>
      </c>
      <c r="AY10" s="26">
        <f t="shared" si="9"/>
        <v>1.0000000000000001E-9</v>
      </c>
      <c r="AZ10" s="26">
        <f t="shared" si="10"/>
        <v>2.0000000000000001E-4</v>
      </c>
      <c r="BA10" s="7">
        <v>34.5013188168627</v>
      </c>
      <c r="BB10" s="7">
        <v>1196.98361424428</v>
      </c>
      <c r="BC10" s="7">
        <v>694.07852984949898</v>
      </c>
      <c r="BD10" s="7">
        <v>1196.98361424428</v>
      </c>
      <c r="BE10" s="7">
        <v>2551974.2921694499</v>
      </c>
      <c r="BF10" s="7">
        <v>127.323954473516</v>
      </c>
      <c r="BG10" s="7">
        <f t="shared" si="11"/>
        <v>3088.0457583380589</v>
      </c>
      <c r="BI10" s="28">
        <v>20</v>
      </c>
      <c r="BJ10" s="26">
        <v>1.0000000000000001E-5</v>
      </c>
      <c r="BK10" s="28">
        <v>0.5</v>
      </c>
      <c r="BL10" s="28">
        <v>200</v>
      </c>
      <c r="BM10" s="26">
        <v>5.0000000000000001E-9</v>
      </c>
      <c r="BN10" s="26">
        <f t="shared" si="12"/>
        <v>2.5000000000000001E-9</v>
      </c>
      <c r="BO10" s="26">
        <f t="shared" si="13"/>
        <v>5.0000000000000001E-4</v>
      </c>
      <c r="BP10" s="7">
        <v>34.735002394059102</v>
      </c>
      <c r="BQ10" s="7">
        <v>1192.0586917390101</v>
      </c>
      <c r="BR10" s="7">
        <v>687.90288040570601</v>
      </c>
      <c r="BS10" s="7">
        <v>1192.0586917390101</v>
      </c>
      <c r="BT10" s="7">
        <v>1020789.71686778</v>
      </c>
      <c r="BU10" s="7">
        <v>127.323954473516</v>
      </c>
      <c r="BV10" s="7">
        <f t="shared" si="14"/>
        <v>3072.0202638837263</v>
      </c>
      <c r="BX10" s="28">
        <v>20</v>
      </c>
      <c r="BY10" s="26">
        <v>5.0000000000000002E-5</v>
      </c>
      <c r="BZ10" s="28">
        <v>0.5</v>
      </c>
      <c r="CA10" s="28">
        <v>200</v>
      </c>
      <c r="CB10" s="26">
        <v>5.0000000000000001E-9</v>
      </c>
      <c r="CC10" s="26">
        <f t="shared" si="15"/>
        <v>2.5000000000000001E-9</v>
      </c>
      <c r="CD10" s="26">
        <f t="shared" si="16"/>
        <v>9.9999999999999991E-5</v>
      </c>
      <c r="CE10" s="7">
        <v>36.993498763377801</v>
      </c>
      <c r="CF10" s="7">
        <v>238.41173833028401</v>
      </c>
      <c r="CG10" s="7">
        <v>137.580576081141</v>
      </c>
      <c r="CH10" s="7">
        <v>238.41173833028401</v>
      </c>
      <c r="CI10" s="7">
        <v>204157.947380445</v>
      </c>
      <c r="CJ10" s="7">
        <v>5.0929581789406502</v>
      </c>
      <c r="CK10" s="7">
        <f t="shared" si="17"/>
        <v>614.40405274170905</v>
      </c>
      <c r="CM10" s="28">
        <v>20</v>
      </c>
      <c r="CN10" s="26">
        <v>5.0000000000000002E-5</v>
      </c>
      <c r="CO10" s="28">
        <v>1</v>
      </c>
      <c r="CP10" s="28">
        <v>200</v>
      </c>
      <c r="CQ10" s="26">
        <v>5.0000000000000001E-9</v>
      </c>
      <c r="CR10" s="26">
        <f t="shared" si="18"/>
        <v>5.0000000000000001E-9</v>
      </c>
      <c r="CS10" s="26">
        <f t="shared" si="19"/>
        <v>1.9999999999999998E-4</v>
      </c>
      <c r="CT10" s="7">
        <v>37.418665675070301</v>
      </c>
      <c r="CU10" s="7">
        <v>236.794372688691</v>
      </c>
      <c r="CV10" s="7">
        <v>135.57018035757301</v>
      </c>
      <c r="CW10" s="7">
        <v>236.794372688691</v>
      </c>
      <c r="CX10" s="7">
        <v>102078.973690222</v>
      </c>
      <c r="CY10" s="7">
        <v>5.0929581789406502</v>
      </c>
      <c r="CZ10" s="7">
        <f t="shared" si="20"/>
        <v>609.15892573495501</v>
      </c>
      <c r="DB10" s="28">
        <v>20</v>
      </c>
      <c r="DC10" s="26">
        <v>5.0000000000000002E-5</v>
      </c>
      <c r="DD10" s="28">
        <v>2</v>
      </c>
      <c r="DE10" s="28">
        <v>200</v>
      </c>
      <c r="DF10" s="26">
        <v>5.0000000000000001E-9</v>
      </c>
      <c r="DG10" s="26">
        <f t="shared" si="21"/>
        <v>1E-8</v>
      </c>
      <c r="DH10" s="26">
        <f t="shared" si="22"/>
        <v>3.9999999999999996E-4</v>
      </c>
      <c r="DI10" s="7">
        <v>38.263628640356899</v>
      </c>
      <c r="DJ10" s="7">
        <v>233.64718966736299</v>
      </c>
      <c r="DK10" s="7">
        <v>131.72072797829401</v>
      </c>
      <c r="DL10" s="7">
        <v>233.64718966736299</v>
      </c>
      <c r="DM10" s="7">
        <v>51039.486845111103</v>
      </c>
      <c r="DN10" s="7">
        <v>5.0929581789406502</v>
      </c>
      <c r="DO10" s="7">
        <f t="shared" si="23"/>
        <v>599.01510731302005</v>
      </c>
      <c r="DQ10" s="28">
        <v>20</v>
      </c>
      <c r="DR10" s="26">
        <v>5.0000000000000002E-5</v>
      </c>
      <c r="DS10" s="28">
        <v>15</v>
      </c>
      <c r="DT10" s="28">
        <v>300</v>
      </c>
      <c r="DU10" s="26">
        <v>1.0000000000000001E-9</v>
      </c>
      <c r="DV10" s="26">
        <f t="shared" si="24"/>
        <v>1.5000000000000002E-8</v>
      </c>
      <c r="DW10" s="26">
        <f t="shared" si="25"/>
        <v>6.0000000000000006E-4</v>
      </c>
      <c r="DX10" s="7">
        <v>68.053209470530803</v>
      </c>
      <c r="DY10" s="7">
        <v>141.30482192536101</v>
      </c>
      <c r="DZ10" s="7">
        <v>71.560155029152398</v>
      </c>
      <c r="EA10" s="7">
        <v>141.30482192536101</v>
      </c>
      <c r="EB10" s="7">
        <v>6805.2649126814904</v>
      </c>
      <c r="EC10" s="7">
        <v>1.0185916357881299</v>
      </c>
      <c r="ED10" s="7">
        <f t="shared" si="26"/>
        <v>354.16979887987441</v>
      </c>
      <c r="EG10" s="32"/>
      <c r="EJ10" s="32"/>
      <c r="EQ10" s="32"/>
      <c r="ER10" s="32"/>
    </row>
    <row r="11" spans="1:148" x14ac:dyDescent="0.4">
      <c r="A11" s="28">
        <v>25</v>
      </c>
      <c r="B11" s="26">
        <v>1.0000000000000001E-5</v>
      </c>
      <c r="C11" s="28">
        <v>0.2</v>
      </c>
      <c r="D11" s="28">
        <v>30</v>
      </c>
      <c r="E11" s="26">
        <v>5.0000000000000001E-9</v>
      </c>
      <c r="F11" s="26">
        <f t="shared" si="0"/>
        <v>1.0000000000000001E-9</v>
      </c>
      <c r="G11" s="26">
        <f t="shared" si="1"/>
        <v>2.0000000000000001E-4</v>
      </c>
      <c r="H11" s="7">
        <v>7.3474952977360699</v>
      </c>
      <c r="I11" s="7">
        <v>5967.7070610572</v>
      </c>
      <c r="J11" s="7">
        <v>4769.5933204541298</v>
      </c>
      <c r="K11" s="7">
        <v>5967.7070610572</v>
      </c>
      <c r="L11" s="7">
        <v>3890230.9388607698</v>
      </c>
      <c r="M11" s="7">
        <v>127.323954473516</v>
      </c>
      <c r="N11" s="7">
        <f t="shared" si="2"/>
        <v>16705.007442568531</v>
      </c>
      <c r="P11" s="28">
        <v>25</v>
      </c>
      <c r="Q11" s="26">
        <v>3.0000000000000001E-5</v>
      </c>
      <c r="R11" s="28">
        <v>0.2</v>
      </c>
      <c r="S11" s="28">
        <v>30</v>
      </c>
      <c r="T11" s="26">
        <v>5.0000000000000001E-9</v>
      </c>
      <c r="U11" s="26">
        <f t="shared" si="3"/>
        <v>1.0000000000000001E-9</v>
      </c>
      <c r="V11" s="26">
        <f t="shared" si="4"/>
        <v>6.666666666666667E-5</v>
      </c>
      <c r="W11" s="7">
        <v>7.4214645291092101</v>
      </c>
      <c r="X11" s="7">
        <v>1989.2356869965699</v>
      </c>
      <c r="Y11" s="7">
        <v>1589.86444015137</v>
      </c>
      <c r="Z11" s="7">
        <v>1989.2356869965699</v>
      </c>
      <c r="AA11" s="7">
        <v>1296743.6482743199</v>
      </c>
      <c r="AB11" s="7">
        <v>14.1471060526129</v>
      </c>
      <c r="AC11" s="7">
        <f t="shared" si="5"/>
        <v>5568.3358141445096</v>
      </c>
      <c r="AE11" s="28">
        <v>25</v>
      </c>
      <c r="AF11" s="26">
        <v>5.0000000000000002E-5</v>
      </c>
      <c r="AG11" s="28">
        <v>0.2</v>
      </c>
      <c r="AH11" s="28">
        <v>30</v>
      </c>
      <c r="AI11" s="26">
        <v>5.0000000000000001E-9</v>
      </c>
      <c r="AJ11" s="26">
        <f t="shared" si="6"/>
        <v>1.0000000000000001E-9</v>
      </c>
      <c r="AK11" s="26">
        <f t="shared" si="7"/>
        <v>4.0000000000000003E-5</v>
      </c>
      <c r="AL11" s="7">
        <v>7.43643823880317</v>
      </c>
      <c r="AM11" s="7">
        <v>1193.54141200751</v>
      </c>
      <c r="AN11" s="7">
        <v>953.91866409082502</v>
      </c>
      <c r="AO11" s="7">
        <v>1193.54141200751</v>
      </c>
      <c r="AP11" s="7">
        <v>778046.205790887</v>
      </c>
      <c r="AQ11" s="7">
        <v>5.0929581789406502</v>
      </c>
      <c r="AR11" s="7">
        <f t="shared" si="8"/>
        <v>3341.0014881058451</v>
      </c>
      <c r="AT11" s="28">
        <v>25</v>
      </c>
      <c r="AU11" s="26">
        <v>1.0000000000000001E-5</v>
      </c>
      <c r="AV11" s="28">
        <v>0.2</v>
      </c>
      <c r="AW11" s="28">
        <v>200</v>
      </c>
      <c r="AX11" s="26">
        <v>5.0000000000000001E-9</v>
      </c>
      <c r="AY11" s="26">
        <f t="shared" si="9"/>
        <v>1.0000000000000001E-9</v>
      </c>
      <c r="AZ11" s="26">
        <f t="shared" si="10"/>
        <v>2.0000000000000001E-4</v>
      </c>
      <c r="BA11" s="7">
        <v>44.438233021892302</v>
      </c>
      <c r="BB11" s="7">
        <v>904.92261526204402</v>
      </c>
      <c r="BC11" s="7">
        <v>729.47946385146201</v>
      </c>
      <c r="BD11" s="7">
        <v>904.92261526204402</v>
      </c>
      <c r="BE11" s="7">
        <v>3890230.9388607698</v>
      </c>
      <c r="BF11" s="7">
        <v>127.323954473516</v>
      </c>
      <c r="BG11" s="7">
        <f t="shared" si="11"/>
        <v>2539.3246943755503</v>
      </c>
      <c r="BI11" s="28">
        <v>25</v>
      </c>
      <c r="BJ11" s="26">
        <v>1.0000000000000001E-5</v>
      </c>
      <c r="BK11" s="28">
        <v>0.5</v>
      </c>
      <c r="BL11" s="28">
        <v>200</v>
      </c>
      <c r="BM11" s="26">
        <v>5.0000000000000001E-9</v>
      </c>
      <c r="BN11" s="26">
        <f t="shared" si="12"/>
        <v>2.5000000000000001E-9</v>
      </c>
      <c r="BO11" s="26">
        <f t="shared" si="13"/>
        <v>5.0000000000000001E-4</v>
      </c>
      <c r="BP11" s="7">
        <v>44.629450153692702</v>
      </c>
      <c r="BQ11" s="7">
        <v>902.31159397251201</v>
      </c>
      <c r="BR11" s="7">
        <v>725.70943403112403</v>
      </c>
      <c r="BS11" s="7">
        <v>902.31159397251201</v>
      </c>
      <c r="BT11" s="7">
        <v>1556092.3755443101</v>
      </c>
      <c r="BU11" s="7">
        <v>127.323954473516</v>
      </c>
      <c r="BV11" s="7">
        <f t="shared" si="14"/>
        <v>2530.3326219761479</v>
      </c>
      <c r="BX11" s="28">
        <v>25</v>
      </c>
      <c r="BY11" s="26">
        <v>5.0000000000000002E-5</v>
      </c>
      <c r="BZ11" s="28">
        <v>0.5</v>
      </c>
      <c r="CA11" s="28">
        <v>200</v>
      </c>
      <c r="CB11" s="26">
        <v>5.0000000000000001E-9</v>
      </c>
      <c r="CC11" s="26">
        <f t="shared" si="15"/>
        <v>2.5000000000000001E-9</v>
      </c>
      <c r="CD11" s="26">
        <f t="shared" si="16"/>
        <v>9.9999999999999991E-5</v>
      </c>
      <c r="CE11" s="7">
        <v>48.1454021864377</v>
      </c>
      <c r="CF11" s="7">
        <v>180.46231878283399</v>
      </c>
      <c r="CG11" s="7">
        <v>145.14188680622499</v>
      </c>
      <c r="CH11" s="7">
        <v>180.46231878283399</v>
      </c>
      <c r="CI11" s="7">
        <v>311218.48231635499</v>
      </c>
      <c r="CJ11" s="7">
        <v>5.0929581789406502</v>
      </c>
      <c r="CK11" s="7">
        <f t="shared" si="17"/>
        <v>506.06652437189302</v>
      </c>
      <c r="CM11" s="28">
        <v>25</v>
      </c>
      <c r="CN11" s="26">
        <v>5.0000000000000002E-5</v>
      </c>
      <c r="CO11" s="28">
        <v>1</v>
      </c>
      <c r="CP11" s="28">
        <v>200</v>
      </c>
      <c r="CQ11" s="26">
        <v>5.0000000000000001E-9</v>
      </c>
      <c r="CR11" s="26">
        <f t="shared" si="18"/>
        <v>5.0000000000000001E-9</v>
      </c>
      <c r="CS11" s="26">
        <f t="shared" si="19"/>
        <v>1.9999999999999998E-4</v>
      </c>
      <c r="CT11" s="7">
        <v>48.502653210716197</v>
      </c>
      <c r="CU11" s="7">
        <v>179.60025764253999</v>
      </c>
      <c r="CV11" s="7">
        <v>143.90240734913101</v>
      </c>
      <c r="CW11" s="7">
        <v>179.60025764253999</v>
      </c>
      <c r="CX11" s="7">
        <v>155609.241158177</v>
      </c>
      <c r="CY11" s="7">
        <v>5.0929581789406502</v>
      </c>
      <c r="CZ11" s="7">
        <f t="shared" si="20"/>
        <v>503.10292263421098</v>
      </c>
      <c r="DB11" s="28">
        <v>25</v>
      </c>
      <c r="DC11" s="26">
        <v>5.0000000000000002E-5</v>
      </c>
      <c r="DD11" s="28">
        <v>2</v>
      </c>
      <c r="DE11" s="28">
        <v>200</v>
      </c>
      <c r="DF11" s="26">
        <v>5.0000000000000001E-9</v>
      </c>
      <c r="DG11" s="26">
        <f t="shared" si="21"/>
        <v>1E-8</v>
      </c>
      <c r="DH11" s="26">
        <f t="shared" si="22"/>
        <v>3.9999999999999996E-4</v>
      </c>
      <c r="DI11" s="7">
        <v>49.215014599628297</v>
      </c>
      <c r="DJ11" s="7">
        <v>177.90643586546901</v>
      </c>
      <c r="DK11" s="7">
        <v>141.48598257191699</v>
      </c>
      <c r="DL11" s="7">
        <v>177.90643586546901</v>
      </c>
      <c r="DM11" s="7">
        <v>77804.620579088703</v>
      </c>
      <c r="DN11" s="7">
        <v>5.0929581789406502</v>
      </c>
      <c r="DO11" s="7">
        <f t="shared" si="23"/>
        <v>497.29885430285503</v>
      </c>
      <c r="DQ11" s="28">
        <v>25</v>
      </c>
      <c r="DR11" s="26">
        <v>5.0000000000000002E-5</v>
      </c>
      <c r="DS11" s="28">
        <v>15</v>
      </c>
      <c r="DT11" s="28">
        <v>300</v>
      </c>
      <c r="DU11" s="26">
        <v>1.0000000000000001E-9</v>
      </c>
      <c r="DV11" s="26">
        <f t="shared" si="24"/>
        <v>1.5000000000000002E-8</v>
      </c>
      <c r="DW11" s="26">
        <f t="shared" si="25"/>
        <v>6.0000000000000006E-4</v>
      </c>
      <c r="DX11" s="7">
        <v>83.469626284853504</v>
      </c>
      <c r="DY11" s="7">
        <v>110.42994925436599</v>
      </c>
      <c r="DZ11" s="7">
        <v>83.155364315094602</v>
      </c>
      <c r="EA11" s="7">
        <v>110.42994925436599</v>
      </c>
      <c r="EB11" s="7">
        <v>10373.949410545199</v>
      </c>
      <c r="EC11" s="7">
        <v>1.0185916357881299</v>
      </c>
      <c r="ED11" s="7">
        <f t="shared" si="26"/>
        <v>304.01526282382656</v>
      </c>
      <c r="EG11" s="32"/>
      <c r="EJ11" s="32"/>
      <c r="EQ11" s="32"/>
      <c r="ER11" s="32"/>
    </row>
    <row r="12" spans="1:148" x14ac:dyDescent="0.4">
      <c r="A12" s="28">
        <v>30</v>
      </c>
      <c r="B12" s="26">
        <v>1.0000000000000001E-5</v>
      </c>
      <c r="C12" s="28">
        <v>0.2</v>
      </c>
      <c r="D12" s="28">
        <v>30</v>
      </c>
      <c r="E12" s="26">
        <v>5.0000000000000001E-9</v>
      </c>
      <c r="F12" s="26">
        <f t="shared" si="0"/>
        <v>1.0000000000000001E-9</v>
      </c>
      <c r="G12" s="26">
        <f t="shared" si="1"/>
        <v>2.0000000000000001E-4</v>
      </c>
      <c r="H12" s="7">
        <v>8.8960310077745</v>
      </c>
      <c r="I12" s="7">
        <v>4807.3324198337996</v>
      </c>
      <c r="J12" s="7">
        <v>4988.6125859415297</v>
      </c>
      <c r="K12" s="7">
        <v>4807.3324198337996</v>
      </c>
      <c r="L12" s="7">
        <v>5893089.4851508904</v>
      </c>
      <c r="M12" s="7">
        <v>127.323954473516</v>
      </c>
      <c r="N12" s="7">
        <f t="shared" si="2"/>
        <v>14603.277425609129</v>
      </c>
      <c r="P12" s="28">
        <v>30</v>
      </c>
      <c r="Q12" s="26">
        <v>3.0000000000000001E-5</v>
      </c>
      <c r="R12" s="28">
        <v>0.2</v>
      </c>
      <c r="S12" s="28">
        <v>30</v>
      </c>
      <c r="T12" s="26">
        <v>5.0000000000000001E-9</v>
      </c>
      <c r="U12" s="26">
        <f t="shared" si="3"/>
        <v>1.0000000000000001E-9</v>
      </c>
      <c r="V12" s="26">
        <f t="shared" si="4"/>
        <v>6.666666666666667E-5</v>
      </c>
      <c r="W12" s="7">
        <v>8.9985924600433709</v>
      </c>
      <c r="X12" s="7">
        <v>1602.4441399274999</v>
      </c>
      <c r="Y12" s="7">
        <v>1662.87086198051</v>
      </c>
      <c r="Z12" s="7">
        <v>1602.4441399274999</v>
      </c>
      <c r="AA12" s="7">
        <v>1964363.1651242101</v>
      </c>
      <c r="AB12" s="7">
        <v>14.1471060526129</v>
      </c>
      <c r="AC12" s="7">
        <f t="shared" si="5"/>
        <v>4867.7591418355096</v>
      </c>
      <c r="AE12" s="28">
        <v>30</v>
      </c>
      <c r="AF12" s="26">
        <v>5.0000000000000002E-5</v>
      </c>
      <c r="AG12" s="28">
        <v>0.2</v>
      </c>
      <c r="AH12" s="28">
        <v>30</v>
      </c>
      <c r="AI12" s="26">
        <v>5.0000000000000001E-9</v>
      </c>
      <c r="AJ12" s="26">
        <f t="shared" si="6"/>
        <v>1.0000000000000001E-9</v>
      </c>
      <c r="AK12" s="26">
        <f t="shared" si="7"/>
        <v>4.0000000000000003E-5</v>
      </c>
      <c r="AL12" s="7">
        <v>9.0193899064549097</v>
      </c>
      <c r="AM12" s="7">
        <v>961.46648381169098</v>
      </c>
      <c r="AN12" s="7">
        <v>997.72251718830603</v>
      </c>
      <c r="AO12" s="7">
        <v>961.46648381169098</v>
      </c>
      <c r="AP12" s="7">
        <v>1178617.9279219799</v>
      </c>
      <c r="AQ12" s="7">
        <v>5.0929581789406502</v>
      </c>
      <c r="AR12" s="7">
        <f t="shared" si="8"/>
        <v>2920.655484811688</v>
      </c>
      <c r="AT12" s="28">
        <v>30</v>
      </c>
      <c r="AU12" s="26">
        <v>1.0000000000000001E-5</v>
      </c>
      <c r="AV12" s="28">
        <v>0.2</v>
      </c>
      <c r="AW12" s="28">
        <v>200</v>
      </c>
      <c r="AX12" s="26">
        <v>5.0000000000000001E-9</v>
      </c>
      <c r="AY12" s="26">
        <f t="shared" si="9"/>
        <v>1.0000000000000001E-9</v>
      </c>
      <c r="AZ12" s="26">
        <f t="shared" si="10"/>
        <v>2.0000000000000001E-4</v>
      </c>
      <c r="BA12" s="7">
        <v>53.447688865050303</v>
      </c>
      <c r="BB12" s="7">
        <v>727.37388968977803</v>
      </c>
      <c r="BC12" s="7">
        <v>758.42598130330396</v>
      </c>
      <c r="BD12" s="7">
        <v>727.37388968977803</v>
      </c>
      <c r="BE12" s="7">
        <v>5893089.4851508904</v>
      </c>
      <c r="BF12" s="7">
        <v>127.323954473516</v>
      </c>
      <c r="BG12" s="7">
        <f t="shared" si="11"/>
        <v>2213.1737606828601</v>
      </c>
      <c r="BI12" s="28">
        <v>30</v>
      </c>
      <c r="BJ12" s="26">
        <v>1.0000000000000001E-5</v>
      </c>
      <c r="BK12" s="28">
        <v>0.5</v>
      </c>
      <c r="BL12" s="28">
        <v>200</v>
      </c>
      <c r="BM12" s="26">
        <v>5.0000000000000001E-9</v>
      </c>
      <c r="BN12" s="26">
        <f t="shared" si="12"/>
        <v>2.5000000000000001E-9</v>
      </c>
      <c r="BO12" s="26">
        <f t="shared" si="13"/>
        <v>5.0000000000000001E-4</v>
      </c>
      <c r="BP12" s="7">
        <v>53.612669992712704</v>
      </c>
      <c r="BQ12" s="7">
        <v>725.70064173773096</v>
      </c>
      <c r="BR12" s="7">
        <v>755.71672459466504</v>
      </c>
      <c r="BS12" s="7">
        <v>725.70064173773096</v>
      </c>
      <c r="BT12" s="7">
        <v>2357235.7940603602</v>
      </c>
      <c r="BU12" s="7">
        <v>127.323954473516</v>
      </c>
      <c r="BV12" s="7">
        <f t="shared" si="14"/>
        <v>2207.118008070127</v>
      </c>
      <c r="BX12" s="28">
        <v>30</v>
      </c>
      <c r="BY12" s="26">
        <v>5.0000000000000002E-5</v>
      </c>
      <c r="BZ12" s="28">
        <v>0.5</v>
      </c>
      <c r="CA12" s="28">
        <v>200</v>
      </c>
      <c r="CB12" s="26">
        <v>5.0000000000000001E-9</v>
      </c>
      <c r="CC12" s="26">
        <f t="shared" si="15"/>
        <v>2.5000000000000001E-9</v>
      </c>
      <c r="CD12" s="26">
        <f t="shared" si="16"/>
        <v>9.9999999999999991E-5</v>
      </c>
      <c r="CE12" s="7">
        <v>58.4444942591158</v>
      </c>
      <c r="CF12" s="7">
        <v>145.140128338708</v>
      </c>
      <c r="CG12" s="7">
        <v>151.143344918933</v>
      </c>
      <c r="CH12" s="7">
        <v>145.140128338708</v>
      </c>
      <c r="CI12" s="7">
        <v>471447.17116879002</v>
      </c>
      <c r="CJ12" s="7">
        <v>5.0929581789406502</v>
      </c>
      <c r="CK12" s="7">
        <f t="shared" si="17"/>
        <v>441.42360159634899</v>
      </c>
      <c r="CM12" s="28">
        <v>30</v>
      </c>
      <c r="CN12" s="26">
        <v>5.0000000000000002E-5</v>
      </c>
      <c r="CO12" s="28">
        <v>1</v>
      </c>
      <c r="CP12" s="28">
        <v>200</v>
      </c>
      <c r="CQ12" s="26">
        <v>5.0000000000000001E-9</v>
      </c>
      <c r="CR12" s="26">
        <f t="shared" si="18"/>
        <v>5.0000000000000001E-9</v>
      </c>
      <c r="CS12" s="26">
        <f t="shared" si="19"/>
        <v>1.9999999999999998E-4</v>
      </c>
      <c r="CT12" s="7">
        <v>58.760416158429699</v>
      </c>
      <c r="CU12" s="7">
        <v>144.58638467526899</v>
      </c>
      <c r="CV12" s="7">
        <v>150.24883810203599</v>
      </c>
      <c r="CW12" s="7">
        <v>144.58638467526899</v>
      </c>
      <c r="CX12" s="7">
        <v>235723.58558439501</v>
      </c>
      <c r="CY12" s="7">
        <v>5.0929581789406502</v>
      </c>
      <c r="CZ12" s="7">
        <f t="shared" si="20"/>
        <v>439.42160745257399</v>
      </c>
      <c r="DB12" s="28">
        <v>30</v>
      </c>
      <c r="DC12" s="26">
        <v>5.0000000000000002E-5</v>
      </c>
      <c r="DD12" s="28">
        <v>2</v>
      </c>
      <c r="DE12" s="28">
        <v>200</v>
      </c>
      <c r="DF12" s="26">
        <v>5.0000000000000001E-9</v>
      </c>
      <c r="DG12" s="26">
        <f t="shared" si="21"/>
        <v>1E-8</v>
      </c>
      <c r="DH12" s="26">
        <f t="shared" si="22"/>
        <v>3.9999999999999996E-4</v>
      </c>
      <c r="DI12" s="7">
        <v>59.391169232632301</v>
      </c>
      <c r="DJ12" s="7">
        <v>143.493651420682</v>
      </c>
      <c r="DK12" s="7">
        <v>148.49131311393799</v>
      </c>
      <c r="DL12" s="7">
        <v>143.493651420682</v>
      </c>
      <c r="DM12" s="7">
        <v>117861.792792198</v>
      </c>
      <c r="DN12" s="7">
        <v>5.0929581789406502</v>
      </c>
      <c r="DO12" s="7">
        <f t="shared" si="23"/>
        <v>435.47861595530196</v>
      </c>
      <c r="DQ12" s="28">
        <v>30</v>
      </c>
      <c r="DR12" s="26">
        <v>5.0000000000000002E-5</v>
      </c>
      <c r="DS12" s="28">
        <v>15</v>
      </c>
      <c r="DT12" s="28">
        <v>300</v>
      </c>
      <c r="DU12" s="26">
        <v>1.0000000000000001E-9</v>
      </c>
      <c r="DV12" s="26">
        <f t="shared" si="24"/>
        <v>1.5000000000000002E-8</v>
      </c>
      <c r="DW12" s="26">
        <f t="shared" si="25"/>
        <v>6.0000000000000006E-4</v>
      </c>
      <c r="DX12" s="7">
        <v>98.233738425317497</v>
      </c>
      <c r="DY12" s="7">
        <v>90.265822408235607</v>
      </c>
      <c r="DZ12" s="7">
        <v>90.525422516156297</v>
      </c>
      <c r="EA12" s="7">
        <v>90.265822408235607</v>
      </c>
      <c r="EB12" s="7">
        <v>15714.905705626299</v>
      </c>
      <c r="EC12" s="7">
        <v>1.0185916357881299</v>
      </c>
      <c r="ED12" s="7">
        <f t="shared" si="26"/>
        <v>271.05706733262753</v>
      </c>
      <c r="EG12" s="32"/>
      <c r="EJ12" s="32"/>
      <c r="EQ12" s="32"/>
      <c r="ER12" s="32"/>
    </row>
    <row r="13" spans="1:148" x14ac:dyDescent="0.4">
      <c r="A13" s="28">
        <v>35</v>
      </c>
      <c r="B13" s="26">
        <v>1.0000000000000001E-5</v>
      </c>
      <c r="C13" s="28">
        <v>0.2</v>
      </c>
      <c r="D13" s="28">
        <v>30</v>
      </c>
      <c r="E13" s="26">
        <v>5.0000000000000001E-9</v>
      </c>
      <c r="F13" s="26">
        <f t="shared" si="0"/>
        <v>1.0000000000000001E-9</v>
      </c>
      <c r="G13" s="26">
        <f t="shared" si="1"/>
        <v>2.0000000000000001E-4</v>
      </c>
      <c r="H13" s="7">
        <v>10.3798734799384</v>
      </c>
      <c r="I13" s="7">
        <v>3984.07853527202</v>
      </c>
      <c r="J13" s="7">
        <v>5168.7820727017497</v>
      </c>
      <c r="K13" s="7">
        <v>3984.07853527202</v>
      </c>
      <c r="L13" s="7">
        <v>8973470.5022608098</v>
      </c>
      <c r="M13" s="7">
        <v>127.323954473516</v>
      </c>
      <c r="N13" s="7">
        <f t="shared" si="2"/>
        <v>13136.939143245789</v>
      </c>
      <c r="P13" s="28">
        <v>35</v>
      </c>
      <c r="Q13" s="26">
        <v>3.0000000000000001E-5</v>
      </c>
      <c r="R13" s="28">
        <v>0.2</v>
      </c>
      <c r="S13" s="28">
        <v>30</v>
      </c>
      <c r="T13" s="26">
        <v>5.0000000000000001E-9</v>
      </c>
      <c r="U13" s="26">
        <f t="shared" si="3"/>
        <v>1.0000000000000001E-9</v>
      </c>
      <c r="V13" s="26">
        <f t="shared" si="4"/>
        <v>6.666666666666667E-5</v>
      </c>
      <c r="W13" s="7">
        <v>10.512950166449899</v>
      </c>
      <c r="X13" s="7">
        <v>1328.02617841029</v>
      </c>
      <c r="Y13" s="7">
        <v>1722.9273575672501</v>
      </c>
      <c r="Z13" s="7">
        <v>1328.02617841029</v>
      </c>
      <c r="AA13" s="7">
        <v>2991156.8397606201</v>
      </c>
      <c r="AB13" s="7">
        <v>14.1471060526129</v>
      </c>
      <c r="AC13" s="7">
        <f t="shared" si="5"/>
        <v>4378.9797143878295</v>
      </c>
      <c r="AE13" s="28">
        <v>35</v>
      </c>
      <c r="AF13" s="26">
        <v>5.0000000000000002E-5</v>
      </c>
      <c r="AG13" s="28">
        <v>0.2</v>
      </c>
      <c r="AH13" s="28">
        <v>30</v>
      </c>
      <c r="AI13" s="26">
        <v>5.0000000000000001E-9</v>
      </c>
      <c r="AJ13" s="26">
        <f t="shared" si="6"/>
        <v>1.0000000000000001E-9</v>
      </c>
      <c r="AK13" s="26">
        <f t="shared" si="7"/>
        <v>4.0000000000000003E-5</v>
      </c>
      <c r="AL13" s="7">
        <v>10.539976642107799</v>
      </c>
      <c r="AM13" s="7">
        <v>796.81570693005597</v>
      </c>
      <c r="AN13" s="7">
        <v>1033.7564145403501</v>
      </c>
      <c r="AO13" s="7">
        <v>796.81570693005597</v>
      </c>
      <c r="AP13" s="7">
        <v>1794694.1518928199</v>
      </c>
      <c r="AQ13" s="7">
        <v>5.0929581789406502</v>
      </c>
      <c r="AR13" s="7">
        <f t="shared" si="8"/>
        <v>2627.3878284004622</v>
      </c>
      <c r="AT13" s="28">
        <v>35</v>
      </c>
      <c r="AU13" s="26">
        <v>1.0000000000000001E-5</v>
      </c>
      <c r="AV13" s="28">
        <v>0.2</v>
      </c>
      <c r="AW13" s="28">
        <v>200</v>
      </c>
      <c r="AX13" s="26">
        <v>5.0000000000000001E-9</v>
      </c>
      <c r="AY13" s="26">
        <f t="shared" si="9"/>
        <v>1.0000000000000001E-9</v>
      </c>
      <c r="AZ13" s="26">
        <f t="shared" si="10"/>
        <v>2.0000000000000001E-4</v>
      </c>
      <c r="BA13" s="7">
        <v>61.927872558624898</v>
      </c>
      <c r="BB13" s="7">
        <v>602.00500937137394</v>
      </c>
      <c r="BC13" s="7">
        <v>783.15203621901901</v>
      </c>
      <c r="BD13" s="7">
        <v>602.00500937137394</v>
      </c>
      <c r="BE13" s="7">
        <v>8973470.5022608098</v>
      </c>
      <c r="BF13" s="7">
        <v>127.323954473516</v>
      </c>
      <c r="BG13" s="7">
        <f t="shared" si="11"/>
        <v>1987.1620549617669</v>
      </c>
      <c r="BI13" s="28">
        <v>35</v>
      </c>
      <c r="BJ13" s="26">
        <v>1.0000000000000001E-5</v>
      </c>
      <c r="BK13" s="28">
        <v>0.5</v>
      </c>
      <c r="BL13" s="28">
        <v>200</v>
      </c>
      <c r="BM13" s="26">
        <v>5.0000000000000001E-9</v>
      </c>
      <c r="BN13" s="26">
        <f t="shared" si="12"/>
        <v>2.5000000000000001E-9</v>
      </c>
      <c r="BO13" s="26">
        <f t="shared" si="13"/>
        <v>5.0000000000000001E-4</v>
      </c>
      <c r="BP13" s="7">
        <v>62.0736420793504</v>
      </c>
      <c r="BQ13" s="7">
        <v>600.83500597989303</v>
      </c>
      <c r="BR13" s="7">
        <v>781.06268252331097</v>
      </c>
      <c r="BS13" s="7">
        <v>600.83500597989303</v>
      </c>
      <c r="BT13" s="7">
        <v>3589388.20090432</v>
      </c>
      <c r="BU13" s="7">
        <v>127.323954473516</v>
      </c>
      <c r="BV13" s="7">
        <f t="shared" si="14"/>
        <v>1982.732694483097</v>
      </c>
      <c r="BX13" s="28">
        <v>35</v>
      </c>
      <c r="BY13" s="26">
        <v>5.0000000000000002E-5</v>
      </c>
      <c r="BZ13" s="28">
        <v>0.5</v>
      </c>
      <c r="CA13" s="28">
        <v>200</v>
      </c>
      <c r="CB13" s="26">
        <v>5.0000000000000001E-9</v>
      </c>
      <c r="CC13" s="26">
        <f t="shared" si="15"/>
        <v>2.5000000000000001E-9</v>
      </c>
      <c r="CD13" s="26">
        <f t="shared" si="16"/>
        <v>9.9999999999999991E-5</v>
      </c>
      <c r="CE13" s="7">
        <v>68.287879918241998</v>
      </c>
      <c r="CF13" s="7">
        <v>120.167001188906</v>
      </c>
      <c r="CG13" s="7">
        <v>156.21253650466201</v>
      </c>
      <c r="CH13" s="7">
        <v>120.167001188906</v>
      </c>
      <c r="CI13" s="7">
        <v>717877.66075713001</v>
      </c>
      <c r="CJ13" s="7">
        <v>5.0929581789406502</v>
      </c>
      <c r="CK13" s="7">
        <f t="shared" si="17"/>
        <v>396.54653888247401</v>
      </c>
      <c r="CM13" s="28">
        <v>35</v>
      </c>
      <c r="CN13" s="26">
        <v>5.0000000000000002E-5</v>
      </c>
      <c r="CO13" s="28">
        <v>1</v>
      </c>
      <c r="CP13" s="28">
        <v>200</v>
      </c>
      <c r="CQ13" s="26">
        <v>5.0000000000000001E-9</v>
      </c>
      <c r="CR13" s="26">
        <f t="shared" si="18"/>
        <v>5.0000000000000001E-9</v>
      </c>
      <c r="CS13" s="26">
        <f t="shared" si="19"/>
        <v>1.9999999999999998E-4</v>
      </c>
      <c r="CT13" s="7">
        <v>68.573590616665896</v>
      </c>
      <c r="CU13" s="7">
        <v>119.779274796552</v>
      </c>
      <c r="CV13" s="7">
        <v>155.521045898078</v>
      </c>
      <c r="CW13" s="7">
        <v>119.779274796552</v>
      </c>
      <c r="CX13" s="7">
        <v>358938.83037856501</v>
      </c>
      <c r="CY13" s="7">
        <v>5.0929581789406502</v>
      </c>
      <c r="CZ13" s="7">
        <f t="shared" si="20"/>
        <v>395.07959549118198</v>
      </c>
      <c r="DB13" s="28">
        <v>35</v>
      </c>
      <c r="DC13" s="26">
        <v>5.0000000000000002E-5</v>
      </c>
      <c r="DD13" s="28">
        <v>2</v>
      </c>
      <c r="DE13" s="28">
        <v>200</v>
      </c>
      <c r="DF13" s="26">
        <v>5.0000000000000001E-9</v>
      </c>
      <c r="DG13" s="26">
        <f t="shared" si="21"/>
        <v>1E-8</v>
      </c>
      <c r="DH13" s="26">
        <f t="shared" si="22"/>
        <v>3.9999999999999996E-4</v>
      </c>
      <c r="DI13" s="7">
        <v>69.144393607322002</v>
      </c>
      <c r="DJ13" s="7">
        <v>119.01223137089301</v>
      </c>
      <c r="DK13" s="7">
        <v>154.156369850555</v>
      </c>
      <c r="DL13" s="7">
        <v>119.01223137089301</v>
      </c>
      <c r="DM13" s="7">
        <v>179469.41518928201</v>
      </c>
      <c r="DN13" s="7">
        <v>5.0929581789406502</v>
      </c>
      <c r="DO13" s="7">
        <f t="shared" si="23"/>
        <v>392.18083259234101</v>
      </c>
      <c r="DQ13" s="28">
        <v>35</v>
      </c>
      <c r="DR13" s="26">
        <v>5.0000000000000002E-5</v>
      </c>
      <c r="DS13" s="28">
        <v>15</v>
      </c>
      <c r="DT13" s="28">
        <v>300</v>
      </c>
      <c r="DU13" s="26">
        <v>1.0000000000000001E-9</v>
      </c>
      <c r="DV13" s="26">
        <f t="shared" si="24"/>
        <v>1.5000000000000002E-8</v>
      </c>
      <c r="DW13" s="26">
        <f t="shared" si="25"/>
        <v>6.0000000000000006E-4</v>
      </c>
      <c r="DX13" s="7">
        <v>112.610815492792</v>
      </c>
      <c r="DY13" s="7">
        <v>75.5008244304708</v>
      </c>
      <c r="DZ13" s="7">
        <v>96.032312732024195</v>
      </c>
      <c r="EA13" s="7">
        <v>75.5008244304708</v>
      </c>
      <c r="EB13" s="7">
        <v>23929.255358571001</v>
      </c>
      <c r="EC13" s="7">
        <v>1.0185916357881299</v>
      </c>
      <c r="ED13" s="7">
        <f t="shared" si="26"/>
        <v>247.0339615929658</v>
      </c>
      <c r="EG13" s="32"/>
      <c r="EJ13" s="32"/>
      <c r="EQ13" s="32"/>
      <c r="ER13" s="32"/>
    </row>
    <row r="14" spans="1:148" x14ac:dyDescent="0.4">
      <c r="A14" s="28">
        <v>40</v>
      </c>
      <c r="B14" s="26">
        <v>1.0000000000000001E-5</v>
      </c>
      <c r="C14" s="28">
        <v>0.2</v>
      </c>
      <c r="D14" s="28">
        <v>30</v>
      </c>
      <c r="E14" s="26">
        <v>5.0000000000000001E-9</v>
      </c>
      <c r="F14" s="26">
        <f t="shared" si="0"/>
        <v>1.0000000000000001E-9</v>
      </c>
      <c r="G14" s="26">
        <f t="shared" si="1"/>
        <v>2.0000000000000001E-4</v>
      </c>
      <c r="H14" s="7">
        <v>11.823513976860401</v>
      </c>
      <c r="I14" s="7">
        <v>3352.9677929484601</v>
      </c>
      <c r="J14" s="7">
        <v>5323.5334580216904</v>
      </c>
      <c r="K14" s="7">
        <v>3352.9677929484601</v>
      </c>
      <c r="L14" s="7">
        <v>13908939.478979601</v>
      </c>
      <c r="M14" s="7">
        <v>127.323954473516</v>
      </c>
      <c r="N14" s="7">
        <f t="shared" si="2"/>
        <v>12029.469043918611</v>
      </c>
      <c r="P14" s="28">
        <v>40</v>
      </c>
      <c r="Q14" s="26">
        <v>3.0000000000000001E-5</v>
      </c>
      <c r="R14" s="28">
        <v>0.2</v>
      </c>
      <c r="S14" s="28">
        <v>30</v>
      </c>
      <c r="T14" s="26">
        <v>5.0000000000000001E-9</v>
      </c>
      <c r="U14" s="26">
        <f t="shared" si="3"/>
        <v>1.0000000000000001E-9</v>
      </c>
      <c r="V14" s="26">
        <f t="shared" si="4"/>
        <v>6.666666666666667E-5</v>
      </c>
      <c r="W14" s="7">
        <v>11.9890573711965</v>
      </c>
      <c r="X14" s="7">
        <v>1117.6559309715101</v>
      </c>
      <c r="Y14" s="7">
        <v>1774.5111526738999</v>
      </c>
      <c r="Z14" s="7">
        <v>1117.6559309715101</v>
      </c>
      <c r="AA14" s="7">
        <v>4636313.1689486196</v>
      </c>
      <c r="AB14" s="7">
        <v>14.1471060526129</v>
      </c>
      <c r="AC14" s="7">
        <f t="shared" si="5"/>
        <v>4009.8230146169199</v>
      </c>
      <c r="AE14" s="28">
        <v>40</v>
      </c>
      <c r="AF14" s="26">
        <v>5.0000000000000002E-5</v>
      </c>
      <c r="AG14" s="28">
        <v>0.2</v>
      </c>
      <c r="AH14" s="28">
        <v>30</v>
      </c>
      <c r="AI14" s="26">
        <v>5.0000000000000001E-9</v>
      </c>
      <c r="AJ14" s="26">
        <f t="shared" si="6"/>
        <v>1.0000000000000001E-9</v>
      </c>
      <c r="AK14" s="26">
        <f t="shared" si="7"/>
        <v>4.0000000000000003E-5</v>
      </c>
      <c r="AL14" s="7">
        <v>12.022724380356101</v>
      </c>
      <c r="AM14" s="7">
        <v>670.59355848720395</v>
      </c>
      <c r="AN14" s="7">
        <v>1064.70669160434</v>
      </c>
      <c r="AO14" s="7">
        <v>670.59355848720395</v>
      </c>
      <c r="AP14" s="7">
        <v>2781787.9800138599</v>
      </c>
      <c r="AQ14" s="7">
        <v>5.0929581789406502</v>
      </c>
      <c r="AR14" s="7">
        <f t="shared" si="8"/>
        <v>2405.8938085787481</v>
      </c>
      <c r="AT14" s="28">
        <v>40</v>
      </c>
      <c r="AU14" s="26">
        <v>1.0000000000000001E-5</v>
      </c>
      <c r="AV14" s="28">
        <v>0.2</v>
      </c>
      <c r="AW14" s="28">
        <v>200</v>
      </c>
      <c r="AX14" s="26">
        <v>5.0000000000000001E-9</v>
      </c>
      <c r="AY14" s="26">
        <f t="shared" si="9"/>
        <v>1.0000000000000001E-9</v>
      </c>
      <c r="AZ14" s="26">
        <f t="shared" si="10"/>
        <v>2.0000000000000001E-4</v>
      </c>
      <c r="BA14" s="7">
        <v>70.052585020785699</v>
      </c>
      <c r="BB14" s="7">
        <v>506.171357939058</v>
      </c>
      <c r="BC14" s="7">
        <v>804.808472591532</v>
      </c>
      <c r="BD14" s="7">
        <v>506.171357939058</v>
      </c>
      <c r="BE14" s="7">
        <v>13908939.478979601</v>
      </c>
      <c r="BF14" s="7">
        <v>127.323954473516</v>
      </c>
      <c r="BG14" s="7">
        <f t="shared" si="11"/>
        <v>1817.1511884696479</v>
      </c>
      <c r="BI14" s="28">
        <v>40</v>
      </c>
      <c r="BJ14" s="26">
        <v>1.0000000000000001E-5</v>
      </c>
      <c r="BK14" s="28">
        <v>0.5</v>
      </c>
      <c r="BL14" s="28">
        <v>200</v>
      </c>
      <c r="BM14" s="26">
        <v>5.0000000000000001E-9</v>
      </c>
      <c r="BN14" s="26">
        <f t="shared" si="12"/>
        <v>2.5000000000000001E-9</v>
      </c>
      <c r="BO14" s="26">
        <f t="shared" si="13"/>
        <v>5.0000000000000001E-4</v>
      </c>
      <c r="BP14" s="7">
        <v>70.182975734241396</v>
      </c>
      <c r="BQ14" s="7">
        <v>505.31296257696903</v>
      </c>
      <c r="BR14" s="7">
        <v>803.13685140779603</v>
      </c>
      <c r="BS14" s="7">
        <v>505.31296257696903</v>
      </c>
      <c r="BT14" s="7">
        <v>5563575.7915918296</v>
      </c>
      <c r="BU14" s="7">
        <v>127.323954473516</v>
      </c>
      <c r="BV14" s="7">
        <f t="shared" si="14"/>
        <v>1813.7627765617342</v>
      </c>
      <c r="BX14" s="28">
        <v>40</v>
      </c>
      <c r="BY14" s="26">
        <v>5.0000000000000002E-5</v>
      </c>
      <c r="BZ14" s="28">
        <v>0.5</v>
      </c>
      <c r="CA14" s="28">
        <v>200</v>
      </c>
      <c r="CB14" s="26">
        <v>5.0000000000000001E-9</v>
      </c>
      <c r="CC14" s="26">
        <f t="shared" si="15"/>
        <v>2.5000000000000001E-9</v>
      </c>
      <c r="CD14" s="26">
        <f t="shared" si="16"/>
        <v>9.9999999999999991E-5</v>
      </c>
      <c r="CE14" s="7">
        <v>77.847642144035902</v>
      </c>
      <c r="CF14" s="7">
        <v>101.06259250957299</v>
      </c>
      <c r="CG14" s="7">
        <v>160.627370281559</v>
      </c>
      <c r="CH14" s="7">
        <v>101.06259250957299</v>
      </c>
      <c r="CI14" s="7">
        <v>1112715.19200554</v>
      </c>
      <c r="CJ14" s="7">
        <v>5.0929581789406502</v>
      </c>
      <c r="CK14" s="7">
        <f t="shared" si="17"/>
        <v>362.75255530070496</v>
      </c>
      <c r="CM14" s="28">
        <v>40</v>
      </c>
      <c r="CN14" s="26">
        <v>5.0000000000000002E-5</v>
      </c>
      <c r="CO14" s="28">
        <v>1</v>
      </c>
      <c r="CP14" s="28">
        <v>200</v>
      </c>
      <c r="CQ14" s="26">
        <v>5.0000000000000001E-9</v>
      </c>
      <c r="CR14" s="26">
        <f t="shared" si="18"/>
        <v>5.0000000000000001E-9</v>
      </c>
      <c r="CS14" s="26">
        <f t="shared" si="19"/>
        <v>1.9999999999999998E-4</v>
      </c>
      <c r="CT14" s="7">
        <v>78.108884259502801</v>
      </c>
      <c r="CU14" s="7">
        <v>100.77787314708399</v>
      </c>
      <c r="CV14" s="7">
        <v>160.073267279547</v>
      </c>
      <c r="CW14" s="7">
        <v>100.77787314708399</v>
      </c>
      <c r="CX14" s="7">
        <v>556357.59600277198</v>
      </c>
      <c r="CY14" s="7">
        <v>5.0929581789406502</v>
      </c>
      <c r="CZ14" s="7">
        <f t="shared" si="20"/>
        <v>361.62901357371499</v>
      </c>
      <c r="DB14" s="28">
        <v>40</v>
      </c>
      <c r="DC14" s="26">
        <v>5.0000000000000002E-5</v>
      </c>
      <c r="DD14" s="28">
        <v>2</v>
      </c>
      <c r="DE14" s="28">
        <v>200</v>
      </c>
      <c r="DF14" s="26">
        <v>5.0000000000000001E-9</v>
      </c>
      <c r="DG14" s="26">
        <f t="shared" si="21"/>
        <v>1E-8</v>
      </c>
      <c r="DH14" s="26">
        <f t="shared" si="22"/>
        <v>3.9999999999999996E-4</v>
      </c>
      <c r="DI14" s="7">
        <v>78.630991428160797</v>
      </c>
      <c r="DJ14" s="7">
        <v>100.213668542356</v>
      </c>
      <c r="DK14" s="7">
        <v>158.97655523681999</v>
      </c>
      <c r="DL14" s="7">
        <v>100.213668542356</v>
      </c>
      <c r="DM14" s="7">
        <v>278178.79800138599</v>
      </c>
      <c r="DN14" s="7">
        <v>5.0929581789406502</v>
      </c>
      <c r="DO14" s="7">
        <f t="shared" si="23"/>
        <v>359.403892321532</v>
      </c>
      <c r="DQ14" s="28">
        <v>40</v>
      </c>
      <c r="DR14" s="26">
        <v>5.0000000000000002E-5</v>
      </c>
      <c r="DS14" s="28">
        <v>15</v>
      </c>
      <c r="DT14" s="28">
        <v>300</v>
      </c>
      <c r="DU14" s="26">
        <v>1.0000000000000001E-9</v>
      </c>
      <c r="DV14" s="26">
        <f t="shared" si="24"/>
        <v>1.5000000000000002E-8</v>
      </c>
      <c r="DW14" s="26">
        <f t="shared" si="25"/>
        <v>6.0000000000000006E-4</v>
      </c>
      <c r="DX14" s="7">
        <v>126.731146175205</v>
      </c>
      <c r="DY14" s="7">
        <v>63.957630951740299</v>
      </c>
      <c r="DZ14" s="7">
        <v>100.479958515748</v>
      </c>
      <c r="EA14" s="7">
        <v>63.957630951740299</v>
      </c>
      <c r="EB14" s="7">
        <v>37090.5064001848</v>
      </c>
      <c r="EC14" s="7">
        <v>1.0185916357881299</v>
      </c>
      <c r="ED14" s="7">
        <f t="shared" si="26"/>
        <v>228.39522041922859</v>
      </c>
      <c r="EG14" s="32"/>
      <c r="EJ14" s="32"/>
      <c r="EQ14" s="32"/>
      <c r="ER14" s="32"/>
    </row>
    <row r="15" spans="1:148" x14ac:dyDescent="0.4">
      <c r="A15" s="28">
        <v>45</v>
      </c>
      <c r="B15" s="26">
        <v>1.0000000000000001E-5</v>
      </c>
      <c r="C15" s="28">
        <v>0.2</v>
      </c>
      <c r="D15" s="28">
        <v>30</v>
      </c>
      <c r="E15" s="26">
        <v>5.0000000000000001E-9</v>
      </c>
      <c r="F15" s="26">
        <f t="shared" si="0"/>
        <v>1.0000000000000001E-9</v>
      </c>
      <c r="G15" s="26">
        <f t="shared" si="1"/>
        <v>2.0000000000000001E-4</v>
      </c>
      <c r="H15" s="7">
        <v>13.2405472581586</v>
      </c>
      <c r="I15" s="7">
        <v>2844.9728255004802</v>
      </c>
      <c r="J15" s="7">
        <v>5459.8455675855203</v>
      </c>
      <c r="K15" s="7">
        <v>2844.9728255004802</v>
      </c>
      <c r="L15" s="7">
        <v>22314016.336053099</v>
      </c>
      <c r="M15" s="7">
        <v>127.323954473516</v>
      </c>
      <c r="N15" s="7">
        <f t="shared" si="2"/>
        <v>11149.791218586481</v>
      </c>
      <c r="P15" s="28">
        <v>45</v>
      </c>
      <c r="Q15" s="26">
        <v>3.0000000000000001E-5</v>
      </c>
      <c r="R15" s="28">
        <v>0.2</v>
      </c>
      <c r="S15" s="28">
        <v>30</v>
      </c>
      <c r="T15" s="26">
        <v>5.0000000000000001E-9</v>
      </c>
      <c r="U15" s="26">
        <f t="shared" si="3"/>
        <v>1.0000000000000001E-9</v>
      </c>
      <c r="V15" s="26">
        <f t="shared" si="4"/>
        <v>6.666666666666667E-5</v>
      </c>
      <c r="W15" s="7">
        <v>13.440520743300899</v>
      </c>
      <c r="X15" s="7">
        <v>948.32427515736799</v>
      </c>
      <c r="Y15" s="7">
        <v>1819.94852252851</v>
      </c>
      <c r="Z15" s="7">
        <v>948.32427515736799</v>
      </c>
      <c r="AA15" s="7">
        <v>7438005.4604388904</v>
      </c>
      <c r="AB15" s="7">
        <v>14.1471060526129</v>
      </c>
      <c r="AC15" s="7">
        <f t="shared" si="5"/>
        <v>3716.5970728432458</v>
      </c>
      <c r="AE15" s="28">
        <v>45</v>
      </c>
      <c r="AF15" s="26">
        <v>5.0000000000000002E-5</v>
      </c>
      <c r="AG15" s="28">
        <v>0.2</v>
      </c>
      <c r="AH15" s="28">
        <v>30</v>
      </c>
      <c r="AI15" s="26">
        <v>5.0000000000000001E-9</v>
      </c>
      <c r="AJ15" s="26">
        <f t="shared" si="6"/>
        <v>1.0000000000000001E-9</v>
      </c>
      <c r="AK15" s="26">
        <f t="shared" si="7"/>
        <v>4.0000000000000003E-5</v>
      </c>
      <c r="AL15" s="7">
        <v>13.4812428632713</v>
      </c>
      <c r="AM15" s="7">
        <v>568.99456501435202</v>
      </c>
      <c r="AN15" s="7">
        <v>1091.9691135170999</v>
      </c>
      <c r="AO15" s="7">
        <v>568.99456501435202</v>
      </c>
      <c r="AP15" s="7">
        <v>4462803.4040061999</v>
      </c>
      <c r="AQ15" s="7">
        <v>5.0929581789406502</v>
      </c>
      <c r="AR15" s="7">
        <f t="shared" si="8"/>
        <v>2229.9582435458042</v>
      </c>
      <c r="AT15" s="28">
        <v>45</v>
      </c>
      <c r="AU15" s="26">
        <v>1.0000000000000001E-5</v>
      </c>
      <c r="AV15" s="28">
        <v>0.2</v>
      </c>
      <c r="AW15" s="28">
        <v>200</v>
      </c>
      <c r="AX15" s="26">
        <v>5.0000000000000001E-9</v>
      </c>
      <c r="AY15" s="26">
        <f t="shared" si="9"/>
        <v>1.0000000000000001E-9</v>
      </c>
      <c r="AZ15" s="26">
        <f t="shared" si="10"/>
        <v>2.0000000000000001E-4</v>
      </c>
      <c r="BA15" s="7">
        <v>77.918175951103194</v>
      </c>
      <c r="BB15" s="7">
        <v>429.182314820393</v>
      </c>
      <c r="BC15" s="7">
        <v>824.10906225483302</v>
      </c>
      <c r="BD15" s="7">
        <v>429.182314820393</v>
      </c>
      <c r="BE15" s="7">
        <v>22314016.336053099</v>
      </c>
      <c r="BF15" s="7">
        <v>127.323954473516</v>
      </c>
      <c r="BG15" s="7">
        <f t="shared" si="11"/>
        <v>1682.4736918956191</v>
      </c>
      <c r="BI15" s="28">
        <v>45</v>
      </c>
      <c r="BJ15" s="26">
        <v>1.0000000000000001E-5</v>
      </c>
      <c r="BK15" s="28">
        <v>0.5</v>
      </c>
      <c r="BL15" s="28">
        <v>200</v>
      </c>
      <c r="BM15" s="26">
        <v>5.0000000000000001E-9</v>
      </c>
      <c r="BN15" s="26">
        <f t="shared" si="12"/>
        <v>2.5000000000000001E-9</v>
      </c>
      <c r="BO15" s="26">
        <f t="shared" si="13"/>
        <v>5.0000000000000001E-4</v>
      </c>
      <c r="BP15" s="7">
        <v>78.035474459442696</v>
      </c>
      <c r="BQ15" s="7">
        <v>428.53449983983199</v>
      </c>
      <c r="BR15" s="7">
        <v>822.74419088845502</v>
      </c>
      <c r="BS15" s="7">
        <v>428.53449983983199</v>
      </c>
      <c r="BT15" s="7">
        <v>8925606.5344212595</v>
      </c>
      <c r="BU15" s="7">
        <v>127.323954473516</v>
      </c>
      <c r="BV15" s="7">
        <f t="shared" si="14"/>
        <v>1679.8131905681191</v>
      </c>
      <c r="BX15" s="28">
        <v>45</v>
      </c>
      <c r="BY15" s="26">
        <v>5.0000000000000002E-5</v>
      </c>
      <c r="BZ15" s="28">
        <v>0.5</v>
      </c>
      <c r="CA15" s="28">
        <v>200</v>
      </c>
      <c r="CB15" s="26">
        <v>5.0000000000000001E-9</v>
      </c>
      <c r="CC15" s="26">
        <f t="shared" si="15"/>
        <v>2.5000000000000001E-9</v>
      </c>
      <c r="CD15" s="26">
        <f t="shared" si="16"/>
        <v>9.9999999999999991E-5</v>
      </c>
      <c r="CE15" s="7">
        <v>87.218706006957504</v>
      </c>
      <c r="CF15" s="7">
        <v>85.706899963102501</v>
      </c>
      <c r="CG15" s="7">
        <v>164.54883817769101</v>
      </c>
      <c r="CH15" s="7">
        <v>85.706899963102501</v>
      </c>
      <c r="CI15" s="7">
        <v>1785121.3616024801</v>
      </c>
      <c r="CJ15" s="7">
        <v>5.0929581789406502</v>
      </c>
      <c r="CK15" s="7">
        <f t="shared" si="17"/>
        <v>335.96263810389598</v>
      </c>
      <c r="CM15" s="28">
        <v>45</v>
      </c>
      <c r="CN15" s="26">
        <v>5.0000000000000002E-5</v>
      </c>
      <c r="CO15" s="28">
        <v>1</v>
      </c>
      <c r="CP15" s="28">
        <v>200</v>
      </c>
      <c r="CQ15" s="26">
        <v>5.0000000000000001E-9</v>
      </c>
      <c r="CR15" s="26">
        <f t="shared" si="18"/>
        <v>5.0000000000000001E-9</v>
      </c>
      <c r="CS15" s="26">
        <f t="shared" si="19"/>
        <v>1.9999999999999998E-4</v>
      </c>
      <c r="CT15" s="7">
        <v>87.458616615582201</v>
      </c>
      <c r="CU15" s="7">
        <v>85.491887514072303</v>
      </c>
      <c r="CV15" s="7">
        <v>164.095913900619</v>
      </c>
      <c r="CW15" s="7">
        <v>85.491887514072303</v>
      </c>
      <c r="CX15" s="7">
        <v>892560.68080124003</v>
      </c>
      <c r="CY15" s="7">
        <v>5.0929581789406502</v>
      </c>
      <c r="CZ15" s="7">
        <f t="shared" si="20"/>
        <v>335.07968892876357</v>
      </c>
      <c r="DB15" s="28">
        <v>45</v>
      </c>
      <c r="DC15" s="26">
        <v>5.0000000000000002E-5</v>
      </c>
      <c r="DD15" s="28">
        <v>2</v>
      </c>
      <c r="DE15" s="28">
        <v>200</v>
      </c>
      <c r="DF15" s="26">
        <v>5.0000000000000001E-9</v>
      </c>
      <c r="DG15" s="26">
        <f t="shared" si="21"/>
        <v>1E-8</v>
      </c>
      <c r="DH15" s="26">
        <f t="shared" si="22"/>
        <v>3.9999999999999996E-4</v>
      </c>
      <c r="DI15" s="7">
        <v>87.938188386973295</v>
      </c>
      <c r="DJ15" s="7">
        <v>85.065299620820397</v>
      </c>
      <c r="DK15" s="7">
        <v>163.197611169178</v>
      </c>
      <c r="DL15" s="7">
        <v>85.065299620820397</v>
      </c>
      <c r="DM15" s="7">
        <v>446280.34040062001</v>
      </c>
      <c r="DN15" s="7">
        <v>5.0929581789406502</v>
      </c>
      <c r="DO15" s="7">
        <f t="shared" si="23"/>
        <v>333.32821041081877</v>
      </c>
      <c r="DQ15" s="28">
        <v>45</v>
      </c>
      <c r="DR15" s="26">
        <v>5.0000000000000002E-5</v>
      </c>
      <c r="DS15" s="28">
        <v>15</v>
      </c>
      <c r="DT15" s="28">
        <v>300</v>
      </c>
      <c r="DU15" s="26">
        <v>1.0000000000000001E-9</v>
      </c>
      <c r="DV15" s="26">
        <f t="shared" si="24"/>
        <v>1.5000000000000002E-8</v>
      </c>
      <c r="DW15" s="26">
        <f t="shared" si="25"/>
        <v>6.0000000000000006E-4</v>
      </c>
      <c r="DX15" s="7">
        <v>140.67167880514199</v>
      </c>
      <c r="DY15" s="7">
        <v>54.539450656433999</v>
      </c>
      <c r="DZ15" s="7">
        <v>104.236562937325</v>
      </c>
      <c r="EA15" s="7">
        <v>54.539450656433999</v>
      </c>
      <c r="EB15" s="7">
        <v>59504.045386749298</v>
      </c>
      <c r="EC15" s="7">
        <v>1.0185916357881299</v>
      </c>
      <c r="ED15" s="7">
        <f t="shared" si="26"/>
        <v>213.31546425019297</v>
      </c>
      <c r="EG15" s="32"/>
      <c r="EJ15" s="32"/>
      <c r="EQ15" s="32"/>
      <c r="ER15" s="32"/>
    </row>
    <row r="16" spans="1:148" x14ac:dyDescent="0.4">
      <c r="A16" s="28">
        <v>50</v>
      </c>
      <c r="B16" s="26">
        <v>1.0000000000000001E-5</v>
      </c>
      <c r="C16" s="28">
        <v>0.2</v>
      </c>
      <c r="D16" s="28">
        <v>30</v>
      </c>
      <c r="E16" s="26">
        <v>5.0000000000000001E-9</v>
      </c>
      <c r="F16" s="26">
        <f t="shared" si="0"/>
        <v>1.0000000000000001E-9</v>
      </c>
      <c r="G16" s="26">
        <f t="shared" si="1"/>
        <v>2.0000000000000001E-4</v>
      </c>
      <c r="H16" s="7">
        <v>14.639603260142801</v>
      </c>
      <c r="I16" s="7">
        <v>2422.0764785389101</v>
      </c>
      <c r="J16" s="7">
        <v>5581.9822447758097</v>
      </c>
      <c r="K16" s="7">
        <v>2422.0764785389101</v>
      </c>
      <c r="L16" s="7">
        <v>38032949.861855596</v>
      </c>
      <c r="M16" s="7">
        <v>127.323954473516</v>
      </c>
      <c r="N16" s="7">
        <f t="shared" si="2"/>
        <v>10426.135201853631</v>
      </c>
      <c r="P16" s="28">
        <v>50</v>
      </c>
      <c r="Q16" s="26">
        <v>3.0000000000000001E-5</v>
      </c>
      <c r="R16" s="28">
        <v>0.2</v>
      </c>
      <c r="S16" s="28">
        <v>30</v>
      </c>
      <c r="T16" s="26">
        <v>5.0000000000000001E-9</v>
      </c>
      <c r="U16" s="26">
        <f t="shared" si="3"/>
        <v>1.0000000000000001E-9</v>
      </c>
      <c r="V16" s="26">
        <f t="shared" si="4"/>
        <v>6.666666666666667E-5</v>
      </c>
      <c r="W16" s="7">
        <v>14.875983649599499</v>
      </c>
      <c r="X16" s="7">
        <v>807.35882617166396</v>
      </c>
      <c r="Y16" s="7">
        <v>1860.6607482586001</v>
      </c>
      <c r="Z16" s="7">
        <v>807.35882617166396</v>
      </c>
      <c r="AA16" s="7">
        <v>12677649.9784535</v>
      </c>
      <c r="AB16" s="7">
        <v>14.1471060526129</v>
      </c>
      <c r="AC16" s="7">
        <f t="shared" si="5"/>
        <v>3475.3784006019282</v>
      </c>
      <c r="AE16" s="28">
        <v>50</v>
      </c>
      <c r="AF16" s="26">
        <v>5.0000000000000002E-5</v>
      </c>
      <c r="AG16" s="28">
        <v>0.2</v>
      </c>
      <c r="AH16" s="28">
        <v>30</v>
      </c>
      <c r="AI16" s="26">
        <v>5.0000000000000001E-9</v>
      </c>
      <c r="AJ16" s="26">
        <f t="shared" si="6"/>
        <v>1.0000000000000001E-9</v>
      </c>
      <c r="AK16" s="26">
        <f t="shared" si="7"/>
        <v>4.0000000000000003E-5</v>
      </c>
      <c r="AL16" s="7">
        <v>14.924178974672699</v>
      </c>
      <c r="AM16" s="7">
        <v>484.41529563550102</v>
      </c>
      <c r="AN16" s="7">
        <v>1116.3964489551599</v>
      </c>
      <c r="AO16" s="7">
        <v>484.41529563550102</v>
      </c>
      <c r="AP16" s="7">
        <v>7606590.1945190197</v>
      </c>
      <c r="AQ16" s="7">
        <v>5.0929581789406502</v>
      </c>
      <c r="AR16" s="7">
        <f t="shared" si="8"/>
        <v>2085.227040226162</v>
      </c>
      <c r="AT16" s="28">
        <v>50</v>
      </c>
      <c r="AU16" s="26">
        <v>1.0000000000000001E-5</v>
      </c>
      <c r="AV16" s="28">
        <v>0.2</v>
      </c>
      <c r="AW16" s="28">
        <v>200</v>
      </c>
      <c r="AX16" s="26">
        <v>5.0000000000000001E-9</v>
      </c>
      <c r="AY16" s="26">
        <f t="shared" si="9"/>
        <v>1.0000000000000001E-9</v>
      </c>
      <c r="AZ16" s="26">
        <f t="shared" si="10"/>
        <v>2.0000000000000001E-4</v>
      </c>
      <c r="BA16" s="7">
        <v>85.585579283120097</v>
      </c>
      <c r="BB16" s="7">
        <v>365.18105956717</v>
      </c>
      <c r="BC16" s="7">
        <v>841.53641728653497</v>
      </c>
      <c r="BD16" s="7">
        <v>365.18105956717</v>
      </c>
      <c r="BE16" s="7">
        <v>38032949.861855596</v>
      </c>
      <c r="BF16" s="7">
        <v>127.323954473516</v>
      </c>
      <c r="BG16" s="7">
        <f t="shared" si="11"/>
        <v>1571.898536420875</v>
      </c>
      <c r="BI16" s="28">
        <v>50</v>
      </c>
      <c r="BJ16" s="26">
        <v>1.0000000000000001E-5</v>
      </c>
      <c r="BK16" s="28">
        <v>0.5</v>
      </c>
      <c r="BL16" s="28">
        <v>200</v>
      </c>
      <c r="BM16" s="26">
        <v>5.0000000000000001E-9</v>
      </c>
      <c r="BN16" s="26">
        <f t="shared" si="12"/>
        <v>2.5000000000000001E-9</v>
      </c>
      <c r="BO16" s="26">
        <f t="shared" si="13"/>
        <v>5.0000000000000001E-4</v>
      </c>
      <c r="BP16" s="7">
        <v>85.691194226788895</v>
      </c>
      <c r="BQ16" s="7">
        <v>364.68421056947602</v>
      </c>
      <c r="BR16" s="7">
        <v>840.41004328064798</v>
      </c>
      <c r="BS16" s="7">
        <v>364.68421056947602</v>
      </c>
      <c r="BT16" s="7">
        <v>15213179.944742201</v>
      </c>
      <c r="BU16" s="7">
        <v>127.323954473516</v>
      </c>
      <c r="BV16" s="7">
        <f t="shared" si="14"/>
        <v>1569.7784644195999</v>
      </c>
      <c r="BX16" s="28">
        <v>50</v>
      </c>
      <c r="BY16" s="26">
        <v>5.0000000000000002E-5</v>
      </c>
      <c r="BZ16" s="28">
        <v>0.5</v>
      </c>
      <c r="CA16" s="28">
        <v>200</v>
      </c>
      <c r="CB16" s="26">
        <v>5.0000000000000001E-9</v>
      </c>
      <c r="CC16" s="26">
        <f t="shared" si="15"/>
        <v>2.5000000000000001E-9</v>
      </c>
      <c r="CD16" s="26">
        <f t="shared" si="16"/>
        <v>9.9999999999999991E-5</v>
      </c>
      <c r="CE16" s="7">
        <v>96.461038639501893</v>
      </c>
      <c r="CF16" s="7">
        <v>72.936842109798505</v>
      </c>
      <c r="CG16" s="7">
        <v>168.08200865613</v>
      </c>
      <c r="CH16" s="7">
        <v>72.936842109798505</v>
      </c>
      <c r="CI16" s="7">
        <v>3042636.0778076099</v>
      </c>
      <c r="CJ16" s="7">
        <v>5.0929581789406502</v>
      </c>
      <c r="CK16" s="7">
        <f t="shared" si="17"/>
        <v>313.95569287572698</v>
      </c>
      <c r="CM16" s="28">
        <v>50</v>
      </c>
      <c r="CN16" s="26">
        <v>5.0000000000000002E-5</v>
      </c>
      <c r="CO16" s="28">
        <v>1</v>
      </c>
      <c r="CP16" s="28">
        <v>200</v>
      </c>
      <c r="CQ16" s="26">
        <v>5.0000000000000001E-9</v>
      </c>
      <c r="CR16" s="26">
        <f t="shared" si="18"/>
        <v>5.0000000000000001E-9</v>
      </c>
      <c r="CS16" s="26">
        <f t="shared" si="19"/>
        <v>1.9999999999999998E-4</v>
      </c>
      <c r="CT16" s="7">
        <v>96.681270802948603</v>
      </c>
      <c r="CU16" s="7">
        <v>72.771853396363895</v>
      </c>
      <c r="CV16" s="7">
        <v>167.707917393011</v>
      </c>
      <c r="CW16" s="7">
        <v>72.771853396363895</v>
      </c>
      <c r="CX16" s="7">
        <v>1521318.0389038101</v>
      </c>
      <c r="CY16" s="7">
        <v>5.0929581789406502</v>
      </c>
      <c r="CZ16" s="7">
        <f t="shared" si="20"/>
        <v>313.25162418573882</v>
      </c>
      <c r="DB16" s="28">
        <v>50</v>
      </c>
      <c r="DC16" s="26">
        <v>5.0000000000000002E-5</v>
      </c>
      <c r="DD16" s="28">
        <v>2</v>
      </c>
      <c r="DE16" s="28">
        <v>200</v>
      </c>
      <c r="DF16" s="26">
        <v>5.0000000000000001E-9</v>
      </c>
      <c r="DG16" s="26">
        <f t="shared" si="21"/>
        <v>1E-8</v>
      </c>
      <c r="DH16" s="26">
        <f t="shared" si="22"/>
        <v>3.9999999999999996E-4</v>
      </c>
      <c r="DI16" s="7">
        <v>97.121550611289706</v>
      </c>
      <c r="DJ16" s="7">
        <v>72.444208829560395</v>
      </c>
      <c r="DK16" s="7">
        <v>166.964817403171</v>
      </c>
      <c r="DL16" s="7">
        <v>72.444208829560395</v>
      </c>
      <c r="DM16" s="7">
        <v>760659.01945190295</v>
      </c>
      <c r="DN16" s="7">
        <v>5.0929581789406502</v>
      </c>
      <c r="DO16" s="7">
        <f t="shared" si="23"/>
        <v>311.85323506229179</v>
      </c>
      <c r="DQ16" s="28">
        <v>50</v>
      </c>
      <c r="DR16" s="26">
        <v>5.0000000000000002E-5</v>
      </c>
      <c r="DS16" s="28">
        <v>15</v>
      </c>
      <c r="DT16" s="28">
        <v>300</v>
      </c>
      <c r="DU16" s="26">
        <v>1.0000000000000001E-9</v>
      </c>
      <c r="DV16" s="26">
        <f t="shared" si="24"/>
        <v>1.5000000000000002E-8</v>
      </c>
      <c r="DW16" s="26">
        <f t="shared" si="25"/>
        <v>6.0000000000000006E-4</v>
      </c>
      <c r="DX16" s="7">
        <v>154.484015129699</v>
      </c>
      <c r="DY16" s="7">
        <v>46.620018473906597</v>
      </c>
      <c r="DZ16" s="7">
        <v>107.50242472112301</v>
      </c>
      <c r="EA16" s="7">
        <v>46.620018473906597</v>
      </c>
      <c r="EB16" s="7">
        <v>101421.202593587</v>
      </c>
      <c r="EC16" s="7">
        <v>1.0185916357881299</v>
      </c>
      <c r="ED16" s="7">
        <f t="shared" si="26"/>
        <v>200.74246166893619</v>
      </c>
      <c r="EG16" s="32"/>
      <c r="EJ16" s="32"/>
      <c r="EQ16" s="32"/>
      <c r="ER16" s="32"/>
    </row>
    <row r="17" spans="1:148" x14ac:dyDescent="0.4">
      <c r="A17" s="28">
        <v>55.000000000000007</v>
      </c>
      <c r="B17" s="26">
        <v>1.0000000000000001E-5</v>
      </c>
      <c r="C17" s="28">
        <v>0.2</v>
      </c>
      <c r="D17" s="28">
        <v>30</v>
      </c>
      <c r="E17" s="26">
        <v>5.0000000000000001E-9</v>
      </c>
      <c r="F17" s="26">
        <f t="shared" si="0"/>
        <v>1.0000000000000001E-9</v>
      </c>
      <c r="G17" s="26">
        <f t="shared" si="1"/>
        <v>2.0000000000000001E-4</v>
      </c>
      <c r="H17" s="7">
        <v>16.0266607605651</v>
      </c>
      <c r="I17" s="7">
        <v>2061.2283400943002</v>
      </c>
      <c r="J17" s="7">
        <v>5692.8014386926097</v>
      </c>
      <c r="K17" s="7">
        <v>2061.2283400943002</v>
      </c>
      <c r="L17" s="7">
        <v>72349793.874809399</v>
      </c>
      <c r="M17" s="7">
        <v>127.323954473516</v>
      </c>
      <c r="N17" s="7">
        <f t="shared" si="2"/>
        <v>9815.2581188812092</v>
      </c>
      <c r="P17" s="28">
        <v>55.000000000000007</v>
      </c>
      <c r="Q17" s="26">
        <v>3.0000000000000001E-5</v>
      </c>
      <c r="R17" s="28">
        <v>0.2</v>
      </c>
      <c r="S17" s="28">
        <v>30</v>
      </c>
      <c r="T17" s="26">
        <v>5.0000000000000001E-9</v>
      </c>
      <c r="U17" s="26">
        <f t="shared" si="3"/>
        <v>1.0000000000000001E-9</v>
      </c>
      <c r="V17" s="26">
        <f t="shared" si="4"/>
        <v>6.666666666666667E-5</v>
      </c>
      <c r="W17" s="7">
        <v>16.3014439042907</v>
      </c>
      <c r="X17" s="7">
        <v>687.07611335802699</v>
      </c>
      <c r="Y17" s="7">
        <v>1897.6004795642</v>
      </c>
      <c r="Z17" s="7">
        <v>687.07611335802699</v>
      </c>
      <c r="AA17" s="7">
        <v>24116597.9983452</v>
      </c>
      <c r="AB17" s="7">
        <v>14.1471060526129</v>
      </c>
      <c r="AC17" s="7">
        <f t="shared" si="5"/>
        <v>3271.7527062802537</v>
      </c>
      <c r="AE17" s="28">
        <v>55.000000000000007</v>
      </c>
      <c r="AF17" s="26">
        <v>5.0000000000000002E-5</v>
      </c>
      <c r="AG17" s="28">
        <v>0.2</v>
      </c>
      <c r="AH17" s="28">
        <v>30</v>
      </c>
      <c r="AI17" s="26">
        <v>5.0000000000000001E-9</v>
      </c>
      <c r="AJ17" s="26">
        <f t="shared" si="6"/>
        <v>1.0000000000000001E-9</v>
      </c>
      <c r="AK17" s="26">
        <f t="shared" si="7"/>
        <v>4.0000000000000003E-5</v>
      </c>
      <c r="AL17" s="7">
        <v>16.3575352855364</v>
      </c>
      <c r="AM17" s="7">
        <v>412.24566795777702</v>
      </c>
      <c r="AN17" s="7">
        <v>1138.5602877385199</v>
      </c>
      <c r="AO17" s="7">
        <v>412.24566795777702</v>
      </c>
      <c r="AP17" s="7">
        <v>14469959.1382923</v>
      </c>
      <c r="AQ17" s="7">
        <v>5.0929581789406502</v>
      </c>
      <c r="AR17" s="7">
        <f t="shared" si="8"/>
        <v>1963.0516236540739</v>
      </c>
      <c r="AT17" s="28">
        <v>55.000000000000007</v>
      </c>
      <c r="AU17" s="26">
        <v>1.0000000000000001E-5</v>
      </c>
      <c r="AV17" s="28">
        <v>0.2</v>
      </c>
      <c r="AW17" s="28">
        <v>200</v>
      </c>
      <c r="AX17" s="26">
        <v>5.0000000000000001E-9</v>
      </c>
      <c r="AY17" s="26">
        <f t="shared" si="9"/>
        <v>1.0000000000000001E-9</v>
      </c>
      <c r="AZ17" s="26">
        <f t="shared" si="10"/>
        <v>2.0000000000000001E-4</v>
      </c>
      <c r="BA17" s="7">
        <v>93.096682243282103</v>
      </c>
      <c r="BB17" s="7">
        <v>310.62949089263498</v>
      </c>
      <c r="BC17" s="7">
        <v>857.43494866405695</v>
      </c>
      <c r="BD17" s="7">
        <v>310.62949089263498</v>
      </c>
      <c r="BE17" s="7">
        <v>72349793.874809399</v>
      </c>
      <c r="BF17" s="7">
        <v>127.323954473516</v>
      </c>
      <c r="BG17" s="7">
        <f t="shared" si="11"/>
        <v>1478.6939304493269</v>
      </c>
      <c r="BI17" s="28">
        <v>55.000000000000007</v>
      </c>
      <c r="BJ17" s="26">
        <v>1.0000000000000001E-5</v>
      </c>
      <c r="BK17" s="28">
        <v>0.5</v>
      </c>
      <c r="BL17" s="28">
        <v>200</v>
      </c>
      <c r="BM17" s="26">
        <v>5.0000000000000001E-9</v>
      </c>
      <c r="BN17" s="26">
        <f t="shared" si="12"/>
        <v>2.5000000000000001E-9</v>
      </c>
      <c r="BO17" s="26">
        <f t="shared" si="13"/>
        <v>5.0000000000000001E-4</v>
      </c>
      <c r="BP17" s="7">
        <v>93.191480906413403</v>
      </c>
      <c r="BQ17" s="7">
        <v>310.245574031601</v>
      </c>
      <c r="BR17" s="7">
        <v>856.50167124423206</v>
      </c>
      <c r="BS17" s="7">
        <v>310.245574031601</v>
      </c>
      <c r="BT17" s="7">
        <v>28939917.5499238</v>
      </c>
      <c r="BU17" s="7">
        <v>127.323954473516</v>
      </c>
      <c r="BV17" s="7">
        <f t="shared" si="14"/>
        <v>1476.9928193074338</v>
      </c>
      <c r="BX17" s="28">
        <v>55.000000000000007</v>
      </c>
      <c r="BY17" s="26">
        <v>5.0000000000000002E-5</v>
      </c>
      <c r="BZ17" s="28">
        <v>0.5</v>
      </c>
      <c r="CA17" s="28">
        <v>200</v>
      </c>
      <c r="CB17" s="26">
        <v>5.0000000000000001E-9</v>
      </c>
      <c r="CC17" s="26">
        <f t="shared" si="15"/>
        <v>2.5000000000000001E-9</v>
      </c>
      <c r="CD17" s="26">
        <f t="shared" si="16"/>
        <v>9.9999999999999991E-5</v>
      </c>
      <c r="CE17" s="7">
        <v>105.615984064096</v>
      </c>
      <c r="CF17" s="7">
        <v>62.049114802860501</v>
      </c>
      <c r="CG17" s="7">
        <v>171.30033424884601</v>
      </c>
      <c r="CH17" s="7">
        <v>62.049114802860501</v>
      </c>
      <c r="CI17" s="7">
        <v>5787983.6553169098</v>
      </c>
      <c r="CJ17" s="7">
        <v>5.0929581789406502</v>
      </c>
      <c r="CK17" s="7">
        <f t="shared" si="17"/>
        <v>295.39856385456704</v>
      </c>
      <c r="CM17" s="28">
        <v>55.000000000000007</v>
      </c>
      <c r="CN17" s="26">
        <v>5.0000000000000002E-5</v>
      </c>
      <c r="CO17" s="28">
        <v>1</v>
      </c>
      <c r="CP17" s="28">
        <v>200</v>
      </c>
      <c r="CQ17" s="26">
        <v>5.0000000000000001E-9</v>
      </c>
      <c r="CR17" s="26">
        <f t="shared" si="18"/>
        <v>5.0000000000000001E-9</v>
      </c>
      <c r="CS17" s="26">
        <f t="shared" si="19"/>
        <v>1.9999999999999998E-4</v>
      </c>
      <c r="CT17" s="7">
        <v>105.817269002494</v>
      </c>
      <c r="CU17" s="7">
        <v>61.921576216120698</v>
      </c>
      <c r="CV17" s="7">
        <v>170.99017320176</v>
      </c>
      <c r="CW17" s="7">
        <v>61.921576216120698</v>
      </c>
      <c r="CX17" s="7">
        <v>2893991.8276584502</v>
      </c>
      <c r="CY17" s="7">
        <v>5.0929581789406502</v>
      </c>
      <c r="CZ17" s="7">
        <f t="shared" si="20"/>
        <v>294.83332563400137</v>
      </c>
      <c r="DB17" s="28">
        <v>55.000000000000007</v>
      </c>
      <c r="DC17" s="26">
        <v>5.0000000000000002E-5</v>
      </c>
      <c r="DD17" s="28">
        <v>2</v>
      </c>
      <c r="DE17" s="28">
        <v>200</v>
      </c>
      <c r="DF17" s="26">
        <v>5.0000000000000001E-9</v>
      </c>
      <c r="DG17" s="26">
        <f t="shared" si="21"/>
        <v>1E-8</v>
      </c>
      <c r="DH17" s="26">
        <f t="shared" si="22"/>
        <v>3.9999999999999996E-4</v>
      </c>
      <c r="DI17" s="7">
        <v>106.219682998263</v>
      </c>
      <c r="DJ17" s="7">
        <v>61.6681127663864</v>
      </c>
      <c r="DK17" s="7">
        <v>170.373319720317</v>
      </c>
      <c r="DL17" s="7">
        <v>61.6681127663864</v>
      </c>
      <c r="DM17" s="7">
        <v>1446995.91382923</v>
      </c>
      <c r="DN17" s="7">
        <v>5.0929581789406502</v>
      </c>
      <c r="DO17" s="7">
        <f t="shared" si="23"/>
        <v>293.7095452530898</v>
      </c>
      <c r="DQ17" s="28">
        <v>55.000000000000007</v>
      </c>
      <c r="DR17" s="26">
        <v>5.0000000000000002E-5</v>
      </c>
      <c r="DS17" s="28">
        <v>15</v>
      </c>
      <c r="DT17" s="28">
        <v>300</v>
      </c>
      <c r="DU17" s="26">
        <v>1.0000000000000001E-9</v>
      </c>
      <c r="DV17" s="26">
        <f t="shared" si="24"/>
        <v>1.5000000000000002E-8</v>
      </c>
      <c r="DW17" s="26">
        <f t="shared" si="25"/>
        <v>6.0000000000000006E-4</v>
      </c>
      <c r="DX17" s="7">
        <v>168.20604198651699</v>
      </c>
      <c r="DY17" s="7">
        <v>39.809859656104699</v>
      </c>
      <c r="DZ17" s="7">
        <v>110.399385072318</v>
      </c>
      <c r="EA17" s="7">
        <v>39.809859656104699</v>
      </c>
      <c r="EB17" s="7">
        <v>192932.78851056399</v>
      </c>
      <c r="EC17" s="7">
        <v>1.0185916357881299</v>
      </c>
      <c r="ED17" s="7">
        <f t="shared" si="26"/>
        <v>190.0191043845274</v>
      </c>
      <c r="EG17" s="32"/>
      <c r="EJ17" s="32"/>
      <c r="EQ17" s="32"/>
      <c r="ER17" s="32"/>
    </row>
    <row r="18" spans="1:148" x14ac:dyDescent="0.4">
      <c r="A18" s="28">
        <v>60</v>
      </c>
      <c r="B18" s="26">
        <v>1.0000000000000001E-5</v>
      </c>
      <c r="C18" s="28">
        <v>0.2</v>
      </c>
      <c r="D18" s="28">
        <v>30</v>
      </c>
      <c r="E18" s="26">
        <v>5.0000000000000001E-9</v>
      </c>
      <c r="F18" s="26">
        <f t="shared" si="0"/>
        <v>1.0000000000000001E-9</v>
      </c>
      <c r="G18" s="26">
        <f t="shared" si="1"/>
        <v>2.0000000000000001E-4</v>
      </c>
      <c r="H18" s="7">
        <v>17.406128435588801</v>
      </c>
      <c r="I18" s="7">
        <v>1747.4582681561301</v>
      </c>
      <c r="J18" s="7">
        <v>5794.3371345962596</v>
      </c>
      <c r="K18" s="7">
        <v>1747.4582681561301</v>
      </c>
      <c r="L18" s="7">
        <v>173207643.02618799</v>
      </c>
      <c r="M18" s="7">
        <v>127.323954473516</v>
      </c>
      <c r="N18" s="7">
        <f t="shared" si="2"/>
        <v>9289.2536709085198</v>
      </c>
      <c r="P18" s="28">
        <v>60</v>
      </c>
      <c r="Q18" s="26">
        <v>3.0000000000000001E-5</v>
      </c>
      <c r="R18" s="28">
        <v>0.2</v>
      </c>
      <c r="S18" s="28">
        <v>30</v>
      </c>
      <c r="T18" s="26">
        <v>5.0000000000000001E-9</v>
      </c>
      <c r="U18" s="26">
        <f t="shared" si="3"/>
        <v>1.0000000000000001E-9</v>
      </c>
      <c r="V18" s="26">
        <f t="shared" si="4"/>
        <v>6.666666666666667E-5</v>
      </c>
      <c r="W18" s="7">
        <v>17.721335429729901</v>
      </c>
      <c r="X18" s="7">
        <v>582.48608937969198</v>
      </c>
      <c r="Y18" s="7">
        <v>1931.4457115320899</v>
      </c>
      <c r="Z18" s="7">
        <v>582.48608937969198</v>
      </c>
      <c r="AA18" s="7">
        <v>57735881.0752545</v>
      </c>
      <c r="AB18" s="7">
        <v>14.1471060526129</v>
      </c>
      <c r="AC18" s="7">
        <f t="shared" si="5"/>
        <v>3096.4178902914737</v>
      </c>
      <c r="AE18" s="28">
        <v>60</v>
      </c>
      <c r="AF18" s="26">
        <v>5.0000000000000002E-5</v>
      </c>
      <c r="AG18" s="28">
        <v>0.2</v>
      </c>
      <c r="AH18" s="28">
        <v>30</v>
      </c>
      <c r="AI18" s="26">
        <v>5.0000000000000001E-9</v>
      </c>
      <c r="AJ18" s="26">
        <f t="shared" si="6"/>
        <v>1.0000000000000001E-9</v>
      </c>
      <c r="AK18" s="26">
        <f t="shared" si="7"/>
        <v>4.0000000000000003E-5</v>
      </c>
      <c r="AL18" s="7">
        <v>17.7857518226302</v>
      </c>
      <c r="AM18" s="7">
        <v>349.491653579706</v>
      </c>
      <c r="AN18" s="7">
        <v>1158.86742691925</v>
      </c>
      <c r="AO18" s="7">
        <v>349.491653579706</v>
      </c>
      <c r="AP18" s="7">
        <v>34641529.208382502</v>
      </c>
      <c r="AQ18" s="7">
        <v>5.0929581789406502</v>
      </c>
      <c r="AR18" s="7">
        <f t="shared" si="8"/>
        <v>1857.8507340786621</v>
      </c>
      <c r="AT18" s="28">
        <v>60</v>
      </c>
      <c r="AU18" s="26">
        <v>1.0000000000000001E-5</v>
      </c>
      <c r="AV18" s="28">
        <v>0.2</v>
      </c>
      <c r="AW18" s="28">
        <v>200</v>
      </c>
      <c r="AX18" s="26">
        <v>5.0000000000000001E-9</v>
      </c>
      <c r="AY18" s="26">
        <f t="shared" si="9"/>
        <v>1.0000000000000001E-9</v>
      </c>
      <c r="AZ18" s="26">
        <f t="shared" si="10"/>
        <v>2.0000000000000001E-4</v>
      </c>
      <c r="BA18" s="7">
        <v>100.48198481476901</v>
      </c>
      <c r="BB18" s="7">
        <v>263.235986756096</v>
      </c>
      <c r="BC18" s="7">
        <v>872.060132412553</v>
      </c>
      <c r="BD18" s="7">
        <v>263.235986756096</v>
      </c>
      <c r="BE18" s="7">
        <v>173207643.02618799</v>
      </c>
      <c r="BF18" s="7">
        <v>127.323954473516</v>
      </c>
      <c r="BG18" s="7">
        <f t="shared" si="11"/>
        <v>1398.5321059247451</v>
      </c>
      <c r="BI18" s="28">
        <v>60</v>
      </c>
      <c r="BJ18" s="26">
        <v>1.0000000000000001E-5</v>
      </c>
      <c r="BK18" s="28">
        <v>0.5</v>
      </c>
      <c r="BL18" s="28">
        <v>200</v>
      </c>
      <c r="BM18" s="26">
        <v>5.0000000000000001E-9</v>
      </c>
      <c r="BN18" s="26">
        <f t="shared" si="12"/>
        <v>2.5000000000000001E-9</v>
      </c>
      <c r="BO18" s="26">
        <f t="shared" si="13"/>
        <v>5.0000000000000001E-4</v>
      </c>
      <c r="BP18" s="7">
        <v>100.56648991323399</v>
      </c>
      <c r="BQ18" s="7">
        <v>262.93930247937197</v>
      </c>
      <c r="BR18" s="7">
        <v>871.287964463192</v>
      </c>
      <c r="BS18" s="7">
        <v>262.93930247937197</v>
      </c>
      <c r="BT18" s="7">
        <v>69283057.210475206</v>
      </c>
      <c r="BU18" s="7">
        <v>127.323954473516</v>
      </c>
      <c r="BV18" s="7">
        <f t="shared" si="14"/>
        <v>1397.1665694219359</v>
      </c>
      <c r="BX18" s="28">
        <v>60</v>
      </c>
      <c r="BY18" s="26">
        <v>5.0000000000000002E-5</v>
      </c>
      <c r="BZ18" s="28">
        <v>0.5</v>
      </c>
      <c r="CA18" s="28">
        <v>200</v>
      </c>
      <c r="CB18" s="26">
        <v>5.0000000000000001E-9</v>
      </c>
      <c r="CC18" s="26">
        <f t="shared" si="15"/>
        <v>2.5000000000000001E-9</v>
      </c>
      <c r="CD18" s="26">
        <f t="shared" si="16"/>
        <v>9.9999999999999991E-5</v>
      </c>
      <c r="CE18" s="7">
        <v>114.71385757513799</v>
      </c>
      <c r="CF18" s="7">
        <v>52.5878604929581</v>
      </c>
      <c r="CG18" s="7">
        <v>174.257592892638</v>
      </c>
      <c r="CH18" s="7">
        <v>52.5878604929581</v>
      </c>
      <c r="CI18" s="7">
        <v>13856611.683352999</v>
      </c>
      <c r="CJ18" s="7">
        <v>5.0929581789406502</v>
      </c>
      <c r="CK18" s="7">
        <f t="shared" si="17"/>
        <v>279.4333138785542</v>
      </c>
      <c r="CM18" s="28">
        <v>60</v>
      </c>
      <c r="CN18" s="26">
        <v>5.0000000000000002E-5</v>
      </c>
      <c r="CO18" s="28">
        <v>1</v>
      </c>
      <c r="CP18" s="28">
        <v>200</v>
      </c>
      <c r="CQ18" s="26">
        <v>5.0000000000000001E-9</v>
      </c>
      <c r="CR18" s="26">
        <f t="shared" si="18"/>
        <v>5.0000000000000001E-9</v>
      </c>
      <c r="CS18" s="26">
        <f t="shared" si="19"/>
        <v>1.9999999999999998E-4</v>
      </c>
      <c r="CT18" s="7">
        <v>114.896331510293</v>
      </c>
      <c r="CU18" s="7">
        <v>52.489267736237203</v>
      </c>
      <c r="CV18" s="7">
        <v>174.00084097458901</v>
      </c>
      <c r="CW18" s="7">
        <v>52.489267736237203</v>
      </c>
      <c r="CX18" s="7">
        <v>6928305.8416764997</v>
      </c>
      <c r="CY18" s="7">
        <v>5.0929581789406502</v>
      </c>
      <c r="CZ18" s="7">
        <f t="shared" si="20"/>
        <v>278.97937644706343</v>
      </c>
      <c r="DB18" s="28">
        <v>60</v>
      </c>
      <c r="DC18" s="26">
        <v>5.0000000000000002E-5</v>
      </c>
      <c r="DD18" s="28">
        <v>2</v>
      </c>
      <c r="DE18" s="28">
        <v>200</v>
      </c>
      <c r="DF18" s="26">
        <v>5.0000000000000001E-9</v>
      </c>
      <c r="DG18" s="26">
        <f t="shared" si="21"/>
        <v>1E-8</v>
      </c>
      <c r="DH18" s="26">
        <f t="shared" si="22"/>
        <v>3.9999999999999996E-4</v>
      </c>
      <c r="DI18" s="7">
        <v>115.261131435227</v>
      </c>
      <c r="DJ18" s="7">
        <v>52.293206867341603</v>
      </c>
      <c r="DK18" s="7">
        <v>173.489713442035</v>
      </c>
      <c r="DL18" s="7">
        <v>52.293206867341603</v>
      </c>
      <c r="DM18" s="7">
        <v>3464152.9208382498</v>
      </c>
      <c r="DN18" s="7">
        <v>5.0929581789406502</v>
      </c>
      <c r="DO18" s="7">
        <f t="shared" si="23"/>
        <v>278.07612717671822</v>
      </c>
      <c r="DQ18" s="28">
        <v>60</v>
      </c>
      <c r="DR18" s="26">
        <v>5.0000000000000002E-5</v>
      </c>
      <c r="DS18" s="28">
        <v>15</v>
      </c>
      <c r="DT18" s="28">
        <v>300</v>
      </c>
      <c r="DU18" s="26">
        <v>1.0000000000000001E-9</v>
      </c>
      <c r="DV18" s="26">
        <f t="shared" si="24"/>
        <v>1.5000000000000002E-8</v>
      </c>
      <c r="DW18" s="26">
        <f t="shared" si="25"/>
        <v>6.0000000000000006E-4</v>
      </c>
      <c r="DX18" s="7">
        <v>181.867652295059</v>
      </c>
      <c r="DY18" s="7">
        <v>33.851188115179603</v>
      </c>
      <c r="DZ18" s="7">
        <v>113.007558882322</v>
      </c>
      <c r="EA18" s="7">
        <v>33.851188115179603</v>
      </c>
      <c r="EB18" s="7">
        <v>461887.05611176701</v>
      </c>
      <c r="EC18" s="7">
        <v>1.0185916357881299</v>
      </c>
      <c r="ED18" s="7">
        <f t="shared" si="26"/>
        <v>180.70993511268122</v>
      </c>
      <c r="EG18" s="32"/>
      <c r="EJ18" s="32"/>
      <c r="EQ18" s="32"/>
      <c r="ER18" s="32"/>
    </row>
    <row r="19" spans="1:148" x14ac:dyDescent="0.4">
      <c r="A19" s="28">
        <v>65</v>
      </c>
      <c r="B19" s="26">
        <v>1.0000000000000001E-5</v>
      </c>
      <c r="C19" s="28">
        <v>0.2</v>
      </c>
      <c r="D19" s="28">
        <v>30</v>
      </c>
      <c r="E19" s="26">
        <v>5.0000000000000001E-9</v>
      </c>
      <c r="F19" s="26">
        <f t="shared" si="0"/>
        <v>1.0000000000000001E-9</v>
      </c>
      <c r="G19" s="26">
        <f t="shared" si="1"/>
        <v>2.0000000000000001E-4</v>
      </c>
      <c r="H19" s="7">
        <v>18.781424923182499</v>
      </c>
      <c r="I19" s="7">
        <v>1470.52695643265</v>
      </c>
      <c r="J19" s="7">
        <v>5888.0994972997396</v>
      </c>
      <c r="K19" s="7">
        <v>1470.52695643265</v>
      </c>
      <c r="L19" s="7">
        <v>859463306.304919</v>
      </c>
      <c r="M19" s="7">
        <v>127.323954473516</v>
      </c>
      <c r="N19" s="7">
        <f t="shared" si="2"/>
        <v>8829.1534101650395</v>
      </c>
      <c r="P19" s="28">
        <v>65</v>
      </c>
      <c r="Q19" s="26">
        <v>3.0000000000000001E-5</v>
      </c>
      <c r="R19" s="28">
        <v>0.2</v>
      </c>
      <c r="S19" s="28">
        <v>30</v>
      </c>
      <c r="T19" s="26">
        <v>5.0000000000000001E-9</v>
      </c>
      <c r="U19" s="26">
        <f t="shared" si="3"/>
        <v>1.0000000000000001E-9</v>
      </c>
      <c r="V19" s="26">
        <f t="shared" si="4"/>
        <v>6.666666666666667E-5</v>
      </c>
      <c r="W19" s="7">
        <v>19.139108020683501</v>
      </c>
      <c r="X19" s="7">
        <v>490.175652139448</v>
      </c>
      <c r="Y19" s="7">
        <v>1962.6998324332501</v>
      </c>
      <c r="Z19" s="7">
        <v>490.175652139448</v>
      </c>
      <c r="AA19" s="7">
        <v>286487768.88169003</v>
      </c>
      <c r="AB19" s="7">
        <v>14.1471060526129</v>
      </c>
      <c r="AC19" s="7">
        <f t="shared" si="5"/>
        <v>2943.0511367121462</v>
      </c>
      <c r="AE19" s="28">
        <v>65</v>
      </c>
      <c r="AF19" s="26">
        <v>5.0000000000000002E-5</v>
      </c>
      <c r="AG19" s="28">
        <v>0.2</v>
      </c>
      <c r="AH19" s="28">
        <v>30</v>
      </c>
      <c r="AI19" s="26">
        <v>5.0000000000000001E-9</v>
      </c>
      <c r="AJ19" s="26">
        <f t="shared" si="6"/>
        <v>1.0000000000000001E-9</v>
      </c>
      <c r="AK19" s="26">
        <f t="shared" si="7"/>
        <v>4.0000000000000003E-5</v>
      </c>
      <c r="AL19" s="7">
        <v>19.212285765396199</v>
      </c>
      <c r="AM19" s="7">
        <v>294.10539124333502</v>
      </c>
      <c r="AN19" s="7">
        <v>1177.6198994599499</v>
      </c>
      <c r="AO19" s="7">
        <v>294.10539124333502</v>
      </c>
      <c r="AP19" s="7">
        <v>171892662.28655201</v>
      </c>
      <c r="AQ19" s="7">
        <v>5.0929581789406502</v>
      </c>
      <c r="AR19" s="7">
        <f t="shared" si="8"/>
        <v>1765.8306819466197</v>
      </c>
      <c r="AT19" s="28">
        <v>65</v>
      </c>
      <c r="AU19" s="26">
        <v>1.0000000000000001E-5</v>
      </c>
      <c r="AV19" s="28">
        <v>0.2</v>
      </c>
      <c r="AW19" s="28">
        <v>200</v>
      </c>
      <c r="AX19" s="26">
        <v>5.0000000000000001E-9</v>
      </c>
      <c r="AY19" s="26">
        <f t="shared" si="9"/>
        <v>1.0000000000000001E-9</v>
      </c>
      <c r="AZ19" s="26">
        <f t="shared" si="10"/>
        <v>2.0000000000000001E-4</v>
      </c>
      <c r="BA19" s="7">
        <v>107.76466305355299</v>
      </c>
      <c r="BB19" s="7">
        <v>221.436390808456</v>
      </c>
      <c r="BC19" s="7">
        <v>885.60719905590599</v>
      </c>
      <c r="BD19" s="7">
        <v>221.436390808456</v>
      </c>
      <c r="BE19" s="7">
        <v>859463306.304919</v>
      </c>
      <c r="BF19" s="7">
        <v>127.323954473516</v>
      </c>
      <c r="BG19" s="7">
        <f t="shared" si="11"/>
        <v>1328.4799806728181</v>
      </c>
      <c r="BI19" s="28">
        <v>65</v>
      </c>
      <c r="BJ19" s="26">
        <v>1.0000000000000001E-5</v>
      </c>
      <c r="BK19" s="28">
        <v>0.5</v>
      </c>
      <c r="BL19" s="28">
        <v>200</v>
      </c>
      <c r="BM19" s="26">
        <v>5.0000000000000001E-9</v>
      </c>
      <c r="BN19" s="26">
        <f t="shared" si="12"/>
        <v>2.5000000000000001E-9</v>
      </c>
      <c r="BO19" s="26">
        <f t="shared" si="13"/>
        <v>5.0000000000000001E-4</v>
      </c>
      <c r="BP19" s="7">
        <v>107.839195528498</v>
      </c>
      <c r="BQ19" s="7">
        <v>221.20879187134</v>
      </c>
      <c r="BR19" s="7">
        <v>884.97259280428204</v>
      </c>
      <c r="BS19" s="7">
        <v>221.20879187134</v>
      </c>
      <c r="BT19" s="7">
        <v>343785322.52196801</v>
      </c>
      <c r="BU19" s="7">
        <v>127.323954473516</v>
      </c>
      <c r="BV19" s="7">
        <f t="shared" si="14"/>
        <v>1327.390176546962</v>
      </c>
      <c r="BX19" s="28">
        <v>65</v>
      </c>
      <c r="BY19" s="26">
        <v>5.0000000000000002E-5</v>
      </c>
      <c r="BZ19" s="28">
        <v>0.5</v>
      </c>
      <c r="CA19" s="28">
        <v>200</v>
      </c>
      <c r="CB19" s="26">
        <v>5.0000000000000001E-9</v>
      </c>
      <c r="CC19" s="26">
        <f t="shared" si="15"/>
        <v>2.5000000000000001E-9</v>
      </c>
      <c r="CD19" s="26">
        <f t="shared" si="16"/>
        <v>9.9999999999999991E-5</v>
      </c>
      <c r="CE19" s="7">
        <v>123.777963937753</v>
      </c>
      <c r="CF19" s="7">
        <v>44.241758371824098</v>
      </c>
      <c r="CG19" s="7">
        <v>176.99451856085599</v>
      </c>
      <c r="CH19" s="7">
        <v>44.241758371824098</v>
      </c>
      <c r="CI19" s="7">
        <v>68757064.914620593</v>
      </c>
      <c r="CJ19" s="7">
        <v>5.0929581789406502</v>
      </c>
      <c r="CK19" s="7">
        <f t="shared" si="17"/>
        <v>265.4780353045042</v>
      </c>
      <c r="CM19" s="28">
        <v>65</v>
      </c>
      <c r="CN19" s="26">
        <v>5.0000000000000002E-5</v>
      </c>
      <c r="CO19" s="28">
        <v>1</v>
      </c>
      <c r="CP19" s="28">
        <v>200</v>
      </c>
      <c r="CQ19" s="26">
        <v>5.0000000000000001E-9</v>
      </c>
      <c r="CR19" s="26">
        <f t="shared" si="18"/>
        <v>5.0000000000000001E-9</v>
      </c>
      <c r="CS19" s="26">
        <f t="shared" si="19"/>
        <v>1.9999999999999998E-4</v>
      </c>
      <c r="CT19" s="7">
        <v>123.941404151985</v>
      </c>
      <c r="CU19" s="7">
        <v>44.166101596649497</v>
      </c>
      <c r="CV19" s="7">
        <v>176.783417824277</v>
      </c>
      <c r="CW19" s="7">
        <v>44.166101596649497</v>
      </c>
      <c r="CX19" s="7">
        <v>34378532.457310297</v>
      </c>
      <c r="CY19" s="7">
        <v>5.0929581789406502</v>
      </c>
      <c r="CZ19" s="7">
        <f t="shared" si="20"/>
        <v>265.11562101757602</v>
      </c>
      <c r="DB19" s="28">
        <v>65</v>
      </c>
      <c r="DC19" s="26">
        <v>5.0000000000000002E-5</v>
      </c>
      <c r="DD19" s="28">
        <v>2</v>
      </c>
      <c r="DE19" s="28">
        <v>200</v>
      </c>
      <c r="DF19" s="26">
        <v>5.0000000000000001E-9</v>
      </c>
      <c r="DG19" s="26">
        <f t="shared" si="21"/>
        <v>1E-8</v>
      </c>
      <c r="DH19" s="26">
        <f t="shared" si="22"/>
        <v>3.9999999999999996E-4</v>
      </c>
      <c r="DI19" s="7">
        <v>124.268134135303</v>
      </c>
      <c r="DJ19" s="7">
        <v>44.0155689113517</v>
      </c>
      <c r="DK19" s="7">
        <v>176.36283833637401</v>
      </c>
      <c r="DL19" s="7">
        <v>44.0155689113517</v>
      </c>
      <c r="DM19" s="7">
        <v>17189266.2286552</v>
      </c>
      <c r="DN19" s="7">
        <v>5.0929581789406502</v>
      </c>
      <c r="DO19" s="7">
        <f t="shared" si="23"/>
        <v>264.3939761590774</v>
      </c>
      <c r="DQ19" s="28">
        <v>65</v>
      </c>
      <c r="DR19" s="26">
        <v>5.0000000000000002E-5</v>
      </c>
      <c r="DS19" s="28">
        <v>15</v>
      </c>
      <c r="DT19" s="28">
        <v>300</v>
      </c>
      <c r="DU19" s="26">
        <v>1.0000000000000001E-9</v>
      </c>
      <c r="DV19" s="26">
        <f t="shared" si="24"/>
        <v>1.5000000000000002E-8</v>
      </c>
      <c r="DW19" s="26">
        <f t="shared" si="25"/>
        <v>6.0000000000000006E-4</v>
      </c>
      <c r="DX19" s="7">
        <v>195.494596981314</v>
      </c>
      <c r="DY19" s="7">
        <v>28.565057936355299</v>
      </c>
      <c r="DZ19" s="7">
        <v>115.382714159923</v>
      </c>
      <c r="EA19" s="7">
        <v>28.565057936355299</v>
      </c>
      <c r="EB19" s="7">
        <v>2291902.16382069</v>
      </c>
      <c r="EC19" s="7">
        <v>1.0185916357881299</v>
      </c>
      <c r="ED19" s="7">
        <f t="shared" si="26"/>
        <v>172.51283003263359</v>
      </c>
      <c r="EG19" s="32"/>
      <c r="EJ19" s="32"/>
      <c r="EQ19" s="32"/>
      <c r="ER19" s="32"/>
    </row>
    <row r="20" spans="1:148" x14ac:dyDescent="0.4">
      <c r="A20" s="28">
        <v>70</v>
      </c>
      <c r="B20" s="26">
        <v>1.0000000000000001E-5</v>
      </c>
      <c r="C20" s="28">
        <v>0.2</v>
      </c>
      <c r="D20" s="28">
        <v>30</v>
      </c>
      <c r="E20" s="26">
        <v>5.0000000000000001E-9</v>
      </c>
      <c r="F20" s="26">
        <f t="shared" si="0"/>
        <v>1.0000000000000001E-9</v>
      </c>
      <c r="G20" s="26">
        <f t="shared" si="1"/>
        <v>2.0000000000000001E-4</v>
      </c>
      <c r="H20" s="7">
        <v>20.1554009003946</v>
      </c>
      <c r="I20" s="7">
        <v>1223.14114606982</v>
      </c>
      <c r="J20" s="7">
        <v>5975.2459753258199</v>
      </c>
      <c r="K20" s="7">
        <v>1223.14114606982</v>
      </c>
      <c r="L20" s="7" t="s">
        <v>94</v>
      </c>
      <c r="M20" s="7">
        <v>127.323954473516</v>
      </c>
      <c r="N20" s="7">
        <f t="shared" si="2"/>
        <v>8421.5282674654591</v>
      </c>
      <c r="P20" s="28">
        <v>70</v>
      </c>
      <c r="Q20" s="26">
        <v>3.0000000000000001E-5</v>
      </c>
      <c r="R20" s="28">
        <v>0.2</v>
      </c>
      <c r="S20" s="28">
        <v>30</v>
      </c>
      <c r="T20" s="26">
        <v>5.0000000000000001E-9</v>
      </c>
      <c r="U20" s="26">
        <f t="shared" si="3"/>
        <v>1.0000000000000001E-9</v>
      </c>
      <c r="V20" s="26">
        <f t="shared" si="4"/>
        <v>6.666666666666667E-5</v>
      </c>
      <c r="W20" s="7">
        <v>20.557648942258702</v>
      </c>
      <c r="X20" s="7">
        <v>407.71371535265399</v>
      </c>
      <c r="Y20" s="7">
        <v>1991.7486584419401</v>
      </c>
      <c r="Z20" s="7">
        <v>407.71371535265399</v>
      </c>
      <c r="AA20" s="7" t="s">
        <v>94</v>
      </c>
      <c r="AB20" s="7">
        <v>14.1471060526129</v>
      </c>
      <c r="AC20" s="7">
        <f t="shared" si="5"/>
        <v>2807.1760891472481</v>
      </c>
      <c r="AE20" s="28">
        <v>70</v>
      </c>
      <c r="AF20" s="26">
        <v>5.0000000000000002E-5</v>
      </c>
      <c r="AG20" s="28">
        <v>0.2</v>
      </c>
      <c r="AH20" s="28">
        <v>30</v>
      </c>
      <c r="AI20" s="26">
        <v>5.0000000000000001E-9</v>
      </c>
      <c r="AJ20" s="26">
        <f t="shared" si="6"/>
        <v>1.0000000000000001E-9</v>
      </c>
      <c r="AK20" s="26">
        <f t="shared" si="7"/>
        <v>4.0000000000000003E-5</v>
      </c>
      <c r="AL20" s="7">
        <v>20.640032944020099</v>
      </c>
      <c r="AM20" s="7">
        <v>244.62822917813699</v>
      </c>
      <c r="AN20" s="7">
        <v>1195.0491950651599</v>
      </c>
      <c r="AO20" s="7">
        <v>244.62822917813699</v>
      </c>
      <c r="AP20" s="7" t="s">
        <v>94</v>
      </c>
      <c r="AQ20" s="7">
        <v>5.0929581789406502</v>
      </c>
      <c r="AR20" s="7">
        <f t="shared" si="8"/>
        <v>1684.3056534214338</v>
      </c>
      <c r="AT20" s="28">
        <v>70</v>
      </c>
      <c r="AU20" s="26">
        <v>1.0000000000000001E-5</v>
      </c>
      <c r="AV20" s="28">
        <v>0.2</v>
      </c>
      <c r="AW20" s="28">
        <v>200</v>
      </c>
      <c r="AX20" s="26">
        <v>5.0000000000000001E-9</v>
      </c>
      <c r="AY20" s="26">
        <f t="shared" si="9"/>
        <v>1.0000000000000001E-9</v>
      </c>
      <c r="AZ20" s="26">
        <f t="shared" si="10"/>
        <v>2.0000000000000001E-4</v>
      </c>
      <c r="BA20" s="7">
        <v>114.96300633246599</v>
      </c>
      <c r="BB20" s="7">
        <v>184.11844341766201</v>
      </c>
      <c r="BC20" s="7">
        <v>898.22894938474894</v>
      </c>
      <c r="BD20" s="7">
        <v>184.11844341766201</v>
      </c>
      <c r="BE20" s="7" t="s">
        <v>94</v>
      </c>
      <c r="BF20" s="7">
        <v>127.323954473516</v>
      </c>
      <c r="BG20" s="7">
        <f t="shared" si="11"/>
        <v>1266.465836220073</v>
      </c>
      <c r="BI20" s="28">
        <v>70</v>
      </c>
      <c r="BJ20" s="26">
        <v>1.0000000000000001E-5</v>
      </c>
      <c r="BK20" s="28">
        <v>0.5</v>
      </c>
      <c r="BL20" s="28">
        <v>200</v>
      </c>
      <c r="BM20" s="26">
        <v>5.0000000000000001E-9</v>
      </c>
      <c r="BN20" s="26">
        <f t="shared" si="12"/>
        <v>2.5000000000000001E-9</v>
      </c>
      <c r="BO20" s="26">
        <f t="shared" si="13"/>
        <v>5.0000000000000001E-4</v>
      </c>
      <c r="BP20" s="7">
        <v>115.02793099022099</v>
      </c>
      <c r="BQ20" s="7">
        <v>183.946660682919</v>
      </c>
      <c r="BR20" s="7">
        <v>897.71395999315905</v>
      </c>
      <c r="BS20" s="7">
        <v>183.946660682919</v>
      </c>
      <c r="BT20" s="7" t="s">
        <v>94</v>
      </c>
      <c r="BU20" s="7">
        <v>127.323954473516</v>
      </c>
      <c r="BV20" s="7">
        <f t="shared" si="14"/>
        <v>1265.6072813589969</v>
      </c>
      <c r="BX20" s="28">
        <v>70</v>
      </c>
      <c r="BY20" s="26">
        <v>5.0000000000000002E-5</v>
      </c>
      <c r="BZ20" s="28">
        <v>0.5</v>
      </c>
      <c r="CA20" s="28">
        <v>200</v>
      </c>
      <c r="CB20" s="26">
        <v>5.0000000000000001E-9</v>
      </c>
      <c r="CC20" s="26">
        <f t="shared" si="15"/>
        <v>2.5000000000000001E-9</v>
      </c>
      <c r="CD20" s="26">
        <f t="shared" si="16"/>
        <v>9.9999999999999991E-5</v>
      </c>
      <c r="CE20" s="7">
        <v>132.82712699934899</v>
      </c>
      <c r="CF20" s="7">
        <v>36.7893321345583</v>
      </c>
      <c r="CG20" s="7">
        <v>179.542791998632</v>
      </c>
      <c r="CH20" s="7">
        <v>36.7893321345583</v>
      </c>
      <c r="CI20" s="7" t="s">
        <v>94</v>
      </c>
      <c r="CJ20" s="7">
        <v>5.0929581789406502</v>
      </c>
      <c r="CK20" s="7">
        <f t="shared" si="17"/>
        <v>253.12145626774858</v>
      </c>
      <c r="CM20" s="28">
        <v>70</v>
      </c>
      <c r="CN20" s="26">
        <v>5.0000000000000002E-5</v>
      </c>
      <c r="CO20" s="28">
        <v>1</v>
      </c>
      <c r="CP20" s="28">
        <v>200</v>
      </c>
      <c r="CQ20" s="26">
        <v>5.0000000000000001E-9</v>
      </c>
      <c r="CR20" s="26">
        <f t="shared" si="18"/>
        <v>5.0000000000000001E-9</v>
      </c>
      <c r="CS20" s="26">
        <f t="shared" si="19"/>
        <v>1.9999999999999998E-4</v>
      </c>
      <c r="CT20" s="7">
        <v>132.97135906002401</v>
      </c>
      <c r="CU20" s="7">
        <v>36.732214141098297</v>
      </c>
      <c r="CV20" s="7">
        <v>179.37142238436701</v>
      </c>
      <c r="CW20" s="7">
        <v>36.732214141098297</v>
      </c>
      <c r="CX20" s="7" t="s">
        <v>94</v>
      </c>
      <c r="CY20" s="7">
        <v>5.0929581789406502</v>
      </c>
      <c r="CZ20" s="7">
        <f t="shared" si="20"/>
        <v>252.8358506665636</v>
      </c>
      <c r="DB20" s="28">
        <v>70</v>
      </c>
      <c r="DC20" s="26">
        <v>5.0000000000000002E-5</v>
      </c>
      <c r="DD20" s="28">
        <v>2</v>
      </c>
      <c r="DE20" s="28">
        <v>200</v>
      </c>
      <c r="DF20" s="26">
        <v>5.0000000000000001E-9</v>
      </c>
      <c r="DG20" s="26">
        <f t="shared" si="21"/>
        <v>1E-8</v>
      </c>
      <c r="DH20" s="26">
        <f t="shared" si="22"/>
        <v>3.9999999999999996E-4</v>
      </c>
      <c r="DI20" s="7">
        <v>133.25966722338799</v>
      </c>
      <c r="DJ20" s="7">
        <v>36.618511090650998</v>
      </c>
      <c r="DK20" s="7">
        <v>179.02977916857401</v>
      </c>
      <c r="DL20" s="7">
        <v>36.618511090650998</v>
      </c>
      <c r="DM20" s="7" t="s">
        <v>94</v>
      </c>
      <c r="DN20" s="7">
        <v>5.0929581789406502</v>
      </c>
      <c r="DO20" s="7">
        <f t="shared" si="23"/>
        <v>252.266801349876</v>
      </c>
      <c r="DQ20" s="28">
        <v>70</v>
      </c>
      <c r="DR20" s="26">
        <v>5.0000000000000002E-5</v>
      </c>
      <c r="DS20" s="28">
        <v>15</v>
      </c>
      <c r="DT20" s="28">
        <v>300</v>
      </c>
      <c r="DU20" s="26">
        <v>1.0000000000000001E-9</v>
      </c>
      <c r="DV20" s="26">
        <f t="shared" si="24"/>
        <v>1.5000000000000002E-8</v>
      </c>
      <c r="DW20" s="26">
        <f t="shared" si="25"/>
        <v>6.0000000000000006E-4</v>
      </c>
      <c r="DX20" s="7">
        <v>209.117341763806</v>
      </c>
      <c r="DY20" s="7">
        <v>23.8224846510956</v>
      </c>
      <c r="DZ20" s="7">
        <v>117.565391453988</v>
      </c>
      <c r="EA20" s="7">
        <v>23.8224846510956</v>
      </c>
      <c r="EB20" s="7" t="s">
        <v>94</v>
      </c>
      <c r="EC20" s="7">
        <v>1.0185916357881299</v>
      </c>
      <c r="ED20" s="7">
        <f t="shared" si="26"/>
        <v>165.2103607561792</v>
      </c>
    </row>
    <row r="21" spans="1:148" x14ac:dyDescent="0.4">
      <c r="B21" s="26"/>
      <c r="E21" s="26"/>
      <c r="F21" s="26"/>
      <c r="G21" s="26"/>
      <c r="Q21" s="26"/>
      <c r="T21" s="26"/>
      <c r="U21" s="26"/>
      <c r="V21" s="26"/>
      <c r="AF21" s="26"/>
      <c r="AI21" s="26"/>
      <c r="AJ21" s="26"/>
      <c r="AK21" s="26"/>
      <c r="AU21" s="26"/>
      <c r="AX21" s="26"/>
      <c r="AY21" s="26"/>
      <c r="AZ21" s="26"/>
      <c r="BJ21" s="26"/>
      <c r="BM21" s="26"/>
      <c r="BN21" s="26"/>
      <c r="BO21" s="26"/>
      <c r="BY21" s="26"/>
      <c r="CB21" s="26"/>
      <c r="CC21" s="26"/>
      <c r="CD21" s="26"/>
      <c r="CN21" s="26"/>
      <c r="CQ21" s="26"/>
      <c r="CR21" s="26"/>
      <c r="CS21" s="26"/>
      <c r="DC21" s="26"/>
      <c r="DF21" s="26"/>
      <c r="DG21" s="26"/>
      <c r="DH21" s="26"/>
      <c r="DR21" s="26"/>
      <c r="DU21" s="26"/>
      <c r="DV21" s="26"/>
      <c r="DW21" s="26"/>
    </row>
    <row r="22" spans="1:148" s="36" customFormat="1" ht="47.25" x14ac:dyDescent="0.4">
      <c r="A22" s="53" t="s">
        <v>69</v>
      </c>
      <c r="B22" s="54" t="s">
        <v>93</v>
      </c>
      <c r="C22" s="39" t="s">
        <v>73</v>
      </c>
      <c r="D22" s="39" t="s">
        <v>98</v>
      </c>
      <c r="E22" s="39" t="s">
        <v>97</v>
      </c>
      <c r="F22" s="39" t="s">
        <v>99</v>
      </c>
      <c r="G22" s="39" t="s">
        <v>96</v>
      </c>
      <c r="H22" s="37" t="s">
        <v>60</v>
      </c>
      <c r="I22" s="37" t="s">
        <v>100</v>
      </c>
      <c r="J22" s="37" t="s">
        <v>101</v>
      </c>
      <c r="K22" s="37" t="s">
        <v>102</v>
      </c>
      <c r="L22" s="37" t="s">
        <v>103</v>
      </c>
      <c r="M22" s="37" t="s">
        <v>65</v>
      </c>
      <c r="N22" s="37" t="s">
        <v>68</v>
      </c>
      <c r="O22" s="55"/>
      <c r="P22" s="53" t="s">
        <v>69</v>
      </c>
      <c r="Q22" s="54" t="s">
        <v>93</v>
      </c>
      <c r="R22" s="39" t="s">
        <v>73</v>
      </c>
      <c r="S22" s="39" t="s">
        <v>98</v>
      </c>
      <c r="T22" s="39" t="s">
        <v>97</v>
      </c>
      <c r="U22" s="39" t="s">
        <v>99</v>
      </c>
      <c r="V22" s="39" t="s">
        <v>96</v>
      </c>
      <c r="W22" s="37" t="s">
        <v>60</v>
      </c>
      <c r="X22" s="37" t="s">
        <v>100</v>
      </c>
      <c r="Y22" s="37" t="s">
        <v>101</v>
      </c>
      <c r="Z22" s="37" t="s">
        <v>102</v>
      </c>
      <c r="AA22" s="37" t="s">
        <v>103</v>
      </c>
      <c r="AB22" s="37" t="s">
        <v>65</v>
      </c>
      <c r="AC22" s="37" t="s">
        <v>68</v>
      </c>
      <c r="AD22" s="55"/>
      <c r="AE22" s="53" t="s">
        <v>69</v>
      </c>
      <c r="AF22" s="54" t="s">
        <v>93</v>
      </c>
      <c r="AG22" s="39" t="s">
        <v>73</v>
      </c>
      <c r="AH22" s="39" t="s">
        <v>98</v>
      </c>
      <c r="AI22" s="39" t="s">
        <v>97</v>
      </c>
      <c r="AJ22" s="39" t="s">
        <v>99</v>
      </c>
      <c r="AK22" s="39" t="s">
        <v>96</v>
      </c>
      <c r="AL22" s="37" t="s">
        <v>60</v>
      </c>
      <c r="AM22" s="37" t="s">
        <v>100</v>
      </c>
      <c r="AN22" s="37" t="s">
        <v>101</v>
      </c>
      <c r="AO22" s="37" t="s">
        <v>102</v>
      </c>
      <c r="AP22" s="37" t="s">
        <v>103</v>
      </c>
      <c r="AQ22" s="37" t="s">
        <v>65</v>
      </c>
      <c r="AR22" s="37" t="s">
        <v>68</v>
      </c>
      <c r="AS22" s="55"/>
      <c r="AT22" s="53" t="s">
        <v>69</v>
      </c>
      <c r="AU22" s="54" t="s">
        <v>93</v>
      </c>
      <c r="AV22" s="39" t="s">
        <v>73</v>
      </c>
      <c r="AW22" s="39" t="s">
        <v>98</v>
      </c>
      <c r="AX22" s="39" t="s">
        <v>97</v>
      </c>
      <c r="AY22" s="39" t="s">
        <v>99</v>
      </c>
      <c r="AZ22" s="39" t="s">
        <v>96</v>
      </c>
      <c r="BA22" s="37" t="s">
        <v>60</v>
      </c>
      <c r="BB22" s="37" t="s">
        <v>100</v>
      </c>
      <c r="BC22" s="37" t="s">
        <v>101</v>
      </c>
      <c r="BD22" s="37" t="s">
        <v>102</v>
      </c>
      <c r="BE22" s="37" t="s">
        <v>103</v>
      </c>
      <c r="BF22" s="37" t="s">
        <v>65</v>
      </c>
      <c r="BG22" s="37" t="s">
        <v>68</v>
      </c>
      <c r="BH22" s="55"/>
      <c r="BI22" s="53" t="s">
        <v>69</v>
      </c>
      <c r="BJ22" s="54" t="s">
        <v>93</v>
      </c>
      <c r="BK22" s="39" t="s">
        <v>73</v>
      </c>
      <c r="BL22" s="39" t="s">
        <v>98</v>
      </c>
      <c r="BM22" s="39" t="s">
        <v>97</v>
      </c>
      <c r="BN22" s="39" t="s">
        <v>99</v>
      </c>
      <c r="BO22" s="39" t="s">
        <v>96</v>
      </c>
      <c r="BP22" s="37" t="s">
        <v>60</v>
      </c>
      <c r="BQ22" s="37" t="s">
        <v>100</v>
      </c>
      <c r="BR22" s="37" t="s">
        <v>101</v>
      </c>
      <c r="BS22" s="37" t="s">
        <v>102</v>
      </c>
      <c r="BT22" s="37" t="s">
        <v>103</v>
      </c>
      <c r="BU22" s="37" t="s">
        <v>65</v>
      </c>
      <c r="BV22" s="37" t="s">
        <v>68</v>
      </c>
      <c r="BW22" s="55"/>
      <c r="BX22" s="53" t="s">
        <v>69</v>
      </c>
      <c r="BY22" s="54" t="s">
        <v>93</v>
      </c>
      <c r="BZ22" s="39" t="s">
        <v>73</v>
      </c>
      <c r="CA22" s="39" t="s">
        <v>98</v>
      </c>
      <c r="CB22" s="39" t="s">
        <v>97</v>
      </c>
      <c r="CC22" s="39" t="s">
        <v>99</v>
      </c>
      <c r="CD22" s="39" t="s">
        <v>96</v>
      </c>
      <c r="CE22" s="37" t="s">
        <v>60</v>
      </c>
      <c r="CF22" s="37" t="s">
        <v>100</v>
      </c>
      <c r="CG22" s="37" t="s">
        <v>101</v>
      </c>
      <c r="CH22" s="37" t="s">
        <v>102</v>
      </c>
      <c r="CI22" s="37" t="s">
        <v>103</v>
      </c>
      <c r="CJ22" s="37" t="s">
        <v>65</v>
      </c>
      <c r="CK22" s="37" t="s">
        <v>68</v>
      </c>
      <c r="CL22" s="55"/>
      <c r="CM22" s="53" t="s">
        <v>69</v>
      </c>
      <c r="CN22" s="54" t="s">
        <v>93</v>
      </c>
      <c r="CO22" s="39" t="s">
        <v>73</v>
      </c>
      <c r="CP22" s="39" t="s">
        <v>98</v>
      </c>
      <c r="CQ22" s="39" t="s">
        <v>97</v>
      </c>
      <c r="CR22" s="39" t="s">
        <v>99</v>
      </c>
      <c r="CS22" s="39" t="s">
        <v>96</v>
      </c>
      <c r="CT22" s="37" t="s">
        <v>60</v>
      </c>
      <c r="CU22" s="37" t="s">
        <v>100</v>
      </c>
      <c r="CV22" s="37" t="s">
        <v>101</v>
      </c>
      <c r="CW22" s="37" t="s">
        <v>102</v>
      </c>
      <c r="CX22" s="37" t="s">
        <v>103</v>
      </c>
      <c r="CY22" s="37" t="s">
        <v>65</v>
      </c>
      <c r="CZ22" s="37" t="s">
        <v>68</v>
      </c>
      <c r="DA22" s="55"/>
      <c r="DB22" s="53" t="s">
        <v>69</v>
      </c>
      <c r="DC22" s="54" t="s">
        <v>93</v>
      </c>
      <c r="DD22" s="39" t="s">
        <v>73</v>
      </c>
      <c r="DE22" s="39" t="s">
        <v>98</v>
      </c>
      <c r="DF22" s="39" t="s">
        <v>97</v>
      </c>
      <c r="DG22" s="39" t="s">
        <v>99</v>
      </c>
      <c r="DH22" s="39" t="s">
        <v>96</v>
      </c>
      <c r="DI22" s="37" t="s">
        <v>60</v>
      </c>
      <c r="DJ22" s="37" t="s">
        <v>100</v>
      </c>
      <c r="DK22" s="37" t="s">
        <v>101</v>
      </c>
      <c r="DL22" s="37" t="s">
        <v>102</v>
      </c>
      <c r="DM22" s="37" t="s">
        <v>103</v>
      </c>
      <c r="DN22" s="37" t="s">
        <v>65</v>
      </c>
      <c r="DO22" s="37" t="s">
        <v>68</v>
      </c>
      <c r="DP22" s="55"/>
      <c r="DQ22" s="53" t="s">
        <v>69</v>
      </c>
      <c r="DR22" s="54" t="s">
        <v>93</v>
      </c>
      <c r="DS22" s="39" t="s">
        <v>73</v>
      </c>
      <c r="DT22" s="39" t="s">
        <v>98</v>
      </c>
      <c r="DU22" s="39" t="s">
        <v>97</v>
      </c>
      <c r="DV22" s="39" t="s">
        <v>99</v>
      </c>
      <c r="DW22" s="39" t="s">
        <v>96</v>
      </c>
      <c r="DX22" s="37" t="s">
        <v>60</v>
      </c>
      <c r="DY22" s="37" t="s">
        <v>100</v>
      </c>
      <c r="DZ22" s="37" t="s">
        <v>101</v>
      </c>
      <c r="EA22" s="37" t="s">
        <v>102</v>
      </c>
      <c r="EB22" s="37" t="s">
        <v>103</v>
      </c>
      <c r="EC22" s="37" t="s">
        <v>65</v>
      </c>
      <c r="ED22" s="37" t="s">
        <v>68</v>
      </c>
    </row>
    <row r="23" spans="1:148" x14ac:dyDescent="0.4">
      <c r="A23" s="28">
        <v>1</v>
      </c>
      <c r="B23" s="26">
        <v>1.0000000000000001E-5</v>
      </c>
      <c r="C23" s="28">
        <v>0.2</v>
      </c>
      <c r="D23" s="28">
        <v>30</v>
      </c>
      <c r="E23" s="26">
        <v>7.4999999999999993E-9</v>
      </c>
      <c r="F23" s="26">
        <f t="shared" ref="F23:F41" si="27">C23*E23</f>
        <v>1.5E-9</v>
      </c>
      <c r="G23" s="26">
        <f t="shared" ref="G23:G41" si="28">F23/(B23/2)</f>
        <v>2.9999999999999997E-4</v>
      </c>
      <c r="H23" s="7">
        <v>0.225713825265521</v>
      </c>
      <c r="I23" s="7">
        <v>20967.675665585699</v>
      </c>
      <c r="J23" s="7">
        <v>750067.42850576504</v>
      </c>
      <c r="K23" s="7">
        <v>20967.675665585699</v>
      </c>
      <c r="L23" s="7">
        <v>246455.34799285</v>
      </c>
      <c r="M23" s="7">
        <v>203.71832715762599</v>
      </c>
      <c r="N23" s="7">
        <f t="shared" ref="N23:N41" si="29">I23+J23+K23</f>
        <v>792002.77983693639</v>
      </c>
      <c r="P23" s="28">
        <v>1</v>
      </c>
      <c r="Q23" s="26">
        <v>3.0000000000000001E-5</v>
      </c>
      <c r="R23" s="28">
        <v>0.2</v>
      </c>
      <c r="S23" s="28">
        <v>30</v>
      </c>
      <c r="T23" s="26">
        <v>7.4999999999999993E-9</v>
      </c>
      <c r="U23" s="26">
        <f t="shared" ref="U23:U41" si="30">R23*T23</f>
        <v>1.5E-9</v>
      </c>
      <c r="V23" s="26">
        <f t="shared" ref="V23:V41" si="31">U23/(Q23/2)</f>
        <v>9.9999999999999991E-5</v>
      </c>
      <c r="W23" s="7">
        <v>0.225732186618881</v>
      </c>
      <c r="X23" s="7">
        <v>6989.2252213633501</v>
      </c>
      <c r="Y23" s="7">
        <v>250022.476149864</v>
      </c>
      <c r="Z23" s="7">
        <v>6989.2252213633501</v>
      </c>
      <c r="AA23" s="7">
        <v>82151.782666878105</v>
      </c>
      <c r="AB23" s="7">
        <v>22.635369684180699</v>
      </c>
      <c r="AC23" s="7">
        <f t="shared" ref="AC23:AC41" si="32">X23+Y23+Z23</f>
        <v>264000.92659259069</v>
      </c>
      <c r="AE23" s="28">
        <v>1</v>
      </c>
      <c r="AF23" s="26">
        <v>5.0000000000000002E-5</v>
      </c>
      <c r="AG23" s="28">
        <v>0.2</v>
      </c>
      <c r="AH23" s="28">
        <v>30</v>
      </c>
      <c r="AI23" s="26">
        <v>7.4999999999999993E-9</v>
      </c>
      <c r="AJ23" s="26">
        <f t="shared" ref="AJ23:AJ41" si="33">AG23*AI23</f>
        <v>1.5E-9</v>
      </c>
      <c r="AK23" s="26">
        <f t="shared" ref="AK23:AK41" si="34">AJ23/(AF23/2)</f>
        <v>5.9999999999999995E-5</v>
      </c>
      <c r="AL23" s="7">
        <v>0.22573586038073901</v>
      </c>
      <c r="AM23" s="7">
        <v>4193.5351285970401</v>
      </c>
      <c r="AN23" s="7">
        <v>150013.48553139099</v>
      </c>
      <c r="AO23" s="7">
        <v>4193.5351285970401</v>
      </c>
      <c r="AP23" s="7">
        <v>49291.069622095303</v>
      </c>
      <c r="AQ23" s="7">
        <v>8.1487330863050396</v>
      </c>
      <c r="AR23" s="7">
        <f t="shared" ref="AR23:AR41" si="35">AM23+AN23+AO23</f>
        <v>158400.5557885851</v>
      </c>
      <c r="AT23" s="28">
        <v>1</v>
      </c>
      <c r="AU23" s="26">
        <v>1.0000000000000001E-5</v>
      </c>
      <c r="AV23" s="28">
        <v>0.2</v>
      </c>
      <c r="AW23" s="28">
        <v>200</v>
      </c>
      <c r="AX23" s="26">
        <v>7.4999999999999993E-9</v>
      </c>
      <c r="AY23" s="26">
        <f t="shared" ref="AY23:AY41" si="36">AV23*AX23</f>
        <v>1.5E-9</v>
      </c>
      <c r="AZ23" s="26">
        <f t="shared" ref="AZ23:AZ41" si="37">AY23/(AU23/2)</f>
        <v>2.9999999999999997E-4</v>
      </c>
      <c r="BA23" s="7">
        <v>0.22805871271570299</v>
      </c>
      <c r="BB23" s="7">
        <v>4345.3623253436699</v>
      </c>
      <c r="BC23" s="7">
        <v>750067.42850576504</v>
      </c>
      <c r="BD23" s="7">
        <v>4345.3623253436699</v>
      </c>
      <c r="BE23" s="7">
        <v>246455.34799285</v>
      </c>
      <c r="BF23" s="7">
        <v>203.71832715762599</v>
      </c>
      <c r="BG23" s="7">
        <f t="shared" ref="BG23:BG41" si="38">BB23+BC23+BD23</f>
        <v>758758.15315645235</v>
      </c>
      <c r="BI23" s="28">
        <v>1</v>
      </c>
      <c r="BJ23" s="26">
        <v>1.0000000000000001E-5</v>
      </c>
      <c r="BK23" s="28">
        <v>0.5</v>
      </c>
      <c r="BL23" s="28">
        <v>200</v>
      </c>
      <c r="BM23" s="26">
        <v>7.4999999999999993E-9</v>
      </c>
      <c r="BN23" s="26">
        <f t="shared" ref="BN23:BN41" si="39">BK23*BM23</f>
        <v>3.7499999999999997E-9</v>
      </c>
      <c r="BO23" s="26">
        <f t="shared" ref="BO23:BO41" si="40">BN23/(BJ23/2)</f>
        <v>7.4999999999999991E-4</v>
      </c>
      <c r="BP23" s="7">
        <v>0.56819738847046797</v>
      </c>
      <c r="BQ23" s="7">
        <v>3764.12485338133</v>
      </c>
      <c r="BR23" s="7">
        <v>300026.97140230599</v>
      </c>
      <c r="BS23" s="7">
        <v>3764.12485338133</v>
      </c>
      <c r="BT23" s="7">
        <v>98582.139197140001</v>
      </c>
      <c r="BU23" s="7">
        <v>203.71832715762599</v>
      </c>
      <c r="BV23" s="7">
        <f t="shared" ref="BV23:BV41" si="41">BQ23+BR23+BS23</f>
        <v>307555.2211090686</v>
      </c>
      <c r="BX23" s="28">
        <v>1</v>
      </c>
      <c r="BY23" s="26">
        <v>5.0000000000000002E-5</v>
      </c>
      <c r="BZ23" s="28">
        <v>0.5</v>
      </c>
      <c r="CA23" s="28">
        <v>200</v>
      </c>
      <c r="CB23" s="26">
        <v>7.4999999999999993E-9</v>
      </c>
      <c r="CC23" s="26">
        <f t="shared" ref="CC23:CC41" si="42">BZ23*CB23</f>
        <v>3.7499999999999997E-9</v>
      </c>
      <c r="CD23" s="26">
        <f t="shared" ref="CD23:CD41" si="43">CC23/(BY23/2)</f>
        <v>1.4999999999999999E-4</v>
      </c>
      <c r="CE23" s="7">
        <v>0.568343370985816</v>
      </c>
      <c r="CF23" s="7">
        <v>752.82497001808497</v>
      </c>
      <c r="CG23" s="7">
        <v>60005.394212556603</v>
      </c>
      <c r="CH23" s="7">
        <v>752.82497001808497</v>
      </c>
      <c r="CI23" s="7">
        <v>19716.427848838099</v>
      </c>
      <c r="CJ23" s="7">
        <v>8.1487330863050396</v>
      </c>
      <c r="CK23" s="7">
        <f t="shared" ref="CK23:CK41" si="44">CF23+CG23+CH23</f>
        <v>61511.044152592767</v>
      </c>
      <c r="CM23" s="28">
        <v>1</v>
      </c>
      <c r="CN23" s="26">
        <v>5.0000000000000002E-5</v>
      </c>
      <c r="CO23" s="28">
        <v>1</v>
      </c>
      <c r="CP23" s="28">
        <v>200</v>
      </c>
      <c r="CQ23" s="26">
        <v>7.4999999999999993E-9</v>
      </c>
      <c r="CR23" s="26">
        <f t="shared" ref="CR23:CR41" si="45">CO23*CQ23</f>
        <v>7.4999999999999993E-9</v>
      </c>
      <c r="CS23" s="26">
        <f t="shared" ref="CS23:CS41" si="46">CR23/(CN23/2)</f>
        <v>2.9999999999999997E-4</v>
      </c>
      <c r="CT23" s="7">
        <v>1.13153219107109</v>
      </c>
      <c r="CU23" s="7">
        <v>665.23311259709499</v>
      </c>
      <c r="CV23" s="7">
        <v>30002.697106278301</v>
      </c>
      <c r="CW23" s="7">
        <v>665.23311259709499</v>
      </c>
      <c r="CX23" s="7">
        <v>9858.2139244190694</v>
      </c>
      <c r="CY23" s="7">
        <v>8.1487330863050396</v>
      </c>
      <c r="CZ23" s="7">
        <f t="shared" ref="CZ23:CZ41" si="47">CU23+CV23+CW23</f>
        <v>31333.163331472493</v>
      </c>
      <c r="DB23" s="28">
        <v>1</v>
      </c>
      <c r="DC23" s="26">
        <v>5.0000000000000002E-5</v>
      </c>
      <c r="DD23" s="28">
        <v>2</v>
      </c>
      <c r="DE23" s="28">
        <v>200</v>
      </c>
      <c r="DF23" s="26">
        <v>7.4999999999999993E-9</v>
      </c>
      <c r="DG23" s="26">
        <f t="shared" ref="DG23:DG41" si="48">DD23*DF23</f>
        <v>1.4999999999999999E-8</v>
      </c>
      <c r="DH23" s="26">
        <f t="shared" ref="DH23:DH41" si="49">DG23/(DC23/2)</f>
        <v>5.9999999999999995E-4</v>
      </c>
      <c r="DI23" s="7">
        <v>2.24634871806962</v>
      </c>
      <c r="DJ23" s="7">
        <v>578.22973015081095</v>
      </c>
      <c r="DK23" s="7">
        <v>15001.3485531391</v>
      </c>
      <c r="DL23" s="7">
        <v>578.22973015081095</v>
      </c>
      <c r="DM23" s="7">
        <v>4929.1069622095301</v>
      </c>
      <c r="DN23" s="7">
        <v>8.1487330863050396</v>
      </c>
      <c r="DO23" s="7">
        <f t="shared" ref="DO23:DO41" si="50">DJ23+DK23+DL23</f>
        <v>16157.808013440723</v>
      </c>
      <c r="DQ23" s="28">
        <v>1</v>
      </c>
      <c r="DR23" s="26">
        <v>5.0000000000000002E-5</v>
      </c>
      <c r="DS23" s="28">
        <v>15</v>
      </c>
      <c r="DT23" s="28">
        <v>300</v>
      </c>
      <c r="DU23" s="26">
        <v>5.0000000000000001E-9</v>
      </c>
      <c r="DV23" s="26">
        <f t="shared" ref="DV23:DV41" si="51">DS23*DU23</f>
        <v>7.4999999999999997E-8</v>
      </c>
      <c r="DW23" s="26">
        <f t="shared" ref="DW23:DW41" si="52">DV23/(DR23/2)</f>
        <v>2.9999999999999996E-3</v>
      </c>
      <c r="DX23" s="7">
        <v>16.280806704854498</v>
      </c>
      <c r="DY23" s="7">
        <v>254.539230510376</v>
      </c>
      <c r="DZ23" s="7">
        <v>2000.1798070852201</v>
      </c>
      <c r="EA23" s="7">
        <v>254.539230510376</v>
      </c>
      <c r="EB23" s="7">
        <v>657.21426162793796</v>
      </c>
      <c r="EC23" s="7">
        <v>5.0929581789406502</v>
      </c>
      <c r="ED23" s="7">
        <f t="shared" ref="ED23:ED41" si="53">DY23+DZ23+EA23</f>
        <v>2509.2582681059721</v>
      </c>
    </row>
    <row r="24" spans="1:148" x14ac:dyDescent="0.4">
      <c r="A24" s="28">
        <v>2</v>
      </c>
      <c r="B24" s="26">
        <v>1.0000000000000001E-5</v>
      </c>
      <c r="C24" s="28">
        <v>0.2</v>
      </c>
      <c r="D24" s="28">
        <v>30</v>
      </c>
      <c r="E24" s="26">
        <v>7.4999999999999993E-9</v>
      </c>
      <c r="F24" s="26">
        <f t="shared" si="27"/>
        <v>1.5E-9</v>
      </c>
      <c r="G24" s="26">
        <f t="shared" si="28"/>
        <v>2.9999999999999997E-4</v>
      </c>
      <c r="H24" s="7">
        <v>0.25950218409910197</v>
      </c>
      <c r="I24" s="7">
        <v>20967.675665585699</v>
      </c>
      <c r="J24" s="7">
        <v>482013.76177816797</v>
      </c>
      <c r="K24" s="7">
        <v>20967.675665585699</v>
      </c>
      <c r="L24" s="7">
        <v>339325.67523914197</v>
      </c>
      <c r="M24" s="7">
        <v>203.71832715762599</v>
      </c>
      <c r="N24" s="7">
        <f t="shared" si="29"/>
        <v>523949.11310933932</v>
      </c>
      <c r="P24" s="28">
        <v>2</v>
      </c>
      <c r="Q24" s="26">
        <v>3.0000000000000001E-5</v>
      </c>
      <c r="R24" s="28">
        <v>0.2</v>
      </c>
      <c r="S24" s="28">
        <v>30</v>
      </c>
      <c r="T24" s="26">
        <v>7.4999999999999993E-9</v>
      </c>
      <c r="U24" s="26">
        <f t="shared" si="30"/>
        <v>1.5E-9</v>
      </c>
      <c r="V24" s="26">
        <f t="shared" si="31"/>
        <v>9.9999999999999991E-5</v>
      </c>
      <c r="W24" s="7">
        <v>0.25955502508761802</v>
      </c>
      <c r="X24" s="7">
        <v>6989.2252213633501</v>
      </c>
      <c r="Y24" s="7">
        <v>160671.25390733199</v>
      </c>
      <c r="Z24" s="7">
        <v>6989.2252213633501</v>
      </c>
      <c r="AA24" s="7">
        <v>113108.558420806</v>
      </c>
      <c r="AB24" s="7">
        <v>22.635369684180699</v>
      </c>
      <c r="AC24" s="7">
        <f t="shared" si="32"/>
        <v>174649.70435005872</v>
      </c>
      <c r="AE24" s="28">
        <v>2</v>
      </c>
      <c r="AF24" s="26">
        <v>5.0000000000000002E-5</v>
      </c>
      <c r="AG24" s="28">
        <v>0.2</v>
      </c>
      <c r="AH24" s="28">
        <v>30</v>
      </c>
      <c r="AI24" s="26">
        <v>7.4999999999999993E-9</v>
      </c>
      <c r="AJ24" s="26">
        <f t="shared" si="33"/>
        <v>1.5E-9</v>
      </c>
      <c r="AK24" s="26">
        <f t="shared" si="34"/>
        <v>5.9999999999999995E-5</v>
      </c>
      <c r="AL24" s="7">
        <v>0.25956559986868499</v>
      </c>
      <c r="AM24" s="7">
        <v>4193.5351285970401</v>
      </c>
      <c r="AN24" s="7">
        <v>96402.752185872101</v>
      </c>
      <c r="AO24" s="7">
        <v>4193.5351285970401</v>
      </c>
      <c r="AP24" s="7">
        <v>67865.135118168895</v>
      </c>
      <c r="AQ24" s="7">
        <v>8.1487330863050396</v>
      </c>
      <c r="AR24" s="7">
        <f t="shared" si="35"/>
        <v>104789.82244306618</v>
      </c>
      <c r="AT24" s="28">
        <v>2</v>
      </c>
      <c r="AU24" s="26">
        <v>1.0000000000000001E-5</v>
      </c>
      <c r="AV24" s="28">
        <v>0.2</v>
      </c>
      <c r="AW24" s="28">
        <v>200</v>
      </c>
      <c r="AX24" s="26">
        <v>7.4999999999999993E-9</v>
      </c>
      <c r="AY24" s="26">
        <f t="shared" si="36"/>
        <v>1.5E-9</v>
      </c>
      <c r="AZ24" s="26">
        <f t="shared" si="37"/>
        <v>2.9999999999999997E-4</v>
      </c>
      <c r="BA24" s="7">
        <v>0.26640370392954199</v>
      </c>
      <c r="BB24" s="7">
        <v>4345.3623253436699</v>
      </c>
      <c r="BC24" s="7">
        <v>482013.76177816797</v>
      </c>
      <c r="BD24" s="7">
        <v>4345.3623253436699</v>
      </c>
      <c r="BE24" s="7">
        <v>339325.67523914197</v>
      </c>
      <c r="BF24" s="7">
        <v>203.71832715762599</v>
      </c>
      <c r="BG24" s="7">
        <f t="shared" si="38"/>
        <v>490704.48642885528</v>
      </c>
      <c r="BI24" s="28">
        <v>2</v>
      </c>
      <c r="BJ24" s="26">
        <v>1.0000000000000001E-5</v>
      </c>
      <c r="BK24" s="28">
        <v>0.5</v>
      </c>
      <c r="BL24" s="28">
        <v>200</v>
      </c>
      <c r="BM24" s="26">
        <v>7.4999999999999993E-9</v>
      </c>
      <c r="BN24" s="26">
        <f t="shared" si="39"/>
        <v>3.7499999999999997E-9</v>
      </c>
      <c r="BO24" s="26">
        <f t="shared" si="40"/>
        <v>7.4999999999999991E-4</v>
      </c>
      <c r="BP24" s="7">
        <v>0.66018473628893004</v>
      </c>
      <c r="BQ24" s="7">
        <v>3764.12485338133</v>
      </c>
      <c r="BR24" s="7">
        <v>192805.50471126701</v>
      </c>
      <c r="BS24" s="7">
        <v>3764.12485338133</v>
      </c>
      <c r="BT24" s="7">
        <v>135730.270095657</v>
      </c>
      <c r="BU24" s="7">
        <v>203.71832715762599</v>
      </c>
      <c r="BV24" s="7">
        <f t="shared" si="41"/>
        <v>200333.75441802968</v>
      </c>
      <c r="BX24" s="28">
        <v>2</v>
      </c>
      <c r="BY24" s="26">
        <v>5.0000000000000002E-5</v>
      </c>
      <c r="BZ24" s="28">
        <v>0.5</v>
      </c>
      <c r="CA24" s="28">
        <v>200</v>
      </c>
      <c r="CB24" s="26">
        <v>7.4999999999999993E-9</v>
      </c>
      <c r="CC24" s="26">
        <f t="shared" si="42"/>
        <v>3.7499999999999997E-9</v>
      </c>
      <c r="CD24" s="26">
        <f t="shared" si="43"/>
        <v>1.4999999999999999E-4</v>
      </c>
      <c r="CE24" s="7">
        <v>0.66061786138454803</v>
      </c>
      <c r="CF24" s="7">
        <v>752.82497001808497</v>
      </c>
      <c r="CG24" s="7">
        <v>38561.1008743489</v>
      </c>
      <c r="CH24" s="7">
        <v>752.82497001808497</v>
      </c>
      <c r="CI24" s="7">
        <v>27146.0540472676</v>
      </c>
      <c r="CJ24" s="7">
        <v>8.1487330863050396</v>
      </c>
      <c r="CK24" s="7">
        <f t="shared" si="44"/>
        <v>40066.750814385065</v>
      </c>
      <c r="CM24" s="28">
        <v>2</v>
      </c>
      <c r="CN24" s="26">
        <v>5.0000000000000002E-5</v>
      </c>
      <c r="CO24" s="28">
        <v>1</v>
      </c>
      <c r="CP24" s="28">
        <v>200</v>
      </c>
      <c r="CQ24" s="26">
        <v>7.4999999999999993E-9</v>
      </c>
      <c r="CR24" s="26">
        <f t="shared" si="45"/>
        <v>7.4999999999999993E-9</v>
      </c>
      <c r="CS24" s="26">
        <f t="shared" si="46"/>
        <v>2.9999999999999997E-4</v>
      </c>
      <c r="CT24" s="7">
        <v>1.30608515295931</v>
      </c>
      <c r="CU24" s="7">
        <v>665.23311259709499</v>
      </c>
      <c r="CV24" s="7">
        <v>19280.550437174399</v>
      </c>
      <c r="CW24" s="7">
        <v>665.23311259709499</v>
      </c>
      <c r="CX24" s="7">
        <v>13573.0270236338</v>
      </c>
      <c r="CY24" s="7">
        <v>8.1487330863050396</v>
      </c>
      <c r="CZ24" s="7">
        <f t="shared" si="47"/>
        <v>20611.016662368591</v>
      </c>
      <c r="DB24" s="28">
        <v>2</v>
      </c>
      <c r="DC24" s="26">
        <v>5.0000000000000002E-5</v>
      </c>
      <c r="DD24" s="28">
        <v>2</v>
      </c>
      <c r="DE24" s="28">
        <v>200</v>
      </c>
      <c r="DF24" s="26">
        <v>7.4999999999999993E-9</v>
      </c>
      <c r="DG24" s="26">
        <f t="shared" si="48"/>
        <v>1.4999999999999999E-8</v>
      </c>
      <c r="DH24" s="26">
        <f t="shared" si="49"/>
        <v>5.9999999999999995E-4</v>
      </c>
      <c r="DI24" s="7">
        <v>2.5642932830741199</v>
      </c>
      <c r="DJ24" s="7">
        <v>578.22973015081095</v>
      </c>
      <c r="DK24" s="7">
        <v>9640.2752185872196</v>
      </c>
      <c r="DL24" s="7">
        <v>578.22973015081095</v>
      </c>
      <c r="DM24" s="7">
        <v>6786.5135118168901</v>
      </c>
      <c r="DN24" s="7">
        <v>8.1487330863050396</v>
      </c>
      <c r="DO24" s="7">
        <f t="shared" si="50"/>
        <v>10796.734678888843</v>
      </c>
      <c r="DQ24" s="28">
        <v>2</v>
      </c>
      <c r="DR24" s="26">
        <v>5.0000000000000002E-5</v>
      </c>
      <c r="DS24" s="28">
        <v>15</v>
      </c>
      <c r="DT24" s="28">
        <v>300</v>
      </c>
      <c r="DU24" s="26">
        <v>5.0000000000000001E-9</v>
      </c>
      <c r="DV24" s="26">
        <f t="shared" si="51"/>
        <v>7.4999999999999997E-8</v>
      </c>
      <c r="DW24" s="26">
        <f t="shared" si="52"/>
        <v>2.9999999999999996E-3</v>
      </c>
      <c r="DX24" s="7">
        <v>17.7408890052041</v>
      </c>
      <c r="DY24" s="7">
        <v>254.539230510376</v>
      </c>
      <c r="DZ24" s="7">
        <v>1285.37002914496</v>
      </c>
      <c r="EA24" s="7">
        <v>254.539230510376</v>
      </c>
      <c r="EB24" s="7">
        <v>904.86846824225199</v>
      </c>
      <c r="EC24" s="7">
        <v>5.0929581789406502</v>
      </c>
      <c r="ED24" s="7">
        <f t="shared" si="53"/>
        <v>1794.448490165712</v>
      </c>
    </row>
    <row r="25" spans="1:148" x14ac:dyDescent="0.4">
      <c r="A25" s="28">
        <v>4</v>
      </c>
      <c r="B25" s="26">
        <v>1.0000000000000001E-5</v>
      </c>
      <c r="C25" s="28">
        <v>0.2</v>
      </c>
      <c r="D25" s="28">
        <v>30</v>
      </c>
      <c r="E25" s="26">
        <v>7.4999999999999993E-9</v>
      </c>
      <c r="F25" s="26">
        <f t="shared" si="27"/>
        <v>1.5E-9</v>
      </c>
      <c r="G25" s="26">
        <f t="shared" si="28"/>
        <v>2.9999999999999997E-4</v>
      </c>
      <c r="H25" s="7">
        <v>0.351900202898838</v>
      </c>
      <c r="I25" s="7">
        <v>20967.675665585699</v>
      </c>
      <c r="J25" s="7">
        <v>269259.42550450901</v>
      </c>
      <c r="K25" s="7">
        <v>20967.675665585699</v>
      </c>
      <c r="L25" s="7">
        <v>496205.96663466899</v>
      </c>
      <c r="M25" s="7">
        <v>203.71832715762599</v>
      </c>
      <c r="N25" s="7">
        <f t="shared" si="29"/>
        <v>311194.77683568036</v>
      </c>
      <c r="P25" s="28">
        <v>4</v>
      </c>
      <c r="Q25" s="26">
        <v>3.0000000000000001E-5</v>
      </c>
      <c r="R25" s="28">
        <v>0.2</v>
      </c>
      <c r="S25" s="28">
        <v>30</v>
      </c>
      <c r="T25" s="26">
        <v>7.4999999999999993E-9</v>
      </c>
      <c r="U25" s="26">
        <f t="shared" si="30"/>
        <v>1.5E-9</v>
      </c>
      <c r="V25" s="26">
        <f t="shared" si="31"/>
        <v>9.9999999999999991E-5</v>
      </c>
      <c r="W25" s="7">
        <v>0.352088793628615</v>
      </c>
      <c r="X25" s="7">
        <v>6989.2252213633501</v>
      </c>
      <c r="Y25" s="7">
        <v>89753.141816112096</v>
      </c>
      <c r="Z25" s="7">
        <v>6989.2252213633501</v>
      </c>
      <c r="AA25" s="7">
        <v>165401.98890513901</v>
      </c>
      <c r="AB25" s="7">
        <v>22.635369684180699</v>
      </c>
      <c r="AC25" s="7">
        <f t="shared" si="32"/>
        <v>103731.59225883879</v>
      </c>
      <c r="AE25" s="28">
        <v>4</v>
      </c>
      <c r="AF25" s="26">
        <v>5.0000000000000002E-5</v>
      </c>
      <c r="AG25" s="28">
        <v>0.2</v>
      </c>
      <c r="AH25" s="28">
        <v>30</v>
      </c>
      <c r="AI25" s="26">
        <v>7.4999999999999993E-9</v>
      </c>
      <c r="AJ25" s="26">
        <f t="shared" si="33"/>
        <v>1.5E-9</v>
      </c>
      <c r="AK25" s="26">
        <f t="shared" si="34"/>
        <v>5.9999999999999995E-5</v>
      </c>
      <c r="AL25" s="7">
        <v>0.35212655153554401</v>
      </c>
      <c r="AM25" s="7">
        <v>4193.5351285970401</v>
      </c>
      <c r="AN25" s="7">
        <v>53851.884931140201</v>
      </c>
      <c r="AO25" s="7">
        <v>4193.5351285970401</v>
      </c>
      <c r="AP25" s="7">
        <v>99241.193570966701</v>
      </c>
      <c r="AQ25" s="7">
        <v>8.1487330863050396</v>
      </c>
      <c r="AR25" s="7">
        <f t="shared" si="35"/>
        <v>62238.955188334279</v>
      </c>
      <c r="AT25" s="28">
        <v>4</v>
      </c>
      <c r="AU25" s="26">
        <v>1.0000000000000001E-5</v>
      </c>
      <c r="AV25" s="28">
        <v>0.2</v>
      </c>
      <c r="AW25" s="28">
        <v>200</v>
      </c>
      <c r="AX25" s="26">
        <v>7.4999999999999993E-9</v>
      </c>
      <c r="AY25" s="26">
        <f t="shared" si="36"/>
        <v>1.5E-9</v>
      </c>
      <c r="AZ25" s="26">
        <f t="shared" si="37"/>
        <v>2.9999999999999997E-4</v>
      </c>
      <c r="BA25" s="7">
        <v>0.37771636327668001</v>
      </c>
      <c r="BB25" s="7">
        <v>4345.3623253436699</v>
      </c>
      <c r="BC25" s="7">
        <v>269259.42550450901</v>
      </c>
      <c r="BD25" s="7">
        <v>4345.3623253436699</v>
      </c>
      <c r="BE25" s="7">
        <v>496205.96663466899</v>
      </c>
      <c r="BF25" s="7">
        <v>203.71832715762599</v>
      </c>
      <c r="BG25" s="7">
        <f t="shared" si="38"/>
        <v>277950.15015519632</v>
      </c>
      <c r="BI25" s="28">
        <v>4</v>
      </c>
      <c r="BJ25" s="26">
        <v>1.0000000000000001E-5</v>
      </c>
      <c r="BK25" s="28">
        <v>0.5</v>
      </c>
      <c r="BL25" s="28">
        <v>200</v>
      </c>
      <c r="BM25" s="26">
        <v>7.4999999999999993E-9</v>
      </c>
      <c r="BN25" s="26">
        <f t="shared" si="39"/>
        <v>3.7499999999999997E-9</v>
      </c>
      <c r="BO25" s="26">
        <f t="shared" si="40"/>
        <v>7.4999999999999991E-4</v>
      </c>
      <c r="BP25" s="7">
        <v>0.92181529205745205</v>
      </c>
      <c r="BQ25" s="7">
        <v>3764.12485338133</v>
      </c>
      <c r="BR25" s="7">
        <v>107703.770201803</v>
      </c>
      <c r="BS25" s="7">
        <v>3764.12485338133</v>
      </c>
      <c r="BT25" s="7">
        <v>198482.38665386799</v>
      </c>
      <c r="BU25" s="7">
        <v>203.71832715762599</v>
      </c>
      <c r="BV25" s="7">
        <f t="shared" si="41"/>
        <v>115232.01990856566</v>
      </c>
      <c r="BX25" s="28">
        <v>4</v>
      </c>
      <c r="BY25" s="26">
        <v>5.0000000000000002E-5</v>
      </c>
      <c r="BZ25" s="28">
        <v>0.5</v>
      </c>
      <c r="CA25" s="28">
        <v>200</v>
      </c>
      <c r="CB25" s="26">
        <v>7.4999999999999993E-9</v>
      </c>
      <c r="CC25" s="26">
        <f t="shared" si="42"/>
        <v>3.7499999999999997E-9</v>
      </c>
      <c r="CD25" s="26">
        <f t="shared" si="43"/>
        <v>1.4999999999999999E-4</v>
      </c>
      <c r="CE25" s="7">
        <v>0.92346170165714703</v>
      </c>
      <c r="CF25" s="7">
        <v>752.82497001808497</v>
      </c>
      <c r="CG25" s="7">
        <v>21540.753972456099</v>
      </c>
      <c r="CH25" s="7">
        <v>752.82497001808497</v>
      </c>
      <c r="CI25" s="7">
        <v>39696.477428386701</v>
      </c>
      <c r="CJ25" s="7">
        <v>8.1487330863050396</v>
      </c>
      <c r="CK25" s="7">
        <f t="shared" si="44"/>
        <v>23046.403912492271</v>
      </c>
      <c r="CM25" s="28">
        <v>4</v>
      </c>
      <c r="CN25" s="26">
        <v>5.0000000000000002E-5</v>
      </c>
      <c r="CO25" s="28">
        <v>1</v>
      </c>
      <c r="CP25" s="28">
        <v>200</v>
      </c>
      <c r="CQ25" s="26">
        <v>7.4999999999999993E-9</v>
      </c>
      <c r="CR25" s="26">
        <f t="shared" si="45"/>
        <v>7.4999999999999993E-9</v>
      </c>
      <c r="CS25" s="26">
        <f t="shared" si="46"/>
        <v>2.9999999999999997E-4</v>
      </c>
      <c r="CT25" s="7">
        <v>1.79044721244572</v>
      </c>
      <c r="CU25" s="7">
        <v>665.23311259709499</v>
      </c>
      <c r="CV25" s="7">
        <v>10770.376986228001</v>
      </c>
      <c r="CW25" s="7">
        <v>665.23311259709499</v>
      </c>
      <c r="CX25" s="7">
        <v>19848.2387141933</v>
      </c>
      <c r="CY25" s="7">
        <v>8.1487330863050396</v>
      </c>
      <c r="CZ25" s="7">
        <f t="shared" si="47"/>
        <v>12100.843211422191</v>
      </c>
      <c r="DB25" s="28">
        <v>4</v>
      </c>
      <c r="DC25" s="26">
        <v>5.0000000000000002E-5</v>
      </c>
      <c r="DD25" s="28">
        <v>2</v>
      </c>
      <c r="DE25" s="28">
        <v>200</v>
      </c>
      <c r="DF25" s="26">
        <v>7.4999999999999993E-9</v>
      </c>
      <c r="DG25" s="26">
        <f t="shared" si="48"/>
        <v>1.4999999999999999E-8</v>
      </c>
      <c r="DH25" s="26">
        <f t="shared" si="49"/>
        <v>5.9999999999999995E-4</v>
      </c>
      <c r="DI25" s="7">
        <v>3.4115804922195299</v>
      </c>
      <c r="DJ25" s="7">
        <v>578.22973015081095</v>
      </c>
      <c r="DK25" s="7">
        <v>5385.1884931140203</v>
      </c>
      <c r="DL25" s="7">
        <v>578.22973015081095</v>
      </c>
      <c r="DM25" s="7">
        <v>9924.1193570966698</v>
      </c>
      <c r="DN25" s="7">
        <v>8.1487330863050396</v>
      </c>
      <c r="DO25" s="7">
        <f t="shared" si="50"/>
        <v>6541.6479534156415</v>
      </c>
      <c r="DQ25" s="28">
        <v>4</v>
      </c>
      <c r="DR25" s="26">
        <v>5.0000000000000002E-5</v>
      </c>
      <c r="DS25" s="28">
        <v>15</v>
      </c>
      <c r="DT25" s="28">
        <v>300</v>
      </c>
      <c r="DU25" s="26">
        <v>5.0000000000000001E-9</v>
      </c>
      <c r="DV25" s="26">
        <f t="shared" si="51"/>
        <v>7.4999999999999997E-8</v>
      </c>
      <c r="DW25" s="26">
        <f t="shared" si="52"/>
        <v>2.9999999999999996E-3</v>
      </c>
      <c r="DX25" s="7">
        <v>21.068200186237</v>
      </c>
      <c r="DY25" s="7">
        <v>254.539230510376</v>
      </c>
      <c r="DZ25" s="7">
        <v>718.02513241520205</v>
      </c>
      <c r="EA25" s="7">
        <v>254.539230510376</v>
      </c>
      <c r="EB25" s="7">
        <v>1323.2159142795599</v>
      </c>
      <c r="EC25" s="7">
        <v>5.0929581789406502</v>
      </c>
      <c r="ED25" s="7">
        <f t="shared" si="53"/>
        <v>1227.1035934359541</v>
      </c>
    </row>
    <row r="26" spans="1:148" x14ac:dyDescent="0.4">
      <c r="A26" s="28">
        <v>6</v>
      </c>
      <c r="B26" s="26">
        <v>1.0000000000000001E-5</v>
      </c>
      <c r="C26" s="28">
        <v>0.2</v>
      </c>
      <c r="D26" s="28">
        <v>30</v>
      </c>
      <c r="E26" s="26">
        <v>7.4999999999999993E-9</v>
      </c>
      <c r="F26" s="26">
        <f t="shared" si="27"/>
        <v>1.5E-9</v>
      </c>
      <c r="G26" s="26">
        <f t="shared" si="28"/>
        <v>2.9999999999999997E-4</v>
      </c>
      <c r="H26" s="7">
        <v>0.48882032582958501</v>
      </c>
      <c r="I26" s="7">
        <v>20967.675665585699</v>
      </c>
      <c r="J26" s="7">
        <v>165780.67944707401</v>
      </c>
      <c r="K26" s="7">
        <v>20967.675665585699</v>
      </c>
      <c r="L26" s="7">
        <v>651465.34785778704</v>
      </c>
      <c r="M26" s="7">
        <v>203.71832715762599</v>
      </c>
      <c r="N26" s="7">
        <f t="shared" si="29"/>
        <v>207716.03077824542</v>
      </c>
      <c r="P26" s="28">
        <v>6</v>
      </c>
      <c r="Q26" s="26">
        <v>3.0000000000000001E-5</v>
      </c>
      <c r="R26" s="28">
        <v>0.2</v>
      </c>
      <c r="S26" s="28">
        <v>30</v>
      </c>
      <c r="T26" s="26">
        <v>7.4999999999999993E-9</v>
      </c>
      <c r="U26" s="26">
        <f t="shared" si="30"/>
        <v>1.5E-9</v>
      </c>
      <c r="V26" s="26">
        <f t="shared" si="31"/>
        <v>9.9999999999999991E-5</v>
      </c>
      <c r="W26" s="7">
        <v>0.48930445900247199</v>
      </c>
      <c r="X26" s="7">
        <v>6989.2252213633501</v>
      </c>
      <c r="Y26" s="7">
        <v>55260.226463633997</v>
      </c>
      <c r="Z26" s="7">
        <v>6989.2252213633501</v>
      </c>
      <c r="AA26" s="7">
        <v>217155.11601730101</v>
      </c>
      <c r="AB26" s="7">
        <v>22.635369684180699</v>
      </c>
      <c r="AC26" s="7">
        <f t="shared" si="32"/>
        <v>69238.676906360692</v>
      </c>
      <c r="AE26" s="28">
        <v>6</v>
      </c>
      <c r="AF26" s="26">
        <v>5.0000000000000002E-5</v>
      </c>
      <c r="AG26" s="28">
        <v>0.2</v>
      </c>
      <c r="AH26" s="28">
        <v>30</v>
      </c>
      <c r="AI26" s="26">
        <v>7.4999999999999993E-9</v>
      </c>
      <c r="AJ26" s="26">
        <f t="shared" si="33"/>
        <v>1.5E-9</v>
      </c>
      <c r="AK26" s="26">
        <f t="shared" si="34"/>
        <v>5.9999999999999995E-5</v>
      </c>
      <c r="AL26" s="7">
        <v>0.489401438497511</v>
      </c>
      <c r="AM26" s="7">
        <v>4193.5351285970401</v>
      </c>
      <c r="AN26" s="7">
        <v>33156.135719653299</v>
      </c>
      <c r="AO26" s="7">
        <v>4193.5351285970401</v>
      </c>
      <c r="AP26" s="7">
        <v>130293.0701582</v>
      </c>
      <c r="AQ26" s="7">
        <v>8.1487330863050396</v>
      </c>
      <c r="AR26" s="7">
        <f t="shared" si="35"/>
        <v>41543.205976847377</v>
      </c>
      <c r="AT26" s="28">
        <v>6</v>
      </c>
      <c r="AU26" s="26">
        <v>1.0000000000000001E-5</v>
      </c>
      <c r="AV26" s="28">
        <v>0.2</v>
      </c>
      <c r="AW26" s="28">
        <v>200</v>
      </c>
      <c r="AX26" s="26">
        <v>7.4999999999999993E-9</v>
      </c>
      <c r="AY26" s="26">
        <f t="shared" si="36"/>
        <v>1.5E-9</v>
      </c>
      <c r="AZ26" s="26">
        <f t="shared" si="37"/>
        <v>2.9999999999999997E-4</v>
      </c>
      <c r="BA26" s="7">
        <v>0.55924648679257705</v>
      </c>
      <c r="BB26" s="7">
        <v>4345.3623253436699</v>
      </c>
      <c r="BC26" s="7">
        <v>165780.67944707401</v>
      </c>
      <c r="BD26" s="7">
        <v>4345.3623253436699</v>
      </c>
      <c r="BE26" s="7">
        <v>651465.34785778704</v>
      </c>
      <c r="BF26" s="7">
        <v>203.71832715762599</v>
      </c>
      <c r="BG26" s="7">
        <f t="shared" si="38"/>
        <v>174471.40409776138</v>
      </c>
      <c r="BI26" s="28">
        <v>6</v>
      </c>
      <c r="BJ26" s="26">
        <v>1.0000000000000001E-5</v>
      </c>
      <c r="BK26" s="28">
        <v>0.5</v>
      </c>
      <c r="BL26" s="28">
        <v>200</v>
      </c>
      <c r="BM26" s="26">
        <v>7.4999999999999993E-9</v>
      </c>
      <c r="BN26" s="26">
        <f t="shared" si="39"/>
        <v>3.7499999999999997E-9</v>
      </c>
      <c r="BO26" s="26">
        <f t="shared" si="40"/>
        <v>7.4999999999999991E-4</v>
      </c>
      <c r="BP26" s="7">
        <v>1.3343345278145</v>
      </c>
      <c r="BQ26" s="7">
        <v>3764.12485338133</v>
      </c>
      <c r="BR26" s="7">
        <v>66312.271778829701</v>
      </c>
      <c r="BS26" s="7">
        <v>3764.12485338133</v>
      </c>
      <c r="BT26" s="7">
        <v>260586.139143115</v>
      </c>
      <c r="BU26" s="7">
        <v>203.71832715762599</v>
      </c>
      <c r="BV26" s="7">
        <f t="shared" si="41"/>
        <v>73840.52148559237</v>
      </c>
      <c r="BX26" s="28">
        <v>6</v>
      </c>
      <c r="BY26" s="26">
        <v>5.0000000000000002E-5</v>
      </c>
      <c r="BZ26" s="28">
        <v>0.5</v>
      </c>
      <c r="CA26" s="28">
        <v>200</v>
      </c>
      <c r="CB26" s="26">
        <v>7.4999999999999993E-9</v>
      </c>
      <c r="CC26" s="26">
        <f t="shared" si="42"/>
        <v>3.7499999999999997E-9</v>
      </c>
      <c r="CD26" s="26">
        <f t="shared" si="43"/>
        <v>1.4999999999999999E-4</v>
      </c>
      <c r="CE26" s="7">
        <v>1.33891344742414</v>
      </c>
      <c r="CF26" s="7">
        <v>752.82497001808497</v>
      </c>
      <c r="CG26" s="7">
        <v>13262.454287861299</v>
      </c>
      <c r="CH26" s="7">
        <v>752.82497001808497</v>
      </c>
      <c r="CI26" s="7">
        <v>52117.228063280199</v>
      </c>
      <c r="CJ26" s="7">
        <v>8.1487330863050396</v>
      </c>
      <c r="CK26" s="7">
        <f t="shared" si="44"/>
        <v>14768.104227897471</v>
      </c>
      <c r="CM26" s="28">
        <v>6</v>
      </c>
      <c r="CN26" s="26">
        <v>5.0000000000000002E-5</v>
      </c>
      <c r="CO26" s="28">
        <v>1</v>
      </c>
      <c r="CP26" s="28">
        <v>200</v>
      </c>
      <c r="CQ26" s="26">
        <v>7.4999999999999993E-9</v>
      </c>
      <c r="CR26" s="26">
        <f t="shared" si="45"/>
        <v>7.4999999999999993E-9</v>
      </c>
      <c r="CS26" s="26">
        <f t="shared" si="46"/>
        <v>2.9999999999999997E-4</v>
      </c>
      <c r="CT26" s="7">
        <v>2.52465625647155</v>
      </c>
      <c r="CU26" s="7">
        <v>665.23311259709499</v>
      </c>
      <c r="CV26" s="7">
        <v>6631.2271439306596</v>
      </c>
      <c r="CW26" s="7">
        <v>665.23311259709499</v>
      </c>
      <c r="CX26" s="7">
        <v>26058.6140316401</v>
      </c>
      <c r="CY26" s="7">
        <v>8.1487330863050396</v>
      </c>
      <c r="CZ26" s="7">
        <f t="shared" si="47"/>
        <v>7961.6933691248496</v>
      </c>
      <c r="DB26" s="28">
        <v>6</v>
      </c>
      <c r="DC26" s="26">
        <v>5.0000000000000002E-5</v>
      </c>
      <c r="DD26" s="28">
        <v>2</v>
      </c>
      <c r="DE26" s="28">
        <v>200</v>
      </c>
      <c r="DF26" s="26">
        <v>7.4999999999999993E-9</v>
      </c>
      <c r="DG26" s="26">
        <f t="shared" si="48"/>
        <v>1.4999999999999999E-8</v>
      </c>
      <c r="DH26" s="26">
        <f t="shared" si="49"/>
        <v>5.9999999999999995E-4</v>
      </c>
      <c r="DI26" s="7">
        <v>4.6192065147849597</v>
      </c>
      <c r="DJ26" s="7">
        <v>578.22973015081095</v>
      </c>
      <c r="DK26" s="7">
        <v>3315.6135719653298</v>
      </c>
      <c r="DL26" s="7">
        <v>578.22973015081095</v>
      </c>
      <c r="DM26" s="7">
        <v>13029.307015820101</v>
      </c>
      <c r="DN26" s="7">
        <v>8.1487330863050396</v>
      </c>
      <c r="DO26" s="7">
        <f t="shared" si="50"/>
        <v>4472.0730322669515</v>
      </c>
      <c r="DQ26" s="28">
        <v>6</v>
      </c>
      <c r="DR26" s="26">
        <v>5.0000000000000002E-5</v>
      </c>
      <c r="DS26" s="28">
        <v>15</v>
      </c>
      <c r="DT26" s="28">
        <v>300</v>
      </c>
      <c r="DU26" s="26">
        <v>5.0000000000000001E-9</v>
      </c>
      <c r="DV26" s="26">
        <f t="shared" si="51"/>
        <v>7.4999999999999997E-8</v>
      </c>
      <c r="DW26" s="26">
        <f t="shared" si="52"/>
        <v>2.9999999999999996E-3</v>
      </c>
      <c r="DX26" s="7">
        <v>24.9170974092224</v>
      </c>
      <c r="DY26" s="7">
        <v>254.539230510376</v>
      </c>
      <c r="DZ26" s="7">
        <v>442.08180959537702</v>
      </c>
      <c r="EA26" s="7">
        <v>254.539230510376</v>
      </c>
      <c r="EB26" s="7">
        <v>1737.24093544267</v>
      </c>
      <c r="EC26" s="7">
        <v>5.0929581789406502</v>
      </c>
      <c r="ED26" s="7">
        <f t="shared" si="53"/>
        <v>951.16027061612908</v>
      </c>
    </row>
    <row r="27" spans="1:148" x14ac:dyDescent="0.4">
      <c r="A27" s="28">
        <v>8</v>
      </c>
      <c r="B27" s="26">
        <v>1.0000000000000001E-5</v>
      </c>
      <c r="C27" s="28">
        <v>0.2</v>
      </c>
      <c r="D27" s="28">
        <v>30</v>
      </c>
      <c r="E27" s="26">
        <v>7.4999999999999993E-9</v>
      </c>
      <c r="F27" s="26">
        <f t="shared" si="27"/>
        <v>1.5E-9</v>
      </c>
      <c r="G27" s="26">
        <f t="shared" si="28"/>
        <v>2.9999999999999997E-4</v>
      </c>
      <c r="H27" s="7">
        <v>0.69787663292864399</v>
      </c>
      <c r="I27" s="7">
        <v>20967.675665585699</v>
      </c>
      <c r="J27" s="7">
        <v>100396.196898707</v>
      </c>
      <c r="K27" s="7">
        <v>20967.675665585699</v>
      </c>
      <c r="L27" s="7">
        <v>821154.82400854595</v>
      </c>
      <c r="M27" s="7">
        <v>203.71832715762599</v>
      </c>
      <c r="N27" s="7">
        <f t="shared" si="29"/>
        <v>142331.54822987839</v>
      </c>
      <c r="P27" s="28">
        <v>8</v>
      </c>
      <c r="Q27" s="26">
        <v>3.0000000000000001E-5</v>
      </c>
      <c r="R27" s="28">
        <v>0.2</v>
      </c>
      <c r="S27" s="28">
        <v>30</v>
      </c>
      <c r="T27" s="26">
        <v>7.4999999999999993E-9</v>
      </c>
      <c r="U27" s="26">
        <f t="shared" si="30"/>
        <v>1.5E-9</v>
      </c>
      <c r="V27" s="26">
        <f t="shared" si="31"/>
        <v>9.9999999999999991E-5</v>
      </c>
      <c r="W27" s="7">
        <v>0.699010149958191</v>
      </c>
      <c r="X27" s="7">
        <v>6989.2252213633501</v>
      </c>
      <c r="Y27" s="7">
        <v>33465.398947511501</v>
      </c>
      <c r="Z27" s="7">
        <v>6989.2252213633501</v>
      </c>
      <c r="AA27" s="7">
        <v>273718.27480960399</v>
      </c>
      <c r="AB27" s="7">
        <v>22.635369684180699</v>
      </c>
      <c r="AC27" s="7">
        <f t="shared" si="32"/>
        <v>47443.849390238196</v>
      </c>
      <c r="AE27" s="28">
        <v>8</v>
      </c>
      <c r="AF27" s="26">
        <v>5.0000000000000002E-5</v>
      </c>
      <c r="AG27" s="28">
        <v>0.2</v>
      </c>
      <c r="AH27" s="28">
        <v>30</v>
      </c>
      <c r="AI27" s="26">
        <v>7.4999999999999993E-9</v>
      </c>
      <c r="AJ27" s="26">
        <f t="shared" si="33"/>
        <v>1.5E-9</v>
      </c>
      <c r="AK27" s="26">
        <f t="shared" si="34"/>
        <v>5.9999999999999995E-5</v>
      </c>
      <c r="AL27" s="7">
        <v>0.69923737494194504</v>
      </c>
      <c r="AM27" s="7">
        <v>4193.5351285970401</v>
      </c>
      <c r="AN27" s="7">
        <v>20079.239209979802</v>
      </c>
      <c r="AO27" s="7">
        <v>4193.5351285970401</v>
      </c>
      <c r="AP27" s="7">
        <v>164230.96607182099</v>
      </c>
      <c r="AQ27" s="7">
        <v>8.1487330863050396</v>
      </c>
      <c r="AR27" s="7">
        <f t="shared" si="35"/>
        <v>28466.30946717388</v>
      </c>
      <c r="AT27" s="28">
        <v>8</v>
      </c>
      <c r="AU27" s="26">
        <v>1.0000000000000001E-5</v>
      </c>
      <c r="AV27" s="28">
        <v>0.2</v>
      </c>
      <c r="AW27" s="28">
        <v>200</v>
      </c>
      <c r="AX27" s="26">
        <v>7.4999999999999993E-9</v>
      </c>
      <c r="AY27" s="26">
        <f t="shared" si="36"/>
        <v>1.5E-9</v>
      </c>
      <c r="AZ27" s="26">
        <f t="shared" si="37"/>
        <v>2.9999999999999997E-4</v>
      </c>
      <c r="BA27" s="7">
        <v>0.87838786600218799</v>
      </c>
      <c r="BB27" s="7">
        <v>4345.3623253436699</v>
      </c>
      <c r="BC27" s="7">
        <v>100396.196898707</v>
      </c>
      <c r="BD27" s="7">
        <v>4345.3623253436699</v>
      </c>
      <c r="BE27" s="7">
        <v>821154.82400854595</v>
      </c>
      <c r="BF27" s="7">
        <v>203.71832715762599</v>
      </c>
      <c r="BG27" s="7">
        <f t="shared" si="38"/>
        <v>109086.92154939433</v>
      </c>
      <c r="BI27" s="28">
        <v>8</v>
      </c>
      <c r="BJ27" s="26">
        <v>1.0000000000000001E-5</v>
      </c>
      <c r="BK27" s="28">
        <v>0.5</v>
      </c>
      <c r="BL27" s="28">
        <v>200</v>
      </c>
      <c r="BM27" s="26">
        <v>7.4999999999999993E-9</v>
      </c>
      <c r="BN27" s="26">
        <f t="shared" si="39"/>
        <v>3.7499999999999997E-9</v>
      </c>
      <c r="BO27" s="26">
        <f t="shared" si="40"/>
        <v>7.4999999999999991E-4</v>
      </c>
      <c r="BP27" s="7">
        <v>2.0228765034626299</v>
      </c>
      <c r="BQ27" s="7">
        <v>3764.12485338133</v>
      </c>
      <c r="BR27" s="7">
        <v>40158.478759482699</v>
      </c>
      <c r="BS27" s="7">
        <v>3764.12485338133</v>
      </c>
      <c r="BT27" s="7">
        <v>328461.92960341799</v>
      </c>
      <c r="BU27" s="7">
        <v>203.71832715762599</v>
      </c>
      <c r="BV27" s="7">
        <f t="shared" si="41"/>
        <v>47686.728466245353</v>
      </c>
      <c r="BX27" s="28">
        <v>8</v>
      </c>
      <c r="BY27" s="26">
        <v>5.0000000000000002E-5</v>
      </c>
      <c r="BZ27" s="28">
        <v>0.5</v>
      </c>
      <c r="CA27" s="28">
        <v>200</v>
      </c>
      <c r="CB27" s="26">
        <v>7.4999999999999993E-9</v>
      </c>
      <c r="CC27" s="26">
        <f t="shared" si="42"/>
        <v>3.7499999999999997E-9</v>
      </c>
      <c r="CD27" s="26">
        <f t="shared" si="43"/>
        <v>1.4999999999999999E-4</v>
      </c>
      <c r="CE27" s="7">
        <v>2.03491677231544</v>
      </c>
      <c r="CF27" s="7">
        <v>752.82497001808497</v>
      </c>
      <c r="CG27" s="7">
        <v>8031.6956839919103</v>
      </c>
      <c r="CH27" s="7">
        <v>752.82497001808497</v>
      </c>
      <c r="CI27" s="7">
        <v>65692.386428728598</v>
      </c>
      <c r="CJ27" s="7">
        <v>8.1487330863050396</v>
      </c>
      <c r="CK27" s="7">
        <f t="shared" si="44"/>
        <v>9537.3456240280793</v>
      </c>
      <c r="CM27" s="28">
        <v>8</v>
      </c>
      <c r="CN27" s="26">
        <v>5.0000000000000002E-5</v>
      </c>
      <c r="CO27" s="28">
        <v>1</v>
      </c>
      <c r="CP27" s="28">
        <v>200</v>
      </c>
      <c r="CQ27" s="26">
        <v>7.4999999999999993E-9</v>
      </c>
      <c r="CR27" s="26">
        <f t="shared" si="45"/>
        <v>7.4999999999999993E-9</v>
      </c>
      <c r="CS27" s="26">
        <f t="shared" si="46"/>
        <v>2.9999999999999997E-4</v>
      </c>
      <c r="CT27" s="7">
        <v>3.6817066796607301</v>
      </c>
      <c r="CU27" s="7">
        <v>665.23311259709499</v>
      </c>
      <c r="CV27" s="7">
        <v>4015.8478419959501</v>
      </c>
      <c r="CW27" s="7">
        <v>665.23311259709499</v>
      </c>
      <c r="CX27" s="7">
        <v>32846.193214364299</v>
      </c>
      <c r="CY27" s="7">
        <v>8.1487330863050396</v>
      </c>
      <c r="CZ27" s="7">
        <f t="shared" si="47"/>
        <v>5346.3140671901401</v>
      </c>
      <c r="DB27" s="28">
        <v>8</v>
      </c>
      <c r="DC27" s="26">
        <v>5.0000000000000002E-5</v>
      </c>
      <c r="DD27" s="28">
        <v>2</v>
      </c>
      <c r="DE27" s="28">
        <v>200</v>
      </c>
      <c r="DF27" s="26">
        <v>7.4999999999999993E-9</v>
      </c>
      <c r="DG27" s="26">
        <f t="shared" si="48"/>
        <v>1.4999999999999999E-8</v>
      </c>
      <c r="DH27" s="26">
        <f t="shared" si="49"/>
        <v>5.9999999999999995E-4</v>
      </c>
      <c r="DI27" s="7">
        <v>6.36959378756998</v>
      </c>
      <c r="DJ27" s="7">
        <v>578.22973015081095</v>
      </c>
      <c r="DK27" s="7">
        <v>2007.9239209979801</v>
      </c>
      <c r="DL27" s="7">
        <v>578.22973015081095</v>
      </c>
      <c r="DM27" s="7">
        <v>16423.096607182099</v>
      </c>
      <c r="DN27" s="7">
        <v>8.1487330863050396</v>
      </c>
      <c r="DO27" s="7">
        <f t="shared" si="50"/>
        <v>3164.3833812996022</v>
      </c>
      <c r="DQ27" s="28">
        <v>8</v>
      </c>
      <c r="DR27" s="26">
        <v>5.0000000000000002E-5</v>
      </c>
      <c r="DS27" s="28">
        <v>15</v>
      </c>
      <c r="DT27" s="28">
        <v>300</v>
      </c>
      <c r="DU27" s="26">
        <v>5.0000000000000001E-9</v>
      </c>
      <c r="DV27" s="26">
        <f t="shared" si="51"/>
        <v>7.4999999999999997E-8</v>
      </c>
      <c r="DW27" s="26">
        <f t="shared" si="52"/>
        <v>2.9999999999999996E-3</v>
      </c>
      <c r="DX27" s="7">
        <v>29.317400165583699</v>
      </c>
      <c r="DY27" s="7">
        <v>254.539230510376</v>
      </c>
      <c r="DZ27" s="7">
        <v>267.723189466397</v>
      </c>
      <c r="EA27" s="7">
        <v>254.539230510376</v>
      </c>
      <c r="EB27" s="7">
        <v>2189.7462142909499</v>
      </c>
      <c r="EC27" s="7">
        <v>5.0929581789406502</v>
      </c>
      <c r="ED27" s="7">
        <f t="shared" si="53"/>
        <v>776.801650487149</v>
      </c>
    </row>
    <row r="28" spans="1:148" x14ac:dyDescent="0.4">
      <c r="A28" s="28">
        <v>10</v>
      </c>
      <c r="B28" s="26">
        <v>1.0000000000000001E-5</v>
      </c>
      <c r="C28" s="28">
        <v>0.2</v>
      </c>
      <c r="D28" s="28">
        <v>30</v>
      </c>
      <c r="E28" s="26">
        <v>7.4999999999999993E-9</v>
      </c>
      <c r="F28" s="26">
        <f t="shared" si="27"/>
        <v>1.5E-9</v>
      </c>
      <c r="G28" s="26">
        <f t="shared" si="28"/>
        <v>2.9999999999999997E-4</v>
      </c>
      <c r="H28" s="7">
        <v>1.04065849256996</v>
      </c>
      <c r="I28" s="7">
        <v>20967.675665585699</v>
      </c>
      <c r="J28" s="7">
        <v>53826.312121005001</v>
      </c>
      <c r="K28" s="7">
        <v>20967.675665585699</v>
      </c>
      <c r="L28" s="7">
        <v>1014751.21705289</v>
      </c>
      <c r="M28" s="7">
        <v>203.71832715762599</v>
      </c>
      <c r="N28" s="7">
        <f t="shared" si="29"/>
        <v>95761.663452176406</v>
      </c>
      <c r="P28" s="28">
        <v>10</v>
      </c>
      <c r="Q28" s="26">
        <v>3.0000000000000001E-5</v>
      </c>
      <c r="R28" s="28">
        <v>0.2</v>
      </c>
      <c r="S28" s="28">
        <v>30</v>
      </c>
      <c r="T28" s="26">
        <v>7.4999999999999993E-9</v>
      </c>
      <c r="U28" s="26">
        <f t="shared" si="30"/>
        <v>1.5E-9</v>
      </c>
      <c r="V28" s="26">
        <f t="shared" si="31"/>
        <v>9.9999999999999991E-5</v>
      </c>
      <c r="W28" s="7">
        <v>1.0433509363787401</v>
      </c>
      <c r="X28" s="7">
        <v>6989.2252213633501</v>
      </c>
      <c r="Y28" s="7">
        <v>17942.1040216109</v>
      </c>
      <c r="Z28" s="7">
        <v>6989.2252213633501</v>
      </c>
      <c r="AA28" s="7">
        <v>338250.40599296999</v>
      </c>
      <c r="AB28" s="7">
        <v>22.635369684180699</v>
      </c>
      <c r="AC28" s="7">
        <f t="shared" si="32"/>
        <v>31920.554464337602</v>
      </c>
      <c r="AE28" s="28">
        <v>10</v>
      </c>
      <c r="AF28" s="26">
        <v>5.0000000000000002E-5</v>
      </c>
      <c r="AG28" s="28">
        <v>0.2</v>
      </c>
      <c r="AH28" s="28">
        <v>30</v>
      </c>
      <c r="AI28" s="26">
        <v>7.4999999999999993E-9</v>
      </c>
      <c r="AJ28" s="26">
        <f t="shared" si="33"/>
        <v>1.5E-9</v>
      </c>
      <c r="AK28" s="26">
        <f t="shared" si="34"/>
        <v>5.9999999999999995E-5</v>
      </c>
      <c r="AL28" s="7">
        <v>1.0438912635136699</v>
      </c>
      <c r="AM28" s="7">
        <v>4193.5351285970401</v>
      </c>
      <c r="AN28" s="7">
        <v>10765.2622544394</v>
      </c>
      <c r="AO28" s="7">
        <v>4193.5351285970401</v>
      </c>
      <c r="AP28" s="7">
        <v>202950.24620916101</v>
      </c>
      <c r="AQ28" s="7">
        <v>8.1487330863050396</v>
      </c>
      <c r="AR28" s="7">
        <f t="shared" si="35"/>
        <v>19152.332511633478</v>
      </c>
      <c r="AT28" s="28">
        <v>10</v>
      </c>
      <c r="AU28" s="26">
        <v>1.0000000000000001E-5</v>
      </c>
      <c r="AV28" s="28">
        <v>0.2</v>
      </c>
      <c r="AW28" s="28">
        <v>200</v>
      </c>
      <c r="AX28" s="26">
        <v>7.4999999999999993E-9</v>
      </c>
      <c r="AY28" s="26">
        <f t="shared" si="36"/>
        <v>1.5E-9</v>
      </c>
      <c r="AZ28" s="26">
        <f t="shared" si="37"/>
        <v>2.9999999999999997E-4</v>
      </c>
      <c r="BA28" s="7">
        <v>1.5428701329288701</v>
      </c>
      <c r="BB28" s="7">
        <v>4345.3623253436699</v>
      </c>
      <c r="BC28" s="7">
        <v>53826.312121005001</v>
      </c>
      <c r="BD28" s="7">
        <v>4345.3623253436699</v>
      </c>
      <c r="BE28" s="7">
        <v>1014751.21705289</v>
      </c>
      <c r="BF28" s="7">
        <v>203.71832715762599</v>
      </c>
      <c r="BG28" s="7">
        <f t="shared" si="38"/>
        <v>62517.036771692336</v>
      </c>
      <c r="BI28" s="28">
        <v>10</v>
      </c>
      <c r="BJ28" s="26">
        <v>1.0000000000000001E-5</v>
      </c>
      <c r="BK28" s="28">
        <v>0.5</v>
      </c>
      <c r="BL28" s="28">
        <v>200</v>
      </c>
      <c r="BM28" s="26">
        <v>7.4999999999999993E-9</v>
      </c>
      <c r="BN28" s="26">
        <f t="shared" si="39"/>
        <v>3.7499999999999997E-9</v>
      </c>
      <c r="BO28" s="26">
        <f t="shared" si="40"/>
        <v>7.4999999999999991E-4</v>
      </c>
      <c r="BP28" s="7">
        <v>3.3276051876673698</v>
      </c>
      <c r="BQ28" s="7">
        <v>3764.12485338133</v>
      </c>
      <c r="BR28" s="7">
        <v>21530.524848402001</v>
      </c>
      <c r="BS28" s="7">
        <v>3764.12485338133</v>
      </c>
      <c r="BT28" s="7">
        <v>405900.48682115501</v>
      </c>
      <c r="BU28" s="7">
        <v>203.71832715762599</v>
      </c>
      <c r="BV28" s="7">
        <f t="shared" si="41"/>
        <v>29058.774555164662</v>
      </c>
      <c r="BX28" s="28">
        <v>10</v>
      </c>
      <c r="BY28" s="26">
        <v>5.0000000000000002E-5</v>
      </c>
      <c r="BZ28" s="28">
        <v>0.5</v>
      </c>
      <c r="CA28" s="28">
        <v>200</v>
      </c>
      <c r="CB28" s="26">
        <v>7.4999999999999993E-9</v>
      </c>
      <c r="CC28" s="26">
        <f t="shared" si="42"/>
        <v>3.7499999999999997E-9</v>
      </c>
      <c r="CD28" s="26">
        <f t="shared" si="43"/>
        <v>1.4999999999999999E-4</v>
      </c>
      <c r="CE28" s="7">
        <v>3.3623070849341601</v>
      </c>
      <c r="CF28" s="7">
        <v>752.82497001808497</v>
      </c>
      <c r="CG28" s="7">
        <v>4306.1049017757796</v>
      </c>
      <c r="CH28" s="7">
        <v>752.82497001808497</v>
      </c>
      <c r="CI28" s="7">
        <v>81180.098483664406</v>
      </c>
      <c r="CJ28" s="7">
        <v>8.1487330863050396</v>
      </c>
      <c r="CK28" s="7">
        <f t="shared" si="44"/>
        <v>5811.7548418119495</v>
      </c>
      <c r="CM28" s="28">
        <v>10</v>
      </c>
      <c r="CN28" s="26">
        <v>5.0000000000000002E-5</v>
      </c>
      <c r="CO28" s="28">
        <v>1</v>
      </c>
      <c r="CP28" s="28">
        <v>200</v>
      </c>
      <c r="CQ28" s="26">
        <v>7.4999999999999993E-9</v>
      </c>
      <c r="CR28" s="26">
        <f t="shared" si="45"/>
        <v>7.4999999999999993E-9</v>
      </c>
      <c r="CS28" s="26">
        <f t="shared" si="46"/>
        <v>2.9999999999999997E-4</v>
      </c>
      <c r="CT28" s="7">
        <v>5.67445840297197</v>
      </c>
      <c r="CU28" s="7">
        <v>665.23311259709499</v>
      </c>
      <c r="CV28" s="7">
        <v>2153.0524508878898</v>
      </c>
      <c r="CW28" s="7">
        <v>665.23311259709499</v>
      </c>
      <c r="CX28" s="7">
        <v>40590.049241832203</v>
      </c>
      <c r="CY28" s="7">
        <v>8.1487330863050396</v>
      </c>
      <c r="CZ28" s="7">
        <f t="shared" si="47"/>
        <v>3483.5186760820798</v>
      </c>
      <c r="DB28" s="28">
        <v>10</v>
      </c>
      <c r="DC28" s="26">
        <v>5.0000000000000002E-5</v>
      </c>
      <c r="DD28" s="28">
        <v>2</v>
      </c>
      <c r="DE28" s="28">
        <v>200</v>
      </c>
      <c r="DF28" s="26">
        <v>7.4999999999999993E-9</v>
      </c>
      <c r="DG28" s="26">
        <f t="shared" si="48"/>
        <v>1.4999999999999999E-8</v>
      </c>
      <c r="DH28" s="26">
        <f t="shared" si="49"/>
        <v>5.9999999999999995E-4</v>
      </c>
      <c r="DI28" s="7">
        <v>9.0292908782047991</v>
      </c>
      <c r="DJ28" s="7">
        <v>578.22973015081095</v>
      </c>
      <c r="DK28" s="7">
        <v>1076.5262254439399</v>
      </c>
      <c r="DL28" s="7">
        <v>578.22973015081095</v>
      </c>
      <c r="DM28" s="7">
        <v>20295.024620916101</v>
      </c>
      <c r="DN28" s="7">
        <v>8.1487330863050396</v>
      </c>
      <c r="DO28" s="7">
        <f t="shared" si="50"/>
        <v>2232.985685745562</v>
      </c>
      <c r="DQ28" s="28">
        <v>10</v>
      </c>
      <c r="DR28" s="26">
        <v>5.0000000000000002E-5</v>
      </c>
      <c r="DS28" s="28">
        <v>15</v>
      </c>
      <c r="DT28" s="28">
        <v>300</v>
      </c>
      <c r="DU28" s="26">
        <v>5.0000000000000001E-9</v>
      </c>
      <c r="DV28" s="26">
        <f t="shared" si="51"/>
        <v>7.4999999999999997E-8</v>
      </c>
      <c r="DW28" s="26">
        <f t="shared" si="52"/>
        <v>2.9999999999999996E-3</v>
      </c>
      <c r="DX28" s="7">
        <v>34.341135349965597</v>
      </c>
      <c r="DY28" s="7">
        <v>254.539230510376</v>
      </c>
      <c r="DZ28" s="7">
        <v>143.53683005919299</v>
      </c>
      <c r="EA28" s="7">
        <v>254.539230510376</v>
      </c>
      <c r="EB28" s="7">
        <v>2706.0032827888099</v>
      </c>
      <c r="EC28" s="7">
        <v>5.0929581789406502</v>
      </c>
      <c r="ED28" s="7">
        <f t="shared" si="53"/>
        <v>652.615291079945</v>
      </c>
    </row>
    <row r="29" spans="1:148" x14ac:dyDescent="0.4">
      <c r="A29" s="28">
        <v>12</v>
      </c>
      <c r="B29" s="26">
        <v>1.0000000000000001E-5</v>
      </c>
      <c r="C29" s="28">
        <v>0.2</v>
      </c>
      <c r="D29" s="28">
        <v>30</v>
      </c>
      <c r="E29" s="26">
        <v>7.4999999999999993E-9</v>
      </c>
      <c r="F29" s="26">
        <f t="shared" si="27"/>
        <v>1.5E-9</v>
      </c>
      <c r="G29" s="26">
        <f t="shared" si="28"/>
        <v>2.9999999999999997E-4</v>
      </c>
      <c r="H29" s="7">
        <v>1.6822637467353301</v>
      </c>
      <c r="I29" s="7">
        <v>20967.675665585699</v>
      </c>
      <c r="J29" s="7">
        <v>18265.061724746</v>
      </c>
      <c r="K29" s="7">
        <v>20967.675665585699</v>
      </c>
      <c r="L29" s="7">
        <v>1222830.0672564299</v>
      </c>
      <c r="M29" s="7">
        <v>203.71832715762599</v>
      </c>
      <c r="N29" s="7">
        <f t="shared" si="29"/>
        <v>60200.413055917394</v>
      </c>
      <c r="P29" s="28">
        <v>12</v>
      </c>
      <c r="Q29" s="26">
        <v>3.0000000000000001E-5</v>
      </c>
      <c r="R29" s="28">
        <v>0.2</v>
      </c>
      <c r="S29" s="28">
        <v>30</v>
      </c>
      <c r="T29" s="26">
        <v>7.4999999999999993E-9</v>
      </c>
      <c r="U29" s="26">
        <f t="shared" si="30"/>
        <v>1.5E-9</v>
      </c>
      <c r="V29" s="26">
        <f t="shared" si="31"/>
        <v>9.9999999999999991E-5</v>
      </c>
      <c r="W29" s="7">
        <v>1.6894794076439701</v>
      </c>
      <c r="X29" s="7">
        <v>6989.2252213633501</v>
      </c>
      <c r="Y29" s="7">
        <v>6088.3538895246002</v>
      </c>
      <c r="Z29" s="7">
        <v>6989.2252213633501</v>
      </c>
      <c r="AA29" s="7">
        <v>407610.02322415198</v>
      </c>
      <c r="AB29" s="7">
        <v>22.635369684180699</v>
      </c>
      <c r="AC29" s="7">
        <f t="shared" si="32"/>
        <v>20066.8043322513</v>
      </c>
      <c r="AE29" s="28">
        <v>12</v>
      </c>
      <c r="AF29" s="26">
        <v>5.0000000000000002E-5</v>
      </c>
      <c r="AG29" s="28">
        <v>0.2</v>
      </c>
      <c r="AH29" s="28">
        <v>30</v>
      </c>
      <c r="AI29" s="26">
        <v>7.4999999999999993E-9</v>
      </c>
      <c r="AJ29" s="26">
        <f t="shared" si="33"/>
        <v>1.5E-9</v>
      </c>
      <c r="AK29" s="26">
        <f t="shared" si="34"/>
        <v>5.9999999999999995E-5</v>
      </c>
      <c r="AL29" s="7">
        <v>1.6909303627829</v>
      </c>
      <c r="AM29" s="7">
        <v>4193.5351285970401</v>
      </c>
      <c r="AN29" s="7">
        <v>3653.01217518762</v>
      </c>
      <c r="AO29" s="7">
        <v>4193.5351285970401</v>
      </c>
      <c r="AP29" s="7">
        <v>244566.02075291699</v>
      </c>
      <c r="AQ29" s="7">
        <v>8.1487330863050396</v>
      </c>
      <c r="AR29" s="7">
        <f t="shared" si="35"/>
        <v>12040.0824323817</v>
      </c>
      <c r="AT29" s="28">
        <v>12</v>
      </c>
      <c r="AU29" s="26">
        <v>1.0000000000000001E-5</v>
      </c>
      <c r="AV29" s="28">
        <v>0.2</v>
      </c>
      <c r="AW29" s="28">
        <v>200</v>
      </c>
      <c r="AX29" s="26">
        <v>7.4999999999999993E-9</v>
      </c>
      <c r="AY29" s="26">
        <f t="shared" si="36"/>
        <v>1.5E-9</v>
      </c>
      <c r="AZ29" s="26">
        <f t="shared" si="37"/>
        <v>2.9999999999999997E-4</v>
      </c>
      <c r="BA29" s="7">
        <v>3.6295936776290199</v>
      </c>
      <c r="BB29" s="7">
        <v>4345.3623253436699</v>
      </c>
      <c r="BC29" s="7">
        <v>18265.061724746</v>
      </c>
      <c r="BD29" s="7">
        <v>4345.3623253436699</v>
      </c>
      <c r="BE29" s="7">
        <v>1222830.0672564299</v>
      </c>
      <c r="BF29" s="7">
        <v>203.71832715762599</v>
      </c>
      <c r="BG29" s="7">
        <f t="shared" si="38"/>
        <v>26955.786375433341</v>
      </c>
      <c r="BI29" s="28">
        <v>12</v>
      </c>
      <c r="BJ29" s="26">
        <v>1.0000000000000001E-5</v>
      </c>
      <c r="BK29" s="28">
        <v>0.5</v>
      </c>
      <c r="BL29" s="28">
        <v>200</v>
      </c>
      <c r="BM29" s="26">
        <v>7.4999999999999993E-9</v>
      </c>
      <c r="BN29" s="26">
        <f t="shared" si="39"/>
        <v>3.7499999999999997E-9</v>
      </c>
      <c r="BO29" s="26">
        <f t="shared" si="40"/>
        <v>7.4999999999999991E-4</v>
      </c>
      <c r="BP29" s="7">
        <v>6.57214060545913</v>
      </c>
      <c r="BQ29" s="7">
        <v>3764.12485338133</v>
      </c>
      <c r="BR29" s="7">
        <v>7306.0246898983996</v>
      </c>
      <c r="BS29" s="7">
        <v>3764.12485338133</v>
      </c>
      <c r="BT29" s="7">
        <v>489132.02690256998</v>
      </c>
      <c r="BU29" s="7">
        <v>203.71832715762599</v>
      </c>
      <c r="BV29" s="7">
        <f t="shared" si="41"/>
        <v>14834.27439666106</v>
      </c>
      <c r="BX29" s="28">
        <v>12</v>
      </c>
      <c r="BY29" s="26">
        <v>5.0000000000000002E-5</v>
      </c>
      <c r="BZ29" s="28">
        <v>0.5</v>
      </c>
      <c r="CA29" s="28">
        <v>200</v>
      </c>
      <c r="CB29" s="26">
        <v>7.4999999999999993E-9</v>
      </c>
      <c r="CC29" s="26">
        <f t="shared" si="42"/>
        <v>3.7499999999999997E-9</v>
      </c>
      <c r="CD29" s="26">
        <f t="shared" si="43"/>
        <v>1.4999999999999999E-4</v>
      </c>
      <c r="CE29" s="7">
        <v>6.7114195863931503</v>
      </c>
      <c r="CF29" s="7">
        <v>752.82497001808497</v>
      </c>
      <c r="CG29" s="7">
        <v>1461.2048700750499</v>
      </c>
      <c r="CH29" s="7">
        <v>752.82497001808497</v>
      </c>
      <c r="CI29" s="7">
        <v>97826.408301166695</v>
      </c>
      <c r="CJ29" s="7">
        <v>8.1487330863050396</v>
      </c>
      <c r="CK29" s="7">
        <f t="shared" si="44"/>
        <v>2966.8548101112201</v>
      </c>
      <c r="CM29" s="28">
        <v>12</v>
      </c>
      <c r="CN29" s="26">
        <v>5.0000000000000002E-5</v>
      </c>
      <c r="CO29" s="28">
        <v>1</v>
      </c>
      <c r="CP29" s="28">
        <v>200</v>
      </c>
      <c r="CQ29" s="26">
        <v>7.4999999999999993E-9</v>
      </c>
      <c r="CR29" s="26">
        <f t="shared" si="45"/>
        <v>7.4999999999999993E-9</v>
      </c>
      <c r="CS29" s="26">
        <f t="shared" si="46"/>
        <v>2.9999999999999997E-4</v>
      </c>
      <c r="CT29" s="7">
        <v>9.7497821315538804</v>
      </c>
      <c r="CU29" s="7">
        <v>665.23311259709499</v>
      </c>
      <c r="CV29" s="7">
        <v>730.60243503752497</v>
      </c>
      <c r="CW29" s="7">
        <v>665.23311259709499</v>
      </c>
      <c r="CX29" s="7">
        <v>48913.204150583399</v>
      </c>
      <c r="CY29" s="7">
        <v>8.1487330863050396</v>
      </c>
      <c r="CZ29" s="7">
        <f t="shared" si="47"/>
        <v>2061.0686602317151</v>
      </c>
      <c r="DB29" s="28">
        <v>12</v>
      </c>
      <c r="DC29" s="26">
        <v>5.0000000000000002E-5</v>
      </c>
      <c r="DD29" s="28">
        <v>2</v>
      </c>
      <c r="DE29" s="28">
        <v>200</v>
      </c>
      <c r="DF29" s="26">
        <v>7.4999999999999993E-9</v>
      </c>
      <c r="DG29" s="26">
        <f t="shared" si="48"/>
        <v>1.4999999999999999E-8</v>
      </c>
      <c r="DH29" s="26">
        <f t="shared" si="49"/>
        <v>5.9999999999999995E-4</v>
      </c>
      <c r="DI29" s="7">
        <v>13.426396698220399</v>
      </c>
      <c r="DJ29" s="7">
        <v>578.22973015081095</v>
      </c>
      <c r="DK29" s="7">
        <v>365.301217518763</v>
      </c>
      <c r="DL29" s="7">
        <v>578.22973015081095</v>
      </c>
      <c r="DM29" s="7">
        <v>24456.602075291699</v>
      </c>
      <c r="DN29" s="7">
        <v>8.1487330863050396</v>
      </c>
      <c r="DO29" s="7">
        <f t="shared" si="50"/>
        <v>1521.7606778203849</v>
      </c>
      <c r="DQ29" s="28">
        <v>12</v>
      </c>
      <c r="DR29" s="26">
        <v>5.0000000000000002E-5</v>
      </c>
      <c r="DS29" s="28">
        <v>15</v>
      </c>
      <c r="DT29" s="28">
        <v>300</v>
      </c>
      <c r="DU29" s="26">
        <v>5.0000000000000001E-9</v>
      </c>
      <c r="DV29" s="26">
        <f t="shared" si="51"/>
        <v>7.4999999999999997E-8</v>
      </c>
      <c r="DW29" s="26">
        <f t="shared" si="52"/>
        <v>2.9999999999999996E-3</v>
      </c>
      <c r="DX29" s="7">
        <v>40.165349294839999</v>
      </c>
      <c r="DY29" s="7">
        <v>254.539230510376</v>
      </c>
      <c r="DZ29" s="7">
        <v>48.7068290025016</v>
      </c>
      <c r="EA29" s="7">
        <v>254.539230510376</v>
      </c>
      <c r="EB29" s="7">
        <v>3260.8802767055599</v>
      </c>
      <c r="EC29" s="7">
        <v>5.0929581789406502</v>
      </c>
      <c r="ED29" s="7">
        <f t="shared" si="53"/>
        <v>557.78529002325354</v>
      </c>
    </row>
    <row r="30" spans="1:148" x14ac:dyDescent="0.4">
      <c r="A30" s="28">
        <v>15</v>
      </c>
      <c r="B30" s="26">
        <v>1.0000000000000001E-5</v>
      </c>
      <c r="C30" s="28">
        <v>0.2</v>
      </c>
      <c r="D30" s="28">
        <v>30</v>
      </c>
      <c r="E30" s="26">
        <v>7.4999999999999993E-9</v>
      </c>
      <c r="F30" s="26">
        <f t="shared" si="27"/>
        <v>1.5E-9</v>
      </c>
      <c r="G30" s="26">
        <f t="shared" si="28"/>
        <v>2.9999999999999997E-4</v>
      </c>
      <c r="H30" s="7">
        <v>3.6475821892109401</v>
      </c>
      <c r="I30" s="7">
        <v>12481.634129420599</v>
      </c>
      <c r="J30" s="7">
        <v>3828.3041509332402</v>
      </c>
      <c r="K30" s="7">
        <v>12481.634129420599</v>
      </c>
      <c r="L30" s="7">
        <v>1641861.5249040499</v>
      </c>
      <c r="M30" s="7">
        <v>203.71832715762599</v>
      </c>
      <c r="N30" s="7">
        <f t="shared" si="29"/>
        <v>28791.572409774439</v>
      </c>
      <c r="P30" s="28">
        <v>15</v>
      </c>
      <c r="Q30" s="26">
        <v>3.0000000000000001E-5</v>
      </c>
      <c r="R30" s="28">
        <v>0.2</v>
      </c>
      <c r="S30" s="28">
        <v>30</v>
      </c>
      <c r="T30" s="26">
        <v>7.4999999999999993E-9</v>
      </c>
      <c r="U30" s="26">
        <f t="shared" si="30"/>
        <v>1.5E-9</v>
      </c>
      <c r="V30" s="26">
        <f t="shared" si="31"/>
        <v>9.9999999999999991E-5</v>
      </c>
      <c r="W30" s="7">
        <v>3.6812340510713599</v>
      </c>
      <c r="X30" s="7">
        <v>4160.5447097236602</v>
      </c>
      <c r="Y30" s="7">
        <v>1276.1013836444099</v>
      </c>
      <c r="Z30" s="7">
        <v>4160.5447097236602</v>
      </c>
      <c r="AA30" s="7">
        <v>547287.17553344101</v>
      </c>
      <c r="AB30" s="7">
        <v>22.635369684180699</v>
      </c>
      <c r="AC30" s="7">
        <f t="shared" si="32"/>
        <v>9597.1908030917293</v>
      </c>
      <c r="AE30" s="28">
        <v>15</v>
      </c>
      <c r="AF30" s="26">
        <v>5.0000000000000002E-5</v>
      </c>
      <c r="AG30" s="28">
        <v>0.2</v>
      </c>
      <c r="AH30" s="28">
        <v>30</v>
      </c>
      <c r="AI30" s="26">
        <v>7.4999999999999993E-9</v>
      </c>
      <c r="AJ30" s="26">
        <f t="shared" si="33"/>
        <v>1.5E-9</v>
      </c>
      <c r="AK30" s="26">
        <f t="shared" si="34"/>
        <v>5.9999999999999995E-5</v>
      </c>
      <c r="AL30" s="7">
        <v>3.6880404028883</v>
      </c>
      <c r="AM30" s="7">
        <v>2496.32682512977</v>
      </c>
      <c r="AN30" s="7">
        <v>765.66083018664904</v>
      </c>
      <c r="AO30" s="7">
        <v>2496.32682512977</v>
      </c>
      <c r="AP30" s="7">
        <v>328372.31010722602</v>
      </c>
      <c r="AQ30" s="7">
        <v>8.1487330863050396</v>
      </c>
      <c r="AR30" s="7">
        <f t="shared" si="35"/>
        <v>5758.314480446189</v>
      </c>
      <c r="AT30" s="28">
        <v>15</v>
      </c>
      <c r="AU30" s="26">
        <v>1.0000000000000001E-5</v>
      </c>
      <c r="AV30" s="28">
        <v>0.2</v>
      </c>
      <c r="AW30" s="28">
        <v>200</v>
      </c>
      <c r="AX30" s="26">
        <v>7.4999999999999993E-9</v>
      </c>
      <c r="AY30" s="26">
        <f t="shared" si="36"/>
        <v>1.5E-9</v>
      </c>
      <c r="AZ30" s="26">
        <f t="shared" si="37"/>
        <v>2.9999999999999997E-4</v>
      </c>
      <c r="BA30" s="7">
        <v>21.282227495009899</v>
      </c>
      <c r="BB30" s="7">
        <v>1941.00035424731</v>
      </c>
      <c r="BC30" s="7">
        <v>642.33504314082199</v>
      </c>
      <c r="BD30" s="7">
        <v>1941.00035424731</v>
      </c>
      <c r="BE30" s="7">
        <v>1641861.5249040499</v>
      </c>
      <c r="BF30" s="7">
        <v>203.71832715762599</v>
      </c>
      <c r="BG30" s="7">
        <f t="shared" si="38"/>
        <v>4524.3357516354426</v>
      </c>
      <c r="BI30" s="28">
        <v>15</v>
      </c>
      <c r="BJ30" s="26">
        <v>1.0000000000000001E-5</v>
      </c>
      <c r="BK30" s="28">
        <v>0.5</v>
      </c>
      <c r="BL30" s="28">
        <v>200</v>
      </c>
      <c r="BM30" s="26">
        <v>7.4999999999999993E-9</v>
      </c>
      <c r="BN30" s="26">
        <f t="shared" si="39"/>
        <v>3.7499999999999997E-9</v>
      </c>
      <c r="BO30" s="26">
        <f t="shared" si="40"/>
        <v>7.4999999999999991E-4</v>
      </c>
      <c r="BP30" s="7">
        <v>21.628668182509401</v>
      </c>
      <c r="BQ30" s="7">
        <v>1921.9637593119501</v>
      </c>
      <c r="BR30" s="7">
        <v>622.78773017584695</v>
      </c>
      <c r="BS30" s="7">
        <v>1921.9637593119501</v>
      </c>
      <c r="BT30" s="7">
        <v>656744.60996161995</v>
      </c>
      <c r="BU30" s="7">
        <v>203.71832715762599</v>
      </c>
      <c r="BV30" s="7">
        <f t="shared" si="41"/>
        <v>4466.7152487997464</v>
      </c>
      <c r="BX30" s="28">
        <v>15</v>
      </c>
      <c r="BY30" s="26">
        <v>5.0000000000000002E-5</v>
      </c>
      <c r="BZ30" s="28">
        <v>0.5</v>
      </c>
      <c r="CA30" s="28">
        <v>200</v>
      </c>
      <c r="CB30" s="26">
        <v>7.4999999999999993E-9</v>
      </c>
      <c r="CC30" s="26">
        <f t="shared" si="42"/>
        <v>3.7499999999999997E-9</v>
      </c>
      <c r="CD30" s="26">
        <f t="shared" si="43"/>
        <v>1.4999999999999999E-4</v>
      </c>
      <c r="CE30" s="7">
        <v>23.167278947011699</v>
      </c>
      <c r="CF30" s="7">
        <v>384.39275181655802</v>
      </c>
      <c r="CG30" s="7">
        <v>124.557546035169</v>
      </c>
      <c r="CH30" s="7">
        <v>384.39275181655802</v>
      </c>
      <c r="CI30" s="7">
        <v>131348.92404288999</v>
      </c>
      <c r="CJ30" s="7">
        <v>8.1487330863050396</v>
      </c>
      <c r="CK30" s="7">
        <f t="shared" si="44"/>
        <v>893.34304966828495</v>
      </c>
      <c r="CM30" s="28">
        <v>15</v>
      </c>
      <c r="CN30" s="26">
        <v>5.0000000000000002E-5</v>
      </c>
      <c r="CO30" s="28">
        <v>1</v>
      </c>
      <c r="CP30" s="28">
        <v>200</v>
      </c>
      <c r="CQ30" s="26">
        <v>7.4999999999999993E-9</v>
      </c>
      <c r="CR30" s="26">
        <f t="shared" si="45"/>
        <v>7.4999999999999993E-9</v>
      </c>
      <c r="CS30" s="26">
        <f t="shared" si="46"/>
        <v>2.9999999999999997E-4</v>
      </c>
      <c r="CT30" s="7">
        <v>23.795202880424601</v>
      </c>
      <c r="CU30" s="7">
        <v>378.32091509688701</v>
      </c>
      <c r="CV30" s="7">
        <v>118.54503217394399</v>
      </c>
      <c r="CW30" s="7">
        <v>378.32091509688701</v>
      </c>
      <c r="CX30" s="7">
        <v>65674.462021445201</v>
      </c>
      <c r="CY30" s="7">
        <v>8.1487330863050396</v>
      </c>
      <c r="CZ30" s="7">
        <f t="shared" si="47"/>
        <v>875.18686236771805</v>
      </c>
      <c r="DB30" s="28">
        <v>15</v>
      </c>
      <c r="DC30" s="26">
        <v>5.0000000000000002E-5</v>
      </c>
      <c r="DD30" s="28">
        <v>2</v>
      </c>
      <c r="DE30" s="28">
        <v>200</v>
      </c>
      <c r="DF30" s="26">
        <v>7.4999999999999993E-9</v>
      </c>
      <c r="DG30" s="26">
        <f t="shared" si="48"/>
        <v>1.4999999999999999E-8</v>
      </c>
      <c r="DH30" s="26">
        <f t="shared" si="49"/>
        <v>5.9999999999999995E-4</v>
      </c>
      <c r="DI30" s="7">
        <v>25.0135248365108</v>
      </c>
      <c r="DJ30" s="7">
        <v>367.08848561923799</v>
      </c>
      <c r="DK30" s="7">
        <v>108.10811969663401</v>
      </c>
      <c r="DL30" s="7">
        <v>367.08848561923799</v>
      </c>
      <c r="DM30" s="7">
        <v>32837.2310107226</v>
      </c>
      <c r="DN30" s="7">
        <v>8.1487330863050396</v>
      </c>
      <c r="DO30" s="7">
        <f t="shared" si="50"/>
        <v>842.28509093511002</v>
      </c>
      <c r="DQ30" s="28">
        <v>15</v>
      </c>
      <c r="DR30" s="26">
        <v>5.0000000000000002E-5</v>
      </c>
      <c r="DS30" s="28">
        <v>15</v>
      </c>
      <c r="DT30" s="28">
        <v>300</v>
      </c>
      <c r="DU30" s="26">
        <v>5.0000000000000001E-9</v>
      </c>
      <c r="DV30" s="26">
        <f t="shared" si="51"/>
        <v>7.4999999999999997E-8</v>
      </c>
      <c r="DW30" s="26">
        <f t="shared" si="52"/>
        <v>2.9999999999999996E-3</v>
      </c>
      <c r="DX30" s="7">
        <v>50.459322315478701</v>
      </c>
      <c r="DY30" s="7">
        <v>202.84957985735099</v>
      </c>
      <c r="DZ30" s="7">
        <v>42.287816140325297</v>
      </c>
      <c r="EA30" s="7">
        <v>202.84957985735099</v>
      </c>
      <c r="EB30" s="7">
        <v>4378.2974680963498</v>
      </c>
      <c r="EC30" s="7">
        <v>5.0929581789406502</v>
      </c>
      <c r="ED30" s="7">
        <f t="shared" si="53"/>
        <v>447.98697585502725</v>
      </c>
    </row>
    <row r="31" spans="1:148" x14ac:dyDescent="0.4">
      <c r="A31" s="28">
        <v>20</v>
      </c>
      <c r="B31" s="26">
        <v>1.0000000000000001E-5</v>
      </c>
      <c r="C31" s="28">
        <v>0.2</v>
      </c>
      <c r="D31" s="28">
        <v>30</v>
      </c>
      <c r="E31" s="26">
        <v>7.4999999999999993E-9</v>
      </c>
      <c r="F31" s="26">
        <f t="shared" si="27"/>
        <v>1.5E-9</v>
      </c>
      <c r="G31" s="26">
        <f t="shared" si="28"/>
        <v>2.9999999999999997E-4</v>
      </c>
      <c r="H31" s="7">
        <v>5.6366711971574803</v>
      </c>
      <c r="I31" s="7">
        <v>7857.7524727739301</v>
      </c>
      <c r="J31" s="7">
        <v>4475.4086280782203</v>
      </c>
      <c r="K31" s="7">
        <v>7857.7524727739301</v>
      </c>
      <c r="L31" s="7">
        <v>2551974.2921694499</v>
      </c>
      <c r="M31" s="7">
        <v>203.71832715762599</v>
      </c>
      <c r="N31" s="7">
        <f t="shared" si="29"/>
        <v>20190.91357362608</v>
      </c>
      <c r="P31" s="28">
        <v>20</v>
      </c>
      <c r="Q31" s="26">
        <v>3.0000000000000001E-5</v>
      </c>
      <c r="R31" s="28">
        <v>0.2</v>
      </c>
      <c r="S31" s="28">
        <v>30</v>
      </c>
      <c r="T31" s="26">
        <v>7.4999999999999993E-9</v>
      </c>
      <c r="U31" s="26">
        <f t="shared" si="30"/>
        <v>1.5E-9</v>
      </c>
      <c r="V31" s="26">
        <f t="shared" si="31"/>
        <v>9.9999999999999991E-5</v>
      </c>
      <c r="W31" s="7">
        <v>5.7113904911174904</v>
      </c>
      <c r="X31" s="7">
        <v>2619.2508242245099</v>
      </c>
      <c r="Y31" s="7">
        <v>1491.80287602607</v>
      </c>
      <c r="Z31" s="7">
        <v>2619.2508242245099</v>
      </c>
      <c r="AA31" s="7">
        <v>850658.09849467594</v>
      </c>
      <c r="AB31" s="7">
        <v>22.635369684180699</v>
      </c>
      <c r="AC31" s="7">
        <f t="shared" si="32"/>
        <v>6730.3045244750901</v>
      </c>
      <c r="AE31" s="28">
        <v>20</v>
      </c>
      <c r="AF31" s="26">
        <v>5.0000000000000002E-5</v>
      </c>
      <c r="AG31" s="28">
        <v>0.2</v>
      </c>
      <c r="AH31" s="28">
        <v>30</v>
      </c>
      <c r="AI31" s="26">
        <v>7.4999999999999993E-9</v>
      </c>
      <c r="AJ31" s="26">
        <f t="shared" si="33"/>
        <v>1.5E-9</v>
      </c>
      <c r="AK31" s="26">
        <f t="shared" si="34"/>
        <v>5.9999999999999995E-5</v>
      </c>
      <c r="AL31" s="7">
        <v>5.7265746243611799</v>
      </c>
      <c r="AM31" s="7">
        <v>1571.5504942513201</v>
      </c>
      <c r="AN31" s="7">
        <v>895.08172561564299</v>
      </c>
      <c r="AO31" s="7">
        <v>1571.5504942513201</v>
      </c>
      <c r="AP31" s="7">
        <v>510394.86845111102</v>
      </c>
      <c r="AQ31" s="7">
        <v>8.1487330863050396</v>
      </c>
      <c r="AR31" s="7">
        <f t="shared" si="35"/>
        <v>4038.182714118283</v>
      </c>
      <c r="AT31" s="28">
        <v>20</v>
      </c>
      <c r="AU31" s="26">
        <v>1.0000000000000001E-5</v>
      </c>
      <c r="AV31" s="28">
        <v>0.2</v>
      </c>
      <c r="AW31" s="28">
        <v>200</v>
      </c>
      <c r="AX31" s="26">
        <v>7.4999999999999993E-9</v>
      </c>
      <c r="AY31" s="26">
        <f t="shared" si="36"/>
        <v>1.5E-9</v>
      </c>
      <c r="AZ31" s="26">
        <f t="shared" si="37"/>
        <v>2.9999999999999997E-4</v>
      </c>
      <c r="BA31" s="7">
        <v>32.995226985703198</v>
      </c>
      <c r="BB31" s="7">
        <v>1196.98361424428</v>
      </c>
      <c r="BC31" s="7">
        <v>694.07852984949898</v>
      </c>
      <c r="BD31" s="7">
        <v>1196.98361424428</v>
      </c>
      <c r="BE31" s="7">
        <v>2551974.2921694499</v>
      </c>
      <c r="BF31" s="7">
        <v>203.71832715762599</v>
      </c>
      <c r="BG31" s="7">
        <f t="shared" si="38"/>
        <v>3088.0457583380589</v>
      </c>
      <c r="BI31" s="28">
        <v>20</v>
      </c>
      <c r="BJ31" s="26">
        <v>1.0000000000000001E-5</v>
      </c>
      <c r="BK31" s="28">
        <v>0.5</v>
      </c>
      <c r="BL31" s="28">
        <v>200</v>
      </c>
      <c r="BM31" s="26">
        <v>7.4999999999999993E-9</v>
      </c>
      <c r="BN31" s="26">
        <f t="shared" si="39"/>
        <v>3.7499999999999997E-9</v>
      </c>
      <c r="BO31" s="26">
        <f t="shared" si="40"/>
        <v>7.4999999999999991E-4</v>
      </c>
      <c r="BP31" s="7">
        <v>33.214685203555597</v>
      </c>
      <c r="BQ31" s="7">
        <v>1192.0586917390101</v>
      </c>
      <c r="BR31" s="7">
        <v>687.90288040570601</v>
      </c>
      <c r="BS31" s="7">
        <v>1192.0586917390101</v>
      </c>
      <c r="BT31" s="7">
        <v>1020789.71686778</v>
      </c>
      <c r="BU31" s="7">
        <v>203.71832715762599</v>
      </c>
      <c r="BV31" s="7">
        <f t="shared" si="41"/>
        <v>3072.0202638837263</v>
      </c>
      <c r="BX31" s="28">
        <v>20</v>
      </c>
      <c r="BY31" s="26">
        <v>5.0000000000000002E-5</v>
      </c>
      <c r="BZ31" s="28">
        <v>0.5</v>
      </c>
      <c r="CA31" s="28">
        <v>200</v>
      </c>
      <c r="CB31" s="26">
        <v>7.4999999999999993E-9</v>
      </c>
      <c r="CC31" s="26">
        <f t="shared" si="42"/>
        <v>3.7499999999999997E-9</v>
      </c>
      <c r="CD31" s="26">
        <f t="shared" si="43"/>
        <v>1.4999999999999999E-4</v>
      </c>
      <c r="CE31" s="7">
        <v>36.636122044001603</v>
      </c>
      <c r="CF31" s="7">
        <v>238.41173833028401</v>
      </c>
      <c r="CG31" s="7">
        <v>137.580576081141</v>
      </c>
      <c r="CH31" s="7">
        <v>238.41173833028401</v>
      </c>
      <c r="CI31" s="7">
        <v>204157.947380445</v>
      </c>
      <c r="CJ31" s="7">
        <v>8.1487330863050396</v>
      </c>
      <c r="CK31" s="7">
        <f t="shared" si="44"/>
        <v>614.40405274170905</v>
      </c>
      <c r="CM31" s="28">
        <v>20</v>
      </c>
      <c r="CN31" s="26">
        <v>5.0000000000000002E-5</v>
      </c>
      <c r="CO31" s="28">
        <v>1</v>
      </c>
      <c r="CP31" s="28">
        <v>200</v>
      </c>
      <c r="CQ31" s="26">
        <v>7.4999999999999993E-9</v>
      </c>
      <c r="CR31" s="26">
        <f t="shared" si="45"/>
        <v>7.4999999999999993E-9</v>
      </c>
      <c r="CS31" s="26">
        <f t="shared" si="46"/>
        <v>2.9999999999999997E-4</v>
      </c>
      <c r="CT31" s="7">
        <v>37.055240021966</v>
      </c>
      <c r="CU31" s="7">
        <v>236.794372688691</v>
      </c>
      <c r="CV31" s="7">
        <v>135.57018035757301</v>
      </c>
      <c r="CW31" s="7">
        <v>236.794372688691</v>
      </c>
      <c r="CX31" s="7">
        <v>102078.973690222</v>
      </c>
      <c r="CY31" s="7">
        <v>8.1487330863050396</v>
      </c>
      <c r="CZ31" s="7">
        <f t="shared" si="47"/>
        <v>609.15892573495501</v>
      </c>
      <c r="DB31" s="28">
        <v>20</v>
      </c>
      <c r="DC31" s="26">
        <v>5.0000000000000002E-5</v>
      </c>
      <c r="DD31" s="28">
        <v>2</v>
      </c>
      <c r="DE31" s="28">
        <v>200</v>
      </c>
      <c r="DF31" s="26">
        <v>7.4999999999999993E-9</v>
      </c>
      <c r="DG31" s="26">
        <f t="shared" si="48"/>
        <v>1.4999999999999999E-8</v>
      </c>
      <c r="DH31" s="26">
        <f t="shared" si="49"/>
        <v>5.9999999999999995E-4</v>
      </c>
      <c r="DI31" s="7">
        <v>37.888060515516798</v>
      </c>
      <c r="DJ31" s="7">
        <v>233.64718966736299</v>
      </c>
      <c r="DK31" s="7">
        <v>131.72072797829401</v>
      </c>
      <c r="DL31" s="7">
        <v>233.64718966736299</v>
      </c>
      <c r="DM31" s="7">
        <v>51039.486845111103</v>
      </c>
      <c r="DN31" s="7">
        <v>8.1487330863050396</v>
      </c>
      <c r="DO31" s="7">
        <f t="shared" si="50"/>
        <v>599.01510731302005</v>
      </c>
      <c r="DQ31" s="28">
        <v>20</v>
      </c>
      <c r="DR31" s="26">
        <v>5.0000000000000002E-5</v>
      </c>
      <c r="DS31" s="28">
        <v>15</v>
      </c>
      <c r="DT31" s="28">
        <v>300</v>
      </c>
      <c r="DU31" s="26">
        <v>5.0000000000000001E-9</v>
      </c>
      <c r="DV31" s="26">
        <f t="shared" si="51"/>
        <v>7.4999999999999997E-8</v>
      </c>
      <c r="DW31" s="26">
        <f t="shared" si="52"/>
        <v>2.9999999999999996E-3</v>
      </c>
      <c r="DX31" s="7">
        <v>66.606917875611003</v>
      </c>
      <c r="DY31" s="7">
        <v>141.30482192536101</v>
      </c>
      <c r="DZ31" s="7">
        <v>71.560155029152398</v>
      </c>
      <c r="EA31" s="7">
        <v>141.30482192536101</v>
      </c>
      <c r="EB31" s="7">
        <v>6805.2649126814904</v>
      </c>
      <c r="EC31" s="7">
        <v>5.0929581789406502</v>
      </c>
      <c r="ED31" s="7">
        <f t="shared" si="53"/>
        <v>354.16979887987441</v>
      </c>
    </row>
    <row r="32" spans="1:148" x14ac:dyDescent="0.4">
      <c r="A32" s="28">
        <v>25</v>
      </c>
      <c r="B32" s="26">
        <v>1.0000000000000001E-5</v>
      </c>
      <c r="C32" s="28">
        <v>0.2</v>
      </c>
      <c r="D32" s="28">
        <v>30</v>
      </c>
      <c r="E32" s="26">
        <v>7.4999999999999993E-9</v>
      </c>
      <c r="F32" s="26">
        <f t="shared" si="27"/>
        <v>1.5E-9</v>
      </c>
      <c r="G32" s="26">
        <f t="shared" si="28"/>
        <v>2.9999999999999997E-4</v>
      </c>
      <c r="H32" s="7">
        <v>7.2821778170132703</v>
      </c>
      <c r="I32" s="7">
        <v>5967.7070610572</v>
      </c>
      <c r="J32" s="7">
        <v>4769.5933204541298</v>
      </c>
      <c r="K32" s="7">
        <v>5967.7070610572</v>
      </c>
      <c r="L32" s="7">
        <v>3890230.9388607698</v>
      </c>
      <c r="M32" s="7">
        <v>203.71832715762599</v>
      </c>
      <c r="N32" s="7">
        <f t="shared" si="29"/>
        <v>16705.007442568531</v>
      </c>
      <c r="P32" s="28">
        <v>25</v>
      </c>
      <c r="Q32" s="26">
        <v>3.0000000000000001E-5</v>
      </c>
      <c r="R32" s="28">
        <v>0.2</v>
      </c>
      <c r="S32" s="28">
        <v>30</v>
      </c>
      <c r="T32" s="26">
        <v>7.4999999999999993E-9</v>
      </c>
      <c r="U32" s="26">
        <f t="shared" si="30"/>
        <v>1.5E-9</v>
      </c>
      <c r="V32" s="26">
        <f t="shared" si="31"/>
        <v>9.9999999999999991E-5</v>
      </c>
      <c r="W32" s="7">
        <v>7.3991171725821996</v>
      </c>
      <c r="X32" s="7">
        <v>1989.2356869965699</v>
      </c>
      <c r="Y32" s="7">
        <v>1589.86444015137</v>
      </c>
      <c r="Z32" s="7">
        <v>1989.2356869965699</v>
      </c>
      <c r="AA32" s="7">
        <v>1296743.6482743199</v>
      </c>
      <c r="AB32" s="7">
        <v>22.635369684180699</v>
      </c>
      <c r="AC32" s="7">
        <f t="shared" si="32"/>
        <v>5568.3358141445096</v>
      </c>
      <c r="AE32" s="28">
        <v>25</v>
      </c>
      <c r="AF32" s="26">
        <v>5.0000000000000002E-5</v>
      </c>
      <c r="AG32" s="28">
        <v>0.2</v>
      </c>
      <c r="AH32" s="28">
        <v>30</v>
      </c>
      <c r="AI32" s="26">
        <v>7.4999999999999993E-9</v>
      </c>
      <c r="AJ32" s="26">
        <f t="shared" si="33"/>
        <v>1.5E-9</v>
      </c>
      <c r="AK32" s="26">
        <f t="shared" si="34"/>
        <v>5.9999999999999995E-5</v>
      </c>
      <c r="AL32" s="7">
        <v>7.4229591744325196</v>
      </c>
      <c r="AM32" s="7">
        <v>1193.54141200751</v>
      </c>
      <c r="AN32" s="7">
        <v>953.91866409082502</v>
      </c>
      <c r="AO32" s="7">
        <v>1193.54141200751</v>
      </c>
      <c r="AP32" s="7">
        <v>778046.205790887</v>
      </c>
      <c r="AQ32" s="7">
        <v>8.1487330863050396</v>
      </c>
      <c r="AR32" s="7">
        <f t="shared" si="35"/>
        <v>3341.0014881058451</v>
      </c>
      <c r="AT32" s="28">
        <v>25</v>
      </c>
      <c r="AU32" s="26">
        <v>1.0000000000000001E-5</v>
      </c>
      <c r="AV32" s="28">
        <v>0.2</v>
      </c>
      <c r="AW32" s="28">
        <v>200</v>
      </c>
      <c r="AX32" s="26">
        <v>7.4999999999999993E-9</v>
      </c>
      <c r="AY32" s="26">
        <f t="shared" si="36"/>
        <v>1.5E-9</v>
      </c>
      <c r="AZ32" s="26">
        <f t="shared" si="37"/>
        <v>2.9999999999999997E-4</v>
      </c>
      <c r="BA32" s="7">
        <v>42.135776794112601</v>
      </c>
      <c r="BB32" s="7">
        <v>904.92261526204402</v>
      </c>
      <c r="BC32" s="7">
        <v>729.47946385146201</v>
      </c>
      <c r="BD32" s="7">
        <v>904.92261526204402</v>
      </c>
      <c r="BE32" s="7">
        <v>3890230.9388607698</v>
      </c>
      <c r="BF32" s="7">
        <v>203.71832715762599</v>
      </c>
      <c r="BG32" s="7">
        <f t="shared" si="38"/>
        <v>2539.3246943755503</v>
      </c>
      <c r="BI32" s="28">
        <v>25</v>
      </c>
      <c r="BJ32" s="26">
        <v>1.0000000000000001E-5</v>
      </c>
      <c r="BK32" s="28">
        <v>0.5</v>
      </c>
      <c r="BL32" s="28">
        <v>200</v>
      </c>
      <c r="BM32" s="26">
        <v>7.4999999999999993E-9</v>
      </c>
      <c r="BN32" s="26">
        <f t="shared" si="39"/>
        <v>3.7499999999999997E-9</v>
      </c>
      <c r="BO32" s="26">
        <f t="shared" si="40"/>
        <v>7.4999999999999991E-4</v>
      </c>
      <c r="BP32" s="7">
        <v>42.312489586508804</v>
      </c>
      <c r="BQ32" s="7">
        <v>902.31159397251201</v>
      </c>
      <c r="BR32" s="7">
        <v>725.70943403112403</v>
      </c>
      <c r="BS32" s="7">
        <v>902.31159397251201</v>
      </c>
      <c r="BT32" s="7">
        <v>1556092.3755443101</v>
      </c>
      <c r="BU32" s="7">
        <v>203.71832715762599</v>
      </c>
      <c r="BV32" s="7">
        <f t="shared" si="41"/>
        <v>2530.3326219761479</v>
      </c>
      <c r="BX32" s="28">
        <v>25</v>
      </c>
      <c r="BY32" s="26">
        <v>5.0000000000000002E-5</v>
      </c>
      <c r="BZ32" s="28">
        <v>0.5</v>
      </c>
      <c r="CA32" s="28">
        <v>200</v>
      </c>
      <c r="CB32" s="26">
        <v>7.4999999999999993E-9</v>
      </c>
      <c r="CC32" s="26">
        <f t="shared" si="42"/>
        <v>3.7499999999999997E-9</v>
      </c>
      <c r="CD32" s="26">
        <f t="shared" si="43"/>
        <v>1.4999999999999999E-4</v>
      </c>
      <c r="CE32" s="7">
        <v>47.583043861459302</v>
      </c>
      <c r="CF32" s="7">
        <v>180.46231878283399</v>
      </c>
      <c r="CG32" s="7">
        <v>145.14188680622499</v>
      </c>
      <c r="CH32" s="7">
        <v>180.46231878283399</v>
      </c>
      <c r="CI32" s="7">
        <v>311218.48231635499</v>
      </c>
      <c r="CJ32" s="7">
        <v>8.1487330863050396</v>
      </c>
      <c r="CK32" s="7">
        <f t="shared" si="44"/>
        <v>506.06652437189302</v>
      </c>
      <c r="CM32" s="28">
        <v>25</v>
      </c>
      <c r="CN32" s="26">
        <v>5.0000000000000002E-5</v>
      </c>
      <c r="CO32" s="28">
        <v>1</v>
      </c>
      <c r="CP32" s="28">
        <v>200</v>
      </c>
      <c r="CQ32" s="26">
        <v>7.4999999999999993E-9</v>
      </c>
      <c r="CR32" s="26">
        <f t="shared" si="45"/>
        <v>7.4999999999999993E-9</v>
      </c>
      <c r="CS32" s="26">
        <f t="shared" si="46"/>
        <v>2.9999999999999997E-4</v>
      </c>
      <c r="CT32" s="7">
        <v>47.933820731016503</v>
      </c>
      <c r="CU32" s="7">
        <v>179.60025764253999</v>
      </c>
      <c r="CV32" s="7">
        <v>143.90240734913101</v>
      </c>
      <c r="CW32" s="7">
        <v>179.60025764253999</v>
      </c>
      <c r="CX32" s="7">
        <v>155609.241158177</v>
      </c>
      <c r="CY32" s="7">
        <v>8.1487330863050396</v>
      </c>
      <c r="CZ32" s="7">
        <f t="shared" si="47"/>
        <v>503.10292263421098</v>
      </c>
      <c r="DB32" s="28">
        <v>25</v>
      </c>
      <c r="DC32" s="26">
        <v>5.0000000000000002E-5</v>
      </c>
      <c r="DD32" s="28">
        <v>2</v>
      </c>
      <c r="DE32" s="28">
        <v>200</v>
      </c>
      <c r="DF32" s="26">
        <v>7.4999999999999993E-9</v>
      </c>
      <c r="DG32" s="26">
        <f t="shared" si="48"/>
        <v>1.4999999999999999E-8</v>
      </c>
      <c r="DH32" s="26">
        <f t="shared" si="49"/>
        <v>5.9999999999999995E-4</v>
      </c>
      <c r="DI32" s="7">
        <v>48.633174619080897</v>
      </c>
      <c r="DJ32" s="7">
        <v>177.90643586546901</v>
      </c>
      <c r="DK32" s="7">
        <v>141.48598257191699</v>
      </c>
      <c r="DL32" s="7">
        <v>177.90643586546901</v>
      </c>
      <c r="DM32" s="7">
        <v>77804.620579088703</v>
      </c>
      <c r="DN32" s="7">
        <v>8.1487330863050396</v>
      </c>
      <c r="DO32" s="7">
        <f t="shared" si="50"/>
        <v>497.29885430285503</v>
      </c>
      <c r="DQ32" s="28">
        <v>25</v>
      </c>
      <c r="DR32" s="26">
        <v>5.0000000000000002E-5</v>
      </c>
      <c r="DS32" s="28">
        <v>15</v>
      </c>
      <c r="DT32" s="28">
        <v>300</v>
      </c>
      <c r="DU32" s="26">
        <v>5.0000000000000001E-9</v>
      </c>
      <c r="DV32" s="26">
        <f t="shared" si="51"/>
        <v>7.4999999999999997E-8</v>
      </c>
      <c r="DW32" s="26">
        <f t="shared" si="52"/>
        <v>2.9999999999999996E-3</v>
      </c>
      <c r="DX32" s="7">
        <v>81.366896101938494</v>
      </c>
      <c r="DY32" s="7">
        <v>110.42994925436599</v>
      </c>
      <c r="DZ32" s="7">
        <v>83.155364315094602</v>
      </c>
      <c r="EA32" s="7">
        <v>110.42994925436599</v>
      </c>
      <c r="EB32" s="7">
        <v>10373.949410545199</v>
      </c>
      <c r="EC32" s="7">
        <v>5.0929581789406502</v>
      </c>
      <c r="ED32" s="7">
        <f t="shared" si="53"/>
        <v>304.01526282382656</v>
      </c>
    </row>
    <row r="33" spans="1:134" x14ac:dyDescent="0.4">
      <c r="A33" s="28">
        <v>30</v>
      </c>
      <c r="B33" s="26">
        <v>1.0000000000000001E-5</v>
      </c>
      <c r="C33" s="28">
        <v>0.2</v>
      </c>
      <c r="D33" s="28">
        <v>30</v>
      </c>
      <c r="E33" s="26">
        <v>7.4999999999999993E-9</v>
      </c>
      <c r="F33" s="26">
        <f t="shared" si="27"/>
        <v>1.5E-9</v>
      </c>
      <c r="G33" s="26">
        <f t="shared" si="28"/>
        <v>2.9999999999999997E-4</v>
      </c>
      <c r="H33" s="7">
        <v>8.8057091805208003</v>
      </c>
      <c r="I33" s="7">
        <v>4807.3324198337996</v>
      </c>
      <c r="J33" s="7">
        <v>4988.6125859415297</v>
      </c>
      <c r="K33" s="7">
        <v>4807.3324198337996</v>
      </c>
      <c r="L33" s="7">
        <v>5893089.4851508904</v>
      </c>
      <c r="M33" s="7">
        <v>203.71832715762599</v>
      </c>
      <c r="N33" s="7">
        <f t="shared" si="29"/>
        <v>14603.277425609129</v>
      </c>
      <c r="P33" s="28">
        <v>30</v>
      </c>
      <c r="Q33" s="26">
        <v>3.0000000000000001E-5</v>
      </c>
      <c r="R33" s="28">
        <v>0.2</v>
      </c>
      <c r="S33" s="28">
        <v>30</v>
      </c>
      <c r="T33" s="26">
        <v>7.4999999999999993E-9</v>
      </c>
      <c r="U33" s="26">
        <f t="shared" si="30"/>
        <v>1.5E-9</v>
      </c>
      <c r="V33" s="26">
        <f t="shared" si="31"/>
        <v>9.9999999999999991E-5</v>
      </c>
      <c r="W33" s="7">
        <v>8.9675759501397803</v>
      </c>
      <c r="X33" s="7">
        <v>1602.4441399274999</v>
      </c>
      <c r="Y33" s="7">
        <v>1662.87086198051</v>
      </c>
      <c r="Z33" s="7">
        <v>1602.4441399274999</v>
      </c>
      <c r="AA33" s="7">
        <v>1964363.1651242101</v>
      </c>
      <c r="AB33" s="7">
        <v>22.635369684180699</v>
      </c>
      <c r="AC33" s="7">
        <f t="shared" si="32"/>
        <v>4867.7591418355096</v>
      </c>
      <c r="AE33" s="28">
        <v>30</v>
      </c>
      <c r="AF33" s="26">
        <v>5.0000000000000002E-5</v>
      </c>
      <c r="AG33" s="28">
        <v>0.2</v>
      </c>
      <c r="AH33" s="28">
        <v>30</v>
      </c>
      <c r="AI33" s="26">
        <v>7.4999999999999993E-9</v>
      </c>
      <c r="AJ33" s="26">
        <f t="shared" si="33"/>
        <v>1.5E-9</v>
      </c>
      <c r="AK33" s="26">
        <f t="shared" si="34"/>
        <v>5.9999999999999995E-5</v>
      </c>
      <c r="AL33" s="7">
        <v>9.0006678772161397</v>
      </c>
      <c r="AM33" s="7">
        <v>961.46648381169098</v>
      </c>
      <c r="AN33" s="7">
        <v>997.72251718830603</v>
      </c>
      <c r="AO33" s="7">
        <v>961.46648381169098</v>
      </c>
      <c r="AP33" s="7">
        <v>1178617.9279219799</v>
      </c>
      <c r="AQ33" s="7">
        <v>8.1487330863050396</v>
      </c>
      <c r="AR33" s="7">
        <f t="shared" si="35"/>
        <v>2920.655484811688</v>
      </c>
      <c r="AT33" s="28">
        <v>30</v>
      </c>
      <c r="AU33" s="26">
        <v>1.0000000000000001E-5</v>
      </c>
      <c r="AV33" s="28">
        <v>0.2</v>
      </c>
      <c r="AW33" s="28">
        <v>200</v>
      </c>
      <c r="AX33" s="26">
        <v>7.4999999999999993E-9</v>
      </c>
      <c r="AY33" s="26">
        <f t="shared" si="36"/>
        <v>1.5E-9</v>
      </c>
      <c r="AZ33" s="26">
        <f t="shared" si="37"/>
        <v>2.9999999999999997E-4</v>
      </c>
      <c r="BA33" s="7">
        <v>50.332847000173302</v>
      </c>
      <c r="BB33" s="7">
        <v>727.37388968977803</v>
      </c>
      <c r="BC33" s="7">
        <v>758.42598130330396</v>
      </c>
      <c r="BD33" s="7">
        <v>727.37388968977803</v>
      </c>
      <c r="BE33" s="7">
        <v>5893089.4851508904</v>
      </c>
      <c r="BF33" s="7">
        <v>203.71832715762599</v>
      </c>
      <c r="BG33" s="7">
        <f t="shared" si="38"/>
        <v>2213.1737606828601</v>
      </c>
      <c r="BI33" s="28">
        <v>30</v>
      </c>
      <c r="BJ33" s="26">
        <v>1.0000000000000001E-5</v>
      </c>
      <c r="BK33" s="28">
        <v>0.5</v>
      </c>
      <c r="BL33" s="28">
        <v>200</v>
      </c>
      <c r="BM33" s="26">
        <v>7.4999999999999993E-9</v>
      </c>
      <c r="BN33" s="26">
        <f t="shared" si="39"/>
        <v>3.7499999999999997E-9</v>
      </c>
      <c r="BO33" s="26">
        <f t="shared" si="40"/>
        <v>7.4999999999999991E-4</v>
      </c>
      <c r="BP33" s="7">
        <v>50.4829336093552</v>
      </c>
      <c r="BQ33" s="7">
        <v>725.70064173773096</v>
      </c>
      <c r="BR33" s="7">
        <v>755.71672459466504</v>
      </c>
      <c r="BS33" s="7">
        <v>725.70064173773096</v>
      </c>
      <c r="BT33" s="7">
        <v>2357235.7940603602</v>
      </c>
      <c r="BU33" s="7">
        <v>203.71832715762599</v>
      </c>
      <c r="BV33" s="7">
        <f t="shared" si="41"/>
        <v>2207.118008070127</v>
      </c>
      <c r="BX33" s="28">
        <v>30</v>
      </c>
      <c r="BY33" s="26">
        <v>5.0000000000000002E-5</v>
      </c>
      <c r="BZ33" s="28">
        <v>0.5</v>
      </c>
      <c r="CA33" s="28">
        <v>200</v>
      </c>
      <c r="CB33" s="26">
        <v>7.4999999999999993E-9</v>
      </c>
      <c r="CC33" s="26">
        <f t="shared" si="42"/>
        <v>3.7499999999999997E-9</v>
      </c>
      <c r="CD33" s="26">
        <f t="shared" si="43"/>
        <v>1.4999999999999999E-4</v>
      </c>
      <c r="CE33" s="7">
        <v>57.664882757783303</v>
      </c>
      <c r="CF33" s="7">
        <v>145.140128338708</v>
      </c>
      <c r="CG33" s="7">
        <v>151.143344918933</v>
      </c>
      <c r="CH33" s="7">
        <v>145.140128338708</v>
      </c>
      <c r="CI33" s="7">
        <v>471447.17116879002</v>
      </c>
      <c r="CJ33" s="7">
        <v>8.1487330863050396</v>
      </c>
      <c r="CK33" s="7">
        <f t="shared" si="44"/>
        <v>441.42360159634899</v>
      </c>
      <c r="CM33" s="28">
        <v>30</v>
      </c>
      <c r="CN33" s="26">
        <v>5.0000000000000002E-5</v>
      </c>
      <c r="CO33" s="28">
        <v>1</v>
      </c>
      <c r="CP33" s="28">
        <v>200</v>
      </c>
      <c r="CQ33" s="26">
        <v>7.4999999999999993E-9</v>
      </c>
      <c r="CR33" s="26">
        <f t="shared" si="45"/>
        <v>7.4999999999999993E-9</v>
      </c>
      <c r="CS33" s="26">
        <f t="shared" si="46"/>
        <v>2.9999999999999997E-4</v>
      </c>
      <c r="CT33" s="7">
        <v>57.973893116542399</v>
      </c>
      <c r="CU33" s="7">
        <v>144.58638467526899</v>
      </c>
      <c r="CV33" s="7">
        <v>150.24883810203599</v>
      </c>
      <c r="CW33" s="7">
        <v>144.58638467526899</v>
      </c>
      <c r="CX33" s="7">
        <v>235723.58558439501</v>
      </c>
      <c r="CY33" s="7">
        <v>8.1487330863050396</v>
      </c>
      <c r="CZ33" s="7">
        <f t="shared" si="47"/>
        <v>439.42160745257399</v>
      </c>
      <c r="DB33" s="28">
        <v>30</v>
      </c>
      <c r="DC33" s="26">
        <v>5.0000000000000002E-5</v>
      </c>
      <c r="DD33" s="28">
        <v>2</v>
      </c>
      <c r="DE33" s="28">
        <v>200</v>
      </c>
      <c r="DF33" s="26">
        <v>7.4999999999999993E-9</v>
      </c>
      <c r="DG33" s="26">
        <f t="shared" si="48"/>
        <v>1.4999999999999999E-8</v>
      </c>
      <c r="DH33" s="26">
        <f t="shared" si="49"/>
        <v>5.9999999999999995E-4</v>
      </c>
      <c r="DI33" s="7">
        <v>58.590762157712199</v>
      </c>
      <c r="DJ33" s="7">
        <v>143.493651420682</v>
      </c>
      <c r="DK33" s="7">
        <v>148.49131311393799</v>
      </c>
      <c r="DL33" s="7">
        <v>143.493651420682</v>
      </c>
      <c r="DM33" s="7">
        <v>117861.792792198</v>
      </c>
      <c r="DN33" s="7">
        <v>8.1487330863050396</v>
      </c>
      <c r="DO33" s="7">
        <f t="shared" si="50"/>
        <v>435.47861595530196</v>
      </c>
      <c r="DQ33" s="28">
        <v>30</v>
      </c>
      <c r="DR33" s="26">
        <v>5.0000000000000002E-5</v>
      </c>
      <c r="DS33" s="28">
        <v>15</v>
      </c>
      <c r="DT33" s="28">
        <v>300</v>
      </c>
      <c r="DU33" s="26">
        <v>5.0000000000000001E-9</v>
      </c>
      <c r="DV33" s="26">
        <f t="shared" si="51"/>
        <v>7.4999999999999997E-8</v>
      </c>
      <c r="DW33" s="26">
        <f t="shared" si="52"/>
        <v>2.9999999999999996E-3</v>
      </c>
      <c r="DX33" s="7">
        <v>95.436131405509698</v>
      </c>
      <c r="DY33" s="7">
        <v>90.265822408235607</v>
      </c>
      <c r="DZ33" s="7">
        <v>90.525422516156297</v>
      </c>
      <c r="EA33" s="7">
        <v>90.265822408235607</v>
      </c>
      <c r="EB33" s="7">
        <v>15714.905705626299</v>
      </c>
      <c r="EC33" s="7">
        <v>5.0929581789406502</v>
      </c>
      <c r="ED33" s="7">
        <f t="shared" si="53"/>
        <v>271.05706733262753</v>
      </c>
    </row>
    <row r="34" spans="1:134" x14ac:dyDescent="0.4">
      <c r="A34" s="28">
        <v>35</v>
      </c>
      <c r="B34" s="26">
        <v>1.0000000000000001E-5</v>
      </c>
      <c r="C34" s="28">
        <v>0.2</v>
      </c>
      <c r="D34" s="28">
        <v>30</v>
      </c>
      <c r="E34" s="26">
        <v>7.4999999999999993E-9</v>
      </c>
      <c r="F34" s="26">
        <f t="shared" si="27"/>
        <v>1.5E-9</v>
      </c>
      <c r="G34" s="26">
        <f t="shared" si="28"/>
        <v>2.9999999999999997E-4</v>
      </c>
      <c r="H34" s="7">
        <v>10.262956714477699</v>
      </c>
      <c r="I34" s="7">
        <v>3984.07853527202</v>
      </c>
      <c r="J34" s="7">
        <v>5168.7820727017497</v>
      </c>
      <c r="K34" s="7">
        <v>3984.07853527202</v>
      </c>
      <c r="L34" s="7">
        <v>8973470.5022608098</v>
      </c>
      <c r="M34" s="7">
        <v>203.71832715762599</v>
      </c>
      <c r="N34" s="7">
        <f t="shared" si="29"/>
        <v>13136.939143245789</v>
      </c>
      <c r="P34" s="28">
        <v>35</v>
      </c>
      <c r="Q34" s="26">
        <v>3.0000000000000001E-5</v>
      </c>
      <c r="R34" s="28">
        <v>0.2</v>
      </c>
      <c r="S34" s="28">
        <v>30</v>
      </c>
      <c r="T34" s="26">
        <v>7.4999999999999993E-9</v>
      </c>
      <c r="U34" s="26">
        <f t="shared" si="30"/>
        <v>1.5E-9</v>
      </c>
      <c r="V34" s="26">
        <f t="shared" si="31"/>
        <v>9.9999999999999991E-5</v>
      </c>
      <c r="W34" s="7">
        <v>10.472669715553399</v>
      </c>
      <c r="X34" s="7">
        <v>1328.02617841029</v>
      </c>
      <c r="Y34" s="7">
        <v>1722.9273575672501</v>
      </c>
      <c r="Z34" s="7">
        <v>1328.02617841029</v>
      </c>
      <c r="AA34" s="7">
        <v>2991156.8397606201</v>
      </c>
      <c r="AB34" s="7">
        <v>22.635369684180699</v>
      </c>
      <c r="AC34" s="7">
        <f t="shared" si="32"/>
        <v>4378.9797143878295</v>
      </c>
      <c r="AE34" s="28">
        <v>35</v>
      </c>
      <c r="AF34" s="26">
        <v>5.0000000000000002E-5</v>
      </c>
      <c r="AG34" s="28">
        <v>0.2</v>
      </c>
      <c r="AH34" s="28">
        <v>30</v>
      </c>
      <c r="AI34" s="26">
        <v>7.4999999999999993E-9</v>
      </c>
      <c r="AJ34" s="26">
        <f t="shared" si="33"/>
        <v>1.5E-9</v>
      </c>
      <c r="AK34" s="26">
        <f t="shared" si="34"/>
        <v>5.9999999999999995E-5</v>
      </c>
      <c r="AL34" s="7">
        <v>10.515646566616899</v>
      </c>
      <c r="AM34" s="7">
        <v>796.81570693005597</v>
      </c>
      <c r="AN34" s="7">
        <v>1033.7564145403501</v>
      </c>
      <c r="AO34" s="7">
        <v>796.81570693005597</v>
      </c>
      <c r="AP34" s="7">
        <v>1794694.1518928199</v>
      </c>
      <c r="AQ34" s="7">
        <v>8.1487330863050396</v>
      </c>
      <c r="AR34" s="7">
        <f t="shared" si="35"/>
        <v>2627.3878284004622</v>
      </c>
      <c r="AT34" s="28">
        <v>35</v>
      </c>
      <c r="AU34" s="26">
        <v>1.0000000000000001E-5</v>
      </c>
      <c r="AV34" s="28">
        <v>0.2</v>
      </c>
      <c r="AW34" s="28">
        <v>200</v>
      </c>
      <c r="AX34" s="26">
        <v>7.4999999999999993E-9</v>
      </c>
      <c r="AY34" s="26">
        <f t="shared" si="36"/>
        <v>1.5E-9</v>
      </c>
      <c r="AZ34" s="26">
        <f t="shared" si="37"/>
        <v>2.9999999999999997E-4</v>
      </c>
      <c r="BA34" s="7">
        <v>57.977516001068203</v>
      </c>
      <c r="BB34" s="7">
        <v>602.00500937137394</v>
      </c>
      <c r="BC34" s="7">
        <v>783.15203621901901</v>
      </c>
      <c r="BD34" s="7">
        <v>602.00500937137394</v>
      </c>
      <c r="BE34" s="7">
        <v>8973470.5022608098</v>
      </c>
      <c r="BF34" s="7">
        <v>203.71832715762599</v>
      </c>
      <c r="BG34" s="7">
        <f t="shared" si="38"/>
        <v>1987.1620549617669</v>
      </c>
      <c r="BI34" s="28">
        <v>35</v>
      </c>
      <c r="BJ34" s="26">
        <v>1.0000000000000001E-5</v>
      </c>
      <c r="BK34" s="28">
        <v>0.5</v>
      </c>
      <c r="BL34" s="28">
        <v>200</v>
      </c>
      <c r="BM34" s="26">
        <v>7.4999999999999993E-9</v>
      </c>
      <c r="BN34" s="26">
        <f t="shared" si="39"/>
        <v>3.7499999999999997E-9</v>
      </c>
      <c r="BO34" s="26">
        <f t="shared" si="40"/>
        <v>7.4999999999999991E-4</v>
      </c>
      <c r="BP34" s="7">
        <v>58.108129842993598</v>
      </c>
      <c r="BQ34" s="7">
        <v>600.83500597989303</v>
      </c>
      <c r="BR34" s="7">
        <v>781.06268252331097</v>
      </c>
      <c r="BS34" s="7">
        <v>600.83500597989303</v>
      </c>
      <c r="BT34" s="7">
        <v>3589388.20090432</v>
      </c>
      <c r="BU34" s="7">
        <v>203.71832715762599</v>
      </c>
      <c r="BV34" s="7">
        <f t="shared" si="41"/>
        <v>1982.732694483097</v>
      </c>
      <c r="BX34" s="28">
        <v>35</v>
      </c>
      <c r="BY34" s="26">
        <v>5.0000000000000002E-5</v>
      </c>
      <c r="BZ34" s="28">
        <v>0.5</v>
      </c>
      <c r="CA34" s="28">
        <v>200</v>
      </c>
      <c r="CB34" s="26">
        <v>7.4999999999999993E-9</v>
      </c>
      <c r="CC34" s="26">
        <f t="shared" si="42"/>
        <v>3.7499999999999997E-9</v>
      </c>
      <c r="CD34" s="26">
        <f t="shared" si="43"/>
        <v>1.4999999999999999E-4</v>
      </c>
      <c r="CE34" s="7">
        <v>67.277550469352306</v>
      </c>
      <c r="CF34" s="7">
        <v>120.167001188906</v>
      </c>
      <c r="CG34" s="7">
        <v>156.21253650466201</v>
      </c>
      <c r="CH34" s="7">
        <v>120.167001188906</v>
      </c>
      <c r="CI34" s="7">
        <v>717877.66075713001</v>
      </c>
      <c r="CJ34" s="7">
        <v>8.1487330863050396</v>
      </c>
      <c r="CK34" s="7">
        <f t="shared" si="44"/>
        <v>396.54653888247401</v>
      </c>
      <c r="CM34" s="28">
        <v>35</v>
      </c>
      <c r="CN34" s="26">
        <v>5.0000000000000002E-5</v>
      </c>
      <c r="CO34" s="28">
        <v>1</v>
      </c>
      <c r="CP34" s="28">
        <v>200</v>
      </c>
      <c r="CQ34" s="26">
        <v>7.4999999999999993E-9</v>
      </c>
      <c r="CR34" s="26">
        <f t="shared" si="45"/>
        <v>7.4999999999999993E-9</v>
      </c>
      <c r="CS34" s="26">
        <f t="shared" si="46"/>
        <v>2.9999999999999997E-4</v>
      </c>
      <c r="CT34" s="7">
        <v>67.555988259792102</v>
      </c>
      <c r="CU34" s="7">
        <v>119.779274796552</v>
      </c>
      <c r="CV34" s="7">
        <v>155.521045898078</v>
      </c>
      <c r="CW34" s="7">
        <v>119.779274796552</v>
      </c>
      <c r="CX34" s="7">
        <v>358938.83037856501</v>
      </c>
      <c r="CY34" s="7">
        <v>8.1487330863050396</v>
      </c>
      <c r="CZ34" s="7">
        <f t="shared" si="47"/>
        <v>395.07959549118198</v>
      </c>
      <c r="DB34" s="28">
        <v>35</v>
      </c>
      <c r="DC34" s="26">
        <v>5.0000000000000002E-5</v>
      </c>
      <c r="DD34" s="28">
        <v>2</v>
      </c>
      <c r="DE34" s="28">
        <v>200</v>
      </c>
      <c r="DF34" s="26">
        <v>7.4999999999999993E-9</v>
      </c>
      <c r="DG34" s="26">
        <f t="shared" si="48"/>
        <v>1.4999999999999999E-8</v>
      </c>
      <c r="DH34" s="26">
        <f t="shared" si="49"/>
        <v>5.9999999999999995E-4</v>
      </c>
      <c r="DI34" s="7">
        <v>68.112186725869904</v>
      </c>
      <c r="DJ34" s="7">
        <v>119.01223137089301</v>
      </c>
      <c r="DK34" s="7">
        <v>154.156369850555</v>
      </c>
      <c r="DL34" s="7">
        <v>119.01223137089301</v>
      </c>
      <c r="DM34" s="7">
        <v>179469.41518928201</v>
      </c>
      <c r="DN34" s="7">
        <v>8.1487330863050396</v>
      </c>
      <c r="DO34" s="7">
        <f t="shared" si="50"/>
        <v>392.18083259234101</v>
      </c>
      <c r="DQ34" s="28">
        <v>35</v>
      </c>
      <c r="DR34" s="26">
        <v>5.0000000000000002E-5</v>
      </c>
      <c r="DS34" s="28">
        <v>15</v>
      </c>
      <c r="DT34" s="28">
        <v>300</v>
      </c>
      <c r="DU34" s="26">
        <v>5.0000000000000001E-9</v>
      </c>
      <c r="DV34" s="26">
        <f t="shared" si="51"/>
        <v>7.4999999999999997E-8</v>
      </c>
      <c r="DW34" s="26">
        <f t="shared" si="52"/>
        <v>2.9999999999999996E-3</v>
      </c>
      <c r="DX34" s="7">
        <v>109.08005210466</v>
      </c>
      <c r="DY34" s="7">
        <v>75.5008244304708</v>
      </c>
      <c r="DZ34" s="7">
        <v>96.032312732024195</v>
      </c>
      <c r="EA34" s="7">
        <v>75.5008244304708</v>
      </c>
      <c r="EB34" s="7">
        <v>23929.255358571001</v>
      </c>
      <c r="EC34" s="7">
        <v>5.0929581789406502</v>
      </c>
      <c r="ED34" s="7">
        <f t="shared" si="53"/>
        <v>247.0339615929658</v>
      </c>
    </row>
    <row r="35" spans="1:134" x14ac:dyDescent="0.4">
      <c r="A35" s="28">
        <v>40</v>
      </c>
      <c r="B35" s="26">
        <v>1.0000000000000001E-5</v>
      </c>
      <c r="C35" s="28">
        <v>0.2</v>
      </c>
      <c r="D35" s="28">
        <v>30</v>
      </c>
      <c r="E35" s="26">
        <v>7.4999999999999993E-9</v>
      </c>
      <c r="F35" s="26">
        <f t="shared" si="27"/>
        <v>1.5E-9</v>
      </c>
      <c r="G35" s="26">
        <f t="shared" si="28"/>
        <v>2.9999999999999997E-4</v>
      </c>
      <c r="H35" s="7">
        <v>11.6783889875034</v>
      </c>
      <c r="I35" s="7">
        <v>3352.9677929484601</v>
      </c>
      <c r="J35" s="7">
        <v>5323.5334580216904</v>
      </c>
      <c r="K35" s="7">
        <v>3352.9677929484601</v>
      </c>
      <c r="L35" s="7">
        <v>13908939.478979601</v>
      </c>
      <c r="M35" s="7">
        <v>203.71832715762599</v>
      </c>
      <c r="N35" s="7">
        <f t="shared" si="29"/>
        <v>12029.469043918611</v>
      </c>
      <c r="P35" s="28">
        <v>40</v>
      </c>
      <c r="Q35" s="26">
        <v>3.0000000000000001E-5</v>
      </c>
      <c r="R35" s="28">
        <v>0.2</v>
      </c>
      <c r="S35" s="28">
        <v>30</v>
      </c>
      <c r="T35" s="26">
        <v>7.4999999999999993E-9</v>
      </c>
      <c r="U35" s="26">
        <f t="shared" si="30"/>
        <v>1.5E-9</v>
      </c>
      <c r="V35" s="26">
        <f t="shared" si="31"/>
        <v>9.9999999999999991E-5</v>
      </c>
      <c r="W35" s="7">
        <v>11.9389092232223</v>
      </c>
      <c r="X35" s="7">
        <v>1117.6559309715101</v>
      </c>
      <c r="Y35" s="7">
        <v>1774.5111526738999</v>
      </c>
      <c r="Z35" s="7">
        <v>1117.6559309715101</v>
      </c>
      <c r="AA35" s="7">
        <v>4636313.1689486196</v>
      </c>
      <c r="AB35" s="7">
        <v>22.635369684180699</v>
      </c>
      <c r="AC35" s="7">
        <f t="shared" si="32"/>
        <v>4009.8230146169199</v>
      </c>
      <c r="AE35" s="28">
        <v>40</v>
      </c>
      <c r="AF35" s="26">
        <v>5.0000000000000002E-5</v>
      </c>
      <c r="AG35" s="28">
        <v>0.2</v>
      </c>
      <c r="AH35" s="28">
        <v>30</v>
      </c>
      <c r="AI35" s="26">
        <v>7.4999999999999993E-9</v>
      </c>
      <c r="AJ35" s="26">
        <f t="shared" si="33"/>
        <v>1.5E-9</v>
      </c>
      <c r="AK35" s="26">
        <f t="shared" si="34"/>
        <v>5.9999999999999995E-5</v>
      </c>
      <c r="AL35" s="7">
        <v>11.9924155780103</v>
      </c>
      <c r="AM35" s="7">
        <v>670.59355848720395</v>
      </c>
      <c r="AN35" s="7">
        <v>1064.70669160434</v>
      </c>
      <c r="AO35" s="7">
        <v>670.59355848720395</v>
      </c>
      <c r="AP35" s="7">
        <v>2781787.9800138599</v>
      </c>
      <c r="AQ35" s="7">
        <v>8.1487330863050396</v>
      </c>
      <c r="AR35" s="7">
        <f t="shared" si="35"/>
        <v>2405.8938085787481</v>
      </c>
      <c r="AT35" s="28">
        <v>40</v>
      </c>
      <c r="AU35" s="26">
        <v>1.0000000000000001E-5</v>
      </c>
      <c r="AV35" s="28">
        <v>0.2</v>
      </c>
      <c r="AW35" s="28">
        <v>200</v>
      </c>
      <c r="AX35" s="26">
        <v>7.4999999999999993E-9</v>
      </c>
      <c r="AY35" s="26">
        <f t="shared" si="36"/>
        <v>1.5E-9</v>
      </c>
      <c r="AZ35" s="26">
        <f t="shared" si="37"/>
        <v>2.9999999999999997E-4</v>
      </c>
      <c r="BA35" s="7">
        <v>65.241962437120307</v>
      </c>
      <c r="BB35" s="7">
        <v>506.171357939058</v>
      </c>
      <c r="BC35" s="7">
        <v>804.808472591532</v>
      </c>
      <c r="BD35" s="7">
        <v>506.171357939058</v>
      </c>
      <c r="BE35" s="7">
        <v>13908939.478979601</v>
      </c>
      <c r="BF35" s="7">
        <v>203.71832715762599</v>
      </c>
      <c r="BG35" s="7">
        <f t="shared" si="38"/>
        <v>1817.1511884696479</v>
      </c>
      <c r="BI35" s="28">
        <v>40</v>
      </c>
      <c r="BJ35" s="26">
        <v>1.0000000000000001E-5</v>
      </c>
      <c r="BK35" s="28">
        <v>0.5</v>
      </c>
      <c r="BL35" s="28">
        <v>200</v>
      </c>
      <c r="BM35" s="26">
        <v>7.4999999999999993E-9</v>
      </c>
      <c r="BN35" s="26">
        <f t="shared" si="39"/>
        <v>3.7499999999999997E-9</v>
      </c>
      <c r="BO35" s="26">
        <f t="shared" si="40"/>
        <v>7.4999999999999991E-4</v>
      </c>
      <c r="BP35" s="7">
        <v>65.357121958375899</v>
      </c>
      <c r="BQ35" s="7">
        <v>505.31296257696903</v>
      </c>
      <c r="BR35" s="7">
        <v>803.13685140779603</v>
      </c>
      <c r="BS35" s="7">
        <v>505.31296257696903</v>
      </c>
      <c r="BT35" s="7">
        <v>5563575.7915918296</v>
      </c>
      <c r="BU35" s="7">
        <v>203.71832715762599</v>
      </c>
      <c r="BV35" s="7">
        <f t="shared" si="41"/>
        <v>1813.7627765617342</v>
      </c>
      <c r="BX35" s="28">
        <v>40</v>
      </c>
      <c r="BY35" s="26">
        <v>5.0000000000000002E-5</v>
      </c>
      <c r="BZ35" s="28">
        <v>0.5</v>
      </c>
      <c r="CA35" s="28">
        <v>200</v>
      </c>
      <c r="CB35" s="26">
        <v>7.4999999999999993E-9</v>
      </c>
      <c r="CC35" s="26">
        <f t="shared" si="42"/>
        <v>3.7499999999999997E-9</v>
      </c>
      <c r="CD35" s="26">
        <f t="shared" si="43"/>
        <v>1.4999999999999999E-4</v>
      </c>
      <c r="CE35" s="7">
        <v>76.592899207600098</v>
      </c>
      <c r="CF35" s="7">
        <v>101.06259250957299</v>
      </c>
      <c r="CG35" s="7">
        <v>160.627370281559</v>
      </c>
      <c r="CH35" s="7">
        <v>101.06259250957299</v>
      </c>
      <c r="CI35" s="7">
        <v>1112715.19200554</v>
      </c>
      <c r="CJ35" s="7">
        <v>8.1487330863050396</v>
      </c>
      <c r="CK35" s="7">
        <f t="shared" si="44"/>
        <v>362.75255530070496</v>
      </c>
      <c r="CM35" s="28">
        <v>40</v>
      </c>
      <c r="CN35" s="26">
        <v>5.0000000000000002E-5</v>
      </c>
      <c r="CO35" s="28">
        <v>1</v>
      </c>
      <c r="CP35" s="28">
        <v>200</v>
      </c>
      <c r="CQ35" s="26">
        <v>7.4999999999999993E-9</v>
      </c>
      <c r="CR35" s="26">
        <f t="shared" si="45"/>
        <v>7.4999999999999993E-9</v>
      </c>
      <c r="CS35" s="26">
        <f t="shared" si="46"/>
        <v>2.9999999999999997E-4</v>
      </c>
      <c r="CT35" s="7">
        <v>76.846608259157193</v>
      </c>
      <c r="CU35" s="7">
        <v>100.77787314708399</v>
      </c>
      <c r="CV35" s="7">
        <v>160.073267279547</v>
      </c>
      <c r="CW35" s="7">
        <v>100.77787314708399</v>
      </c>
      <c r="CX35" s="7">
        <v>556357.59600277198</v>
      </c>
      <c r="CY35" s="7">
        <v>8.1487330863050396</v>
      </c>
      <c r="CZ35" s="7">
        <f t="shared" si="47"/>
        <v>361.62901357371499</v>
      </c>
      <c r="DB35" s="28">
        <v>40</v>
      </c>
      <c r="DC35" s="26">
        <v>5.0000000000000002E-5</v>
      </c>
      <c r="DD35" s="28">
        <v>2</v>
      </c>
      <c r="DE35" s="28">
        <v>200</v>
      </c>
      <c r="DF35" s="26">
        <v>7.4999999999999993E-9</v>
      </c>
      <c r="DG35" s="26">
        <f t="shared" si="48"/>
        <v>1.4999999999999999E-8</v>
      </c>
      <c r="DH35" s="26">
        <f t="shared" si="49"/>
        <v>5.9999999999999995E-4</v>
      </c>
      <c r="DI35" s="7">
        <v>77.353594936100194</v>
      </c>
      <c r="DJ35" s="7">
        <v>100.213668542356</v>
      </c>
      <c r="DK35" s="7">
        <v>158.97655523681999</v>
      </c>
      <c r="DL35" s="7">
        <v>100.213668542356</v>
      </c>
      <c r="DM35" s="7">
        <v>278178.79800138599</v>
      </c>
      <c r="DN35" s="7">
        <v>8.1487330863050396</v>
      </c>
      <c r="DO35" s="7">
        <f t="shared" si="50"/>
        <v>359.403892321532</v>
      </c>
      <c r="DQ35" s="28">
        <v>40</v>
      </c>
      <c r="DR35" s="26">
        <v>5.0000000000000002E-5</v>
      </c>
      <c r="DS35" s="28">
        <v>15</v>
      </c>
      <c r="DT35" s="28">
        <v>300</v>
      </c>
      <c r="DU35" s="26">
        <v>5.0000000000000001E-9</v>
      </c>
      <c r="DV35" s="26">
        <f t="shared" si="51"/>
        <v>7.4999999999999997E-8</v>
      </c>
      <c r="DW35" s="26">
        <f t="shared" si="52"/>
        <v>2.9999999999999996E-3</v>
      </c>
      <c r="DX35" s="7">
        <v>122.42937252768</v>
      </c>
      <c r="DY35" s="7">
        <v>63.957630951740299</v>
      </c>
      <c r="DZ35" s="7">
        <v>100.479958515748</v>
      </c>
      <c r="EA35" s="7">
        <v>63.957630951740299</v>
      </c>
      <c r="EB35" s="7">
        <v>37090.5064001848</v>
      </c>
      <c r="EC35" s="7">
        <v>5.0929581789406502</v>
      </c>
      <c r="ED35" s="7">
        <f t="shared" si="53"/>
        <v>228.39522041922859</v>
      </c>
    </row>
    <row r="36" spans="1:134" x14ac:dyDescent="0.4">
      <c r="A36" s="28">
        <v>45</v>
      </c>
      <c r="B36" s="26">
        <v>1.0000000000000001E-5</v>
      </c>
      <c r="C36" s="28">
        <v>0.2</v>
      </c>
      <c r="D36" s="28">
        <v>30</v>
      </c>
      <c r="E36" s="26">
        <v>7.4999999999999993E-9</v>
      </c>
      <c r="F36" s="26">
        <f t="shared" si="27"/>
        <v>1.5E-9</v>
      </c>
      <c r="G36" s="26">
        <f t="shared" si="28"/>
        <v>2.9999999999999997E-4</v>
      </c>
      <c r="H36" s="7">
        <v>13.06559412767</v>
      </c>
      <c r="I36" s="7">
        <v>2844.9728255004802</v>
      </c>
      <c r="J36" s="7">
        <v>5459.8455675855203</v>
      </c>
      <c r="K36" s="7">
        <v>2844.9728255004802</v>
      </c>
      <c r="L36" s="7">
        <v>22314016.336053099</v>
      </c>
      <c r="M36" s="7">
        <v>203.71832715762599</v>
      </c>
      <c r="N36" s="7">
        <f t="shared" si="29"/>
        <v>11149.791218586481</v>
      </c>
      <c r="P36" s="28">
        <v>45</v>
      </c>
      <c r="Q36" s="26">
        <v>3.0000000000000001E-5</v>
      </c>
      <c r="R36" s="28">
        <v>0.2</v>
      </c>
      <c r="S36" s="28">
        <v>30</v>
      </c>
      <c r="T36" s="26">
        <v>7.4999999999999993E-9</v>
      </c>
      <c r="U36" s="26">
        <f t="shared" si="30"/>
        <v>1.5E-9</v>
      </c>
      <c r="V36" s="26">
        <f t="shared" si="31"/>
        <v>9.9999999999999991E-5</v>
      </c>
      <c r="W36" s="7">
        <v>13.379896990642299</v>
      </c>
      <c r="X36" s="7">
        <v>948.32427515736799</v>
      </c>
      <c r="Y36" s="7">
        <v>1819.94852252851</v>
      </c>
      <c r="Z36" s="7">
        <v>948.32427515736799</v>
      </c>
      <c r="AA36" s="7">
        <v>7438005.4604388904</v>
      </c>
      <c r="AB36" s="7">
        <v>22.635369684180699</v>
      </c>
      <c r="AC36" s="7">
        <f t="shared" si="32"/>
        <v>3716.5970728432458</v>
      </c>
      <c r="AE36" s="28">
        <v>45</v>
      </c>
      <c r="AF36" s="26">
        <v>5.0000000000000002E-5</v>
      </c>
      <c r="AG36" s="28">
        <v>0.2</v>
      </c>
      <c r="AH36" s="28">
        <v>30</v>
      </c>
      <c r="AI36" s="26">
        <v>7.4999999999999993E-9</v>
      </c>
      <c r="AJ36" s="26">
        <f t="shared" si="33"/>
        <v>1.5E-9</v>
      </c>
      <c r="AK36" s="26">
        <f t="shared" si="34"/>
        <v>5.9999999999999995E-5</v>
      </c>
      <c r="AL36" s="7">
        <v>13.4445818764249</v>
      </c>
      <c r="AM36" s="7">
        <v>568.99456501435202</v>
      </c>
      <c r="AN36" s="7">
        <v>1091.9691135170999</v>
      </c>
      <c r="AO36" s="7">
        <v>568.99456501435202</v>
      </c>
      <c r="AP36" s="7">
        <v>4462803.4040061999</v>
      </c>
      <c r="AQ36" s="7">
        <v>8.1487330863050396</v>
      </c>
      <c r="AR36" s="7">
        <f t="shared" si="35"/>
        <v>2229.9582435458042</v>
      </c>
      <c r="AT36" s="28">
        <v>45</v>
      </c>
      <c r="AU36" s="26">
        <v>1.0000000000000001E-5</v>
      </c>
      <c r="AV36" s="28">
        <v>0.2</v>
      </c>
      <c r="AW36" s="28">
        <v>200</v>
      </c>
      <c r="AX36" s="26">
        <v>7.4999999999999993E-9</v>
      </c>
      <c r="AY36" s="26">
        <f t="shared" si="36"/>
        <v>1.5E-9</v>
      </c>
      <c r="AZ36" s="26">
        <f t="shared" si="37"/>
        <v>2.9999999999999997E-4</v>
      </c>
      <c r="BA36" s="7">
        <v>72.222244085363798</v>
      </c>
      <c r="BB36" s="7">
        <v>429.182314820393</v>
      </c>
      <c r="BC36" s="7">
        <v>824.10906225483302</v>
      </c>
      <c r="BD36" s="7">
        <v>429.182314820393</v>
      </c>
      <c r="BE36" s="7">
        <v>22314016.336053099</v>
      </c>
      <c r="BF36" s="7">
        <v>203.71832715762599</v>
      </c>
      <c r="BG36" s="7">
        <f t="shared" si="38"/>
        <v>1682.4736918956191</v>
      </c>
      <c r="BI36" s="28">
        <v>45</v>
      </c>
      <c r="BJ36" s="26">
        <v>1.0000000000000001E-5</v>
      </c>
      <c r="BK36" s="28">
        <v>0.5</v>
      </c>
      <c r="BL36" s="28">
        <v>200</v>
      </c>
      <c r="BM36" s="26">
        <v>7.4999999999999993E-9</v>
      </c>
      <c r="BN36" s="26">
        <f t="shared" si="39"/>
        <v>3.7499999999999997E-9</v>
      </c>
      <c r="BO36" s="26">
        <f t="shared" si="40"/>
        <v>7.4999999999999991E-4</v>
      </c>
      <c r="BP36" s="7">
        <v>72.324438596858798</v>
      </c>
      <c r="BQ36" s="7">
        <v>428.53449983983199</v>
      </c>
      <c r="BR36" s="7">
        <v>822.74419088845502</v>
      </c>
      <c r="BS36" s="7">
        <v>428.53449983983199</v>
      </c>
      <c r="BT36" s="7">
        <v>8925606.5344212595</v>
      </c>
      <c r="BU36" s="7">
        <v>203.71832715762599</v>
      </c>
      <c r="BV36" s="7">
        <f t="shared" si="41"/>
        <v>1679.8131905681191</v>
      </c>
      <c r="BX36" s="28">
        <v>45</v>
      </c>
      <c r="BY36" s="26">
        <v>5.0000000000000002E-5</v>
      </c>
      <c r="BZ36" s="28">
        <v>0.5</v>
      </c>
      <c r="CA36" s="28">
        <v>200</v>
      </c>
      <c r="CB36" s="26">
        <v>7.4999999999999993E-9</v>
      </c>
      <c r="CC36" s="26">
        <f t="shared" si="42"/>
        <v>3.7499999999999997E-9</v>
      </c>
      <c r="CD36" s="26">
        <f t="shared" si="43"/>
        <v>1.4999999999999999E-4</v>
      </c>
      <c r="CE36" s="7">
        <v>85.705795179622498</v>
      </c>
      <c r="CF36" s="7">
        <v>85.706899963102501</v>
      </c>
      <c r="CG36" s="7">
        <v>164.54883817769101</v>
      </c>
      <c r="CH36" s="7">
        <v>85.706899963102501</v>
      </c>
      <c r="CI36" s="7">
        <v>1785121.3616024801</v>
      </c>
      <c r="CJ36" s="7">
        <v>8.1487330863050396</v>
      </c>
      <c r="CK36" s="7">
        <f t="shared" si="44"/>
        <v>335.96263810389598</v>
      </c>
      <c r="CM36" s="28">
        <v>45</v>
      </c>
      <c r="CN36" s="26">
        <v>5.0000000000000002E-5</v>
      </c>
      <c r="CO36" s="28">
        <v>1</v>
      </c>
      <c r="CP36" s="28">
        <v>200</v>
      </c>
      <c r="CQ36" s="26">
        <v>7.4999999999999993E-9</v>
      </c>
      <c r="CR36" s="26">
        <f t="shared" si="45"/>
        <v>7.4999999999999993E-9</v>
      </c>
      <c r="CS36" s="26">
        <f t="shared" si="46"/>
        <v>2.9999999999999997E-4</v>
      </c>
      <c r="CT36" s="7">
        <v>85.938025413402499</v>
      </c>
      <c r="CU36" s="7">
        <v>85.491887514072303</v>
      </c>
      <c r="CV36" s="7">
        <v>164.095913900619</v>
      </c>
      <c r="CW36" s="7">
        <v>85.491887514072303</v>
      </c>
      <c r="CX36" s="7">
        <v>892560.68080124003</v>
      </c>
      <c r="CY36" s="7">
        <v>8.1487330863050396</v>
      </c>
      <c r="CZ36" s="7">
        <f t="shared" si="47"/>
        <v>335.07968892876357</v>
      </c>
      <c r="DB36" s="28">
        <v>45</v>
      </c>
      <c r="DC36" s="26">
        <v>5.0000000000000002E-5</v>
      </c>
      <c r="DD36" s="28">
        <v>2</v>
      </c>
      <c r="DE36" s="28">
        <v>200</v>
      </c>
      <c r="DF36" s="26">
        <v>7.4999999999999993E-9</v>
      </c>
      <c r="DG36" s="26">
        <f t="shared" si="48"/>
        <v>1.4999999999999999E-8</v>
      </c>
      <c r="DH36" s="26">
        <f t="shared" si="49"/>
        <v>5.9999999999999995E-4</v>
      </c>
      <c r="DI36" s="7">
        <v>86.402187767015207</v>
      </c>
      <c r="DJ36" s="7">
        <v>85.065299620820397</v>
      </c>
      <c r="DK36" s="7">
        <v>163.197611169178</v>
      </c>
      <c r="DL36" s="7">
        <v>85.065299620820397</v>
      </c>
      <c r="DM36" s="7">
        <v>446280.34040062001</v>
      </c>
      <c r="DN36" s="7">
        <v>8.1487330863050396</v>
      </c>
      <c r="DO36" s="7">
        <f t="shared" si="50"/>
        <v>333.32821041081877</v>
      </c>
      <c r="DQ36" s="28">
        <v>45</v>
      </c>
      <c r="DR36" s="26">
        <v>5.0000000000000002E-5</v>
      </c>
      <c r="DS36" s="28">
        <v>15</v>
      </c>
      <c r="DT36" s="28">
        <v>300</v>
      </c>
      <c r="DU36" s="26">
        <v>5.0000000000000001E-9</v>
      </c>
      <c r="DV36" s="26">
        <f t="shared" si="51"/>
        <v>7.4999999999999997E-8</v>
      </c>
      <c r="DW36" s="26">
        <f t="shared" si="52"/>
        <v>2.9999999999999996E-3</v>
      </c>
      <c r="DX36" s="7">
        <v>135.56136436013799</v>
      </c>
      <c r="DY36" s="7">
        <v>54.539450656433999</v>
      </c>
      <c r="DZ36" s="7">
        <v>104.236562937325</v>
      </c>
      <c r="EA36" s="7">
        <v>54.539450656433999</v>
      </c>
      <c r="EB36" s="7">
        <v>59504.045386749298</v>
      </c>
      <c r="EC36" s="7">
        <v>5.0929581789406502</v>
      </c>
      <c r="ED36" s="7">
        <f t="shared" si="53"/>
        <v>213.31546425019297</v>
      </c>
    </row>
    <row r="37" spans="1:134" x14ac:dyDescent="0.4">
      <c r="A37" s="28">
        <v>50</v>
      </c>
      <c r="B37" s="26">
        <v>1.0000000000000001E-5</v>
      </c>
      <c r="C37" s="28">
        <v>0.2</v>
      </c>
      <c r="D37" s="28">
        <v>30</v>
      </c>
      <c r="E37" s="26">
        <v>7.4999999999999993E-9</v>
      </c>
      <c r="F37" s="26">
        <f t="shared" si="27"/>
        <v>1.5E-9</v>
      </c>
      <c r="G37" s="26">
        <f t="shared" si="28"/>
        <v>2.9999999999999997E-4</v>
      </c>
      <c r="H37" s="7">
        <v>14.433195007141901</v>
      </c>
      <c r="I37" s="7">
        <v>2422.0764785389101</v>
      </c>
      <c r="J37" s="7">
        <v>5581.9822447758097</v>
      </c>
      <c r="K37" s="7">
        <v>2422.0764785389101</v>
      </c>
      <c r="L37" s="7">
        <v>38032949.861855596</v>
      </c>
      <c r="M37" s="7">
        <v>203.71832715762599</v>
      </c>
      <c r="N37" s="7">
        <f t="shared" si="29"/>
        <v>10426.135201853631</v>
      </c>
      <c r="P37" s="28">
        <v>50</v>
      </c>
      <c r="Q37" s="26">
        <v>3.0000000000000001E-5</v>
      </c>
      <c r="R37" s="28">
        <v>0.2</v>
      </c>
      <c r="S37" s="28">
        <v>30</v>
      </c>
      <c r="T37" s="26">
        <v>7.4999999999999993E-9</v>
      </c>
      <c r="U37" s="26">
        <f t="shared" si="30"/>
        <v>1.5E-9</v>
      </c>
      <c r="V37" s="26">
        <f t="shared" si="31"/>
        <v>9.9999999999999991E-5</v>
      </c>
      <c r="W37" s="7">
        <v>14.804271656429201</v>
      </c>
      <c r="X37" s="7">
        <v>807.35882617166396</v>
      </c>
      <c r="Y37" s="7">
        <v>1860.6607482586001</v>
      </c>
      <c r="Z37" s="7">
        <v>807.35882617166396</v>
      </c>
      <c r="AA37" s="7">
        <v>12677649.9784535</v>
      </c>
      <c r="AB37" s="7">
        <v>22.635369684180699</v>
      </c>
      <c r="AC37" s="7">
        <f t="shared" si="32"/>
        <v>3475.3784006019282</v>
      </c>
      <c r="AE37" s="28">
        <v>50</v>
      </c>
      <c r="AF37" s="26">
        <v>5.0000000000000002E-5</v>
      </c>
      <c r="AG37" s="28">
        <v>0.2</v>
      </c>
      <c r="AH37" s="28">
        <v>30</v>
      </c>
      <c r="AI37" s="26">
        <v>7.4999999999999993E-9</v>
      </c>
      <c r="AJ37" s="26">
        <f t="shared" si="33"/>
        <v>1.5E-9</v>
      </c>
      <c r="AK37" s="26">
        <f t="shared" si="34"/>
        <v>5.9999999999999995E-5</v>
      </c>
      <c r="AL37" s="7">
        <v>14.8807891669392</v>
      </c>
      <c r="AM37" s="7">
        <v>484.41529563550102</v>
      </c>
      <c r="AN37" s="7">
        <v>1116.3964489551599</v>
      </c>
      <c r="AO37" s="7">
        <v>484.41529563550102</v>
      </c>
      <c r="AP37" s="7">
        <v>7606590.1945190197</v>
      </c>
      <c r="AQ37" s="7">
        <v>8.1487330863050396</v>
      </c>
      <c r="AR37" s="7">
        <f t="shared" si="35"/>
        <v>2085.227040226162</v>
      </c>
      <c r="AT37" s="28">
        <v>50</v>
      </c>
      <c r="AU37" s="26">
        <v>1.0000000000000001E-5</v>
      </c>
      <c r="AV37" s="28">
        <v>0.2</v>
      </c>
      <c r="AW37" s="28">
        <v>200</v>
      </c>
      <c r="AX37" s="26">
        <v>7.4999999999999993E-9</v>
      </c>
      <c r="AY37" s="26">
        <f t="shared" si="36"/>
        <v>1.5E-9</v>
      </c>
      <c r="AZ37" s="26">
        <f t="shared" si="37"/>
        <v>2.9999999999999997E-4</v>
      </c>
      <c r="BA37" s="7">
        <v>78.979378692505406</v>
      </c>
      <c r="BB37" s="7">
        <v>365.18105956717</v>
      </c>
      <c r="BC37" s="7">
        <v>841.53641728653497</v>
      </c>
      <c r="BD37" s="7">
        <v>365.18105956717</v>
      </c>
      <c r="BE37" s="7">
        <v>38032949.861855596</v>
      </c>
      <c r="BF37" s="7">
        <v>203.71832715762599</v>
      </c>
      <c r="BG37" s="7">
        <f t="shared" si="38"/>
        <v>1571.898536420875</v>
      </c>
      <c r="BI37" s="28">
        <v>50</v>
      </c>
      <c r="BJ37" s="26">
        <v>1.0000000000000001E-5</v>
      </c>
      <c r="BK37" s="28">
        <v>0.5</v>
      </c>
      <c r="BL37" s="28">
        <v>200</v>
      </c>
      <c r="BM37" s="26">
        <v>7.4999999999999993E-9</v>
      </c>
      <c r="BN37" s="26">
        <f t="shared" si="39"/>
        <v>3.7499999999999997E-9</v>
      </c>
      <c r="BO37" s="26">
        <f t="shared" si="40"/>
        <v>7.4999999999999991E-4</v>
      </c>
      <c r="BP37" s="7">
        <v>79.070225170141697</v>
      </c>
      <c r="BQ37" s="7">
        <v>364.68421056947602</v>
      </c>
      <c r="BR37" s="7">
        <v>840.41004328064798</v>
      </c>
      <c r="BS37" s="7">
        <v>364.68421056947602</v>
      </c>
      <c r="BT37" s="7">
        <v>15213179.944742201</v>
      </c>
      <c r="BU37" s="7">
        <v>203.71832715762599</v>
      </c>
      <c r="BV37" s="7">
        <f t="shared" si="41"/>
        <v>1569.7784644195999</v>
      </c>
      <c r="BX37" s="28">
        <v>50</v>
      </c>
      <c r="BY37" s="26">
        <v>5.0000000000000002E-5</v>
      </c>
      <c r="BZ37" s="28">
        <v>0.5</v>
      </c>
      <c r="CA37" s="28">
        <v>200</v>
      </c>
      <c r="CB37" s="26">
        <v>7.4999999999999993E-9</v>
      </c>
      <c r="CC37" s="26">
        <f t="shared" si="42"/>
        <v>3.7499999999999997E-9</v>
      </c>
      <c r="CD37" s="26">
        <f t="shared" si="43"/>
        <v>1.4999999999999999E-4</v>
      </c>
      <c r="CE37" s="7">
        <v>94.676154440044797</v>
      </c>
      <c r="CF37" s="7">
        <v>72.936842109798505</v>
      </c>
      <c r="CG37" s="7">
        <v>168.08200865613</v>
      </c>
      <c r="CH37" s="7">
        <v>72.936842109798505</v>
      </c>
      <c r="CI37" s="7">
        <v>3042636.0778076099</v>
      </c>
      <c r="CJ37" s="7">
        <v>8.1487330863050396</v>
      </c>
      <c r="CK37" s="7">
        <f t="shared" si="44"/>
        <v>313.95569287572698</v>
      </c>
      <c r="CM37" s="28">
        <v>50</v>
      </c>
      <c r="CN37" s="26">
        <v>5.0000000000000002E-5</v>
      </c>
      <c r="CO37" s="28">
        <v>1</v>
      </c>
      <c r="CP37" s="28">
        <v>200</v>
      </c>
      <c r="CQ37" s="26">
        <v>7.4999999999999993E-9</v>
      </c>
      <c r="CR37" s="26">
        <f t="shared" si="45"/>
        <v>7.4999999999999993E-9</v>
      </c>
      <c r="CS37" s="26">
        <f t="shared" si="46"/>
        <v>2.9999999999999997E-4</v>
      </c>
      <c r="CT37" s="7">
        <v>94.888679577217005</v>
      </c>
      <c r="CU37" s="7">
        <v>72.771853396363895</v>
      </c>
      <c r="CV37" s="7">
        <v>167.707917393011</v>
      </c>
      <c r="CW37" s="7">
        <v>72.771853396363895</v>
      </c>
      <c r="CX37" s="7">
        <v>1521318.0389038101</v>
      </c>
      <c r="CY37" s="7">
        <v>8.1487330863050396</v>
      </c>
      <c r="CZ37" s="7">
        <f t="shared" si="47"/>
        <v>313.25162418573882</v>
      </c>
      <c r="DB37" s="28">
        <v>50</v>
      </c>
      <c r="DC37" s="26">
        <v>5.0000000000000002E-5</v>
      </c>
      <c r="DD37" s="28">
        <v>2</v>
      </c>
      <c r="DE37" s="28">
        <v>200</v>
      </c>
      <c r="DF37" s="26">
        <v>7.4999999999999993E-9</v>
      </c>
      <c r="DG37" s="26">
        <f t="shared" si="48"/>
        <v>1.4999999999999999E-8</v>
      </c>
      <c r="DH37" s="26">
        <f t="shared" si="49"/>
        <v>5.9999999999999995E-4</v>
      </c>
      <c r="DI37" s="7">
        <v>95.313503263734901</v>
      </c>
      <c r="DJ37" s="7">
        <v>72.444208829560395</v>
      </c>
      <c r="DK37" s="7">
        <v>166.964817403171</v>
      </c>
      <c r="DL37" s="7">
        <v>72.444208829560395</v>
      </c>
      <c r="DM37" s="7">
        <v>760659.01945190295</v>
      </c>
      <c r="DN37" s="7">
        <v>8.1487330863050396</v>
      </c>
      <c r="DO37" s="7">
        <f t="shared" si="50"/>
        <v>311.85323506229179</v>
      </c>
      <c r="DQ37" s="28">
        <v>50</v>
      </c>
      <c r="DR37" s="26">
        <v>5.0000000000000002E-5</v>
      </c>
      <c r="DS37" s="28">
        <v>15</v>
      </c>
      <c r="DT37" s="28">
        <v>300</v>
      </c>
      <c r="DU37" s="26">
        <v>5.0000000000000001E-9</v>
      </c>
      <c r="DV37" s="26">
        <f t="shared" si="51"/>
        <v>7.4999999999999997E-8</v>
      </c>
      <c r="DW37" s="26">
        <f t="shared" si="52"/>
        <v>2.9999999999999996E-3</v>
      </c>
      <c r="DX37" s="7">
        <v>148.52778903836099</v>
      </c>
      <c r="DY37" s="7">
        <v>46.620018473906597</v>
      </c>
      <c r="DZ37" s="7">
        <v>107.50242472112301</v>
      </c>
      <c r="EA37" s="7">
        <v>46.620018473906597</v>
      </c>
      <c r="EB37" s="7">
        <v>101421.202593587</v>
      </c>
      <c r="EC37" s="7">
        <v>5.0929581789406502</v>
      </c>
      <c r="ED37" s="7">
        <f t="shared" si="53"/>
        <v>200.74246166893619</v>
      </c>
    </row>
    <row r="38" spans="1:134" x14ac:dyDescent="0.4">
      <c r="A38" s="28">
        <v>55.000000000000007</v>
      </c>
      <c r="B38" s="26">
        <v>1.0000000000000001E-5</v>
      </c>
      <c r="C38" s="28">
        <v>0.2</v>
      </c>
      <c r="D38" s="28">
        <v>30</v>
      </c>
      <c r="E38" s="26">
        <v>7.4999999999999993E-9</v>
      </c>
      <c r="F38" s="26">
        <f t="shared" si="27"/>
        <v>1.5E-9</v>
      </c>
      <c r="G38" s="26">
        <f t="shared" si="28"/>
        <v>2.9999999999999997E-4</v>
      </c>
      <c r="H38" s="7">
        <v>15.7871590759512</v>
      </c>
      <c r="I38" s="7">
        <v>2061.2283400943002</v>
      </c>
      <c r="J38" s="7">
        <v>5692.8014386926097</v>
      </c>
      <c r="K38" s="7">
        <v>2061.2283400943002</v>
      </c>
      <c r="L38" s="7">
        <v>72349793.874809399</v>
      </c>
      <c r="M38" s="7">
        <v>203.71832715762599</v>
      </c>
      <c r="N38" s="7">
        <f t="shared" si="29"/>
        <v>9815.2581188812092</v>
      </c>
      <c r="P38" s="28">
        <v>55.000000000000007</v>
      </c>
      <c r="Q38" s="26">
        <v>3.0000000000000001E-5</v>
      </c>
      <c r="R38" s="28">
        <v>0.2</v>
      </c>
      <c r="S38" s="28">
        <v>30</v>
      </c>
      <c r="T38" s="26">
        <v>7.4999999999999993E-9</v>
      </c>
      <c r="U38" s="26">
        <f t="shared" si="30"/>
        <v>1.5E-9</v>
      </c>
      <c r="V38" s="26">
        <f t="shared" si="31"/>
        <v>9.9999999999999991E-5</v>
      </c>
      <c r="W38" s="7">
        <v>16.2180245230272</v>
      </c>
      <c r="X38" s="7">
        <v>687.07611335802699</v>
      </c>
      <c r="Y38" s="7">
        <v>1897.6004795642</v>
      </c>
      <c r="Z38" s="7">
        <v>687.07611335802699</v>
      </c>
      <c r="AA38" s="7">
        <v>24116597.9983452</v>
      </c>
      <c r="AB38" s="7">
        <v>22.635369684180699</v>
      </c>
      <c r="AC38" s="7">
        <f t="shared" si="32"/>
        <v>3271.7527062802537</v>
      </c>
      <c r="AE38" s="28">
        <v>55.000000000000007</v>
      </c>
      <c r="AF38" s="26">
        <v>5.0000000000000002E-5</v>
      </c>
      <c r="AG38" s="28">
        <v>0.2</v>
      </c>
      <c r="AH38" s="28">
        <v>30</v>
      </c>
      <c r="AI38" s="26">
        <v>7.4999999999999993E-9</v>
      </c>
      <c r="AJ38" s="26">
        <f t="shared" si="33"/>
        <v>1.5E-9</v>
      </c>
      <c r="AK38" s="26">
        <f t="shared" si="34"/>
        <v>5.9999999999999995E-5</v>
      </c>
      <c r="AL38" s="7">
        <v>16.307035724122599</v>
      </c>
      <c r="AM38" s="7">
        <v>412.24566795777702</v>
      </c>
      <c r="AN38" s="7">
        <v>1138.5602877385199</v>
      </c>
      <c r="AO38" s="7">
        <v>412.24566795777702</v>
      </c>
      <c r="AP38" s="7">
        <v>14469959.1382923</v>
      </c>
      <c r="AQ38" s="7">
        <v>8.1487330863050396</v>
      </c>
      <c r="AR38" s="7">
        <f t="shared" si="35"/>
        <v>1963.0516236540739</v>
      </c>
      <c r="AT38" s="28">
        <v>55.000000000000007</v>
      </c>
      <c r="AU38" s="26">
        <v>1.0000000000000001E-5</v>
      </c>
      <c r="AV38" s="28">
        <v>0.2</v>
      </c>
      <c r="AW38" s="28">
        <v>200</v>
      </c>
      <c r="AX38" s="26">
        <v>7.4999999999999993E-9</v>
      </c>
      <c r="AY38" s="26">
        <f t="shared" si="36"/>
        <v>1.5E-9</v>
      </c>
      <c r="AZ38" s="26">
        <f t="shared" si="37"/>
        <v>2.9999999999999997E-4</v>
      </c>
      <c r="BA38" s="7">
        <v>85.555431058335103</v>
      </c>
      <c r="BB38" s="7">
        <v>310.62949089263498</v>
      </c>
      <c r="BC38" s="7">
        <v>857.43494866405695</v>
      </c>
      <c r="BD38" s="7">
        <v>310.62949089263498</v>
      </c>
      <c r="BE38" s="7">
        <v>72349793.874809399</v>
      </c>
      <c r="BF38" s="7">
        <v>203.71832715762599</v>
      </c>
      <c r="BG38" s="7">
        <f t="shared" si="38"/>
        <v>1478.6939304493269</v>
      </c>
      <c r="BI38" s="28">
        <v>55.000000000000007</v>
      </c>
      <c r="BJ38" s="26">
        <v>1.0000000000000001E-5</v>
      </c>
      <c r="BK38" s="28">
        <v>0.5</v>
      </c>
      <c r="BL38" s="28">
        <v>200</v>
      </c>
      <c r="BM38" s="26">
        <v>7.4999999999999993E-9</v>
      </c>
      <c r="BN38" s="26">
        <f t="shared" si="39"/>
        <v>3.7499999999999997E-9</v>
      </c>
      <c r="BO38" s="26">
        <f t="shared" si="40"/>
        <v>7.4999999999999991E-4</v>
      </c>
      <c r="BP38" s="7">
        <v>85.636007104100798</v>
      </c>
      <c r="BQ38" s="7">
        <v>310.245574031601</v>
      </c>
      <c r="BR38" s="7">
        <v>856.50167124423206</v>
      </c>
      <c r="BS38" s="7">
        <v>310.245574031601</v>
      </c>
      <c r="BT38" s="7">
        <v>28939917.5499238</v>
      </c>
      <c r="BU38" s="7">
        <v>203.71832715762599</v>
      </c>
      <c r="BV38" s="7">
        <f t="shared" si="41"/>
        <v>1476.9928193074338</v>
      </c>
      <c r="BX38" s="28">
        <v>55.000000000000007</v>
      </c>
      <c r="BY38" s="26">
        <v>5.0000000000000002E-5</v>
      </c>
      <c r="BZ38" s="28">
        <v>0.5</v>
      </c>
      <c r="CA38" s="28">
        <v>200</v>
      </c>
      <c r="CB38" s="26">
        <v>7.4999999999999993E-9</v>
      </c>
      <c r="CC38" s="26">
        <f t="shared" si="42"/>
        <v>3.7499999999999997E-9</v>
      </c>
      <c r="CD38" s="26">
        <f t="shared" si="43"/>
        <v>1.4999999999999999E-4</v>
      </c>
      <c r="CE38" s="7">
        <v>103.545238181557</v>
      </c>
      <c r="CF38" s="7">
        <v>62.049114802860501</v>
      </c>
      <c r="CG38" s="7">
        <v>171.30033424884601</v>
      </c>
      <c r="CH38" s="7">
        <v>62.049114802860501</v>
      </c>
      <c r="CI38" s="7">
        <v>5787983.6553169098</v>
      </c>
      <c r="CJ38" s="7">
        <v>8.1487330863050396</v>
      </c>
      <c r="CK38" s="7">
        <f t="shared" si="44"/>
        <v>295.39856385456704</v>
      </c>
      <c r="CM38" s="28">
        <v>55.000000000000007</v>
      </c>
      <c r="CN38" s="26">
        <v>5.0000000000000002E-5</v>
      </c>
      <c r="CO38" s="28">
        <v>1</v>
      </c>
      <c r="CP38" s="28">
        <v>200</v>
      </c>
      <c r="CQ38" s="26">
        <v>7.4999999999999993E-9</v>
      </c>
      <c r="CR38" s="26">
        <f t="shared" si="45"/>
        <v>7.4999999999999993E-9</v>
      </c>
      <c r="CS38" s="26">
        <f t="shared" si="46"/>
        <v>2.9999999999999997E-4</v>
      </c>
      <c r="CT38" s="7">
        <v>103.73891683137199</v>
      </c>
      <c r="CU38" s="7">
        <v>61.921576216120698</v>
      </c>
      <c r="CV38" s="7">
        <v>170.99017320176</v>
      </c>
      <c r="CW38" s="7">
        <v>61.921576216120698</v>
      </c>
      <c r="CX38" s="7">
        <v>2893991.8276584502</v>
      </c>
      <c r="CY38" s="7">
        <v>8.1487330863050396</v>
      </c>
      <c r="CZ38" s="7">
        <f t="shared" si="47"/>
        <v>294.83332563400137</v>
      </c>
      <c r="DB38" s="28">
        <v>55.000000000000007</v>
      </c>
      <c r="DC38" s="26">
        <v>5.0000000000000002E-5</v>
      </c>
      <c r="DD38" s="28">
        <v>2</v>
      </c>
      <c r="DE38" s="28">
        <v>200</v>
      </c>
      <c r="DF38" s="26">
        <v>7.4999999999999993E-9</v>
      </c>
      <c r="DG38" s="26">
        <f t="shared" si="48"/>
        <v>1.4999999999999999E-8</v>
      </c>
      <c r="DH38" s="26">
        <f t="shared" si="49"/>
        <v>5.9999999999999995E-4</v>
      </c>
      <c r="DI38" s="7">
        <v>104.1260833318</v>
      </c>
      <c r="DJ38" s="7">
        <v>61.6681127663864</v>
      </c>
      <c r="DK38" s="7">
        <v>170.373319720317</v>
      </c>
      <c r="DL38" s="7">
        <v>61.6681127663864</v>
      </c>
      <c r="DM38" s="7">
        <v>1446995.91382923</v>
      </c>
      <c r="DN38" s="7">
        <v>8.1487330863050396</v>
      </c>
      <c r="DO38" s="7">
        <f t="shared" si="50"/>
        <v>293.7095452530898</v>
      </c>
      <c r="DQ38" s="28">
        <v>55.000000000000007</v>
      </c>
      <c r="DR38" s="26">
        <v>5.0000000000000002E-5</v>
      </c>
      <c r="DS38" s="28">
        <v>15</v>
      </c>
      <c r="DT38" s="28">
        <v>300</v>
      </c>
      <c r="DU38" s="26">
        <v>5.0000000000000001E-9</v>
      </c>
      <c r="DV38" s="26">
        <f t="shared" si="51"/>
        <v>7.4999999999999997E-8</v>
      </c>
      <c r="DW38" s="26">
        <f t="shared" si="52"/>
        <v>2.9999999999999996E-3</v>
      </c>
      <c r="DX38" s="7">
        <v>161.366537900597</v>
      </c>
      <c r="DY38" s="7">
        <v>39.809859656104699</v>
      </c>
      <c r="DZ38" s="7">
        <v>110.399385072318</v>
      </c>
      <c r="EA38" s="7">
        <v>39.809859656104699</v>
      </c>
      <c r="EB38" s="7">
        <v>192932.78851056399</v>
      </c>
      <c r="EC38" s="7">
        <v>5.0929581789406502</v>
      </c>
      <c r="ED38" s="7">
        <f t="shared" si="53"/>
        <v>190.0191043845274</v>
      </c>
    </row>
    <row r="39" spans="1:134" x14ac:dyDescent="0.4">
      <c r="A39" s="28">
        <v>60</v>
      </c>
      <c r="B39" s="26">
        <v>1.0000000000000001E-5</v>
      </c>
      <c r="C39" s="28">
        <v>0.2</v>
      </c>
      <c r="D39" s="28">
        <v>30</v>
      </c>
      <c r="E39" s="26">
        <v>7.4999999999999993E-9</v>
      </c>
      <c r="F39" s="26">
        <f t="shared" si="27"/>
        <v>1.5E-9</v>
      </c>
      <c r="G39" s="26">
        <f t="shared" si="28"/>
        <v>2.9999999999999997E-4</v>
      </c>
      <c r="H39" s="7">
        <v>17.131878778691998</v>
      </c>
      <c r="I39" s="7">
        <v>1747.4582681561301</v>
      </c>
      <c r="J39" s="7">
        <v>5794.3371345962596</v>
      </c>
      <c r="K39" s="7">
        <v>1747.4582681561301</v>
      </c>
      <c r="L39" s="7">
        <v>173207643.02618799</v>
      </c>
      <c r="M39" s="7">
        <v>203.71832715762599</v>
      </c>
      <c r="N39" s="7">
        <f t="shared" si="29"/>
        <v>9289.2536709085198</v>
      </c>
      <c r="P39" s="28">
        <v>60</v>
      </c>
      <c r="Q39" s="26">
        <v>3.0000000000000001E-5</v>
      </c>
      <c r="R39" s="28">
        <v>0.2</v>
      </c>
      <c r="S39" s="28">
        <v>30</v>
      </c>
      <c r="T39" s="26">
        <v>7.4999999999999993E-9</v>
      </c>
      <c r="U39" s="26">
        <f t="shared" si="30"/>
        <v>1.5E-9</v>
      </c>
      <c r="V39" s="26">
        <f t="shared" si="31"/>
        <v>9.9999999999999991E-5</v>
      </c>
      <c r="W39" s="7">
        <v>17.625581047823001</v>
      </c>
      <c r="X39" s="7">
        <v>582.48608937969198</v>
      </c>
      <c r="Y39" s="7">
        <v>1931.4457115320899</v>
      </c>
      <c r="Z39" s="7">
        <v>582.48608937969198</v>
      </c>
      <c r="AA39" s="7">
        <v>57735881.0752545</v>
      </c>
      <c r="AB39" s="7">
        <v>22.635369684180699</v>
      </c>
      <c r="AC39" s="7">
        <f t="shared" si="32"/>
        <v>3096.4178902914737</v>
      </c>
      <c r="AE39" s="28">
        <v>60</v>
      </c>
      <c r="AF39" s="26">
        <v>5.0000000000000002E-5</v>
      </c>
      <c r="AG39" s="28">
        <v>0.2</v>
      </c>
      <c r="AH39" s="28">
        <v>30</v>
      </c>
      <c r="AI39" s="26">
        <v>7.4999999999999993E-9</v>
      </c>
      <c r="AJ39" s="26">
        <f t="shared" si="33"/>
        <v>1.5E-9</v>
      </c>
      <c r="AK39" s="26">
        <f t="shared" si="34"/>
        <v>5.9999999999999995E-5</v>
      </c>
      <c r="AL39" s="7">
        <v>17.727756063802101</v>
      </c>
      <c r="AM39" s="7">
        <v>349.491653579706</v>
      </c>
      <c r="AN39" s="7">
        <v>1158.86742691925</v>
      </c>
      <c r="AO39" s="7">
        <v>349.491653579706</v>
      </c>
      <c r="AP39" s="7">
        <v>34641529.208382502</v>
      </c>
      <c r="AQ39" s="7">
        <v>8.1487330863050396</v>
      </c>
      <c r="AR39" s="7">
        <f t="shared" si="35"/>
        <v>1857.8507340786621</v>
      </c>
      <c r="AT39" s="28">
        <v>60</v>
      </c>
      <c r="AU39" s="26">
        <v>1.0000000000000001E-5</v>
      </c>
      <c r="AV39" s="28">
        <v>0.2</v>
      </c>
      <c r="AW39" s="28">
        <v>200</v>
      </c>
      <c r="AX39" s="26">
        <v>7.4999999999999993E-9</v>
      </c>
      <c r="AY39" s="26">
        <f t="shared" si="36"/>
        <v>1.5E-9</v>
      </c>
      <c r="AZ39" s="26">
        <f t="shared" si="37"/>
        <v>2.9999999999999997E-4</v>
      </c>
      <c r="BA39" s="7">
        <v>91.981079262420593</v>
      </c>
      <c r="BB39" s="7">
        <v>263.235986756096</v>
      </c>
      <c r="BC39" s="7">
        <v>872.060132412553</v>
      </c>
      <c r="BD39" s="7">
        <v>263.235986756096</v>
      </c>
      <c r="BE39" s="7">
        <v>173207643.02618799</v>
      </c>
      <c r="BF39" s="7">
        <v>203.71832715762599</v>
      </c>
      <c r="BG39" s="7">
        <f t="shared" si="38"/>
        <v>1398.5321059247451</v>
      </c>
      <c r="BI39" s="28">
        <v>60</v>
      </c>
      <c r="BJ39" s="26">
        <v>1.0000000000000001E-5</v>
      </c>
      <c r="BK39" s="28">
        <v>0.5</v>
      </c>
      <c r="BL39" s="28">
        <v>200</v>
      </c>
      <c r="BM39" s="26">
        <v>7.4999999999999993E-9</v>
      </c>
      <c r="BN39" s="26">
        <f t="shared" si="39"/>
        <v>3.7499999999999997E-9</v>
      </c>
      <c r="BO39" s="26">
        <f t="shared" si="40"/>
        <v>7.4999999999999991E-4</v>
      </c>
      <c r="BP39" s="7">
        <v>92.052118836445601</v>
      </c>
      <c r="BQ39" s="7">
        <v>262.93930247937197</v>
      </c>
      <c r="BR39" s="7">
        <v>871.287964463192</v>
      </c>
      <c r="BS39" s="7">
        <v>262.93930247937197</v>
      </c>
      <c r="BT39" s="7">
        <v>69283057.210475206</v>
      </c>
      <c r="BU39" s="7">
        <v>203.71832715762599</v>
      </c>
      <c r="BV39" s="7">
        <f t="shared" si="41"/>
        <v>1397.1665694219359</v>
      </c>
      <c r="BX39" s="28">
        <v>60</v>
      </c>
      <c r="BY39" s="26">
        <v>5.0000000000000002E-5</v>
      </c>
      <c r="BZ39" s="28">
        <v>0.5</v>
      </c>
      <c r="CA39" s="28">
        <v>200</v>
      </c>
      <c r="CB39" s="26">
        <v>7.4999999999999993E-9</v>
      </c>
      <c r="CC39" s="26">
        <f t="shared" si="42"/>
        <v>3.7499999999999997E-9</v>
      </c>
      <c r="CD39" s="26">
        <f t="shared" si="43"/>
        <v>1.4999999999999999E-4</v>
      </c>
      <c r="CE39" s="7">
        <v>112.343239265395</v>
      </c>
      <c r="CF39" s="7">
        <v>52.5878604929581</v>
      </c>
      <c r="CG39" s="7">
        <v>174.257592892638</v>
      </c>
      <c r="CH39" s="7">
        <v>52.5878604929581</v>
      </c>
      <c r="CI39" s="7">
        <v>13856611.683352999</v>
      </c>
      <c r="CJ39" s="7">
        <v>8.1487330863050396</v>
      </c>
      <c r="CK39" s="7">
        <f t="shared" si="44"/>
        <v>279.4333138785542</v>
      </c>
      <c r="CM39" s="28">
        <v>60</v>
      </c>
      <c r="CN39" s="26">
        <v>5.0000000000000002E-5</v>
      </c>
      <c r="CO39" s="28">
        <v>1</v>
      </c>
      <c r="CP39" s="28">
        <v>200</v>
      </c>
      <c r="CQ39" s="26">
        <v>7.4999999999999993E-9</v>
      </c>
      <c r="CR39" s="26">
        <f t="shared" si="45"/>
        <v>7.4999999999999993E-9</v>
      </c>
      <c r="CS39" s="26">
        <f t="shared" si="46"/>
        <v>2.9999999999999997E-4</v>
      </c>
      <c r="CT39" s="7">
        <v>112.518341617171</v>
      </c>
      <c r="CU39" s="7">
        <v>52.489267736237203</v>
      </c>
      <c r="CV39" s="7">
        <v>174.00084097458901</v>
      </c>
      <c r="CW39" s="7">
        <v>52.489267736237203</v>
      </c>
      <c r="CX39" s="7">
        <v>6928305.8416764997</v>
      </c>
      <c r="CY39" s="7">
        <v>8.1487330863050396</v>
      </c>
      <c r="CZ39" s="7">
        <f t="shared" si="47"/>
        <v>278.97937644706343</v>
      </c>
      <c r="DB39" s="28">
        <v>60</v>
      </c>
      <c r="DC39" s="26">
        <v>5.0000000000000002E-5</v>
      </c>
      <c r="DD39" s="28">
        <v>2</v>
      </c>
      <c r="DE39" s="28">
        <v>200</v>
      </c>
      <c r="DF39" s="26">
        <v>7.4999999999999993E-9</v>
      </c>
      <c r="DG39" s="26">
        <f t="shared" si="48"/>
        <v>1.4999999999999999E-8</v>
      </c>
      <c r="DH39" s="26">
        <f t="shared" si="49"/>
        <v>5.9999999999999995E-4</v>
      </c>
      <c r="DI39" s="7">
        <v>112.86837084080901</v>
      </c>
      <c r="DJ39" s="7">
        <v>52.293206867341603</v>
      </c>
      <c r="DK39" s="7">
        <v>173.489713442035</v>
      </c>
      <c r="DL39" s="7">
        <v>52.293206867341603</v>
      </c>
      <c r="DM39" s="7">
        <v>3464152.9208382498</v>
      </c>
      <c r="DN39" s="7">
        <v>8.1487330863050396</v>
      </c>
      <c r="DO39" s="7">
        <f t="shared" si="50"/>
        <v>278.07612717671822</v>
      </c>
      <c r="DQ39" s="28">
        <v>60</v>
      </c>
      <c r="DR39" s="26">
        <v>5.0000000000000002E-5</v>
      </c>
      <c r="DS39" s="28">
        <v>15</v>
      </c>
      <c r="DT39" s="28">
        <v>300</v>
      </c>
      <c r="DU39" s="26">
        <v>5.0000000000000001E-9</v>
      </c>
      <c r="DV39" s="26">
        <f t="shared" si="51"/>
        <v>7.4999999999999997E-8</v>
      </c>
      <c r="DW39" s="26">
        <f t="shared" si="52"/>
        <v>2.9999999999999996E-3</v>
      </c>
      <c r="DX39" s="7">
        <v>174.10737452304099</v>
      </c>
      <c r="DY39" s="7">
        <v>33.851188115179603</v>
      </c>
      <c r="DZ39" s="7">
        <v>113.007558882322</v>
      </c>
      <c r="EA39" s="7">
        <v>33.851188115179603</v>
      </c>
      <c r="EB39" s="7">
        <v>461887.05611176701</v>
      </c>
      <c r="EC39" s="7">
        <v>5.0929581789406502</v>
      </c>
      <c r="ED39" s="7">
        <f t="shared" si="53"/>
        <v>180.70993511268122</v>
      </c>
    </row>
    <row r="40" spans="1:134" x14ac:dyDescent="0.4">
      <c r="A40" s="28">
        <v>65</v>
      </c>
      <c r="B40" s="26">
        <v>1.0000000000000001E-5</v>
      </c>
      <c r="C40" s="28">
        <v>0.2</v>
      </c>
      <c r="D40" s="28">
        <v>30</v>
      </c>
      <c r="E40" s="26">
        <v>7.4999999999999993E-9</v>
      </c>
      <c r="F40" s="26">
        <f t="shared" si="27"/>
        <v>1.5E-9</v>
      </c>
      <c r="G40" s="26">
        <f t="shared" si="28"/>
        <v>2.9999999999999997E-4</v>
      </c>
      <c r="H40" s="7">
        <v>18.4707518283086</v>
      </c>
      <c r="I40" s="7">
        <v>1470.52695643265</v>
      </c>
      <c r="J40" s="7">
        <v>5888.0994972997396</v>
      </c>
      <c r="K40" s="7">
        <v>1470.52695643265</v>
      </c>
      <c r="L40" s="7">
        <v>859463306.304919</v>
      </c>
      <c r="M40" s="7">
        <v>203.71832715762599</v>
      </c>
      <c r="N40" s="7">
        <f t="shared" si="29"/>
        <v>8829.1534101650395</v>
      </c>
      <c r="P40" s="28">
        <v>65</v>
      </c>
      <c r="Q40" s="26">
        <v>3.0000000000000001E-5</v>
      </c>
      <c r="R40" s="28">
        <v>0.2</v>
      </c>
      <c r="S40" s="28">
        <v>30</v>
      </c>
      <c r="T40" s="26">
        <v>7.4999999999999993E-9</v>
      </c>
      <c r="U40" s="26">
        <f t="shared" si="30"/>
        <v>1.5E-9</v>
      </c>
      <c r="V40" s="26">
        <f t="shared" si="31"/>
        <v>9.9999999999999991E-5</v>
      </c>
      <c r="W40" s="7">
        <v>19.030380703912101</v>
      </c>
      <c r="X40" s="7">
        <v>490.175652139448</v>
      </c>
      <c r="Y40" s="7">
        <v>1962.6998324332501</v>
      </c>
      <c r="Z40" s="7">
        <v>490.175652139448</v>
      </c>
      <c r="AA40" s="7">
        <v>286487768.88169003</v>
      </c>
      <c r="AB40" s="7">
        <v>22.635369684180699</v>
      </c>
      <c r="AC40" s="7">
        <f t="shared" si="32"/>
        <v>2943.0511367121462</v>
      </c>
      <c r="AE40" s="28">
        <v>65</v>
      </c>
      <c r="AF40" s="26">
        <v>5.0000000000000002E-5</v>
      </c>
      <c r="AG40" s="28">
        <v>0.2</v>
      </c>
      <c r="AH40" s="28">
        <v>30</v>
      </c>
      <c r="AI40" s="26">
        <v>7.4999999999999993E-9</v>
      </c>
      <c r="AJ40" s="26">
        <f t="shared" si="33"/>
        <v>1.5E-9</v>
      </c>
      <c r="AK40" s="26">
        <f t="shared" si="34"/>
        <v>5.9999999999999995E-5</v>
      </c>
      <c r="AL40" s="7">
        <v>19.146400700688101</v>
      </c>
      <c r="AM40" s="7">
        <v>294.10539124333502</v>
      </c>
      <c r="AN40" s="7">
        <v>1177.6198994599499</v>
      </c>
      <c r="AO40" s="7">
        <v>294.10539124333502</v>
      </c>
      <c r="AP40" s="7">
        <v>171892662.28655201</v>
      </c>
      <c r="AQ40" s="7">
        <v>8.1487330863050396</v>
      </c>
      <c r="AR40" s="7">
        <f t="shared" si="35"/>
        <v>1765.8306819466197</v>
      </c>
      <c r="AT40" s="28">
        <v>65</v>
      </c>
      <c r="AU40" s="26">
        <v>1.0000000000000001E-5</v>
      </c>
      <c r="AV40" s="28">
        <v>0.2</v>
      </c>
      <c r="AW40" s="28">
        <v>200</v>
      </c>
      <c r="AX40" s="26">
        <v>7.4999999999999993E-9</v>
      </c>
      <c r="AY40" s="26">
        <f t="shared" si="36"/>
        <v>1.5E-9</v>
      </c>
      <c r="AZ40" s="26">
        <f t="shared" si="37"/>
        <v>2.9999999999999997E-4</v>
      </c>
      <c r="BA40" s="7">
        <v>98.279646894198095</v>
      </c>
      <c r="BB40" s="7">
        <v>221.436390808456</v>
      </c>
      <c r="BC40" s="7">
        <v>885.60719905590599</v>
      </c>
      <c r="BD40" s="7">
        <v>221.436390808456</v>
      </c>
      <c r="BE40" s="7">
        <v>859463306.304919</v>
      </c>
      <c r="BF40" s="7">
        <v>203.71832715762599</v>
      </c>
      <c r="BG40" s="7">
        <f t="shared" si="38"/>
        <v>1328.4799806728181</v>
      </c>
      <c r="BI40" s="28">
        <v>65</v>
      </c>
      <c r="BJ40" s="26">
        <v>1.0000000000000001E-5</v>
      </c>
      <c r="BK40" s="28">
        <v>0.5</v>
      </c>
      <c r="BL40" s="28">
        <v>200</v>
      </c>
      <c r="BM40" s="26">
        <v>7.4999999999999993E-9</v>
      </c>
      <c r="BN40" s="26">
        <f t="shared" si="39"/>
        <v>3.7499999999999997E-9</v>
      </c>
      <c r="BO40" s="26">
        <f t="shared" si="40"/>
        <v>7.4999999999999991E-4</v>
      </c>
      <c r="BP40" s="7">
        <v>98.341682998061103</v>
      </c>
      <c r="BQ40" s="7">
        <v>221.20879187134</v>
      </c>
      <c r="BR40" s="7">
        <v>884.97259280428204</v>
      </c>
      <c r="BS40" s="7">
        <v>221.20879187134</v>
      </c>
      <c r="BT40" s="7">
        <v>343785322.52196801</v>
      </c>
      <c r="BU40" s="7">
        <v>203.71832715762599</v>
      </c>
      <c r="BV40" s="7">
        <f t="shared" si="41"/>
        <v>1327.390176546962</v>
      </c>
      <c r="BX40" s="28">
        <v>65</v>
      </c>
      <c r="BY40" s="26">
        <v>5.0000000000000002E-5</v>
      </c>
      <c r="BZ40" s="28">
        <v>0.5</v>
      </c>
      <c r="CA40" s="28">
        <v>200</v>
      </c>
      <c r="CB40" s="26">
        <v>7.4999999999999993E-9</v>
      </c>
      <c r="CC40" s="26">
        <f t="shared" si="42"/>
        <v>3.7499999999999997E-9</v>
      </c>
      <c r="CD40" s="26">
        <f t="shared" si="43"/>
        <v>1.4999999999999999E-4</v>
      </c>
      <c r="CE40" s="7">
        <v>121.09330130483001</v>
      </c>
      <c r="CF40" s="7">
        <v>44.241758371824098</v>
      </c>
      <c r="CG40" s="7">
        <v>176.99451856085599</v>
      </c>
      <c r="CH40" s="7">
        <v>44.241758371824098</v>
      </c>
      <c r="CI40" s="7">
        <v>68757064.914620593</v>
      </c>
      <c r="CJ40" s="7">
        <v>8.1487330863050396</v>
      </c>
      <c r="CK40" s="7">
        <f t="shared" si="44"/>
        <v>265.4780353045042</v>
      </c>
      <c r="CM40" s="28">
        <v>65</v>
      </c>
      <c r="CN40" s="26">
        <v>5.0000000000000002E-5</v>
      </c>
      <c r="CO40" s="28">
        <v>1</v>
      </c>
      <c r="CP40" s="28">
        <v>200</v>
      </c>
      <c r="CQ40" s="26">
        <v>7.4999999999999993E-9</v>
      </c>
      <c r="CR40" s="26">
        <f t="shared" si="45"/>
        <v>7.4999999999999993E-9</v>
      </c>
      <c r="CS40" s="26">
        <f t="shared" si="46"/>
        <v>2.9999999999999997E-4</v>
      </c>
      <c r="CT40" s="7">
        <v>121.24974539730501</v>
      </c>
      <c r="CU40" s="7">
        <v>44.166101596649497</v>
      </c>
      <c r="CV40" s="7">
        <v>176.783417824277</v>
      </c>
      <c r="CW40" s="7">
        <v>44.166101596649497</v>
      </c>
      <c r="CX40" s="7">
        <v>34378532.457310297</v>
      </c>
      <c r="CY40" s="7">
        <v>8.1487330863050396</v>
      </c>
      <c r="CZ40" s="7">
        <f t="shared" si="47"/>
        <v>265.11562101757602</v>
      </c>
      <c r="DB40" s="28">
        <v>65</v>
      </c>
      <c r="DC40" s="26">
        <v>5.0000000000000002E-5</v>
      </c>
      <c r="DD40" s="28">
        <v>2</v>
      </c>
      <c r="DE40" s="28">
        <v>200</v>
      </c>
      <c r="DF40" s="26">
        <v>7.4999999999999993E-9</v>
      </c>
      <c r="DG40" s="26">
        <f t="shared" si="48"/>
        <v>1.4999999999999999E-8</v>
      </c>
      <c r="DH40" s="26">
        <f t="shared" si="49"/>
        <v>5.9999999999999995E-4</v>
      </c>
      <c r="DI40" s="7">
        <v>121.56246290317701</v>
      </c>
      <c r="DJ40" s="7">
        <v>44.0155689113517</v>
      </c>
      <c r="DK40" s="7">
        <v>176.36283833637401</v>
      </c>
      <c r="DL40" s="7">
        <v>44.0155689113517</v>
      </c>
      <c r="DM40" s="7">
        <v>17189266.2286552</v>
      </c>
      <c r="DN40" s="7">
        <v>8.1487330863050396</v>
      </c>
      <c r="DO40" s="7">
        <f t="shared" si="50"/>
        <v>264.3939761590774</v>
      </c>
      <c r="DQ40" s="28">
        <v>65</v>
      </c>
      <c r="DR40" s="26">
        <v>5.0000000000000002E-5</v>
      </c>
      <c r="DS40" s="28">
        <v>15</v>
      </c>
      <c r="DT40" s="28">
        <v>300</v>
      </c>
      <c r="DU40" s="26">
        <v>5.0000000000000001E-9</v>
      </c>
      <c r="DV40" s="26">
        <f t="shared" si="51"/>
        <v>7.4999999999999997E-8</v>
      </c>
      <c r="DW40" s="26">
        <f t="shared" si="52"/>
        <v>2.9999999999999996E-3</v>
      </c>
      <c r="DX40" s="7">
        <v>186.77580713309399</v>
      </c>
      <c r="DY40" s="7">
        <v>28.565057936355299</v>
      </c>
      <c r="DZ40" s="7">
        <v>115.382714159923</v>
      </c>
      <c r="EA40" s="7">
        <v>28.565057936355299</v>
      </c>
      <c r="EB40" s="7">
        <v>2291902.16382069</v>
      </c>
      <c r="EC40" s="7">
        <v>5.0929581789406502</v>
      </c>
      <c r="ED40" s="7">
        <f t="shared" si="53"/>
        <v>172.51283003263359</v>
      </c>
    </row>
    <row r="41" spans="1:134" x14ac:dyDescent="0.4">
      <c r="A41" s="28">
        <v>70</v>
      </c>
      <c r="B41" s="26">
        <v>1.0000000000000001E-5</v>
      </c>
      <c r="C41" s="28">
        <v>0.2</v>
      </c>
      <c r="D41" s="28">
        <v>30</v>
      </c>
      <c r="E41" s="26">
        <v>7.4999999999999993E-9</v>
      </c>
      <c r="F41" s="26">
        <f t="shared" si="27"/>
        <v>1.5E-9</v>
      </c>
      <c r="G41" s="26">
        <f t="shared" si="28"/>
        <v>2.9999999999999997E-4</v>
      </c>
      <c r="H41" s="7">
        <v>19.8066036808737</v>
      </c>
      <c r="I41" s="7">
        <v>1223.14114606982</v>
      </c>
      <c r="J41" s="7">
        <v>5975.2459753258199</v>
      </c>
      <c r="K41" s="7">
        <v>1223.14114606982</v>
      </c>
      <c r="L41" s="7" t="s">
        <v>94</v>
      </c>
      <c r="M41" s="7">
        <v>203.71832715762599</v>
      </c>
      <c r="N41" s="7">
        <f t="shared" si="29"/>
        <v>8421.5282674654591</v>
      </c>
      <c r="P41" s="28">
        <v>70</v>
      </c>
      <c r="Q41" s="26">
        <v>3.0000000000000001E-5</v>
      </c>
      <c r="R41" s="28">
        <v>0.2</v>
      </c>
      <c r="S41" s="28">
        <v>30</v>
      </c>
      <c r="T41" s="26">
        <v>7.4999999999999993E-9</v>
      </c>
      <c r="U41" s="26">
        <f t="shared" si="30"/>
        <v>1.5E-9</v>
      </c>
      <c r="V41" s="26">
        <f t="shared" si="31"/>
        <v>9.9999999999999991E-5</v>
      </c>
      <c r="W41" s="7">
        <v>20.4352987255096</v>
      </c>
      <c r="X41" s="7">
        <v>407.71371535265399</v>
      </c>
      <c r="Y41" s="7">
        <v>1991.7486584419401</v>
      </c>
      <c r="Z41" s="7">
        <v>407.71371535265399</v>
      </c>
      <c r="AA41" s="7" t="s">
        <v>94</v>
      </c>
      <c r="AB41" s="7">
        <v>22.635369684180699</v>
      </c>
      <c r="AC41" s="7">
        <f t="shared" si="32"/>
        <v>2807.1760891472481</v>
      </c>
      <c r="AE41" s="28">
        <v>70</v>
      </c>
      <c r="AF41" s="26">
        <v>5.0000000000000002E-5</v>
      </c>
      <c r="AG41" s="28">
        <v>0.2</v>
      </c>
      <c r="AH41" s="28">
        <v>30</v>
      </c>
      <c r="AI41" s="26">
        <v>7.4999999999999993E-9</v>
      </c>
      <c r="AJ41" s="26">
        <f t="shared" si="33"/>
        <v>1.5E-9</v>
      </c>
      <c r="AK41" s="26">
        <f t="shared" si="34"/>
        <v>5.9999999999999995E-5</v>
      </c>
      <c r="AL41" s="7">
        <v>20.5658577363766</v>
      </c>
      <c r="AM41" s="7">
        <v>244.62822917813699</v>
      </c>
      <c r="AN41" s="7">
        <v>1195.0491950651599</v>
      </c>
      <c r="AO41" s="7">
        <v>244.62822917813699</v>
      </c>
      <c r="AP41" s="7" t="s">
        <v>94</v>
      </c>
      <c r="AQ41" s="7">
        <v>8.1487330863050396</v>
      </c>
      <c r="AR41" s="7">
        <f t="shared" si="35"/>
        <v>1684.3056534214338</v>
      </c>
      <c r="AT41" s="28">
        <v>70</v>
      </c>
      <c r="AU41" s="26">
        <v>1.0000000000000001E-5</v>
      </c>
      <c r="AV41" s="28">
        <v>0.2</v>
      </c>
      <c r="AW41" s="28">
        <v>200</v>
      </c>
      <c r="AX41" s="26">
        <v>7.4999999999999993E-9</v>
      </c>
      <c r="AY41" s="26">
        <f t="shared" si="36"/>
        <v>1.5E-9</v>
      </c>
      <c r="AZ41" s="26">
        <f t="shared" si="37"/>
        <v>2.9999999999999997E-4</v>
      </c>
      <c r="BA41" s="7">
        <v>104.46953159268099</v>
      </c>
      <c r="BB41" s="7">
        <v>184.11844341766201</v>
      </c>
      <c r="BC41" s="7">
        <v>898.22894938474894</v>
      </c>
      <c r="BD41" s="7">
        <v>184.11844341766201</v>
      </c>
      <c r="BE41" s="7" t="s">
        <v>94</v>
      </c>
      <c r="BF41" s="7">
        <v>203.71832715762599</v>
      </c>
      <c r="BG41" s="7">
        <f t="shared" si="38"/>
        <v>1266.465836220073</v>
      </c>
      <c r="BI41" s="28">
        <v>70</v>
      </c>
      <c r="BJ41" s="26">
        <v>1.0000000000000001E-5</v>
      </c>
      <c r="BK41" s="28">
        <v>0.5</v>
      </c>
      <c r="BL41" s="28">
        <v>200</v>
      </c>
      <c r="BM41" s="26">
        <v>7.4999999999999993E-9</v>
      </c>
      <c r="BN41" s="26">
        <f t="shared" si="39"/>
        <v>3.7499999999999997E-9</v>
      </c>
      <c r="BO41" s="26">
        <f t="shared" si="40"/>
        <v>7.4999999999999991E-4</v>
      </c>
      <c r="BP41" s="7">
        <v>104.523142153809</v>
      </c>
      <c r="BQ41" s="7">
        <v>183.946660682919</v>
      </c>
      <c r="BR41" s="7">
        <v>897.71395999315905</v>
      </c>
      <c r="BS41" s="7">
        <v>183.946660682919</v>
      </c>
      <c r="BT41" s="7" t="s">
        <v>94</v>
      </c>
      <c r="BU41" s="7">
        <v>203.71832715762599</v>
      </c>
      <c r="BV41" s="7">
        <f t="shared" si="41"/>
        <v>1265.6072813589969</v>
      </c>
      <c r="BX41" s="28">
        <v>70</v>
      </c>
      <c r="BY41" s="26">
        <v>5.0000000000000002E-5</v>
      </c>
      <c r="BZ41" s="28">
        <v>0.5</v>
      </c>
      <c r="CA41" s="28">
        <v>200</v>
      </c>
      <c r="CB41" s="26">
        <v>7.4999999999999993E-9</v>
      </c>
      <c r="CC41" s="26">
        <f t="shared" si="42"/>
        <v>3.7499999999999997E-9</v>
      </c>
      <c r="CD41" s="26">
        <f t="shared" si="43"/>
        <v>1.4999999999999999E-4</v>
      </c>
      <c r="CE41" s="7">
        <v>129.81405131761599</v>
      </c>
      <c r="CF41" s="7">
        <v>36.7893321345583</v>
      </c>
      <c r="CG41" s="7">
        <v>179.542791998632</v>
      </c>
      <c r="CH41" s="7">
        <v>36.7893321345583</v>
      </c>
      <c r="CI41" s="7" t="s">
        <v>94</v>
      </c>
      <c r="CJ41" s="7">
        <v>8.1487330863050396</v>
      </c>
      <c r="CK41" s="7">
        <f t="shared" si="44"/>
        <v>253.12145626774858</v>
      </c>
      <c r="CM41" s="28">
        <v>70</v>
      </c>
      <c r="CN41" s="26">
        <v>5.0000000000000002E-5</v>
      </c>
      <c r="CO41" s="28">
        <v>1</v>
      </c>
      <c r="CP41" s="28">
        <v>200</v>
      </c>
      <c r="CQ41" s="26">
        <v>7.4999999999999993E-9</v>
      </c>
      <c r="CR41" s="26">
        <f t="shared" si="45"/>
        <v>7.4999999999999993E-9</v>
      </c>
      <c r="CS41" s="26">
        <f t="shared" si="46"/>
        <v>2.9999999999999997E-4</v>
      </c>
      <c r="CT41" s="7">
        <v>129.951810628147</v>
      </c>
      <c r="CU41" s="7">
        <v>36.732214141098297</v>
      </c>
      <c r="CV41" s="7">
        <v>179.37142238436701</v>
      </c>
      <c r="CW41" s="7">
        <v>36.732214141098297</v>
      </c>
      <c r="CX41" s="7" t="s">
        <v>94</v>
      </c>
      <c r="CY41" s="7">
        <v>8.1487330863050396</v>
      </c>
      <c r="CZ41" s="7">
        <f t="shared" si="47"/>
        <v>252.8358506665636</v>
      </c>
      <c r="DB41" s="28">
        <v>70</v>
      </c>
      <c r="DC41" s="26">
        <v>5.0000000000000002E-5</v>
      </c>
      <c r="DD41" s="28">
        <v>2</v>
      </c>
      <c r="DE41" s="28">
        <v>200</v>
      </c>
      <c r="DF41" s="26">
        <v>7.4999999999999993E-9</v>
      </c>
      <c r="DG41" s="26">
        <f t="shared" si="48"/>
        <v>1.4999999999999999E-8</v>
      </c>
      <c r="DH41" s="26">
        <f t="shared" si="49"/>
        <v>5.9999999999999995E-4</v>
      </c>
      <c r="DI41" s="7">
        <v>130.227159950388</v>
      </c>
      <c r="DJ41" s="7">
        <v>36.618511090650998</v>
      </c>
      <c r="DK41" s="7">
        <v>179.02977916857401</v>
      </c>
      <c r="DL41" s="7">
        <v>36.618511090650998</v>
      </c>
      <c r="DM41" s="7" t="s">
        <v>94</v>
      </c>
      <c r="DN41" s="7">
        <v>8.1487330863050396</v>
      </c>
      <c r="DO41" s="7">
        <f t="shared" si="50"/>
        <v>252.266801349876</v>
      </c>
      <c r="DQ41" s="28">
        <v>70</v>
      </c>
      <c r="DR41" s="26">
        <v>5.0000000000000002E-5</v>
      </c>
      <c r="DS41" s="28">
        <v>15</v>
      </c>
      <c r="DT41" s="28">
        <v>300</v>
      </c>
      <c r="DU41" s="26">
        <v>5.0000000000000001E-9</v>
      </c>
      <c r="DV41" s="26">
        <f t="shared" si="51"/>
        <v>7.4999999999999997E-8</v>
      </c>
      <c r="DW41" s="26">
        <f t="shared" si="52"/>
        <v>2.9999999999999996E-3</v>
      </c>
      <c r="DX41" s="7">
        <v>199.401962225604</v>
      </c>
      <c r="DY41" s="7">
        <v>23.8224846510956</v>
      </c>
      <c r="DZ41" s="7">
        <v>117.565391453988</v>
      </c>
      <c r="EA41" s="7">
        <v>23.8224846510956</v>
      </c>
      <c r="EB41" s="7" t="s">
        <v>94</v>
      </c>
      <c r="EC41" s="7">
        <v>5.0929581789406502</v>
      </c>
      <c r="ED41" s="7">
        <f t="shared" si="53"/>
        <v>165.2103607561792</v>
      </c>
    </row>
    <row r="42" spans="1:134" x14ac:dyDescent="0.4">
      <c r="B42" s="26"/>
      <c r="E42" s="26"/>
      <c r="F42" s="26"/>
      <c r="G42" s="26"/>
      <c r="Q42" s="26"/>
      <c r="T42" s="26"/>
      <c r="U42" s="26"/>
      <c r="V42" s="26"/>
      <c r="AF42" s="26"/>
      <c r="AI42" s="26"/>
      <c r="AJ42" s="26"/>
      <c r="AK42" s="26"/>
      <c r="AU42" s="26"/>
      <c r="AX42" s="26"/>
      <c r="AY42" s="26"/>
      <c r="AZ42" s="26"/>
      <c r="BJ42" s="26"/>
      <c r="BM42" s="26"/>
      <c r="BN42" s="26"/>
      <c r="BO42" s="26"/>
      <c r="BY42" s="26"/>
      <c r="CB42" s="26"/>
      <c r="CC42" s="26"/>
      <c r="CD42" s="26"/>
      <c r="CN42" s="26"/>
      <c r="CQ42" s="26"/>
      <c r="CR42" s="26"/>
      <c r="CS42" s="26"/>
      <c r="DC42" s="26"/>
      <c r="DF42" s="26"/>
      <c r="DG42" s="26"/>
      <c r="DH42" s="26"/>
      <c r="DR42" s="26"/>
      <c r="DU42" s="26"/>
      <c r="DV42" s="26"/>
      <c r="DW42" s="26"/>
    </row>
    <row r="43" spans="1:134" s="36" customFormat="1" ht="47.25" x14ac:dyDescent="0.4">
      <c r="A43" s="53" t="s">
        <v>69</v>
      </c>
      <c r="B43" s="54" t="s">
        <v>93</v>
      </c>
      <c r="C43" s="39" t="s">
        <v>73</v>
      </c>
      <c r="D43" s="39" t="s">
        <v>98</v>
      </c>
      <c r="E43" s="39" t="s">
        <v>97</v>
      </c>
      <c r="F43" s="39" t="s">
        <v>99</v>
      </c>
      <c r="G43" s="39" t="s">
        <v>96</v>
      </c>
      <c r="H43" s="37" t="s">
        <v>60</v>
      </c>
      <c r="I43" s="37" t="s">
        <v>100</v>
      </c>
      <c r="J43" s="37" t="s">
        <v>101</v>
      </c>
      <c r="K43" s="37" t="s">
        <v>102</v>
      </c>
      <c r="L43" s="37" t="s">
        <v>103</v>
      </c>
      <c r="M43" s="37" t="s">
        <v>65</v>
      </c>
      <c r="N43" s="37" t="s">
        <v>68</v>
      </c>
      <c r="O43" s="55"/>
      <c r="P43" s="53" t="s">
        <v>69</v>
      </c>
      <c r="Q43" s="54" t="s">
        <v>93</v>
      </c>
      <c r="R43" s="39" t="s">
        <v>73</v>
      </c>
      <c r="S43" s="39" t="s">
        <v>98</v>
      </c>
      <c r="T43" s="39" t="s">
        <v>97</v>
      </c>
      <c r="U43" s="39" t="s">
        <v>99</v>
      </c>
      <c r="V43" s="39" t="s">
        <v>96</v>
      </c>
      <c r="W43" s="37" t="s">
        <v>60</v>
      </c>
      <c r="X43" s="37" t="s">
        <v>100</v>
      </c>
      <c r="Y43" s="37" t="s">
        <v>101</v>
      </c>
      <c r="Z43" s="37" t="s">
        <v>102</v>
      </c>
      <c r="AA43" s="37" t="s">
        <v>103</v>
      </c>
      <c r="AB43" s="37" t="s">
        <v>65</v>
      </c>
      <c r="AC43" s="37" t="s">
        <v>68</v>
      </c>
      <c r="AD43" s="55"/>
      <c r="AE43" s="53" t="s">
        <v>69</v>
      </c>
      <c r="AF43" s="54" t="s">
        <v>93</v>
      </c>
      <c r="AG43" s="39" t="s">
        <v>73</v>
      </c>
      <c r="AH43" s="39" t="s">
        <v>98</v>
      </c>
      <c r="AI43" s="39" t="s">
        <v>97</v>
      </c>
      <c r="AJ43" s="39" t="s">
        <v>99</v>
      </c>
      <c r="AK43" s="39" t="s">
        <v>96</v>
      </c>
      <c r="AL43" s="37" t="s">
        <v>60</v>
      </c>
      <c r="AM43" s="37" t="s">
        <v>100</v>
      </c>
      <c r="AN43" s="37" t="s">
        <v>101</v>
      </c>
      <c r="AO43" s="37" t="s">
        <v>102</v>
      </c>
      <c r="AP43" s="37" t="s">
        <v>103</v>
      </c>
      <c r="AQ43" s="37" t="s">
        <v>65</v>
      </c>
      <c r="AR43" s="37" t="s">
        <v>68</v>
      </c>
      <c r="AS43" s="55"/>
      <c r="AT43" s="53" t="s">
        <v>69</v>
      </c>
      <c r="AU43" s="54" t="s">
        <v>93</v>
      </c>
      <c r="AV43" s="39" t="s">
        <v>73</v>
      </c>
      <c r="AW43" s="39" t="s">
        <v>98</v>
      </c>
      <c r="AX43" s="39" t="s">
        <v>97</v>
      </c>
      <c r="AY43" s="39" t="s">
        <v>99</v>
      </c>
      <c r="AZ43" s="39" t="s">
        <v>96</v>
      </c>
      <c r="BA43" s="37" t="s">
        <v>60</v>
      </c>
      <c r="BB43" s="37" t="s">
        <v>100</v>
      </c>
      <c r="BC43" s="37" t="s">
        <v>101</v>
      </c>
      <c r="BD43" s="37" t="s">
        <v>102</v>
      </c>
      <c r="BE43" s="37" t="s">
        <v>103</v>
      </c>
      <c r="BF43" s="37" t="s">
        <v>65</v>
      </c>
      <c r="BG43" s="37" t="s">
        <v>68</v>
      </c>
      <c r="BH43" s="55"/>
      <c r="BI43" s="53" t="s">
        <v>69</v>
      </c>
      <c r="BJ43" s="54" t="s">
        <v>93</v>
      </c>
      <c r="BK43" s="39" t="s">
        <v>73</v>
      </c>
      <c r="BL43" s="39" t="s">
        <v>98</v>
      </c>
      <c r="BM43" s="39" t="s">
        <v>97</v>
      </c>
      <c r="BN43" s="39" t="s">
        <v>99</v>
      </c>
      <c r="BO43" s="39" t="s">
        <v>96</v>
      </c>
      <c r="BP43" s="37" t="s">
        <v>60</v>
      </c>
      <c r="BQ43" s="37" t="s">
        <v>100</v>
      </c>
      <c r="BR43" s="37" t="s">
        <v>101</v>
      </c>
      <c r="BS43" s="37" t="s">
        <v>102</v>
      </c>
      <c r="BT43" s="37" t="s">
        <v>103</v>
      </c>
      <c r="BU43" s="37" t="s">
        <v>65</v>
      </c>
      <c r="BV43" s="37" t="s">
        <v>68</v>
      </c>
      <c r="BW43" s="55"/>
      <c r="BX43" s="53" t="s">
        <v>69</v>
      </c>
      <c r="BY43" s="54" t="s">
        <v>93</v>
      </c>
      <c r="BZ43" s="39" t="s">
        <v>73</v>
      </c>
      <c r="CA43" s="39" t="s">
        <v>98</v>
      </c>
      <c r="CB43" s="39" t="s">
        <v>97</v>
      </c>
      <c r="CC43" s="39" t="s">
        <v>99</v>
      </c>
      <c r="CD43" s="39" t="s">
        <v>96</v>
      </c>
      <c r="CE43" s="37" t="s">
        <v>60</v>
      </c>
      <c r="CF43" s="37" t="s">
        <v>100</v>
      </c>
      <c r="CG43" s="37" t="s">
        <v>101</v>
      </c>
      <c r="CH43" s="37" t="s">
        <v>102</v>
      </c>
      <c r="CI43" s="37" t="s">
        <v>103</v>
      </c>
      <c r="CJ43" s="37" t="s">
        <v>65</v>
      </c>
      <c r="CK43" s="37" t="s">
        <v>68</v>
      </c>
      <c r="CL43" s="55"/>
      <c r="CM43" s="53" t="s">
        <v>69</v>
      </c>
      <c r="CN43" s="54" t="s">
        <v>93</v>
      </c>
      <c r="CO43" s="39" t="s">
        <v>73</v>
      </c>
      <c r="CP43" s="39" t="s">
        <v>98</v>
      </c>
      <c r="CQ43" s="39" t="s">
        <v>97</v>
      </c>
      <c r="CR43" s="39" t="s">
        <v>99</v>
      </c>
      <c r="CS43" s="39" t="s">
        <v>96</v>
      </c>
      <c r="CT43" s="37" t="s">
        <v>60</v>
      </c>
      <c r="CU43" s="37" t="s">
        <v>100</v>
      </c>
      <c r="CV43" s="37" t="s">
        <v>101</v>
      </c>
      <c r="CW43" s="37" t="s">
        <v>102</v>
      </c>
      <c r="CX43" s="37" t="s">
        <v>103</v>
      </c>
      <c r="CY43" s="37" t="s">
        <v>65</v>
      </c>
      <c r="CZ43" s="37" t="s">
        <v>68</v>
      </c>
      <c r="DA43" s="55"/>
      <c r="DB43" s="53" t="s">
        <v>69</v>
      </c>
      <c r="DC43" s="54" t="s">
        <v>93</v>
      </c>
      <c r="DD43" s="39" t="s">
        <v>73</v>
      </c>
      <c r="DE43" s="39" t="s">
        <v>98</v>
      </c>
      <c r="DF43" s="39" t="s">
        <v>97</v>
      </c>
      <c r="DG43" s="39" t="s">
        <v>99</v>
      </c>
      <c r="DH43" s="39" t="s">
        <v>96</v>
      </c>
      <c r="DI43" s="37" t="s">
        <v>60</v>
      </c>
      <c r="DJ43" s="37" t="s">
        <v>100</v>
      </c>
      <c r="DK43" s="37" t="s">
        <v>101</v>
      </c>
      <c r="DL43" s="37" t="s">
        <v>102</v>
      </c>
      <c r="DM43" s="37" t="s">
        <v>103</v>
      </c>
      <c r="DN43" s="37" t="s">
        <v>65</v>
      </c>
      <c r="DO43" s="37" t="s">
        <v>68</v>
      </c>
      <c r="DP43" s="55"/>
      <c r="DQ43" s="53" t="s">
        <v>69</v>
      </c>
      <c r="DR43" s="54" t="s">
        <v>93</v>
      </c>
      <c r="DS43" s="39" t="s">
        <v>73</v>
      </c>
      <c r="DT43" s="39" t="s">
        <v>98</v>
      </c>
      <c r="DU43" s="39" t="s">
        <v>97</v>
      </c>
      <c r="DV43" s="39" t="s">
        <v>99</v>
      </c>
      <c r="DW43" s="39" t="s">
        <v>96</v>
      </c>
      <c r="DX43" s="37" t="s">
        <v>60</v>
      </c>
      <c r="DY43" s="37" t="s">
        <v>100</v>
      </c>
      <c r="DZ43" s="37" t="s">
        <v>101</v>
      </c>
      <c r="EA43" s="37" t="s">
        <v>102</v>
      </c>
      <c r="EB43" s="37" t="s">
        <v>103</v>
      </c>
      <c r="EC43" s="37" t="s">
        <v>65</v>
      </c>
      <c r="ED43" s="37" t="s">
        <v>68</v>
      </c>
    </row>
    <row r="44" spans="1:134" x14ac:dyDescent="0.4">
      <c r="A44" s="28">
        <v>1</v>
      </c>
      <c r="B44" s="26">
        <v>1.0000000000000001E-5</v>
      </c>
      <c r="C44" s="28">
        <v>0.2</v>
      </c>
      <c r="D44" s="28">
        <v>30</v>
      </c>
      <c r="E44" s="26">
        <v>1E-8</v>
      </c>
      <c r="F44" s="26">
        <f t="shared" ref="F44:F62" si="54">C44*E44</f>
        <v>2.0000000000000001E-9</v>
      </c>
      <c r="G44" s="26">
        <f t="shared" ref="G44:G62" si="55">F44/(B44/2)</f>
        <v>4.0000000000000002E-4</v>
      </c>
      <c r="H44" s="7">
        <v>0.22570694300237501</v>
      </c>
      <c r="I44" s="7">
        <v>20967.675665585699</v>
      </c>
      <c r="J44" s="7">
        <v>750067.42850576504</v>
      </c>
      <c r="K44" s="7">
        <v>20967.675665585699</v>
      </c>
      <c r="L44" s="7">
        <v>246455.34799285</v>
      </c>
      <c r="M44" s="7">
        <v>254.64790894703299</v>
      </c>
      <c r="N44" s="7">
        <f t="shared" ref="N44:N62" si="56">I44+J44+K44</f>
        <v>792002.77983693639</v>
      </c>
      <c r="P44" s="28">
        <v>1</v>
      </c>
      <c r="Q44" s="26">
        <v>3.0000000000000001E-5</v>
      </c>
      <c r="R44" s="28">
        <v>0.2</v>
      </c>
      <c r="S44" s="28">
        <v>30</v>
      </c>
      <c r="T44" s="26">
        <v>1E-8</v>
      </c>
      <c r="U44" s="26">
        <f t="shared" ref="U44:U62" si="57">R44*T44</f>
        <v>2.0000000000000001E-9</v>
      </c>
      <c r="V44" s="26">
        <f t="shared" ref="V44:V62" si="58">U44/(Q44/2)</f>
        <v>1.3333333333333334E-4</v>
      </c>
      <c r="W44" s="7">
        <v>0.22572989076092301</v>
      </c>
      <c r="X44" s="7">
        <v>6989.2252213633501</v>
      </c>
      <c r="Y44" s="7">
        <v>250022.476149864</v>
      </c>
      <c r="Z44" s="7">
        <v>6989.2252213633501</v>
      </c>
      <c r="AA44" s="7">
        <v>82151.782666878105</v>
      </c>
      <c r="AB44" s="7">
        <v>28.2942121052258</v>
      </c>
      <c r="AC44" s="7">
        <f t="shared" ref="AC44:AC62" si="59">X44+Y44+Z44</f>
        <v>264000.92659259069</v>
      </c>
      <c r="AE44" s="28">
        <v>1</v>
      </c>
      <c r="AF44" s="26">
        <v>5.0000000000000002E-5</v>
      </c>
      <c r="AG44" s="28">
        <v>0.2</v>
      </c>
      <c r="AH44" s="28">
        <v>30</v>
      </c>
      <c r="AI44" s="26">
        <v>1E-8</v>
      </c>
      <c r="AJ44" s="26">
        <f t="shared" ref="AJ44:AJ62" si="60">AG44*AI44</f>
        <v>2.0000000000000001E-9</v>
      </c>
      <c r="AK44" s="26">
        <f t="shared" ref="AK44:AK62" si="61">AJ44/(AF44/2)</f>
        <v>8.0000000000000007E-5</v>
      </c>
      <c r="AL44" s="7">
        <v>0.225734482653384</v>
      </c>
      <c r="AM44" s="7">
        <v>4193.5351285970401</v>
      </c>
      <c r="AN44" s="7">
        <v>150013.48553139099</v>
      </c>
      <c r="AO44" s="7">
        <v>4193.5351285970401</v>
      </c>
      <c r="AP44" s="7">
        <v>49291.069622095303</v>
      </c>
      <c r="AQ44" s="7">
        <v>10.1859163578813</v>
      </c>
      <c r="AR44" s="7">
        <f t="shared" ref="AR44:AR62" si="62">AM44+AN44+AO44</f>
        <v>158400.5557885851</v>
      </c>
      <c r="AT44" s="28">
        <v>1</v>
      </c>
      <c r="AU44" s="26">
        <v>1.0000000000000001E-5</v>
      </c>
      <c r="AV44" s="28">
        <v>0.2</v>
      </c>
      <c r="AW44" s="28">
        <v>200</v>
      </c>
      <c r="AX44" s="26">
        <v>1E-8</v>
      </c>
      <c r="AY44" s="26">
        <f t="shared" ref="AY44:AY62" si="63">AV44*AX44</f>
        <v>2.0000000000000001E-9</v>
      </c>
      <c r="AZ44" s="26">
        <f t="shared" ref="AZ44:AZ62" si="64">AY44/(AU44/2)</f>
        <v>4.0000000000000002E-4</v>
      </c>
      <c r="BA44" s="7">
        <v>0.22805121453448399</v>
      </c>
      <c r="BB44" s="7">
        <v>4345.3623253436699</v>
      </c>
      <c r="BC44" s="7">
        <v>750067.42850576504</v>
      </c>
      <c r="BD44" s="7">
        <v>4345.3623253436699</v>
      </c>
      <c r="BE44" s="7">
        <v>246455.34799285</v>
      </c>
      <c r="BF44" s="7">
        <v>254.64790894703299</v>
      </c>
      <c r="BG44" s="7">
        <f t="shared" ref="BG44:BG62" si="65">BB44+BC44+BD44</f>
        <v>758758.15315645235</v>
      </c>
      <c r="BI44" s="28">
        <v>1</v>
      </c>
      <c r="BJ44" s="26">
        <v>1.0000000000000001E-5</v>
      </c>
      <c r="BK44" s="28">
        <v>0.5</v>
      </c>
      <c r="BL44" s="28">
        <v>200</v>
      </c>
      <c r="BM44" s="26">
        <v>1E-8</v>
      </c>
      <c r="BN44" s="26">
        <f t="shared" ref="BN44:BN62" si="66">BK44*BM44</f>
        <v>5.0000000000000001E-9</v>
      </c>
      <c r="BO44" s="26">
        <f t="shared" ref="BO44:BO62" si="67">BN44/(BJ44/2)</f>
        <v>1E-3</v>
      </c>
      <c r="BP44" s="7">
        <v>0.56815183227048505</v>
      </c>
      <c r="BQ44" s="7">
        <v>3764.12485338133</v>
      </c>
      <c r="BR44" s="7">
        <v>300026.97140230599</v>
      </c>
      <c r="BS44" s="7">
        <v>3764.12485338133</v>
      </c>
      <c r="BT44" s="7">
        <v>98582.139197140001</v>
      </c>
      <c r="BU44" s="7">
        <v>254.64790894703299</v>
      </c>
      <c r="BV44" s="7">
        <f t="shared" ref="BV44:BV62" si="68">BQ44+BR44+BS44</f>
        <v>307555.2211090686</v>
      </c>
      <c r="BX44" s="28">
        <v>1</v>
      </c>
      <c r="BY44" s="26">
        <v>5.0000000000000002E-5</v>
      </c>
      <c r="BZ44" s="28">
        <v>0.5</v>
      </c>
      <c r="CA44" s="28">
        <v>200</v>
      </c>
      <c r="CB44" s="26">
        <v>1E-8</v>
      </c>
      <c r="CC44" s="26">
        <f t="shared" ref="CC44:CC62" si="69">BZ44*CB44</f>
        <v>5.0000000000000001E-9</v>
      </c>
      <c r="CD44" s="26">
        <f t="shared" ref="CD44:CD62" si="70">CC44/(BY44/2)</f>
        <v>1.9999999999999998E-4</v>
      </c>
      <c r="CE44" s="7">
        <v>0.56833423801320804</v>
      </c>
      <c r="CF44" s="7">
        <v>752.82497001808497</v>
      </c>
      <c r="CG44" s="7">
        <v>60005.394212556603</v>
      </c>
      <c r="CH44" s="7">
        <v>752.82497001808497</v>
      </c>
      <c r="CI44" s="7">
        <v>19716.427848838099</v>
      </c>
      <c r="CJ44" s="7">
        <v>10.1859163578813</v>
      </c>
      <c r="CK44" s="7">
        <f t="shared" ref="CK44:CK62" si="71">CF44+CG44+CH44</f>
        <v>61511.044152592767</v>
      </c>
      <c r="CM44" s="28">
        <v>1</v>
      </c>
      <c r="CN44" s="26">
        <v>5.0000000000000002E-5</v>
      </c>
      <c r="CO44" s="28">
        <v>1</v>
      </c>
      <c r="CP44" s="28">
        <v>200</v>
      </c>
      <c r="CQ44" s="26">
        <v>1E-8</v>
      </c>
      <c r="CR44" s="26">
        <f t="shared" ref="CR44:CR62" si="72">CO44*CQ44</f>
        <v>1E-8</v>
      </c>
      <c r="CS44" s="26">
        <f t="shared" ref="CS44:CS62" si="73">CR44/(CN44/2)</f>
        <v>3.9999999999999996E-4</v>
      </c>
      <c r="CT44" s="7">
        <v>1.1314970139231799</v>
      </c>
      <c r="CU44" s="7">
        <v>665.23311259709499</v>
      </c>
      <c r="CV44" s="7">
        <v>30002.697106278301</v>
      </c>
      <c r="CW44" s="7">
        <v>665.23311259709499</v>
      </c>
      <c r="CX44" s="7">
        <v>9858.2139244190694</v>
      </c>
      <c r="CY44" s="7">
        <v>10.1859163578813</v>
      </c>
      <c r="CZ44" s="7">
        <f t="shared" ref="CZ44:CZ62" si="74">CU44+CV44+CW44</f>
        <v>31333.163331472493</v>
      </c>
      <c r="DB44" s="28">
        <v>1</v>
      </c>
      <c r="DC44" s="26">
        <v>5.0000000000000002E-5</v>
      </c>
      <c r="DD44" s="28">
        <v>2</v>
      </c>
      <c r="DE44" s="28">
        <v>200</v>
      </c>
      <c r="DF44" s="26">
        <v>1E-8</v>
      </c>
      <c r="DG44" s="26">
        <f t="shared" ref="DG44:DG62" si="75">DD44*DF44</f>
        <v>2E-8</v>
      </c>
      <c r="DH44" s="26">
        <f t="shared" ref="DH44:DH62" si="76">DG44/(DC44/2)</f>
        <v>7.9999999999999993E-4</v>
      </c>
      <c r="DI44" s="7">
        <v>2.2462165802045799</v>
      </c>
      <c r="DJ44" s="7">
        <v>578.22973015081095</v>
      </c>
      <c r="DK44" s="7">
        <v>15001.3485531391</v>
      </c>
      <c r="DL44" s="7">
        <v>578.22973015081095</v>
      </c>
      <c r="DM44" s="7">
        <v>4929.1069622095301</v>
      </c>
      <c r="DN44" s="7">
        <v>10.1859163578813</v>
      </c>
      <c r="DO44" s="7">
        <f t="shared" ref="DO44:DO62" si="77">DJ44+DK44+DL44</f>
        <v>16157.808013440723</v>
      </c>
      <c r="DQ44" s="28">
        <v>1</v>
      </c>
      <c r="DR44" s="26">
        <v>5.0000000000000002E-5</v>
      </c>
      <c r="DS44" s="28">
        <v>15</v>
      </c>
      <c r="DT44" s="28">
        <v>300</v>
      </c>
      <c r="DU44" s="26">
        <v>7.4999999999999993E-9</v>
      </c>
      <c r="DV44" s="26">
        <f t="shared" ref="DV44:DV62" si="78">DS44*DU44</f>
        <v>1.1249999999999999E-7</v>
      </c>
      <c r="DW44" s="26">
        <f t="shared" ref="DW44:DW62" si="79">DV44/(DR44/2)</f>
        <v>4.4999999999999997E-3</v>
      </c>
      <c r="DX44" s="7">
        <v>16.272655782122602</v>
      </c>
      <c r="DY44" s="7">
        <v>254.539230510376</v>
      </c>
      <c r="DZ44" s="7">
        <v>2000.1798070852201</v>
      </c>
      <c r="EA44" s="7">
        <v>254.539230510376</v>
      </c>
      <c r="EB44" s="7">
        <v>657.21426162793796</v>
      </c>
      <c r="EC44" s="7">
        <v>8.1487330863050396</v>
      </c>
      <c r="ED44" s="7">
        <f t="shared" ref="ED44:ED62" si="80">DY44+DZ44+EA44</f>
        <v>2509.2582681059721</v>
      </c>
    </row>
    <row r="45" spans="1:134" x14ac:dyDescent="0.4">
      <c r="A45" s="28">
        <v>2</v>
      </c>
      <c r="B45" s="26">
        <v>1.0000000000000001E-5</v>
      </c>
      <c r="C45" s="28">
        <v>0.2</v>
      </c>
      <c r="D45" s="28">
        <v>30</v>
      </c>
      <c r="E45" s="26">
        <v>1E-8</v>
      </c>
      <c r="F45" s="26">
        <f t="shared" si="54"/>
        <v>2.0000000000000001E-9</v>
      </c>
      <c r="G45" s="26">
        <f t="shared" si="55"/>
        <v>4.0000000000000002E-4</v>
      </c>
      <c r="H45" s="7">
        <v>0.25948238283983299</v>
      </c>
      <c r="I45" s="7">
        <v>20967.675665585699</v>
      </c>
      <c r="J45" s="7">
        <v>482013.76177816797</v>
      </c>
      <c r="K45" s="7">
        <v>20967.675665585699</v>
      </c>
      <c r="L45" s="7">
        <v>339325.67523914197</v>
      </c>
      <c r="M45" s="7">
        <v>254.64790894703299</v>
      </c>
      <c r="N45" s="7">
        <f t="shared" si="56"/>
        <v>523949.11310933932</v>
      </c>
      <c r="P45" s="28">
        <v>2</v>
      </c>
      <c r="Q45" s="26">
        <v>3.0000000000000001E-5</v>
      </c>
      <c r="R45" s="28">
        <v>0.2</v>
      </c>
      <c r="S45" s="28">
        <v>30</v>
      </c>
      <c r="T45" s="26">
        <v>1E-8</v>
      </c>
      <c r="U45" s="26">
        <f t="shared" si="57"/>
        <v>2.0000000000000001E-9</v>
      </c>
      <c r="V45" s="26">
        <f t="shared" si="58"/>
        <v>1.3333333333333334E-4</v>
      </c>
      <c r="W45" s="7">
        <v>0.259548416968926</v>
      </c>
      <c r="X45" s="7">
        <v>6989.2252213633501</v>
      </c>
      <c r="Y45" s="7">
        <v>160671.25390733199</v>
      </c>
      <c r="Z45" s="7">
        <v>6989.2252213633501</v>
      </c>
      <c r="AA45" s="7">
        <v>113108.558420806</v>
      </c>
      <c r="AB45" s="7">
        <v>28.2942121052258</v>
      </c>
      <c r="AC45" s="7">
        <f t="shared" si="59"/>
        <v>174649.70435005872</v>
      </c>
      <c r="AE45" s="28">
        <v>2</v>
      </c>
      <c r="AF45" s="26">
        <v>5.0000000000000002E-5</v>
      </c>
      <c r="AG45" s="28">
        <v>0.2</v>
      </c>
      <c r="AH45" s="28">
        <v>30</v>
      </c>
      <c r="AI45" s="26">
        <v>1E-8</v>
      </c>
      <c r="AJ45" s="26">
        <f t="shared" si="60"/>
        <v>2.0000000000000001E-9</v>
      </c>
      <c r="AK45" s="26">
        <f t="shared" si="61"/>
        <v>8.0000000000000007E-5</v>
      </c>
      <c r="AL45" s="7">
        <v>0.25956163407261001</v>
      </c>
      <c r="AM45" s="7">
        <v>4193.5351285970401</v>
      </c>
      <c r="AN45" s="7">
        <v>96402.752185872101</v>
      </c>
      <c r="AO45" s="7">
        <v>4193.5351285970401</v>
      </c>
      <c r="AP45" s="7">
        <v>67865.135118168895</v>
      </c>
      <c r="AQ45" s="7">
        <v>10.1859163578813</v>
      </c>
      <c r="AR45" s="7">
        <f t="shared" si="62"/>
        <v>104789.82244306618</v>
      </c>
      <c r="AT45" s="28">
        <v>2</v>
      </c>
      <c r="AU45" s="26">
        <v>1.0000000000000001E-5</v>
      </c>
      <c r="AV45" s="28">
        <v>0.2</v>
      </c>
      <c r="AW45" s="28">
        <v>200</v>
      </c>
      <c r="AX45" s="26">
        <v>1E-8</v>
      </c>
      <c r="AY45" s="26">
        <f t="shared" si="63"/>
        <v>2.0000000000000001E-9</v>
      </c>
      <c r="AZ45" s="26">
        <f t="shared" si="64"/>
        <v>4.0000000000000002E-4</v>
      </c>
      <c r="BA45" s="7">
        <v>0.26638113143591702</v>
      </c>
      <c r="BB45" s="7">
        <v>4345.3623253436699</v>
      </c>
      <c r="BC45" s="7">
        <v>482013.76177816797</v>
      </c>
      <c r="BD45" s="7">
        <v>4345.3623253436699</v>
      </c>
      <c r="BE45" s="7">
        <v>339325.67523914197</v>
      </c>
      <c r="BF45" s="7">
        <v>254.64790894703299</v>
      </c>
      <c r="BG45" s="7">
        <f t="shared" si="65"/>
        <v>490704.48642885528</v>
      </c>
      <c r="BI45" s="28">
        <v>2</v>
      </c>
      <c r="BJ45" s="26">
        <v>1.0000000000000001E-5</v>
      </c>
      <c r="BK45" s="28">
        <v>0.5</v>
      </c>
      <c r="BL45" s="28">
        <v>200</v>
      </c>
      <c r="BM45" s="26">
        <v>1E-8</v>
      </c>
      <c r="BN45" s="26">
        <f t="shared" si="66"/>
        <v>5.0000000000000001E-9</v>
      </c>
      <c r="BO45" s="26">
        <f t="shared" si="67"/>
        <v>1E-3</v>
      </c>
      <c r="BP45" s="7">
        <v>0.66004967302040596</v>
      </c>
      <c r="BQ45" s="7">
        <v>3764.12485338133</v>
      </c>
      <c r="BR45" s="7">
        <v>192805.50471126701</v>
      </c>
      <c r="BS45" s="7">
        <v>3764.12485338133</v>
      </c>
      <c r="BT45" s="7">
        <v>135730.270095657</v>
      </c>
      <c r="BU45" s="7">
        <v>254.64790894703299</v>
      </c>
      <c r="BV45" s="7">
        <f t="shared" si="68"/>
        <v>200333.75441802968</v>
      </c>
      <c r="BX45" s="28">
        <v>2</v>
      </c>
      <c r="BY45" s="26">
        <v>5.0000000000000002E-5</v>
      </c>
      <c r="BZ45" s="28">
        <v>0.5</v>
      </c>
      <c r="CA45" s="28">
        <v>200</v>
      </c>
      <c r="CB45" s="26">
        <v>1E-8</v>
      </c>
      <c r="CC45" s="26">
        <f t="shared" si="69"/>
        <v>5.0000000000000001E-9</v>
      </c>
      <c r="CD45" s="26">
        <f t="shared" si="70"/>
        <v>1.9999999999999998E-4</v>
      </c>
      <c r="CE45" s="7">
        <v>0.66059074979874999</v>
      </c>
      <c r="CF45" s="7">
        <v>752.82497001808497</v>
      </c>
      <c r="CG45" s="7">
        <v>38561.1008743489</v>
      </c>
      <c r="CH45" s="7">
        <v>752.82497001808497</v>
      </c>
      <c r="CI45" s="7">
        <v>27146.0540472676</v>
      </c>
      <c r="CJ45" s="7">
        <v>10.1859163578813</v>
      </c>
      <c r="CK45" s="7">
        <f t="shared" si="71"/>
        <v>40066.750814385065</v>
      </c>
      <c r="CM45" s="28">
        <v>2</v>
      </c>
      <c r="CN45" s="26">
        <v>5.0000000000000002E-5</v>
      </c>
      <c r="CO45" s="28">
        <v>1</v>
      </c>
      <c r="CP45" s="28">
        <v>200</v>
      </c>
      <c r="CQ45" s="26">
        <v>1E-8</v>
      </c>
      <c r="CR45" s="26">
        <f t="shared" si="72"/>
        <v>1E-8</v>
      </c>
      <c r="CS45" s="26">
        <f t="shared" si="73"/>
        <v>3.9999999999999996E-4</v>
      </c>
      <c r="CT45" s="7">
        <v>1.30598278845021</v>
      </c>
      <c r="CU45" s="7">
        <v>665.23311259709499</v>
      </c>
      <c r="CV45" s="7">
        <v>19280.550437174399</v>
      </c>
      <c r="CW45" s="7">
        <v>665.23311259709499</v>
      </c>
      <c r="CX45" s="7">
        <v>13573.0270236338</v>
      </c>
      <c r="CY45" s="7">
        <v>10.1859163578813</v>
      </c>
      <c r="CZ45" s="7">
        <f t="shared" si="74"/>
        <v>20611.016662368591</v>
      </c>
      <c r="DB45" s="28">
        <v>2</v>
      </c>
      <c r="DC45" s="26">
        <v>5.0000000000000002E-5</v>
      </c>
      <c r="DD45" s="28">
        <v>2</v>
      </c>
      <c r="DE45" s="28">
        <v>200</v>
      </c>
      <c r="DF45" s="26">
        <v>1E-8</v>
      </c>
      <c r="DG45" s="26">
        <f t="shared" si="75"/>
        <v>2E-8</v>
      </c>
      <c r="DH45" s="26">
        <f t="shared" si="76"/>
        <v>7.9999999999999993E-4</v>
      </c>
      <c r="DI45" s="7">
        <v>2.5639208382464398</v>
      </c>
      <c r="DJ45" s="7">
        <v>578.22973015081095</v>
      </c>
      <c r="DK45" s="7">
        <v>9640.2752185872196</v>
      </c>
      <c r="DL45" s="7">
        <v>578.22973015081095</v>
      </c>
      <c r="DM45" s="7">
        <v>6786.5135118168901</v>
      </c>
      <c r="DN45" s="7">
        <v>10.1859163578813</v>
      </c>
      <c r="DO45" s="7">
        <f t="shared" si="77"/>
        <v>10796.734678888843</v>
      </c>
      <c r="DQ45" s="28">
        <v>2</v>
      </c>
      <c r="DR45" s="26">
        <v>5.0000000000000002E-5</v>
      </c>
      <c r="DS45" s="28">
        <v>15</v>
      </c>
      <c r="DT45" s="28">
        <v>300</v>
      </c>
      <c r="DU45" s="26">
        <v>7.4999999999999993E-9</v>
      </c>
      <c r="DV45" s="26">
        <f t="shared" si="78"/>
        <v>1.1249999999999999E-7</v>
      </c>
      <c r="DW45" s="26">
        <f t="shared" si="79"/>
        <v>4.4999999999999997E-3</v>
      </c>
      <c r="DX45" s="7">
        <v>17.720891995870101</v>
      </c>
      <c r="DY45" s="7">
        <v>254.539230510376</v>
      </c>
      <c r="DZ45" s="7">
        <v>1285.37002914496</v>
      </c>
      <c r="EA45" s="7">
        <v>254.539230510376</v>
      </c>
      <c r="EB45" s="7">
        <v>904.86846824225199</v>
      </c>
      <c r="EC45" s="7">
        <v>8.1487330863050396</v>
      </c>
      <c r="ED45" s="7">
        <f t="shared" si="80"/>
        <v>1794.448490165712</v>
      </c>
    </row>
    <row r="46" spans="1:134" x14ac:dyDescent="0.4">
      <c r="A46" s="28">
        <v>4</v>
      </c>
      <c r="B46" s="26">
        <v>1.0000000000000001E-5</v>
      </c>
      <c r="C46" s="28">
        <v>0.2</v>
      </c>
      <c r="D46" s="28">
        <v>30</v>
      </c>
      <c r="E46" s="26">
        <v>1E-8</v>
      </c>
      <c r="F46" s="26">
        <f t="shared" si="54"/>
        <v>2.0000000000000001E-9</v>
      </c>
      <c r="G46" s="26">
        <f t="shared" si="55"/>
        <v>4.0000000000000002E-4</v>
      </c>
      <c r="H46" s="7">
        <v>0.35182956612077698</v>
      </c>
      <c r="I46" s="7">
        <v>20967.675665585699</v>
      </c>
      <c r="J46" s="7">
        <v>269259.42550450901</v>
      </c>
      <c r="K46" s="7">
        <v>20967.675665585699</v>
      </c>
      <c r="L46" s="7">
        <v>496205.96663466899</v>
      </c>
      <c r="M46" s="7">
        <v>254.64790894703299</v>
      </c>
      <c r="N46" s="7">
        <f t="shared" si="56"/>
        <v>311194.77683568036</v>
      </c>
      <c r="P46" s="28">
        <v>4</v>
      </c>
      <c r="Q46" s="26">
        <v>3.0000000000000001E-5</v>
      </c>
      <c r="R46" s="28">
        <v>0.2</v>
      </c>
      <c r="S46" s="28">
        <v>30</v>
      </c>
      <c r="T46" s="26">
        <v>1E-8</v>
      </c>
      <c r="U46" s="26">
        <f t="shared" si="57"/>
        <v>2.0000000000000001E-9</v>
      </c>
      <c r="V46" s="26">
        <f t="shared" si="58"/>
        <v>1.3333333333333334E-4</v>
      </c>
      <c r="W46" s="7">
        <v>0.35206520179533402</v>
      </c>
      <c r="X46" s="7">
        <v>6989.2252213633501</v>
      </c>
      <c r="Y46" s="7">
        <v>89753.141816112096</v>
      </c>
      <c r="Z46" s="7">
        <v>6989.2252213633501</v>
      </c>
      <c r="AA46" s="7">
        <v>165401.98890513901</v>
      </c>
      <c r="AB46" s="7">
        <v>28.2942121052258</v>
      </c>
      <c r="AC46" s="7">
        <f t="shared" si="59"/>
        <v>103731.59225883879</v>
      </c>
      <c r="AE46" s="28">
        <v>4</v>
      </c>
      <c r="AF46" s="26">
        <v>5.0000000000000002E-5</v>
      </c>
      <c r="AG46" s="28">
        <v>0.2</v>
      </c>
      <c r="AH46" s="28">
        <v>30</v>
      </c>
      <c r="AI46" s="26">
        <v>1E-8</v>
      </c>
      <c r="AJ46" s="26">
        <f t="shared" si="60"/>
        <v>2.0000000000000001E-9</v>
      </c>
      <c r="AK46" s="26">
        <f t="shared" si="61"/>
        <v>8.0000000000000007E-5</v>
      </c>
      <c r="AL46" s="7">
        <v>0.35211239087678198</v>
      </c>
      <c r="AM46" s="7">
        <v>4193.5351285970401</v>
      </c>
      <c r="AN46" s="7">
        <v>53851.884931140201</v>
      </c>
      <c r="AO46" s="7">
        <v>4193.5351285970401</v>
      </c>
      <c r="AP46" s="7">
        <v>99241.193570966701</v>
      </c>
      <c r="AQ46" s="7">
        <v>10.1859163578813</v>
      </c>
      <c r="AR46" s="7">
        <f t="shared" si="62"/>
        <v>62238.955188334279</v>
      </c>
      <c r="AT46" s="28">
        <v>4</v>
      </c>
      <c r="AU46" s="26">
        <v>1.0000000000000001E-5</v>
      </c>
      <c r="AV46" s="28">
        <v>0.2</v>
      </c>
      <c r="AW46" s="28">
        <v>200</v>
      </c>
      <c r="AX46" s="26">
        <v>1E-8</v>
      </c>
      <c r="AY46" s="26">
        <f t="shared" si="63"/>
        <v>2.0000000000000001E-9</v>
      </c>
      <c r="AZ46" s="26">
        <f t="shared" si="64"/>
        <v>4.0000000000000002E-4</v>
      </c>
      <c r="BA46" s="7">
        <v>0.377627849906923</v>
      </c>
      <c r="BB46" s="7">
        <v>4345.3623253436699</v>
      </c>
      <c r="BC46" s="7">
        <v>269259.42550450901</v>
      </c>
      <c r="BD46" s="7">
        <v>4345.3623253436699</v>
      </c>
      <c r="BE46" s="7">
        <v>496205.96663466899</v>
      </c>
      <c r="BF46" s="7">
        <v>254.64790894703299</v>
      </c>
      <c r="BG46" s="7">
        <f t="shared" si="65"/>
        <v>277950.15015519632</v>
      </c>
      <c r="BI46" s="28">
        <v>4</v>
      </c>
      <c r="BJ46" s="26">
        <v>1.0000000000000001E-5</v>
      </c>
      <c r="BK46" s="28">
        <v>0.5</v>
      </c>
      <c r="BL46" s="28">
        <v>200</v>
      </c>
      <c r="BM46" s="26">
        <v>1E-8</v>
      </c>
      <c r="BN46" s="26">
        <f t="shared" si="66"/>
        <v>5.0000000000000001E-9</v>
      </c>
      <c r="BO46" s="26">
        <f t="shared" si="67"/>
        <v>1E-3</v>
      </c>
      <c r="BP46" s="7">
        <v>0.92130269107372997</v>
      </c>
      <c r="BQ46" s="7">
        <v>3764.12485338133</v>
      </c>
      <c r="BR46" s="7">
        <v>107703.770201803</v>
      </c>
      <c r="BS46" s="7">
        <v>3764.12485338133</v>
      </c>
      <c r="BT46" s="7">
        <v>198482.38665386799</v>
      </c>
      <c r="BU46" s="7">
        <v>254.64790894703299</v>
      </c>
      <c r="BV46" s="7">
        <f t="shared" si="68"/>
        <v>115232.01990856566</v>
      </c>
      <c r="BX46" s="28">
        <v>4</v>
      </c>
      <c r="BY46" s="26">
        <v>5.0000000000000002E-5</v>
      </c>
      <c r="BZ46" s="28">
        <v>0.5</v>
      </c>
      <c r="CA46" s="28">
        <v>200</v>
      </c>
      <c r="CB46" s="26">
        <v>1E-8</v>
      </c>
      <c r="CC46" s="26">
        <f t="shared" si="69"/>
        <v>5.0000000000000001E-9</v>
      </c>
      <c r="CD46" s="26">
        <f t="shared" si="70"/>
        <v>1.9999999999999998E-4</v>
      </c>
      <c r="CE46" s="7">
        <v>0.92335852847863997</v>
      </c>
      <c r="CF46" s="7">
        <v>752.82497001808497</v>
      </c>
      <c r="CG46" s="7">
        <v>21540.753972456099</v>
      </c>
      <c r="CH46" s="7">
        <v>752.82497001808497</v>
      </c>
      <c r="CI46" s="7">
        <v>39696.477428386701</v>
      </c>
      <c r="CJ46" s="7">
        <v>10.1859163578813</v>
      </c>
      <c r="CK46" s="7">
        <f t="shared" si="71"/>
        <v>23046.403912492271</v>
      </c>
      <c r="CM46" s="28">
        <v>4</v>
      </c>
      <c r="CN46" s="26">
        <v>5.0000000000000002E-5</v>
      </c>
      <c r="CO46" s="28">
        <v>1</v>
      </c>
      <c r="CP46" s="28">
        <v>200</v>
      </c>
      <c r="CQ46" s="26">
        <v>1E-8</v>
      </c>
      <c r="CR46" s="26">
        <f t="shared" si="72"/>
        <v>1E-8</v>
      </c>
      <c r="CS46" s="26">
        <f t="shared" si="73"/>
        <v>3.9999999999999996E-4</v>
      </c>
      <c r="CT46" s="7">
        <v>1.7900735171994899</v>
      </c>
      <c r="CU46" s="7">
        <v>665.23311259709499</v>
      </c>
      <c r="CV46" s="7">
        <v>10770.376986228001</v>
      </c>
      <c r="CW46" s="7">
        <v>665.23311259709499</v>
      </c>
      <c r="CX46" s="7">
        <v>19848.2387141933</v>
      </c>
      <c r="CY46" s="7">
        <v>10.1859163578813</v>
      </c>
      <c r="CZ46" s="7">
        <f t="shared" si="74"/>
        <v>12100.843211422191</v>
      </c>
      <c r="DB46" s="28">
        <v>4</v>
      </c>
      <c r="DC46" s="26">
        <v>5.0000000000000002E-5</v>
      </c>
      <c r="DD46" s="28">
        <v>2</v>
      </c>
      <c r="DE46" s="28">
        <v>200</v>
      </c>
      <c r="DF46" s="26">
        <v>1E-8</v>
      </c>
      <c r="DG46" s="26">
        <f t="shared" si="75"/>
        <v>2E-8</v>
      </c>
      <c r="DH46" s="26">
        <f t="shared" si="76"/>
        <v>7.9999999999999993E-4</v>
      </c>
      <c r="DI46" s="7">
        <v>3.4103050565867199</v>
      </c>
      <c r="DJ46" s="7">
        <v>578.22973015081095</v>
      </c>
      <c r="DK46" s="7">
        <v>5385.1884931140203</v>
      </c>
      <c r="DL46" s="7">
        <v>578.22973015081095</v>
      </c>
      <c r="DM46" s="7">
        <v>9924.1193570966698</v>
      </c>
      <c r="DN46" s="7">
        <v>10.1859163578813</v>
      </c>
      <c r="DO46" s="7">
        <f t="shared" si="77"/>
        <v>6541.6479534156415</v>
      </c>
      <c r="DQ46" s="28">
        <v>4</v>
      </c>
      <c r="DR46" s="26">
        <v>5.0000000000000002E-5</v>
      </c>
      <c r="DS46" s="28">
        <v>15</v>
      </c>
      <c r="DT46" s="28">
        <v>300</v>
      </c>
      <c r="DU46" s="26">
        <v>7.4999999999999993E-9</v>
      </c>
      <c r="DV46" s="26">
        <f t="shared" si="78"/>
        <v>1.1249999999999999E-7</v>
      </c>
      <c r="DW46" s="26">
        <f t="shared" si="79"/>
        <v>4.4999999999999997E-3</v>
      </c>
      <c r="DX46" s="7">
        <v>21.0146855503924</v>
      </c>
      <c r="DY46" s="7">
        <v>254.539230510376</v>
      </c>
      <c r="DZ46" s="7">
        <v>718.02513241520205</v>
      </c>
      <c r="EA46" s="7">
        <v>254.539230510376</v>
      </c>
      <c r="EB46" s="7">
        <v>1323.2159142795599</v>
      </c>
      <c r="EC46" s="7">
        <v>8.1487330863050396</v>
      </c>
      <c r="ED46" s="7">
        <f t="shared" si="80"/>
        <v>1227.1035934359541</v>
      </c>
    </row>
    <row r="47" spans="1:134" x14ac:dyDescent="0.4">
      <c r="A47" s="28">
        <v>6</v>
      </c>
      <c r="B47" s="26">
        <v>1.0000000000000001E-5</v>
      </c>
      <c r="C47" s="28">
        <v>0.2</v>
      </c>
      <c r="D47" s="28">
        <v>30</v>
      </c>
      <c r="E47" s="26">
        <v>1E-8</v>
      </c>
      <c r="F47" s="26">
        <f t="shared" si="54"/>
        <v>2.0000000000000001E-9</v>
      </c>
      <c r="G47" s="26">
        <f t="shared" si="55"/>
        <v>4.0000000000000002E-4</v>
      </c>
      <c r="H47" s="7">
        <v>0.48863910155333801</v>
      </c>
      <c r="I47" s="7">
        <v>20967.675665585699</v>
      </c>
      <c r="J47" s="7">
        <v>165780.67944707401</v>
      </c>
      <c r="K47" s="7">
        <v>20967.675665585699</v>
      </c>
      <c r="L47" s="7">
        <v>651465.34785778704</v>
      </c>
      <c r="M47" s="7">
        <v>254.64790894703299</v>
      </c>
      <c r="N47" s="7">
        <f t="shared" si="56"/>
        <v>207716.03077824542</v>
      </c>
      <c r="P47" s="28">
        <v>6</v>
      </c>
      <c r="Q47" s="26">
        <v>3.0000000000000001E-5</v>
      </c>
      <c r="R47" s="28">
        <v>0.2</v>
      </c>
      <c r="S47" s="28">
        <v>30</v>
      </c>
      <c r="T47" s="26">
        <v>1E-8</v>
      </c>
      <c r="U47" s="26">
        <f t="shared" si="57"/>
        <v>2.0000000000000001E-9</v>
      </c>
      <c r="V47" s="26">
        <f t="shared" si="58"/>
        <v>1.3333333333333334E-4</v>
      </c>
      <c r="W47" s="7">
        <v>0.48924387317724</v>
      </c>
      <c r="X47" s="7">
        <v>6989.2252213633501</v>
      </c>
      <c r="Y47" s="7">
        <v>55260.226463633997</v>
      </c>
      <c r="Z47" s="7">
        <v>6989.2252213633501</v>
      </c>
      <c r="AA47" s="7">
        <v>217155.11601730101</v>
      </c>
      <c r="AB47" s="7">
        <v>28.2942121052258</v>
      </c>
      <c r="AC47" s="7">
        <f t="shared" si="59"/>
        <v>69238.676906360692</v>
      </c>
      <c r="AE47" s="28">
        <v>6</v>
      </c>
      <c r="AF47" s="26">
        <v>5.0000000000000002E-5</v>
      </c>
      <c r="AG47" s="28">
        <v>0.2</v>
      </c>
      <c r="AH47" s="28">
        <v>30</v>
      </c>
      <c r="AI47" s="26">
        <v>1E-8</v>
      </c>
      <c r="AJ47" s="26">
        <f t="shared" si="60"/>
        <v>2.0000000000000001E-9</v>
      </c>
      <c r="AK47" s="26">
        <f t="shared" si="61"/>
        <v>8.0000000000000007E-5</v>
      </c>
      <c r="AL47" s="7">
        <v>0.48936506561740301</v>
      </c>
      <c r="AM47" s="7">
        <v>4193.5351285970401</v>
      </c>
      <c r="AN47" s="7">
        <v>33156.135719653299</v>
      </c>
      <c r="AO47" s="7">
        <v>4193.5351285970401</v>
      </c>
      <c r="AP47" s="7">
        <v>130293.0701582</v>
      </c>
      <c r="AQ47" s="7">
        <v>10.1859163578813</v>
      </c>
      <c r="AR47" s="7">
        <f t="shared" si="62"/>
        <v>41543.205976847377</v>
      </c>
      <c r="AT47" s="28">
        <v>6</v>
      </c>
      <c r="AU47" s="26">
        <v>1.0000000000000001E-5</v>
      </c>
      <c r="AV47" s="28">
        <v>0.2</v>
      </c>
      <c r="AW47" s="28">
        <v>200</v>
      </c>
      <c r="AX47" s="26">
        <v>1E-8</v>
      </c>
      <c r="AY47" s="26">
        <f t="shared" si="63"/>
        <v>2.0000000000000001E-9</v>
      </c>
      <c r="AZ47" s="26">
        <f t="shared" si="64"/>
        <v>4.0000000000000002E-4</v>
      </c>
      <c r="BA47" s="7">
        <v>0.558989835436283</v>
      </c>
      <c r="BB47" s="7">
        <v>4345.3623253436699</v>
      </c>
      <c r="BC47" s="7">
        <v>165780.67944707401</v>
      </c>
      <c r="BD47" s="7">
        <v>4345.3623253436699</v>
      </c>
      <c r="BE47" s="7">
        <v>651465.34785778704</v>
      </c>
      <c r="BF47" s="7">
        <v>254.64790894703299</v>
      </c>
      <c r="BG47" s="7">
        <f t="shared" si="65"/>
        <v>174471.40409776138</v>
      </c>
      <c r="BI47" s="28">
        <v>6</v>
      </c>
      <c r="BJ47" s="26">
        <v>1.0000000000000001E-5</v>
      </c>
      <c r="BK47" s="28">
        <v>0.5</v>
      </c>
      <c r="BL47" s="28">
        <v>200</v>
      </c>
      <c r="BM47" s="26">
        <v>1E-8</v>
      </c>
      <c r="BN47" s="26">
        <f t="shared" si="66"/>
        <v>5.0000000000000001E-9</v>
      </c>
      <c r="BO47" s="26">
        <f t="shared" si="67"/>
        <v>1E-3</v>
      </c>
      <c r="BP47" s="7">
        <v>1.3329118500027399</v>
      </c>
      <c r="BQ47" s="7">
        <v>3764.12485338133</v>
      </c>
      <c r="BR47" s="7">
        <v>66312.271778829701</v>
      </c>
      <c r="BS47" s="7">
        <v>3764.12485338133</v>
      </c>
      <c r="BT47" s="7">
        <v>260586.139143115</v>
      </c>
      <c r="BU47" s="7">
        <v>254.64790894703299</v>
      </c>
      <c r="BV47" s="7">
        <f t="shared" si="68"/>
        <v>73840.52148559237</v>
      </c>
      <c r="BX47" s="28">
        <v>6</v>
      </c>
      <c r="BY47" s="26">
        <v>5.0000000000000002E-5</v>
      </c>
      <c r="BZ47" s="28">
        <v>0.5</v>
      </c>
      <c r="CA47" s="28">
        <v>200</v>
      </c>
      <c r="CB47" s="26">
        <v>1E-8</v>
      </c>
      <c r="CC47" s="26">
        <f t="shared" si="69"/>
        <v>5.0000000000000001E-9</v>
      </c>
      <c r="CD47" s="26">
        <f t="shared" si="70"/>
        <v>1.9999999999999998E-4</v>
      </c>
      <c r="CE47" s="7">
        <v>1.33862608247861</v>
      </c>
      <c r="CF47" s="7">
        <v>752.82497001808497</v>
      </c>
      <c r="CG47" s="7">
        <v>13262.454287861299</v>
      </c>
      <c r="CH47" s="7">
        <v>752.82497001808497</v>
      </c>
      <c r="CI47" s="7">
        <v>52117.228063280199</v>
      </c>
      <c r="CJ47" s="7">
        <v>10.1859163578813</v>
      </c>
      <c r="CK47" s="7">
        <f t="shared" si="71"/>
        <v>14768.104227897471</v>
      </c>
      <c r="CM47" s="28">
        <v>6</v>
      </c>
      <c r="CN47" s="26">
        <v>5.0000000000000002E-5</v>
      </c>
      <c r="CO47" s="28">
        <v>1</v>
      </c>
      <c r="CP47" s="28">
        <v>200</v>
      </c>
      <c r="CQ47" s="26">
        <v>1E-8</v>
      </c>
      <c r="CR47" s="26">
        <f t="shared" si="72"/>
        <v>1E-8</v>
      </c>
      <c r="CS47" s="26">
        <f t="shared" si="73"/>
        <v>3.9999999999999996E-4</v>
      </c>
      <c r="CT47" s="7">
        <v>2.5236696313674098</v>
      </c>
      <c r="CU47" s="7">
        <v>665.23311259709499</v>
      </c>
      <c r="CV47" s="7">
        <v>6631.2271439306596</v>
      </c>
      <c r="CW47" s="7">
        <v>665.23311259709499</v>
      </c>
      <c r="CX47" s="7">
        <v>26058.6140316401</v>
      </c>
      <c r="CY47" s="7">
        <v>10.1859163578813</v>
      </c>
      <c r="CZ47" s="7">
        <f t="shared" si="74"/>
        <v>7961.6933691248496</v>
      </c>
      <c r="DB47" s="28">
        <v>6</v>
      </c>
      <c r="DC47" s="26">
        <v>5.0000000000000002E-5</v>
      </c>
      <c r="DD47" s="28">
        <v>2</v>
      </c>
      <c r="DE47" s="28">
        <v>200</v>
      </c>
      <c r="DF47" s="26">
        <v>1E-8</v>
      </c>
      <c r="DG47" s="26">
        <f t="shared" si="75"/>
        <v>2E-8</v>
      </c>
      <c r="DH47" s="26">
        <f t="shared" si="76"/>
        <v>7.9999999999999993E-4</v>
      </c>
      <c r="DI47" s="7">
        <v>4.6160905717396998</v>
      </c>
      <c r="DJ47" s="7">
        <v>578.22973015081095</v>
      </c>
      <c r="DK47" s="7">
        <v>3315.6135719653298</v>
      </c>
      <c r="DL47" s="7">
        <v>578.22973015081095</v>
      </c>
      <c r="DM47" s="7">
        <v>13029.307015820101</v>
      </c>
      <c r="DN47" s="7">
        <v>10.1859163578813</v>
      </c>
      <c r="DO47" s="7">
        <f t="shared" si="77"/>
        <v>4472.0730322669515</v>
      </c>
      <c r="DQ47" s="28">
        <v>6</v>
      </c>
      <c r="DR47" s="26">
        <v>5.0000000000000002E-5</v>
      </c>
      <c r="DS47" s="28">
        <v>15</v>
      </c>
      <c r="DT47" s="28">
        <v>300</v>
      </c>
      <c r="DU47" s="26">
        <v>7.4999999999999993E-9</v>
      </c>
      <c r="DV47" s="26">
        <f t="shared" si="78"/>
        <v>1.1249999999999999E-7</v>
      </c>
      <c r="DW47" s="26">
        <f t="shared" si="79"/>
        <v>4.4999999999999997E-3</v>
      </c>
      <c r="DX47" s="7">
        <v>24.8157668557741</v>
      </c>
      <c r="DY47" s="7">
        <v>254.539230510376</v>
      </c>
      <c r="DZ47" s="7">
        <v>442.08180959537702</v>
      </c>
      <c r="EA47" s="7">
        <v>254.539230510376</v>
      </c>
      <c r="EB47" s="7">
        <v>1737.24093544267</v>
      </c>
      <c r="EC47" s="7">
        <v>8.1487330863050396</v>
      </c>
      <c r="ED47" s="7">
        <f t="shared" si="80"/>
        <v>951.16027061612908</v>
      </c>
    </row>
    <row r="48" spans="1:134" x14ac:dyDescent="0.4">
      <c r="A48" s="28">
        <v>8</v>
      </c>
      <c r="B48" s="26">
        <v>1.0000000000000001E-5</v>
      </c>
      <c r="C48" s="28">
        <v>0.2</v>
      </c>
      <c r="D48" s="28">
        <v>30</v>
      </c>
      <c r="E48" s="26">
        <v>1E-8</v>
      </c>
      <c r="F48" s="26">
        <f t="shared" si="54"/>
        <v>2.0000000000000001E-9</v>
      </c>
      <c r="G48" s="26">
        <f t="shared" si="55"/>
        <v>4.0000000000000002E-4</v>
      </c>
      <c r="H48" s="7">
        <v>0.69745267553590895</v>
      </c>
      <c r="I48" s="7">
        <v>20967.675665585699</v>
      </c>
      <c r="J48" s="7">
        <v>100396.196898707</v>
      </c>
      <c r="K48" s="7">
        <v>20967.675665585699</v>
      </c>
      <c r="L48" s="7">
        <v>821154.82400854595</v>
      </c>
      <c r="M48" s="7">
        <v>254.64790894703299</v>
      </c>
      <c r="N48" s="7">
        <f t="shared" si="56"/>
        <v>142331.54822987839</v>
      </c>
      <c r="P48" s="28">
        <v>8</v>
      </c>
      <c r="Q48" s="26">
        <v>3.0000000000000001E-5</v>
      </c>
      <c r="R48" s="28">
        <v>0.2</v>
      </c>
      <c r="S48" s="28">
        <v>30</v>
      </c>
      <c r="T48" s="26">
        <v>1E-8</v>
      </c>
      <c r="U48" s="26">
        <f t="shared" si="57"/>
        <v>2.0000000000000001E-9</v>
      </c>
      <c r="V48" s="26">
        <f t="shared" si="58"/>
        <v>1.3333333333333334E-4</v>
      </c>
      <c r="W48" s="7">
        <v>0.69886822403612003</v>
      </c>
      <c r="X48" s="7">
        <v>6989.2252213633501</v>
      </c>
      <c r="Y48" s="7">
        <v>33465.398947511501</v>
      </c>
      <c r="Z48" s="7">
        <v>6989.2252213633501</v>
      </c>
      <c r="AA48" s="7">
        <v>273718.27480960399</v>
      </c>
      <c r="AB48" s="7">
        <v>28.2942121052258</v>
      </c>
      <c r="AC48" s="7">
        <f t="shared" si="59"/>
        <v>47443.849390238196</v>
      </c>
      <c r="AE48" s="28">
        <v>8</v>
      </c>
      <c r="AF48" s="26">
        <v>5.0000000000000002E-5</v>
      </c>
      <c r="AG48" s="28">
        <v>0.2</v>
      </c>
      <c r="AH48" s="28">
        <v>30</v>
      </c>
      <c r="AI48" s="26">
        <v>1E-8</v>
      </c>
      <c r="AJ48" s="26">
        <f t="shared" si="60"/>
        <v>2.0000000000000001E-9</v>
      </c>
      <c r="AK48" s="26">
        <f t="shared" si="61"/>
        <v>8.0000000000000007E-5</v>
      </c>
      <c r="AL48" s="7">
        <v>0.699152146290275</v>
      </c>
      <c r="AM48" s="7">
        <v>4193.5351285970401</v>
      </c>
      <c r="AN48" s="7">
        <v>20079.239209979802</v>
      </c>
      <c r="AO48" s="7">
        <v>4193.5351285970401</v>
      </c>
      <c r="AP48" s="7">
        <v>164230.96607182099</v>
      </c>
      <c r="AQ48" s="7">
        <v>10.1859163578813</v>
      </c>
      <c r="AR48" s="7">
        <f t="shared" si="62"/>
        <v>28466.30946717388</v>
      </c>
      <c r="AT48" s="28">
        <v>8</v>
      </c>
      <c r="AU48" s="26">
        <v>1.0000000000000001E-5</v>
      </c>
      <c r="AV48" s="28">
        <v>0.2</v>
      </c>
      <c r="AW48" s="28">
        <v>200</v>
      </c>
      <c r="AX48" s="26">
        <v>1E-8</v>
      </c>
      <c r="AY48" s="26">
        <f t="shared" si="63"/>
        <v>2.0000000000000001E-9</v>
      </c>
      <c r="AZ48" s="26">
        <f t="shared" si="64"/>
        <v>4.0000000000000002E-4</v>
      </c>
      <c r="BA48" s="7">
        <v>0.87766753863202396</v>
      </c>
      <c r="BB48" s="7">
        <v>4345.3623253436699</v>
      </c>
      <c r="BC48" s="7">
        <v>100396.196898707</v>
      </c>
      <c r="BD48" s="7">
        <v>4345.3623253436699</v>
      </c>
      <c r="BE48" s="7">
        <v>821154.82400854595</v>
      </c>
      <c r="BF48" s="7">
        <v>254.64790894703299</v>
      </c>
      <c r="BG48" s="7">
        <f t="shared" si="65"/>
        <v>109086.92154939433</v>
      </c>
      <c r="BI48" s="28">
        <v>8</v>
      </c>
      <c r="BJ48" s="26">
        <v>1.0000000000000001E-5</v>
      </c>
      <c r="BK48" s="28">
        <v>0.5</v>
      </c>
      <c r="BL48" s="28">
        <v>200</v>
      </c>
      <c r="BM48" s="26">
        <v>1E-8</v>
      </c>
      <c r="BN48" s="26">
        <f t="shared" si="66"/>
        <v>5.0000000000000001E-9</v>
      </c>
      <c r="BO48" s="26">
        <f t="shared" si="67"/>
        <v>1E-3</v>
      </c>
      <c r="BP48" s="7">
        <v>2.0191473211160802</v>
      </c>
      <c r="BQ48" s="7">
        <v>3764.12485338133</v>
      </c>
      <c r="BR48" s="7">
        <v>40158.478759482699</v>
      </c>
      <c r="BS48" s="7">
        <v>3764.12485338133</v>
      </c>
      <c r="BT48" s="7">
        <v>328461.92960341799</v>
      </c>
      <c r="BU48" s="7">
        <v>254.64790894703299</v>
      </c>
      <c r="BV48" s="7">
        <f t="shared" si="68"/>
        <v>47686.728466245353</v>
      </c>
      <c r="BX48" s="28">
        <v>8</v>
      </c>
      <c r="BY48" s="26">
        <v>5.0000000000000002E-5</v>
      </c>
      <c r="BZ48" s="28">
        <v>0.5</v>
      </c>
      <c r="CA48" s="28">
        <v>200</v>
      </c>
      <c r="CB48" s="26">
        <v>1E-8</v>
      </c>
      <c r="CC48" s="26">
        <f t="shared" si="69"/>
        <v>5.0000000000000001E-9</v>
      </c>
      <c r="CD48" s="26">
        <f t="shared" si="70"/>
        <v>1.9999999999999998E-4</v>
      </c>
      <c r="CE48" s="7">
        <v>2.0341594443208799</v>
      </c>
      <c r="CF48" s="7">
        <v>752.82497001808497</v>
      </c>
      <c r="CG48" s="7">
        <v>8031.6956839919103</v>
      </c>
      <c r="CH48" s="7">
        <v>752.82497001808497</v>
      </c>
      <c r="CI48" s="7">
        <v>65692.386428728598</v>
      </c>
      <c r="CJ48" s="7">
        <v>10.1859163578813</v>
      </c>
      <c r="CK48" s="7">
        <f t="shared" si="71"/>
        <v>9537.3456240280793</v>
      </c>
      <c r="CM48" s="28">
        <v>8</v>
      </c>
      <c r="CN48" s="26">
        <v>5.0000000000000002E-5</v>
      </c>
      <c r="CO48" s="28">
        <v>1</v>
      </c>
      <c r="CP48" s="28">
        <v>200</v>
      </c>
      <c r="CQ48" s="26">
        <v>1E-8</v>
      </c>
      <c r="CR48" s="26">
        <f t="shared" si="72"/>
        <v>1E-8</v>
      </c>
      <c r="CS48" s="26">
        <f t="shared" si="73"/>
        <v>3.9999999999999996E-4</v>
      </c>
      <c r="CT48" s="7">
        <v>3.6793038405314098</v>
      </c>
      <c r="CU48" s="7">
        <v>665.23311259709499</v>
      </c>
      <c r="CV48" s="7">
        <v>4015.8478419959501</v>
      </c>
      <c r="CW48" s="7">
        <v>665.23311259709499</v>
      </c>
      <c r="CX48" s="7">
        <v>32846.193214364299</v>
      </c>
      <c r="CY48" s="7">
        <v>10.1859163578813</v>
      </c>
      <c r="CZ48" s="7">
        <f t="shared" si="74"/>
        <v>5346.3140671901401</v>
      </c>
      <c r="DB48" s="28">
        <v>8</v>
      </c>
      <c r="DC48" s="26">
        <v>5.0000000000000002E-5</v>
      </c>
      <c r="DD48" s="28">
        <v>2</v>
      </c>
      <c r="DE48" s="28">
        <v>200</v>
      </c>
      <c r="DF48" s="26">
        <v>1E-8</v>
      </c>
      <c r="DG48" s="26">
        <f t="shared" si="75"/>
        <v>2E-8</v>
      </c>
      <c r="DH48" s="26">
        <f t="shared" si="76"/>
        <v>7.9999999999999993E-4</v>
      </c>
      <c r="DI48" s="7">
        <v>6.3627670837651298</v>
      </c>
      <c r="DJ48" s="7">
        <v>578.22973015081095</v>
      </c>
      <c r="DK48" s="7">
        <v>2007.9239209979801</v>
      </c>
      <c r="DL48" s="7">
        <v>578.22973015081095</v>
      </c>
      <c r="DM48" s="7">
        <v>16423.096607182099</v>
      </c>
      <c r="DN48" s="7">
        <v>10.1859163578813</v>
      </c>
      <c r="DO48" s="7">
        <f t="shared" si="77"/>
        <v>3164.3833812996022</v>
      </c>
      <c r="DQ48" s="28">
        <v>8</v>
      </c>
      <c r="DR48" s="26">
        <v>5.0000000000000002E-5</v>
      </c>
      <c r="DS48" s="28">
        <v>15</v>
      </c>
      <c r="DT48" s="28">
        <v>300</v>
      </c>
      <c r="DU48" s="26">
        <v>7.4999999999999993E-9</v>
      </c>
      <c r="DV48" s="26">
        <f t="shared" si="78"/>
        <v>1.1249999999999999E-7</v>
      </c>
      <c r="DW48" s="26">
        <f t="shared" si="79"/>
        <v>4.4999999999999997E-3</v>
      </c>
      <c r="DX48" s="7">
        <v>29.151210837124399</v>
      </c>
      <c r="DY48" s="7">
        <v>254.539230510376</v>
      </c>
      <c r="DZ48" s="7">
        <v>267.723189466397</v>
      </c>
      <c r="EA48" s="7">
        <v>254.539230510376</v>
      </c>
      <c r="EB48" s="7">
        <v>2189.7462142909499</v>
      </c>
      <c r="EC48" s="7">
        <v>8.1487330863050396</v>
      </c>
      <c r="ED48" s="7">
        <f t="shared" si="80"/>
        <v>776.801650487149</v>
      </c>
    </row>
    <row r="49" spans="1:134" x14ac:dyDescent="0.4">
      <c r="A49" s="28">
        <v>10</v>
      </c>
      <c r="B49" s="26">
        <v>1.0000000000000001E-5</v>
      </c>
      <c r="C49" s="28">
        <v>0.2</v>
      </c>
      <c r="D49" s="28">
        <v>30</v>
      </c>
      <c r="E49" s="26">
        <v>1E-8</v>
      </c>
      <c r="F49" s="26">
        <f t="shared" si="54"/>
        <v>2.0000000000000001E-9</v>
      </c>
      <c r="G49" s="26">
        <f t="shared" si="55"/>
        <v>4.0000000000000002E-4</v>
      </c>
      <c r="H49" s="7">
        <v>1.0396527433359</v>
      </c>
      <c r="I49" s="7">
        <v>20967.675665585699</v>
      </c>
      <c r="J49" s="7">
        <v>53826.312121005001</v>
      </c>
      <c r="K49" s="7">
        <v>20967.675665585699</v>
      </c>
      <c r="L49" s="7">
        <v>1014751.21705289</v>
      </c>
      <c r="M49" s="7">
        <v>254.64790894703299</v>
      </c>
      <c r="N49" s="7">
        <f t="shared" si="56"/>
        <v>95761.663452176406</v>
      </c>
      <c r="P49" s="28">
        <v>10</v>
      </c>
      <c r="Q49" s="26">
        <v>3.0000000000000001E-5</v>
      </c>
      <c r="R49" s="28">
        <v>0.2</v>
      </c>
      <c r="S49" s="28">
        <v>30</v>
      </c>
      <c r="T49" s="26">
        <v>1E-8</v>
      </c>
      <c r="U49" s="26">
        <f t="shared" si="57"/>
        <v>2.0000000000000001E-9</v>
      </c>
      <c r="V49" s="26">
        <f t="shared" si="58"/>
        <v>1.3333333333333334E-4</v>
      </c>
      <c r="W49" s="7">
        <v>1.04301354714498</v>
      </c>
      <c r="X49" s="7">
        <v>6989.2252213633501</v>
      </c>
      <c r="Y49" s="7">
        <v>17942.1040216109</v>
      </c>
      <c r="Z49" s="7">
        <v>6989.2252213633501</v>
      </c>
      <c r="AA49" s="7">
        <v>338250.40599296999</v>
      </c>
      <c r="AB49" s="7">
        <v>28.2942121052258</v>
      </c>
      <c r="AC49" s="7">
        <f t="shared" si="59"/>
        <v>31920.554464337602</v>
      </c>
      <c r="AE49" s="28">
        <v>10</v>
      </c>
      <c r="AF49" s="26">
        <v>5.0000000000000002E-5</v>
      </c>
      <c r="AG49" s="28">
        <v>0.2</v>
      </c>
      <c r="AH49" s="28">
        <v>30</v>
      </c>
      <c r="AI49" s="26">
        <v>1E-8</v>
      </c>
      <c r="AJ49" s="26">
        <f t="shared" si="60"/>
        <v>2.0000000000000001E-9</v>
      </c>
      <c r="AK49" s="26">
        <f t="shared" si="61"/>
        <v>8.0000000000000007E-5</v>
      </c>
      <c r="AL49" s="7">
        <v>1.0436885717508899</v>
      </c>
      <c r="AM49" s="7">
        <v>4193.5351285970401</v>
      </c>
      <c r="AN49" s="7">
        <v>10765.2622544394</v>
      </c>
      <c r="AO49" s="7">
        <v>4193.5351285970401</v>
      </c>
      <c r="AP49" s="7">
        <v>202950.24620916101</v>
      </c>
      <c r="AQ49" s="7">
        <v>10.1859163578813</v>
      </c>
      <c r="AR49" s="7">
        <f t="shared" si="62"/>
        <v>19152.332511633478</v>
      </c>
      <c r="AT49" s="28">
        <v>10</v>
      </c>
      <c r="AU49" s="26">
        <v>1.0000000000000001E-5</v>
      </c>
      <c r="AV49" s="28">
        <v>0.2</v>
      </c>
      <c r="AW49" s="28">
        <v>200</v>
      </c>
      <c r="AX49" s="26">
        <v>1E-8</v>
      </c>
      <c r="AY49" s="26">
        <f t="shared" si="63"/>
        <v>2.0000000000000001E-9</v>
      </c>
      <c r="AZ49" s="26">
        <f t="shared" si="64"/>
        <v>4.0000000000000002E-4</v>
      </c>
      <c r="BA49" s="7">
        <v>1.54052223650058</v>
      </c>
      <c r="BB49" s="7">
        <v>4345.3623253436699</v>
      </c>
      <c r="BC49" s="7">
        <v>53826.312121005001</v>
      </c>
      <c r="BD49" s="7">
        <v>4345.3623253436699</v>
      </c>
      <c r="BE49" s="7">
        <v>1014751.21705289</v>
      </c>
      <c r="BF49" s="7">
        <v>254.64790894703299</v>
      </c>
      <c r="BG49" s="7">
        <f t="shared" si="65"/>
        <v>62517.036771692336</v>
      </c>
      <c r="BI49" s="28">
        <v>10</v>
      </c>
      <c r="BJ49" s="26">
        <v>1.0000000000000001E-5</v>
      </c>
      <c r="BK49" s="28">
        <v>0.5</v>
      </c>
      <c r="BL49" s="28">
        <v>200</v>
      </c>
      <c r="BM49" s="26">
        <v>1E-8</v>
      </c>
      <c r="BN49" s="26">
        <f t="shared" si="66"/>
        <v>5.0000000000000001E-9</v>
      </c>
      <c r="BO49" s="26">
        <f t="shared" si="67"/>
        <v>1E-3</v>
      </c>
      <c r="BP49" s="7">
        <v>3.3169177577147</v>
      </c>
      <c r="BQ49" s="7">
        <v>3764.12485338133</v>
      </c>
      <c r="BR49" s="7">
        <v>21530.524848402001</v>
      </c>
      <c r="BS49" s="7">
        <v>3764.12485338133</v>
      </c>
      <c r="BT49" s="7">
        <v>405900.48682115501</v>
      </c>
      <c r="BU49" s="7">
        <v>254.64790894703299</v>
      </c>
      <c r="BV49" s="7">
        <f t="shared" si="68"/>
        <v>29058.774555164662</v>
      </c>
      <c r="BX49" s="28">
        <v>10</v>
      </c>
      <c r="BY49" s="26">
        <v>5.0000000000000002E-5</v>
      </c>
      <c r="BZ49" s="28">
        <v>0.5</v>
      </c>
      <c r="CA49" s="28">
        <v>200</v>
      </c>
      <c r="CB49" s="26">
        <v>1E-8</v>
      </c>
      <c r="CC49" s="26">
        <f t="shared" si="69"/>
        <v>5.0000000000000001E-9</v>
      </c>
      <c r="CD49" s="26">
        <f t="shared" si="70"/>
        <v>1.9999999999999998E-4</v>
      </c>
      <c r="CE49" s="7">
        <v>3.3601154906473698</v>
      </c>
      <c r="CF49" s="7">
        <v>752.82497001808497</v>
      </c>
      <c r="CG49" s="7">
        <v>4306.1049017757796</v>
      </c>
      <c r="CH49" s="7">
        <v>752.82497001808497</v>
      </c>
      <c r="CI49" s="7">
        <v>81180.098483664406</v>
      </c>
      <c r="CJ49" s="7">
        <v>10.1859163578813</v>
      </c>
      <c r="CK49" s="7">
        <f t="shared" si="71"/>
        <v>5811.7548418119495</v>
      </c>
      <c r="CM49" s="28">
        <v>10</v>
      </c>
      <c r="CN49" s="26">
        <v>5.0000000000000002E-5</v>
      </c>
      <c r="CO49" s="28">
        <v>1</v>
      </c>
      <c r="CP49" s="28">
        <v>200</v>
      </c>
      <c r="CQ49" s="26">
        <v>1E-8</v>
      </c>
      <c r="CR49" s="26">
        <f t="shared" si="72"/>
        <v>1E-8</v>
      </c>
      <c r="CS49" s="26">
        <f t="shared" si="73"/>
        <v>3.9999999999999996E-4</v>
      </c>
      <c r="CT49" s="7">
        <v>5.6683838434432499</v>
      </c>
      <c r="CU49" s="7">
        <v>665.23311259709499</v>
      </c>
      <c r="CV49" s="7">
        <v>2153.0524508878898</v>
      </c>
      <c r="CW49" s="7">
        <v>665.23311259709499</v>
      </c>
      <c r="CX49" s="7">
        <v>40590.049241832203</v>
      </c>
      <c r="CY49" s="7">
        <v>10.1859163578813</v>
      </c>
      <c r="CZ49" s="7">
        <f t="shared" si="74"/>
        <v>3483.5186760820798</v>
      </c>
      <c r="DB49" s="28">
        <v>10</v>
      </c>
      <c r="DC49" s="26">
        <v>5.0000000000000002E-5</v>
      </c>
      <c r="DD49" s="28">
        <v>2</v>
      </c>
      <c r="DE49" s="28">
        <v>200</v>
      </c>
      <c r="DF49" s="26">
        <v>1E-8</v>
      </c>
      <c r="DG49" s="26">
        <f t="shared" si="75"/>
        <v>2E-8</v>
      </c>
      <c r="DH49" s="26">
        <f t="shared" si="76"/>
        <v>7.9999999999999993E-4</v>
      </c>
      <c r="DI49" s="7">
        <v>9.0145936202634207</v>
      </c>
      <c r="DJ49" s="7">
        <v>578.22973015081095</v>
      </c>
      <c r="DK49" s="7">
        <v>1076.5262254439399</v>
      </c>
      <c r="DL49" s="7">
        <v>578.22973015081095</v>
      </c>
      <c r="DM49" s="7">
        <v>20295.024620916101</v>
      </c>
      <c r="DN49" s="7">
        <v>10.1859163578813</v>
      </c>
      <c r="DO49" s="7">
        <f t="shared" si="77"/>
        <v>2232.985685745562</v>
      </c>
      <c r="DQ49" s="28">
        <v>10</v>
      </c>
      <c r="DR49" s="26">
        <v>5.0000000000000002E-5</v>
      </c>
      <c r="DS49" s="28">
        <v>15</v>
      </c>
      <c r="DT49" s="28">
        <v>300</v>
      </c>
      <c r="DU49" s="26">
        <v>7.4999999999999993E-9</v>
      </c>
      <c r="DV49" s="26">
        <f t="shared" si="78"/>
        <v>1.1249999999999999E-7</v>
      </c>
      <c r="DW49" s="26">
        <f t="shared" si="79"/>
        <v>4.4999999999999997E-3</v>
      </c>
      <c r="DX49" s="7">
        <v>34.089107207599099</v>
      </c>
      <c r="DY49" s="7">
        <v>254.539230510376</v>
      </c>
      <c r="DZ49" s="7">
        <v>143.53683005919299</v>
      </c>
      <c r="EA49" s="7">
        <v>254.539230510376</v>
      </c>
      <c r="EB49" s="7">
        <v>2706.0032827888099</v>
      </c>
      <c r="EC49" s="7">
        <v>8.1487330863050396</v>
      </c>
      <c r="ED49" s="7">
        <f t="shared" si="80"/>
        <v>652.615291079945</v>
      </c>
    </row>
    <row r="50" spans="1:134" x14ac:dyDescent="0.4">
      <c r="A50" s="28">
        <v>12</v>
      </c>
      <c r="B50" s="26">
        <v>1.0000000000000001E-5</v>
      </c>
      <c r="C50" s="28">
        <v>0.2</v>
      </c>
      <c r="D50" s="28">
        <v>30</v>
      </c>
      <c r="E50" s="26">
        <v>1E-8</v>
      </c>
      <c r="F50" s="26">
        <f t="shared" si="54"/>
        <v>2.0000000000000001E-9</v>
      </c>
      <c r="G50" s="26">
        <f t="shared" si="55"/>
        <v>4.0000000000000002E-4</v>
      </c>
      <c r="H50" s="7">
        <v>1.6795745208414701</v>
      </c>
      <c r="I50" s="7">
        <v>20967.675665585699</v>
      </c>
      <c r="J50" s="7">
        <v>18265.061724746</v>
      </c>
      <c r="K50" s="7">
        <v>20967.675665585699</v>
      </c>
      <c r="L50" s="7">
        <v>1222830.0672564299</v>
      </c>
      <c r="M50" s="7">
        <v>254.64790894703299</v>
      </c>
      <c r="N50" s="7">
        <f t="shared" si="56"/>
        <v>60200.413055917394</v>
      </c>
      <c r="P50" s="28">
        <v>12</v>
      </c>
      <c r="Q50" s="26">
        <v>3.0000000000000001E-5</v>
      </c>
      <c r="R50" s="28">
        <v>0.2</v>
      </c>
      <c r="S50" s="28">
        <v>30</v>
      </c>
      <c r="T50" s="26">
        <v>1E-8</v>
      </c>
      <c r="U50" s="26">
        <f t="shared" si="57"/>
        <v>2.0000000000000001E-9</v>
      </c>
      <c r="V50" s="26">
        <f t="shared" si="58"/>
        <v>1.3333333333333334E-4</v>
      </c>
      <c r="W50" s="7">
        <v>1.6885738992897099</v>
      </c>
      <c r="X50" s="7">
        <v>6989.2252213633501</v>
      </c>
      <c r="Y50" s="7">
        <v>6088.3538895246002</v>
      </c>
      <c r="Z50" s="7">
        <v>6989.2252213633501</v>
      </c>
      <c r="AA50" s="7">
        <v>407610.02322415198</v>
      </c>
      <c r="AB50" s="7">
        <v>28.2942121052258</v>
      </c>
      <c r="AC50" s="7">
        <f t="shared" si="59"/>
        <v>20066.8043322513</v>
      </c>
      <c r="AE50" s="28">
        <v>12</v>
      </c>
      <c r="AF50" s="26">
        <v>5.0000000000000002E-5</v>
      </c>
      <c r="AG50" s="28">
        <v>0.2</v>
      </c>
      <c r="AH50" s="28">
        <v>30</v>
      </c>
      <c r="AI50" s="26">
        <v>1E-8</v>
      </c>
      <c r="AJ50" s="26">
        <f t="shared" si="60"/>
        <v>2.0000000000000001E-9</v>
      </c>
      <c r="AK50" s="26">
        <f t="shared" si="61"/>
        <v>8.0000000000000007E-5</v>
      </c>
      <c r="AL50" s="7">
        <v>1.6903859557746499</v>
      </c>
      <c r="AM50" s="7">
        <v>4193.5351285970401</v>
      </c>
      <c r="AN50" s="7">
        <v>3653.01217518762</v>
      </c>
      <c r="AO50" s="7">
        <v>4193.5351285970401</v>
      </c>
      <c r="AP50" s="7">
        <v>244566.02075291699</v>
      </c>
      <c r="AQ50" s="7">
        <v>10.1859163578813</v>
      </c>
      <c r="AR50" s="7">
        <f t="shared" si="62"/>
        <v>12040.0824323817</v>
      </c>
      <c r="AT50" s="28">
        <v>12</v>
      </c>
      <c r="AU50" s="26">
        <v>1.0000000000000001E-5</v>
      </c>
      <c r="AV50" s="28">
        <v>0.2</v>
      </c>
      <c r="AW50" s="28">
        <v>200</v>
      </c>
      <c r="AX50" s="26">
        <v>1E-8</v>
      </c>
      <c r="AY50" s="26">
        <f t="shared" si="63"/>
        <v>2.0000000000000001E-9</v>
      </c>
      <c r="AZ50" s="26">
        <f t="shared" si="64"/>
        <v>4.0000000000000002E-4</v>
      </c>
      <c r="BA50" s="7">
        <v>3.6164273045397501</v>
      </c>
      <c r="BB50" s="7">
        <v>4345.3623253436699</v>
      </c>
      <c r="BC50" s="7">
        <v>18265.061724746</v>
      </c>
      <c r="BD50" s="7">
        <v>4345.3623253436699</v>
      </c>
      <c r="BE50" s="7">
        <v>1222830.0672564299</v>
      </c>
      <c r="BF50" s="7">
        <v>254.64790894703299</v>
      </c>
      <c r="BG50" s="7">
        <f t="shared" si="65"/>
        <v>26955.786375433341</v>
      </c>
      <c r="BI50" s="28">
        <v>12</v>
      </c>
      <c r="BJ50" s="26">
        <v>1.0000000000000001E-5</v>
      </c>
      <c r="BK50" s="28">
        <v>0.5</v>
      </c>
      <c r="BL50" s="28">
        <v>200</v>
      </c>
      <c r="BM50" s="26">
        <v>1E-8</v>
      </c>
      <c r="BN50" s="26">
        <f t="shared" si="66"/>
        <v>5.0000000000000001E-9</v>
      </c>
      <c r="BO50" s="26">
        <f t="shared" si="67"/>
        <v>1E-3</v>
      </c>
      <c r="BP50" s="7">
        <v>6.5298295205360501</v>
      </c>
      <c r="BQ50" s="7">
        <v>3764.12485338133</v>
      </c>
      <c r="BR50" s="7">
        <v>7306.0246898983996</v>
      </c>
      <c r="BS50" s="7">
        <v>3764.12485338133</v>
      </c>
      <c r="BT50" s="7">
        <v>489132.02690256998</v>
      </c>
      <c r="BU50" s="7">
        <v>254.64790894703299</v>
      </c>
      <c r="BV50" s="7">
        <f t="shared" si="68"/>
        <v>14834.27439666106</v>
      </c>
      <c r="BX50" s="28">
        <v>12</v>
      </c>
      <c r="BY50" s="26">
        <v>5.0000000000000002E-5</v>
      </c>
      <c r="BZ50" s="28">
        <v>0.5</v>
      </c>
      <c r="CA50" s="28">
        <v>200</v>
      </c>
      <c r="CB50" s="26">
        <v>1E-8</v>
      </c>
      <c r="CC50" s="26">
        <f t="shared" si="69"/>
        <v>5.0000000000000001E-9</v>
      </c>
      <c r="CD50" s="26">
        <f t="shared" si="70"/>
        <v>1.9999999999999998E-4</v>
      </c>
      <c r="CE50" s="7">
        <v>6.7025365651457296</v>
      </c>
      <c r="CF50" s="7">
        <v>752.82497001808497</v>
      </c>
      <c r="CG50" s="7">
        <v>1461.2048700750499</v>
      </c>
      <c r="CH50" s="7">
        <v>752.82497001808497</v>
      </c>
      <c r="CI50" s="7">
        <v>97826.408301166695</v>
      </c>
      <c r="CJ50" s="7">
        <v>10.1859163578813</v>
      </c>
      <c r="CK50" s="7">
        <f t="shared" si="71"/>
        <v>2966.8548101112201</v>
      </c>
      <c r="CM50" s="28">
        <v>12</v>
      </c>
      <c r="CN50" s="26">
        <v>5.0000000000000002E-5</v>
      </c>
      <c r="CO50" s="28">
        <v>1</v>
      </c>
      <c r="CP50" s="28">
        <v>200</v>
      </c>
      <c r="CQ50" s="26">
        <v>1E-8</v>
      </c>
      <c r="CR50" s="26">
        <f t="shared" si="72"/>
        <v>1E-8</v>
      </c>
      <c r="CS50" s="26">
        <f t="shared" si="73"/>
        <v>3.9999999999999996E-4</v>
      </c>
      <c r="CT50" s="7">
        <v>9.7314747070142893</v>
      </c>
      <c r="CU50" s="7">
        <v>665.23311259709499</v>
      </c>
      <c r="CV50" s="7">
        <v>730.60243503752497</v>
      </c>
      <c r="CW50" s="7">
        <v>665.23311259709499</v>
      </c>
      <c r="CX50" s="7">
        <v>48913.204150583399</v>
      </c>
      <c r="CY50" s="7">
        <v>10.1859163578813</v>
      </c>
      <c r="CZ50" s="7">
        <f t="shared" si="74"/>
        <v>2061.0686602317151</v>
      </c>
      <c r="DB50" s="28">
        <v>12</v>
      </c>
      <c r="DC50" s="26">
        <v>5.0000000000000002E-5</v>
      </c>
      <c r="DD50" s="28">
        <v>2</v>
      </c>
      <c r="DE50" s="28">
        <v>200</v>
      </c>
      <c r="DF50" s="26">
        <v>1E-8</v>
      </c>
      <c r="DG50" s="26">
        <f t="shared" si="75"/>
        <v>2E-8</v>
      </c>
      <c r="DH50" s="26">
        <f t="shared" si="76"/>
        <v>7.9999999999999993E-4</v>
      </c>
      <c r="DI50" s="7">
        <v>13.393022576069599</v>
      </c>
      <c r="DJ50" s="7">
        <v>578.22973015081095</v>
      </c>
      <c r="DK50" s="7">
        <v>365.301217518763</v>
      </c>
      <c r="DL50" s="7">
        <v>578.22973015081095</v>
      </c>
      <c r="DM50" s="7">
        <v>24456.602075291699</v>
      </c>
      <c r="DN50" s="7">
        <v>10.1859163578813</v>
      </c>
      <c r="DO50" s="7">
        <f t="shared" si="77"/>
        <v>1521.7606778203849</v>
      </c>
      <c r="DQ50" s="28">
        <v>12</v>
      </c>
      <c r="DR50" s="26">
        <v>5.0000000000000002E-5</v>
      </c>
      <c r="DS50" s="28">
        <v>15</v>
      </c>
      <c r="DT50" s="28">
        <v>300</v>
      </c>
      <c r="DU50" s="26">
        <v>7.4999999999999993E-9</v>
      </c>
      <c r="DV50" s="26">
        <f t="shared" si="78"/>
        <v>1.1249999999999999E-7</v>
      </c>
      <c r="DW50" s="26">
        <f t="shared" si="79"/>
        <v>4.4999999999999997E-3</v>
      </c>
      <c r="DX50" s="7">
        <v>39.801187202962701</v>
      </c>
      <c r="DY50" s="7">
        <v>254.539230510376</v>
      </c>
      <c r="DZ50" s="7">
        <v>48.7068290025016</v>
      </c>
      <c r="EA50" s="7">
        <v>254.539230510376</v>
      </c>
      <c r="EB50" s="7">
        <v>3260.8802767055599</v>
      </c>
      <c r="EC50" s="7">
        <v>8.1487330863050396</v>
      </c>
      <c r="ED50" s="7">
        <f t="shared" si="80"/>
        <v>557.78529002325354</v>
      </c>
    </row>
    <row r="51" spans="1:134" x14ac:dyDescent="0.4">
      <c r="A51" s="28">
        <v>15</v>
      </c>
      <c r="B51" s="26">
        <v>1.0000000000000001E-5</v>
      </c>
      <c r="C51" s="28">
        <v>0.2</v>
      </c>
      <c r="D51" s="28">
        <v>30</v>
      </c>
      <c r="E51" s="26">
        <v>1E-8</v>
      </c>
      <c r="F51" s="26">
        <f t="shared" si="54"/>
        <v>2.0000000000000001E-9</v>
      </c>
      <c r="G51" s="26">
        <f t="shared" si="55"/>
        <v>4.0000000000000002E-4</v>
      </c>
      <c r="H51" s="7">
        <v>3.63512359484419</v>
      </c>
      <c r="I51" s="7">
        <v>12481.634129420599</v>
      </c>
      <c r="J51" s="7">
        <v>3828.3041509332402</v>
      </c>
      <c r="K51" s="7">
        <v>12481.634129420599</v>
      </c>
      <c r="L51" s="7">
        <v>1641861.5249040499</v>
      </c>
      <c r="M51" s="7">
        <v>254.64790894703299</v>
      </c>
      <c r="N51" s="7">
        <f t="shared" si="56"/>
        <v>28791.572409774439</v>
      </c>
      <c r="P51" s="28">
        <v>15</v>
      </c>
      <c r="Q51" s="26">
        <v>3.0000000000000001E-5</v>
      </c>
      <c r="R51" s="28">
        <v>0.2</v>
      </c>
      <c r="S51" s="28">
        <v>30</v>
      </c>
      <c r="T51" s="26">
        <v>1E-8</v>
      </c>
      <c r="U51" s="26">
        <f t="shared" si="57"/>
        <v>2.0000000000000001E-9</v>
      </c>
      <c r="V51" s="26">
        <f t="shared" si="58"/>
        <v>1.3333333333333334E-4</v>
      </c>
      <c r="W51" s="7">
        <v>3.6769930478138599</v>
      </c>
      <c r="X51" s="7">
        <v>4160.5447097236602</v>
      </c>
      <c r="Y51" s="7">
        <v>1276.1013836444099</v>
      </c>
      <c r="Z51" s="7">
        <v>4160.5447097236602</v>
      </c>
      <c r="AA51" s="7">
        <v>547287.17553344101</v>
      </c>
      <c r="AB51" s="7">
        <v>28.2942121052258</v>
      </c>
      <c r="AC51" s="7">
        <f t="shared" si="59"/>
        <v>9597.1908030917293</v>
      </c>
      <c r="AE51" s="28">
        <v>15</v>
      </c>
      <c r="AF51" s="26">
        <v>5.0000000000000002E-5</v>
      </c>
      <c r="AG51" s="28">
        <v>0.2</v>
      </c>
      <c r="AH51" s="28">
        <v>30</v>
      </c>
      <c r="AI51" s="26">
        <v>1E-8</v>
      </c>
      <c r="AJ51" s="26">
        <f t="shared" si="60"/>
        <v>2.0000000000000001E-9</v>
      </c>
      <c r="AK51" s="26">
        <f t="shared" si="61"/>
        <v>8.0000000000000007E-5</v>
      </c>
      <c r="AL51" s="7">
        <v>3.68548502160098</v>
      </c>
      <c r="AM51" s="7">
        <v>2496.32682512977</v>
      </c>
      <c r="AN51" s="7">
        <v>765.66083018664904</v>
      </c>
      <c r="AO51" s="7">
        <v>2496.32682512977</v>
      </c>
      <c r="AP51" s="7">
        <v>328372.31010722602</v>
      </c>
      <c r="AQ51" s="7">
        <v>10.1859163578813</v>
      </c>
      <c r="AR51" s="7">
        <f t="shared" si="62"/>
        <v>5758.314480446189</v>
      </c>
      <c r="AT51" s="28">
        <v>15</v>
      </c>
      <c r="AU51" s="26">
        <v>1.0000000000000001E-5</v>
      </c>
      <c r="AV51" s="28">
        <v>0.2</v>
      </c>
      <c r="AW51" s="28">
        <v>200</v>
      </c>
      <c r="AX51" s="26">
        <v>1E-8</v>
      </c>
      <c r="AY51" s="26">
        <f t="shared" si="63"/>
        <v>2.0000000000000001E-9</v>
      </c>
      <c r="AZ51" s="26">
        <f t="shared" si="64"/>
        <v>4.0000000000000002E-4</v>
      </c>
      <c r="BA51" s="7">
        <v>20.852856011847901</v>
      </c>
      <c r="BB51" s="7">
        <v>1941.00035424731</v>
      </c>
      <c r="BC51" s="7">
        <v>642.33504314082199</v>
      </c>
      <c r="BD51" s="7">
        <v>1941.00035424731</v>
      </c>
      <c r="BE51" s="7">
        <v>1641861.5249040499</v>
      </c>
      <c r="BF51" s="7">
        <v>254.64790894703299</v>
      </c>
      <c r="BG51" s="7">
        <f t="shared" si="65"/>
        <v>4524.3357516354426</v>
      </c>
      <c r="BI51" s="28">
        <v>15</v>
      </c>
      <c r="BJ51" s="26">
        <v>1.0000000000000001E-5</v>
      </c>
      <c r="BK51" s="28">
        <v>0.5</v>
      </c>
      <c r="BL51" s="28">
        <v>200</v>
      </c>
      <c r="BM51" s="26">
        <v>1E-8</v>
      </c>
      <c r="BN51" s="26">
        <f t="shared" si="66"/>
        <v>5.0000000000000001E-9</v>
      </c>
      <c r="BO51" s="26">
        <f t="shared" si="67"/>
        <v>1E-3</v>
      </c>
      <c r="BP51" s="7">
        <v>21.189190069721</v>
      </c>
      <c r="BQ51" s="7">
        <v>1921.9637593119501</v>
      </c>
      <c r="BR51" s="7">
        <v>622.78773017584695</v>
      </c>
      <c r="BS51" s="7">
        <v>1921.9637593119501</v>
      </c>
      <c r="BT51" s="7">
        <v>656744.60996161995</v>
      </c>
      <c r="BU51" s="7">
        <v>254.64790894703299</v>
      </c>
      <c r="BV51" s="7">
        <f t="shared" si="68"/>
        <v>4466.7152487997464</v>
      </c>
      <c r="BX51" s="28">
        <v>15</v>
      </c>
      <c r="BY51" s="26">
        <v>5.0000000000000002E-5</v>
      </c>
      <c r="BZ51" s="28">
        <v>0.5</v>
      </c>
      <c r="CA51" s="28">
        <v>200</v>
      </c>
      <c r="CB51" s="26">
        <v>1E-8</v>
      </c>
      <c r="CC51" s="26">
        <f t="shared" si="69"/>
        <v>5.0000000000000001E-9</v>
      </c>
      <c r="CD51" s="26">
        <f t="shared" si="70"/>
        <v>1.9999999999999998E-4</v>
      </c>
      <c r="CE51" s="7">
        <v>23.064683723762698</v>
      </c>
      <c r="CF51" s="7">
        <v>384.39275181655802</v>
      </c>
      <c r="CG51" s="7">
        <v>124.557546035169</v>
      </c>
      <c r="CH51" s="7">
        <v>384.39275181655802</v>
      </c>
      <c r="CI51" s="7">
        <v>131348.92404288999</v>
      </c>
      <c r="CJ51" s="7">
        <v>10.1859163578813</v>
      </c>
      <c r="CK51" s="7">
        <f t="shared" si="71"/>
        <v>893.34304966828495</v>
      </c>
      <c r="CM51" s="28">
        <v>15</v>
      </c>
      <c r="CN51" s="26">
        <v>5.0000000000000002E-5</v>
      </c>
      <c r="CO51" s="28">
        <v>1</v>
      </c>
      <c r="CP51" s="28">
        <v>200</v>
      </c>
      <c r="CQ51" s="26">
        <v>1E-8</v>
      </c>
      <c r="CR51" s="26">
        <f t="shared" si="72"/>
        <v>1E-8</v>
      </c>
      <c r="CS51" s="26">
        <f t="shared" si="73"/>
        <v>3.9999999999999996E-4</v>
      </c>
      <c r="CT51" s="7">
        <v>23.688395843385301</v>
      </c>
      <c r="CU51" s="7">
        <v>378.32091509688701</v>
      </c>
      <c r="CV51" s="7">
        <v>118.54503217394399</v>
      </c>
      <c r="CW51" s="7">
        <v>378.32091509688701</v>
      </c>
      <c r="CX51" s="7">
        <v>65674.462021445201</v>
      </c>
      <c r="CY51" s="7">
        <v>10.1859163578813</v>
      </c>
      <c r="CZ51" s="7">
        <f t="shared" si="74"/>
        <v>875.18686236771805</v>
      </c>
      <c r="DB51" s="28">
        <v>15</v>
      </c>
      <c r="DC51" s="26">
        <v>5.0000000000000002E-5</v>
      </c>
      <c r="DD51" s="28">
        <v>2</v>
      </c>
      <c r="DE51" s="28">
        <v>200</v>
      </c>
      <c r="DF51" s="26">
        <v>1E-8</v>
      </c>
      <c r="DG51" s="26">
        <f t="shared" si="75"/>
        <v>2E-8</v>
      </c>
      <c r="DH51" s="26">
        <f t="shared" si="76"/>
        <v>7.9999999999999993E-4</v>
      </c>
      <c r="DI51" s="7">
        <v>24.898395112951501</v>
      </c>
      <c r="DJ51" s="7">
        <v>367.08848561923799</v>
      </c>
      <c r="DK51" s="7">
        <v>108.10811969663401</v>
      </c>
      <c r="DL51" s="7">
        <v>367.08848561923799</v>
      </c>
      <c r="DM51" s="7">
        <v>32837.2310107226</v>
      </c>
      <c r="DN51" s="7">
        <v>10.1859163578813</v>
      </c>
      <c r="DO51" s="7">
        <f t="shared" si="77"/>
        <v>842.28509093511002</v>
      </c>
      <c r="DQ51" s="28">
        <v>15</v>
      </c>
      <c r="DR51" s="26">
        <v>5.0000000000000002E-5</v>
      </c>
      <c r="DS51" s="28">
        <v>15</v>
      </c>
      <c r="DT51" s="28">
        <v>300</v>
      </c>
      <c r="DU51" s="26">
        <v>7.4999999999999993E-9</v>
      </c>
      <c r="DV51" s="26">
        <f t="shared" si="78"/>
        <v>1.1249999999999999E-7</v>
      </c>
      <c r="DW51" s="26">
        <f t="shared" si="79"/>
        <v>4.4999999999999997E-3</v>
      </c>
      <c r="DX51" s="7">
        <v>49.858030388649397</v>
      </c>
      <c r="DY51" s="7">
        <v>202.84957985735099</v>
      </c>
      <c r="DZ51" s="7">
        <v>42.287816140325297</v>
      </c>
      <c r="EA51" s="7">
        <v>202.84957985735099</v>
      </c>
      <c r="EB51" s="7">
        <v>4378.2974680963498</v>
      </c>
      <c r="EC51" s="7">
        <v>8.1487330863050396</v>
      </c>
      <c r="ED51" s="7">
        <f t="shared" si="80"/>
        <v>447.98697585502725</v>
      </c>
    </row>
    <row r="52" spans="1:134" x14ac:dyDescent="0.4">
      <c r="A52" s="28">
        <v>20</v>
      </c>
      <c r="B52" s="26">
        <v>1.0000000000000001E-5</v>
      </c>
      <c r="C52" s="28">
        <v>0.2</v>
      </c>
      <c r="D52" s="28">
        <v>30</v>
      </c>
      <c r="E52" s="26">
        <v>1E-8</v>
      </c>
      <c r="F52" s="26">
        <f t="shared" si="54"/>
        <v>2.0000000000000001E-9</v>
      </c>
      <c r="G52" s="26">
        <f t="shared" si="55"/>
        <v>4.0000000000000002E-4</v>
      </c>
      <c r="H52" s="7">
        <v>5.6091570080917297</v>
      </c>
      <c r="I52" s="7">
        <v>7857.7524727739301</v>
      </c>
      <c r="J52" s="7">
        <v>4475.4086280782203</v>
      </c>
      <c r="K52" s="7">
        <v>7857.7524727739301</v>
      </c>
      <c r="L52" s="7">
        <v>2551974.2921694499</v>
      </c>
      <c r="M52" s="7">
        <v>254.64790894703299</v>
      </c>
      <c r="N52" s="7">
        <f t="shared" si="56"/>
        <v>20190.91357362608</v>
      </c>
      <c r="P52" s="28">
        <v>20</v>
      </c>
      <c r="Q52" s="26">
        <v>3.0000000000000001E-5</v>
      </c>
      <c r="R52" s="28">
        <v>0.2</v>
      </c>
      <c r="S52" s="28">
        <v>30</v>
      </c>
      <c r="T52" s="26">
        <v>1E-8</v>
      </c>
      <c r="U52" s="26">
        <f t="shared" si="57"/>
        <v>2.0000000000000001E-9</v>
      </c>
      <c r="V52" s="26">
        <f t="shared" si="58"/>
        <v>1.3333333333333334E-4</v>
      </c>
      <c r="W52" s="7">
        <v>5.70194155404202</v>
      </c>
      <c r="X52" s="7">
        <v>2619.2508242245099</v>
      </c>
      <c r="Y52" s="7">
        <v>1491.80287602607</v>
      </c>
      <c r="Z52" s="7">
        <v>2619.2508242245099</v>
      </c>
      <c r="AA52" s="7">
        <v>850658.09849467594</v>
      </c>
      <c r="AB52" s="7">
        <v>28.2942121052258</v>
      </c>
      <c r="AC52" s="7">
        <f t="shared" si="59"/>
        <v>6730.3045244750901</v>
      </c>
      <c r="AE52" s="28">
        <v>20</v>
      </c>
      <c r="AF52" s="26">
        <v>5.0000000000000002E-5</v>
      </c>
      <c r="AG52" s="28">
        <v>0.2</v>
      </c>
      <c r="AH52" s="28">
        <v>30</v>
      </c>
      <c r="AI52" s="26">
        <v>1E-8</v>
      </c>
      <c r="AJ52" s="26">
        <f t="shared" si="60"/>
        <v>2.0000000000000001E-9</v>
      </c>
      <c r="AK52" s="26">
        <f t="shared" si="61"/>
        <v>8.0000000000000007E-5</v>
      </c>
      <c r="AL52" s="7">
        <v>5.7208710473244802</v>
      </c>
      <c r="AM52" s="7">
        <v>1571.5504942513201</v>
      </c>
      <c r="AN52" s="7">
        <v>895.08172561564299</v>
      </c>
      <c r="AO52" s="7">
        <v>1571.5504942513201</v>
      </c>
      <c r="AP52" s="7">
        <v>510394.86845111102</v>
      </c>
      <c r="AQ52" s="7">
        <v>10.1859163578813</v>
      </c>
      <c r="AR52" s="7">
        <f t="shared" si="62"/>
        <v>4038.182714118283</v>
      </c>
      <c r="AT52" s="28">
        <v>20</v>
      </c>
      <c r="AU52" s="26">
        <v>1.0000000000000001E-5</v>
      </c>
      <c r="AV52" s="28">
        <v>0.2</v>
      </c>
      <c r="AW52" s="28">
        <v>200</v>
      </c>
      <c r="AX52" s="26">
        <v>1E-8</v>
      </c>
      <c r="AY52" s="26">
        <f t="shared" si="63"/>
        <v>2.0000000000000001E-9</v>
      </c>
      <c r="AZ52" s="26">
        <f t="shared" si="64"/>
        <v>4.0000000000000002E-4</v>
      </c>
      <c r="BA52" s="7">
        <v>32.062241053419299</v>
      </c>
      <c r="BB52" s="7">
        <v>1196.98361424428</v>
      </c>
      <c r="BC52" s="7">
        <v>694.07852984949898</v>
      </c>
      <c r="BD52" s="7">
        <v>1196.98361424428</v>
      </c>
      <c r="BE52" s="7">
        <v>2551974.2921694499</v>
      </c>
      <c r="BF52" s="7">
        <v>254.64790894703299</v>
      </c>
      <c r="BG52" s="7">
        <f t="shared" si="65"/>
        <v>3088.0457583380589</v>
      </c>
      <c r="BI52" s="28">
        <v>20</v>
      </c>
      <c r="BJ52" s="26">
        <v>1.0000000000000001E-5</v>
      </c>
      <c r="BK52" s="28">
        <v>0.5</v>
      </c>
      <c r="BL52" s="28">
        <v>200</v>
      </c>
      <c r="BM52" s="26">
        <v>1E-8</v>
      </c>
      <c r="BN52" s="26">
        <f t="shared" si="66"/>
        <v>5.0000000000000001E-9</v>
      </c>
      <c r="BO52" s="26">
        <f t="shared" si="67"/>
        <v>1E-3</v>
      </c>
      <c r="BP52" s="7">
        <v>32.273208067819702</v>
      </c>
      <c r="BQ52" s="7">
        <v>1192.0586917390101</v>
      </c>
      <c r="BR52" s="7">
        <v>687.90288040570601</v>
      </c>
      <c r="BS52" s="7">
        <v>1192.0586917390101</v>
      </c>
      <c r="BT52" s="7">
        <v>1020789.71686778</v>
      </c>
      <c r="BU52" s="7">
        <v>254.64790894703299</v>
      </c>
      <c r="BV52" s="7">
        <f t="shared" si="68"/>
        <v>3072.0202638837263</v>
      </c>
      <c r="BX52" s="28">
        <v>20</v>
      </c>
      <c r="BY52" s="26">
        <v>5.0000000000000002E-5</v>
      </c>
      <c r="BZ52" s="28">
        <v>0.5</v>
      </c>
      <c r="CA52" s="28">
        <v>200</v>
      </c>
      <c r="CB52" s="26">
        <v>1E-8</v>
      </c>
      <c r="CC52" s="26">
        <f t="shared" si="69"/>
        <v>5.0000000000000001E-9</v>
      </c>
      <c r="CD52" s="26">
        <f t="shared" si="70"/>
        <v>1.9999999999999998E-4</v>
      </c>
      <c r="CE52" s="7">
        <v>36.401693989181197</v>
      </c>
      <c r="CF52" s="7">
        <v>238.41173833028401</v>
      </c>
      <c r="CG52" s="7">
        <v>137.580576081141</v>
      </c>
      <c r="CH52" s="7">
        <v>238.41173833028401</v>
      </c>
      <c r="CI52" s="7">
        <v>204157.947380445</v>
      </c>
      <c r="CJ52" s="7">
        <v>10.1859163578813</v>
      </c>
      <c r="CK52" s="7">
        <f t="shared" si="71"/>
        <v>614.40405274170905</v>
      </c>
      <c r="CM52" s="28">
        <v>20</v>
      </c>
      <c r="CN52" s="26">
        <v>5.0000000000000002E-5</v>
      </c>
      <c r="CO52" s="28">
        <v>1</v>
      </c>
      <c r="CP52" s="28">
        <v>200</v>
      </c>
      <c r="CQ52" s="26">
        <v>1E-8</v>
      </c>
      <c r="CR52" s="26">
        <f t="shared" si="72"/>
        <v>1E-8</v>
      </c>
      <c r="CS52" s="26">
        <f t="shared" si="73"/>
        <v>3.9999999999999996E-4</v>
      </c>
      <c r="CT52" s="7">
        <v>36.816876446437298</v>
      </c>
      <c r="CU52" s="7">
        <v>236.794372688691</v>
      </c>
      <c r="CV52" s="7">
        <v>135.57018035757301</v>
      </c>
      <c r="CW52" s="7">
        <v>236.794372688691</v>
      </c>
      <c r="CX52" s="7">
        <v>102078.973690222</v>
      </c>
      <c r="CY52" s="7">
        <v>10.1859163578813</v>
      </c>
      <c r="CZ52" s="7">
        <f t="shared" si="74"/>
        <v>609.15892573495501</v>
      </c>
      <c r="DB52" s="28">
        <v>20</v>
      </c>
      <c r="DC52" s="26">
        <v>5.0000000000000002E-5</v>
      </c>
      <c r="DD52" s="28">
        <v>2</v>
      </c>
      <c r="DE52" s="28">
        <v>200</v>
      </c>
      <c r="DF52" s="26">
        <v>1E-8</v>
      </c>
      <c r="DG52" s="26">
        <f t="shared" si="75"/>
        <v>2E-8</v>
      </c>
      <c r="DH52" s="26">
        <f t="shared" si="76"/>
        <v>7.9999999999999993E-4</v>
      </c>
      <c r="DI52" s="7">
        <v>37.641799283832697</v>
      </c>
      <c r="DJ52" s="7">
        <v>233.64718966736299</v>
      </c>
      <c r="DK52" s="7">
        <v>131.72072797829401</v>
      </c>
      <c r="DL52" s="7">
        <v>233.64718966736299</v>
      </c>
      <c r="DM52" s="7">
        <v>51039.486845111103</v>
      </c>
      <c r="DN52" s="7">
        <v>10.1859163578813</v>
      </c>
      <c r="DO52" s="7">
        <f t="shared" si="77"/>
        <v>599.01510731302005</v>
      </c>
      <c r="DQ52" s="28">
        <v>20</v>
      </c>
      <c r="DR52" s="26">
        <v>5.0000000000000002E-5</v>
      </c>
      <c r="DS52" s="28">
        <v>15</v>
      </c>
      <c r="DT52" s="28">
        <v>300</v>
      </c>
      <c r="DU52" s="26">
        <v>7.4999999999999993E-9</v>
      </c>
      <c r="DV52" s="26">
        <f t="shared" si="78"/>
        <v>1.1249999999999999E-7</v>
      </c>
      <c r="DW52" s="26">
        <f t="shared" si="79"/>
        <v>4.4999999999999997E-3</v>
      </c>
      <c r="DX52" s="7">
        <v>65.563952923772902</v>
      </c>
      <c r="DY52" s="7">
        <v>141.30482192536101</v>
      </c>
      <c r="DZ52" s="7">
        <v>71.560155029152398</v>
      </c>
      <c r="EA52" s="7">
        <v>141.30482192536101</v>
      </c>
      <c r="EB52" s="7">
        <v>6805.2649126814904</v>
      </c>
      <c r="EC52" s="7">
        <v>8.1487330863050396</v>
      </c>
      <c r="ED52" s="7">
        <f t="shared" si="80"/>
        <v>354.16979887987441</v>
      </c>
    </row>
    <row r="53" spans="1:134" x14ac:dyDescent="0.4">
      <c r="A53" s="28">
        <v>25</v>
      </c>
      <c r="B53" s="26">
        <v>1.0000000000000001E-5</v>
      </c>
      <c r="C53" s="28">
        <v>0.2</v>
      </c>
      <c r="D53" s="28">
        <v>30</v>
      </c>
      <c r="E53" s="26">
        <v>1E-8</v>
      </c>
      <c r="F53" s="26">
        <f t="shared" si="54"/>
        <v>2.0000000000000001E-9</v>
      </c>
      <c r="G53" s="26">
        <f t="shared" si="55"/>
        <v>4.0000000000000002E-4</v>
      </c>
      <c r="H53" s="7">
        <v>7.2392769825646601</v>
      </c>
      <c r="I53" s="7">
        <v>5967.7070610572</v>
      </c>
      <c r="J53" s="7">
        <v>4769.5933204541298</v>
      </c>
      <c r="K53" s="7">
        <v>5967.7070610572</v>
      </c>
      <c r="L53" s="7">
        <v>3890230.9388607698</v>
      </c>
      <c r="M53" s="7">
        <v>254.64790894703299</v>
      </c>
      <c r="N53" s="7">
        <f t="shared" si="56"/>
        <v>16705.007442568531</v>
      </c>
      <c r="P53" s="28">
        <v>25</v>
      </c>
      <c r="Q53" s="26">
        <v>3.0000000000000001E-5</v>
      </c>
      <c r="R53" s="28">
        <v>0.2</v>
      </c>
      <c r="S53" s="28">
        <v>30</v>
      </c>
      <c r="T53" s="26">
        <v>1E-8</v>
      </c>
      <c r="U53" s="26">
        <f t="shared" si="57"/>
        <v>2.0000000000000001E-9</v>
      </c>
      <c r="V53" s="26">
        <f t="shared" si="58"/>
        <v>1.3333333333333334E-4</v>
      </c>
      <c r="W53" s="7">
        <v>7.3842938752663603</v>
      </c>
      <c r="X53" s="7">
        <v>1989.2356869965699</v>
      </c>
      <c r="Y53" s="7">
        <v>1589.86444015137</v>
      </c>
      <c r="Z53" s="7">
        <v>1989.2356869965699</v>
      </c>
      <c r="AA53" s="7">
        <v>1296743.6482743199</v>
      </c>
      <c r="AB53" s="7">
        <v>28.2942121052258</v>
      </c>
      <c r="AC53" s="7">
        <f t="shared" si="59"/>
        <v>5568.3358141445096</v>
      </c>
      <c r="AE53" s="28">
        <v>25</v>
      </c>
      <c r="AF53" s="26">
        <v>5.0000000000000002E-5</v>
      </c>
      <c r="AG53" s="28">
        <v>0.2</v>
      </c>
      <c r="AH53" s="28">
        <v>30</v>
      </c>
      <c r="AI53" s="26">
        <v>1E-8</v>
      </c>
      <c r="AJ53" s="26">
        <f t="shared" si="60"/>
        <v>2.0000000000000001E-9</v>
      </c>
      <c r="AK53" s="26">
        <f t="shared" si="61"/>
        <v>8.0000000000000007E-5</v>
      </c>
      <c r="AL53" s="7">
        <v>7.41400036178233</v>
      </c>
      <c r="AM53" s="7">
        <v>1193.54141200751</v>
      </c>
      <c r="AN53" s="7">
        <v>953.91866409082502</v>
      </c>
      <c r="AO53" s="7">
        <v>1193.54141200751</v>
      </c>
      <c r="AP53" s="7">
        <v>778046.205790887</v>
      </c>
      <c r="AQ53" s="7">
        <v>10.1859163578813</v>
      </c>
      <c r="AR53" s="7">
        <f t="shared" si="62"/>
        <v>3341.0014881058451</v>
      </c>
      <c r="AT53" s="28">
        <v>25</v>
      </c>
      <c r="AU53" s="26">
        <v>1.0000000000000001E-5</v>
      </c>
      <c r="AV53" s="28">
        <v>0.2</v>
      </c>
      <c r="AW53" s="28">
        <v>200</v>
      </c>
      <c r="AX53" s="26">
        <v>1E-8</v>
      </c>
      <c r="AY53" s="26">
        <f t="shared" si="63"/>
        <v>2.0000000000000001E-9</v>
      </c>
      <c r="AZ53" s="26">
        <f t="shared" si="64"/>
        <v>4.0000000000000002E-4</v>
      </c>
      <c r="BA53" s="7">
        <v>40.729020395084397</v>
      </c>
      <c r="BB53" s="7">
        <v>904.92261526204402</v>
      </c>
      <c r="BC53" s="7">
        <v>729.47946385146201</v>
      </c>
      <c r="BD53" s="7">
        <v>904.92261526204402</v>
      </c>
      <c r="BE53" s="7">
        <v>3890230.9388607698</v>
      </c>
      <c r="BF53" s="7">
        <v>254.64790894703299</v>
      </c>
      <c r="BG53" s="7">
        <f t="shared" si="65"/>
        <v>2539.3246943755503</v>
      </c>
      <c r="BI53" s="28">
        <v>25</v>
      </c>
      <c r="BJ53" s="26">
        <v>1.0000000000000001E-5</v>
      </c>
      <c r="BK53" s="28">
        <v>0.5</v>
      </c>
      <c r="BL53" s="28">
        <v>200</v>
      </c>
      <c r="BM53" s="26">
        <v>1E-8</v>
      </c>
      <c r="BN53" s="26">
        <f t="shared" si="66"/>
        <v>5.0000000000000001E-9</v>
      </c>
      <c r="BO53" s="26">
        <f t="shared" si="67"/>
        <v>1E-3</v>
      </c>
      <c r="BP53" s="7">
        <v>40.897252999061699</v>
      </c>
      <c r="BQ53" s="7">
        <v>902.31159397251201</v>
      </c>
      <c r="BR53" s="7">
        <v>725.70943403112403</v>
      </c>
      <c r="BS53" s="7">
        <v>902.31159397251201</v>
      </c>
      <c r="BT53" s="7">
        <v>1556092.3755443101</v>
      </c>
      <c r="BU53" s="7">
        <v>254.64790894703299</v>
      </c>
      <c r="BV53" s="7">
        <f t="shared" si="68"/>
        <v>2530.3326219761479</v>
      </c>
      <c r="BX53" s="28">
        <v>25</v>
      </c>
      <c r="BY53" s="26">
        <v>5.0000000000000002E-5</v>
      </c>
      <c r="BZ53" s="28">
        <v>0.5</v>
      </c>
      <c r="CA53" s="28">
        <v>200</v>
      </c>
      <c r="CB53" s="26">
        <v>1E-8</v>
      </c>
      <c r="CC53" s="26">
        <f t="shared" si="69"/>
        <v>5.0000000000000001E-9</v>
      </c>
      <c r="CD53" s="26">
        <f t="shared" si="70"/>
        <v>1.9999999999999998E-4</v>
      </c>
      <c r="CE53" s="7">
        <v>47.215392259676399</v>
      </c>
      <c r="CF53" s="7">
        <v>180.46231878283399</v>
      </c>
      <c r="CG53" s="7">
        <v>145.14188680622499</v>
      </c>
      <c r="CH53" s="7">
        <v>180.46231878283399</v>
      </c>
      <c r="CI53" s="7">
        <v>311218.48231635499</v>
      </c>
      <c r="CJ53" s="7">
        <v>10.1859163578813</v>
      </c>
      <c r="CK53" s="7">
        <f t="shared" si="71"/>
        <v>506.06652437189302</v>
      </c>
      <c r="CM53" s="28">
        <v>25</v>
      </c>
      <c r="CN53" s="26">
        <v>5.0000000000000002E-5</v>
      </c>
      <c r="CO53" s="28">
        <v>1</v>
      </c>
      <c r="CP53" s="28">
        <v>200</v>
      </c>
      <c r="CQ53" s="26">
        <v>1E-8</v>
      </c>
      <c r="CR53" s="26">
        <f t="shared" si="72"/>
        <v>1E-8</v>
      </c>
      <c r="CS53" s="26">
        <f t="shared" si="73"/>
        <v>3.9999999999999996E-4</v>
      </c>
      <c r="CT53" s="7">
        <v>47.561978077539798</v>
      </c>
      <c r="CU53" s="7">
        <v>179.60025764253999</v>
      </c>
      <c r="CV53" s="7">
        <v>143.90240734913101</v>
      </c>
      <c r="CW53" s="7">
        <v>179.60025764253999</v>
      </c>
      <c r="CX53" s="7">
        <v>155609.241158177</v>
      </c>
      <c r="CY53" s="7">
        <v>10.1859163578813</v>
      </c>
      <c r="CZ53" s="7">
        <f t="shared" si="74"/>
        <v>503.10292263421098</v>
      </c>
      <c r="DB53" s="28">
        <v>25</v>
      </c>
      <c r="DC53" s="26">
        <v>5.0000000000000002E-5</v>
      </c>
      <c r="DD53" s="28">
        <v>2</v>
      </c>
      <c r="DE53" s="28">
        <v>200</v>
      </c>
      <c r="DF53" s="26">
        <v>1E-8</v>
      </c>
      <c r="DG53" s="26">
        <f t="shared" si="75"/>
        <v>2E-8</v>
      </c>
      <c r="DH53" s="26">
        <f t="shared" si="76"/>
        <v>7.9999999999999993E-4</v>
      </c>
      <c r="DI53" s="7">
        <v>48.252913658469303</v>
      </c>
      <c r="DJ53" s="7">
        <v>177.90643586546901</v>
      </c>
      <c r="DK53" s="7">
        <v>141.48598257191699</v>
      </c>
      <c r="DL53" s="7">
        <v>177.90643586546901</v>
      </c>
      <c r="DM53" s="7">
        <v>77804.620579088703</v>
      </c>
      <c r="DN53" s="7">
        <v>10.1859163578813</v>
      </c>
      <c r="DO53" s="7">
        <f t="shared" si="77"/>
        <v>497.29885430285503</v>
      </c>
      <c r="DQ53" s="28">
        <v>25</v>
      </c>
      <c r="DR53" s="26">
        <v>5.0000000000000002E-5</v>
      </c>
      <c r="DS53" s="28">
        <v>15</v>
      </c>
      <c r="DT53" s="28">
        <v>300</v>
      </c>
      <c r="DU53" s="26">
        <v>7.4999999999999993E-9</v>
      </c>
      <c r="DV53" s="26">
        <f t="shared" si="78"/>
        <v>1.1249999999999999E-7</v>
      </c>
      <c r="DW53" s="26">
        <f t="shared" si="79"/>
        <v>4.4999999999999997E-3</v>
      </c>
      <c r="DX53" s="7">
        <v>79.860058429635998</v>
      </c>
      <c r="DY53" s="7">
        <v>110.42994925436599</v>
      </c>
      <c r="DZ53" s="7">
        <v>83.155364315094602</v>
      </c>
      <c r="EA53" s="7">
        <v>110.42994925436599</v>
      </c>
      <c r="EB53" s="7">
        <v>10373.949410545199</v>
      </c>
      <c r="EC53" s="7">
        <v>8.1487330863050396</v>
      </c>
      <c r="ED53" s="7">
        <f t="shared" si="80"/>
        <v>304.01526282382656</v>
      </c>
    </row>
    <row r="54" spans="1:134" x14ac:dyDescent="0.4">
      <c r="A54" s="28">
        <v>30</v>
      </c>
      <c r="B54" s="26">
        <v>1.0000000000000001E-5</v>
      </c>
      <c r="C54" s="28">
        <v>0.2</v>
      </c>
      <c r="D54" s="28">
        <v>30</v>
      </c>
      <c r="E54" s="26">
        <v>1E-8</v>
      </c>
      <c r="F54" s="26">
        <f t="shared" si="54"/>
        <v>2.0000000000000001E-9</v>
      </c>
      <c r="G54" s="26">
        <f t="shared" si="55"/>
        <v>4.0000000000000002E-4</v>
      </c>
      <c r="H54" s="7">
        <v>8.7465092483939504</v>
      </c>
      <c r="I54" s="7">
        <v>4807.3324198337996</v>
      </c>
      <c r="J54" s="7">
        <v>4988.6125859415297</v>
      </c>
      <c r="K54" s="7">
        <v>4807.3324198337996</v>
      </c>
      <c r="L54" s="7">
        <v>5893089.4851508904</v>
      </c>
      <c r="M54" s="7">
        <v>254.64790894703299</v>
      </c>
      <c r="N54" s="7">
        <f t="shared" si="56"/>
        <v>14603.277425609129</v>
      </c>
      <c r="P54" s="28">
        <v>30</v>
      </c>
      <c r="Q54" s="26">
        <v>3.0000000000000001E-5</v>
      </c>
      <c r="R54" s="28">
        <v>0.2</v>
      </c>
      <c r="S54" s="28">
        <v>30</v>
      </c>
      <c r="T54" s="26">
        <v>1E-8</v>
      </c>
      <c r="U54" s="26">
        <f t="shared" si="57"/>
        <v>2.0000000000000001E-9</v>
      </c>
      <c r="V54" s="26">
        <f t="shared" si="58"/>
        <v>1.3333333333333334E-4</v>
      </c>
      <c r="W54" s="7">
        <v>8.9470170862085006</v>
      </c>
      <c r="X54" s="7">
        <v>1602.4441399274999</v>
      </c>
      <c r="Y54" s="7">
        <v>1662.87086198051</v>
      </c>
      <c r="Z54" s="7">
        <v>1602.4441399274999</v>
      </c>
      <c r="AA54" s="7">
        <v>1964363.1651242101</v>
      </c>
      <c r="AB54" s="7">
        <v>28.2942121052258</v>
      </c>
      <c r="AC54" s="7">
        <f t="shared" si="59"/>
        <v>4867.7591418355096</v>
      </c>
      <c r="AE54" s="28">
        <v>30</v>
      </c>
      <c r="AF54" s="26">
        <v>5.0000000000000002E-5</v>
      </c>
      <c r="AG54" s="28">
        <v>0.2</v>
      </c>
      <c r="AH54" s="28">
        <v>30</v>
      </c>
      <c r="AI54" s="26">
        <v>1E-8</v>
      </c>
      <c r="AJ54" s="26">
        <f t="shared" si="60"/>
        <v>2.0000000000000001E-9</v>
      </c>
      <c r="AK54" s="26">
        <f t="shared" si="61"/>
        <v>8.0000000000000007E-5</v>
      </c>
      <c r="AL54" s="7">
        <v>8.9882297521478698</v>
      </c>
      <c r="AM54" s="7">
        <v>961.46648381169098</v>
      </c>
      <c r="AN54" s="7">
        <v>997.72251718830603</v>
      </c>
      <c r="AO54" s="7">
        <v>961.46648381169098</v>
      </c>
      <c r="AP54" s="7">
        <v>1178617.9279219799</v>
      </c>
      <c r="AQ54" s="7">
        <v>10.1859163578813</v>
      </c>
      <c r="AR54" s="7">
        <f t="shared" si="62"/>
        <v>2920.655484811688</v>
      </c>
      <c r="AT54" s="28">
        <v>30</v>
      </c>
      <c r="AU54" s="26">
        <v>1.0000000000000001E-5</v>
      </c>
      <c r="AV54" s="28">
        <v>0.2</v>
      </c>
      <c r="AW54" s="28">
        <v>200</v>
      </c>
      <c r="AX54" s="26">
        <v>1E-8</v>
      </c>
      <c r="AY54" s="26">
        <f t="shared" si="63"/>
        <v>2.0000000000000001E-9</v>
      </c>
      <c r="AZ54" s="26">
        <f t="shared" si="64"/>
        <v>4.0000000000000002E-4</v>
      </c>
      <c r="BA54" s="7">
        <v>48.450518222384702</v>
      </c>
      <c r="BB54" s="7">
        <v>727.37388968977803</v>
      </c>
      <c r="BC54" s="7">
        <v>758.42598130330396</v>
      </c>
      <c r="BD54" s="7">
        <v>727.37388968977803</v>
      </c>
      <c r="BE54" s="7">
        <v>5893089.4851508904</v>
      </c>
      <c r="BF54" s="7">
        <v>254.64790894703299</v>
      </c>
      <c r="BG54" s="7">
        <f t="shared" si="65"/>
        <v>2213.1737606828601</v>
      </c>
      <c r="BI54" s="28">
        <v>30</v>
      </c>
      <c r="BJ54" s="26">
        <v>1.0000000000000001E-5</v>
      </c>
      <c r="BK54" s="28">
        <v>0.5</v>
      </c>
      <c r="BL54" s="28">
        <v>200</v>
      </c>
      <c r="BM54" s="26">
        <v>1E-8</v>
      </c>
      <c r="BN54" s="26">
        <f t="shared" si="66"/>
        <v>5.0000000000000001E-9</v>
      </c>
      <c r="BO54" s="26">
        <f t="shared" si="67"/>
        <v>1E-3</v>
      </c>
      <c r="BP54" s="7">
        <v>48.592039008011099</v>
      </c>
      <c r="BQ54" s="7">
        <v>725.70064173773096</v>
      </c>
      <c r="BR54" s="7">
        <v>755.71672459466504</v>
      </c>
      <c r="BS54" s="7">
        <v>725.70064173773096</v>
      </c>
      <c r="BT54" s="7">
        <v>2357235.7940603602</v>
      </c>
      <c r="BU54" s="7">
        <v>254.64790894703299</v>
      </c>
      <c r="BV54" s="7">
        <f t="shared" si="68"/>
        <v>2207.118008070127</v>
      </c>
      <c r="BX54" s="28">
        <v>30</v>
      </c>
      <c r="BY54" s="26">
        <v>5.0000000000000002E-5</v>
      </c>
      <c r="BZ54" s="28">
        <v>0.5</v>
      </c>
      <c r="CA54" s="28">
        <v>200</v>
      </c>
      <c r="CB54" s="26">
        <v>1E-8</v>
      </c>
      <c r="CC54" s="26">
        <f t="shared" si="69"/>
        <v>5.0000000000000001E-9</v>
      </c>
      <c r="CD54" s="26">
        <f t="shared" si="70"/>
        <v>1.9999999999999998E-4</v>
      </c>
      <c r="CE54" s="7">
        <v>57.1566057904679</v>
      </c>
      <c r="CF54" s="7">
        <v>145.140128338708</v>
      </c>
      <c r="CG54" s="7">
        <v>151.143344918933</v>
      </c>
      <c r="CH54" s="7">
        <v>145.140128338708</v>
      </c>
      <c r="CI54" s="7">
        <v>471447.17116879002</v>
      </c>
      <c r="CJ54" s="7">
        <v>10.1859163578813</v>
      </c>
      <c r="CK54" s="7">
        <f t="shared" si="71"/>
        <v>441.42360159634899</v>
      </c>
      <c r="CM54" s="28">
        <v>30</v>
      </c>
      <c r="CN54" s="26">
        <v>5.0000000000000002E-5</v>
      </c>
      <c r="CO54" s="28">
        <v>1</v>
      </c>
      <c r="CP54" s="28">
        <v>200</v>
      </c>
      <c r="CQ54" s="26">
        <v>1E-8</v>
      </c>
      <c r="CR54" s="26">
        <f t="shared" si="72"/>
        <v>1E-8</v>
      </c>
      <c r="CS54" s="26">
        <f t="shared" si="73"/>
        <v>3.9999999999999996E-4</v>
      </c>
      <c r="CT54" s="7">
        <v>57.461160446623801</v>
      </c>
      <c r="CU54" s="7">
        <v>144.58638467526899</v>
      </c>
      <c r="CV54" s="7">
        <v>150.24883810203599</v>
      </c>
      <c r="CW54" s="7">
        <v>144.58638467526899</v>
      </c>
      <c r="CX54" s="7">
        <v>235723.58558439501</v>
      </c>
      <c r="CY54" s="7">
        <v>10.1859163578813</v>
      </c>
      <c r="CZ54" s="7">
        <f t="shared" si="74"/>
        <v>439.42160745257399</v>
      </c>
      <c r="DB54" s="28">
        <v>30</v>
      </c>
      <c r="DC54" s="26">
        <v>5.0000000000000002E-5</v>
      </c>
      <c r="DD54" s="28">
        <v>2</v>
      </c>
      <c r="DE54" s="28">
        <v>200</v>
      </c>
      <c r="DF54" s="26">
        <v>1E-8</v>
      </c>
      <c r="DG54" s="26">
        <f t="shared" si="75"/>
        <v>2E-8</v>
      </c>
      <c r="DH54" s="26">
        <f t="shared" si="76"/>
        <v>7.9999999999999993E-4</v>
      </c>
      <c r="DI54" s="7">
        <v>58.069080766012597</v>
      </c>
      <c r="DJ54" s="7">
        <v>143.493651420682</v>
      </c>
      <c r="DK54" s="7">
        <v>148.49131311393799</v>
      </c>
      <c r="DL54" s="7">
        <v>143.493651420682</v>
      </c>
      <c r="DM54" s="7">
        <v>117861.792792198</v>
      </c>
      <c r="DN54" s="7">
        <v>10.1859163578813</v>
      </c>
      <c r="DO54" s="7">
        <f t="shared" si="77"/>
        <v>435.47861595530196</v>
      </c>
      <c r="DQ54" s="28">
        <v>30</v>
      </c>
      <c r="DR54" s="26">
        <v>5.0000000000000002E-5</v>
      </c>
      <c r="DS54" s="28">
        <v>15</v>
      </c>
      <c r="DT54" s="28">
        <v>300</v>
      </c>
      <c r="DU54" s="26">
        <v>7.4999999999999993E-9</v>
      </c>
      <c r="DV54" s="26">
        <f t="shared" si="78"/>
        <v>1.1249999999999999E-7</v>
      </c>
      <c r="DW54" s="26">
        <f t="shared" si="79"/>
        <v>4.4999999999999997E-3</v>
      </c>
      <c r="DX54" s="7">
        <v>93.442051870971397</v>
      </c>
      <c r="DY54" s="7">
        <v>90.265822408235607</v>
      </c>
      <c r="DZ54" s="7">
        <v>90.525422516156297</v>
      </c>
      <c r="EA54" s="7">
        <v>90.265822408235607</v>
      </c>
      <c r="EB54" s="7">
        <v>15714.905705626299</v>
      </c>
      <c r="EC54" s="7">
        <v>8.1487330863050396</v>
      </c>
      <c r="ED54" s="7">
        <f t="shared" si="80"/>
        <v>271.05706733262753</v>
      </c>
    </row>
    <row r="55" spans="1:134" x14ac:dyDescent="0.4">
      <c r="A55" s="28">
        <v>35</v>
      </c>
      <c r="B55" s="26">
        <v>1.0000000000000001E-5</v>
      </c>
      <c r="C55" s="28">
        <v>0.2</v>
      </c>
      <c r="D55" s="28">
        <v>30</v>
      </c>
      <c r="E55" s="26">
        <v>1E-8</v>
      </c>
      <c r="F55" s="26">
        <f t="shared" si="54"/>
        <v>2.0000000000000001E-9</v>
      </c>
      <c r="G55" s="26">
        <f t="shared" si="55"/>
        <v>4.0000000000000002E-4</v>
      </c>
      <c r="H55" s="7">
        <v>10.1864667010791</v>
      </c>
      <c r="I55" s="7">
        <v>3984.07853527202</v>
      </c>
      <c r="J55" s="7">
        <v>5168.7820727017497</v>
      </c>
      <c r="K55" s="7">
        <v>3984.07853527202</v>
      </c>
      <c r="L55" s="7">
        <v>8973470.5022608098</v>
      </c>
      <c r="M55" s="7">
        <v>254.64790894703299</v>
      </c>
      <c r="N55" s="7">
        <f t="shared" si="56"/>
        <v>13136.939143245789</v>
      </c>
      <c r="P55" s="28">
        <v>35</v>
      </c>
      <c r="Q55" s="26">
        <v>3.0000000000000001E-5</v>
      </c>
      <c r="R55" s="28">
        <v>0.2</v>
      </c>
      <c r="S55" s="28">
        <v>30</v>
      </c>
      <c r="T55" s="26">
        <v>1E-8</v>
      </c>
      <c r="U55" s="26">
        <f t="shared" si="57"/>
        <v>2.0000000000000001E-9</v>
      </c>
      <c r="V55" s="26">
        <f t="shared" si="58"/>
        <v>1.3333333333333334E-4</v>
      </c>
      <c r="W55" s="7">
        <v>10.4459873792759</v>
      </c>
      <c r="X55" s="7">
        <v>1328.02617841029</v>
      </c>
      <c r="Y55" s="7">
        <v>1722.9273575672501</v>
      </c>
      <c r="Z55" s="7">
        <v>1328.02617841029</v>
      </c>
      <c r="AA55" s="7">
        <v>2991156.8397606201</v>
      </c>
      <c r="AB55" s="7">
        <v>28.2942121052258</v>
      </c>
      <c r="AC55" s="7">
        <f t="shared" si="59"/>
        <v>4378.9797143878295</v>
      </c>
      <c r="AE55" s="28">
        <v>35</v>
      </c>
      <c r="AF55" s="26">
        <v>5.0000000000000002E-5</v>
      </c>
      <c r="AG55" s="28">
        <v>0.2</v>
      </c>
      <c r="AH55" s="28">
        <v>30</v>
      </c>
      <c r="AI55" s="26">
        <v>1E-8</v>
      </c>
      <c r="AJ55" s="26">
        <f t="shared" si="60"/>
        <v>2.0000000000000001E-9</v>
      </c>
      <c r="AK55" s="26">
        <f t="shared" si="61"/>
        <v>8.0000000000000007E-5</v>
      </c>
      <c r="AL55" s="7">
        <v>10.499488914731</v>
      </c>
      <c r="AM55" s="7">
        <v>796.81570693005597</v>
      </c>
      <c r="AN55" s="7">
        <v>1033.7564145403501</v>
      </c>
      <c r="AO55" s="7">
        <v>796.81570693005597</v>
      </c>
      <c r="AP55" s="7">
        <v>1794694.1518928199</v>
      </c>
      <c r="AQ55" s="7">
        <v>10.1859163578813</v>
      </c>
      <c r="AR55" s="7">
        <f t="shared" si="62"/>
        <v>2627.3878284004622</v>
      </c>
      <c r="AT55" s="28">
        <v>35</v>
      </c>
      <c r="AU55" s="26">
        <v>1.0000000000000001E-5</v>
      </c>
      <c r="AV55" s="28">
        <v>0.2</v>
      </c>
      <c r="AW55" s="28">
        <v>200</v>
      </c>
      <c r="AX55" s="26">
        <v>1E-8</v>
      </c>
      <c r="AY55" s="26">
        <f t="shared" si="63"/>
        <v>2.0000000000000001E-9</v>
      </c>
      <c r="AZ55" s="26">
        <f t="shared" si="64"/>
        <v>4.0000000000000002E-4</v>
      </c>
      <c r="BA55" s="7">
        <v>55.612578920144003</v>
      </c>
      <c r="BB55" s="7">
        <v>602.00500937137394</v>
      </c>
      <c r="BC55" s="7">
        <v>783.15203621901901</v>
      </c>
      <c r="BD55" s="7">
        <v>602.00500937137394</v>
      </c>
      <c r="BE55" s="7">
        <v>8973470.5022608098</v>
      </c>
      <c r="BF55" s="7">
        <v>254.64790894703299</v>
      </c>
      <c r="BG55" s="7">
        <f t="shared" si="65"/>
        <v>1987.1620549617669</v>
      </c>
      <c r="BI55" s="28">
        <v>35</v>
      </c>
      <c r="BJ55" s="26">
        <v>1.0000000000000001E-5</v>
      </c>
      <c r="BK55" s="28">
        <v>0.5</v>
      </c>
      <c r="BL55" s="28">
        <v>200</v>
      </c>
      <c r="BM55" s="26">
        <v>1E-8</v>
      </c>
      <c r="BN55" s="26">
        <f t="shared" si="66"/>
        <v>5.0000000000000001E-9</v>
      </c>
      <c r="BO55" s="26">
        <f t="shared" si="67"/>
        <v>1E-3</v>
      </c>
      <c r="BP55" s="7">
        <v>55.734598904583898</v>
      </c>
      <c r="BQ55" s="7">
        <v>600.83500597989303</v>
      </c>
      <c r="BR55" s="7">
        <v>781.06268252331097</v>
      </c>
      <c r="BS55" s="7">
        <v>600.83500597989303</v>
      </c>
      <c r="BT55" s="7">
        <v>3589388.20090432</v>
      </c>
      <c r="BU55" s="7">
        <v>254.64790894703299</v>
      </c>
      <c r="BV55" s="7">
        <f t="shared" si="68"/>
        <v>1982.732694483097</v>
      </c>
      <c r="BX55" s="28">
        <v>35</v>
      </c>
      <c r="BY55" s="26">
        <v>5.0000000000000002E-5</v>
      </c>
      <c r="BZ55" s="28">
        <v>0.5</v>
      </c>
      <c r="CA55" s="28">
        <v>200</v>
      </c>
      <c r="CB55" s="26">
        <v>1E-8</v>
      </c>
      <c r="CC55" s="26">
        <f t="shared" si="69"/>
        <v>5.0000000000000001E-9</v>
      </c>
      <c r="CD55" s="26">
        <f t="shared" si="70"/>
        <v>1.9999999999999998E-4</v>
      </c>
      <c r="CE55" s="7">
        <v>66.620453372586098</v>
      </c>
      <c r="CF55" s="7">
        <v>120.167001188906</v>
      </c>
      <c r="CG55" s="7">
        <v>156.21253650466201</v>
      </c>
      <c r="CH55" s="7">
        <v>120.167001188906</v>
      </c>
      <c r="CI55" s="7">
        <v>717877.66075713001</v>
      </c>
      <c r="CJ55" s="7">
        <v>10.1859163578813</v>
      </c>
      <c r="CK55" s="7">
        <f t="shared" si="71"/>
        <v>396.54653888247401</v>
      </c>
      <c r="CM55" s="28">
        <v>35</v>
      </c>
      <c r="CN55" s="26">
        <v>5.0000000000000002E-5</v>
      </c>
      <c r="CO55" s="28">
        <v>1</v>
      </c>
      <c r="CP55" s="28">
        <v>200</v>
      </c>
      <c r="CQ55" s="26">
        <v>1E-8</v>
      </c>
      <c r="CR55" s="26">
        <f t="shared" si="72"/>
        <v>1E-8</v>
      </c>
      <c r="CS55" s="26">
        <f t="shared" si="73"/>
        <v>3.9999999999999996E-4</v>
      </c>
      <c r="CT55" s="7">
        <v>66.894219539443398</v>
      </c>
      <c r="CU55" s="7">
        <v>119.779274796552</v>
      </c>
      <c r="CV55" s="7">
        <v>155.521045898078</v>
      </c>
      <c r="CW55" s="7">
        <v>119.779274796552</v>
      </c>
      <c r="CX55" s="7">
        <v>358938.83037856501</v>
      </c>
      <c r="CY55" s="7">
        <v>10.1859163578813</v>
      </c>
      <c r="CZ55" s="7">
        <f t="shared" si="74"/>
        <v>395.07959549118198</v>
      </c>
      <c r="DB55" s="28">
        <v>35</v>
      </c>
      <c r="DC55" s="26">
        <v>5.0000000000000002E-5</v>
      </c>
      <c r="DD55" s="28">
        <v>2</v>
      </c>
      <c r="DE55" s="28">
        <v>200</v>
      </c>
      <c r="DF55" s="26">
        <v>1E-8</v>
      </c>
      <c r="DG55" s="26">
        <f t="shared" si="75"/>
        <v>2E-8</v>
      </c>
      <c r="DH55" s="26">
        <f t="shared" si="76"/>
        <v>7.9999999999999993E-4</v>
      </c>
      <c r="DI55" s="7">
        <v>67.441038915244306</v>
      </c>
      <c r="DJ55" s="7">
        <v>119.01223137089301</v>
      </c>
      <c r="DK55" s="7">
        <v>154.156369850555</v>
      </c>
      <c r="DL55" s="7">
        <v>119.01223137089301</v>
      </c>
      <c r="DM55" s="7">
        <v>179469.41518928201</v>
      </c>
      <c r="DN55" s="7">
        <v>10.1859163578813</v>
      </c>
      <c r="DO55" s="7">
        <f t="shared" si="77"/>
        <v>392.18083259234101</v>
      </c>
      <c r="DQ55" s="28">
        <v>35</v>
      </c>
      <c r="DR55" s="26">
        <v>5.0000000000000002E-5</v>
      </c>
      <c r="DS55" s="28">
        <v>15</v>
      </c>
      <c r="DT55" s="28">
        <v>300</v>
      </c>
      <c r="DU55" s="26">
        <v>7.4999999999999993E-9</v>
      </c>
      <c r="DV55" s="26">
        <f t="shared" si="78"/>
        <v>1.1249999999999999E-7</v>
      </c>
      <c r="DW55" s="26">
        <f t="shared" si="79"/>
        <v>4.4999999999999997E-3</v>
      </c>
      <c r="DX55" s="7">
        <v>106.575381602197</v>
      </c>
      <c r="DY55" s="7">
        <v>75.5008244304708</v>
      </c>
      <c r="DZ55" s="7">
        <v>96.032312732024195</v>
      </c>
      <c r="EA55" s="7">
        <v>75.5008244304708</v>
      </c>
      <c r="EB55" s="7">
        <v>23929.255358571001</v>
      </c>
      <c r="EC55" s="7">
        <v>8.1487330863050396</v>
      </c>
      <c r="ED55" s="7">
        <f t="shared" si="80"/>
        <v>247.0339615929658</v>
      </c>
    </row>
    <row r="56" spans="1:134" x14ac:dyDescent="0.4">
      <c r="A56" s="28">
        <v>40</v>
      </c>
      <c r="B56" s="26">
        <v>1.0000000000000001E-5</v>
      </c>
      <c r="C56" s="28">
        <v>0.2</v>
      </c>
      <c r="D56" s="28">
        <v>30</v>
      </c>
      <c r="E56" s="26">
        <v>1E-8</v>
      </c>
      <c r="F56" s="26">
        <f t="shared" si="54"/>
        <v>2.0000000000000001E-9</v>
      </c>
      <c r="G56" s="26">
        <f t="shared" si="55"/>
        <v>4.0000000000000002E-4</v>
      </c>
      <c r="H56" s="7">
        <v>11.5836038758016</v>
      </c>
      <c r="I56" s="7">
        <v>3352.9677929484601</v>
      </c>
      <c r="J56" s="7">
        <v>5323.5334580216904</v>
      </c>
      <c r="K56" s="7">
        <v>3352.9677929484601</v>
      </c>
      <c r="L56" s="7">
        <v>13908939.478979601</v>
      </c>
      <c r="M56" s="7">
        <v>254.64790894703299</v>
      </c>
      <c r="N56" s="7">
        <f t="shared" si="56"/>
        <v>12029.469043918611</v>
      </c>
      <c r="P56" s="28">
        <v>40</v>
      </c>
      <c r="Q56" s="26">
        <v>3.0000000000000001E-5</v>
      </c>
      <c r="R56" s="28">
        <v>0.2</v>
      </c>
      <c r="S56" s="28">
        <v>30</v>
      </c>
      <c r="T56" s="26">
        <v>1E-8</v>
      </c>
      <c r="U56" s="26">
        <f t="shared" si="57"/>
        <v>2.0000000000000001E-9</v>
      </c>
      <c r="V56" s="26">
        <f t="shared" si="58"/>
        <v>1.3333333333333334E-4</v>
      </c>
      <c r="W56" s="7">
        <v>11.905709746112599</v>
      </c>
      <c r="X56" s="7">
        <v>1117.6559309715101</v>
      </c>
      <c r="Y56" s="7">
        <v>1774.5111526738999</v>
      </c>
      <c r="Z56" s="7">
        <v>1117.6559309715101</v>
      </c>
      <c r="AA56" s="7">
        <v>4636313.1689486196</v>
      </c>
      <c r="AB56" s="7">
        <v>28.2942121052258</v>
      </c>
      <c r="AC56" s="7">
        <f t="shared" si="59"/>
        <v>4009.8230146169199</v>
      </c>
      <c r="AE56" s="28">
        <v>40</v>
      </c>
      <c r="AF56" s="26">
        <v>5.0000000000000002E-5</v>
      </c>
      <c r="AG56" s="28">
        <v>0.2</v>
      </c>
      <c r="AH56" s="28">
        <v>30</v>
      </c>
      <c r="AI56" s="26">
        <v>1E-8</v>
      </c>
      <c r="AJ56" s="26">
        <f t="shared" si="60"/>
        <v>2.0000000000000001E-9</v>
      </c>
      <c r="AK56" s="26">
        <f t="shared" si="61"/>
        <v>8.0000000000000007E-5</v>
      </c>
      <c r="AL56" s="7">
        <v>11.9722945377888</v>
      </c>
      <c r="AM56" s="7">
        <v>670.59355848720395</v>
      </c>
      <c r="AN56" s="7">
        <v>1064.70669160434</v>
      </c>
      <c r="AO56" s="7">
        <v>670.59355848720395</v>
      </c>
      <c r="AP56" s="7">
        <v>2781787.9800138599</v>
      </c>
      <c r="AQ56" s="7">
        <v>10.1859163578813</v>
      </c>
      <c r="AR56" s="7">
        <f t="shared" si="62"/>
        <v>2405.8938085787481</v>
      </c>
      <c r="AT56" s="28">
        <v>40</v>
      </c>
      <c r="AU56" s="26">
        <v>1.0000000000000001E-5</v>
      </c>
      <c r="AV56" s="28">
        <v>0.2</v>
      </c>
      <c r="AW56" s="28">
        <v>200</v>
      </c>
      <c r="AX56" s="26">
        <v>1E-8</v>
      </c>
      <c r="AY56" s="26">
        <f t="shared" si="63"/>
        <v>2.0000000000000001E-9</v>
      </c>
      <c r="AZ56" s="26">
        <f t="shared" si="64"/>
        <v>4.0000000000000002E-4</v>
      </c>
      <c r="BA56" s="7">
        <v>62.385921014416503</v>
      </c>
      <c r="BB56" s="7">
        <v>506.171357939058</v>
      </c>
      <c r="BC56" s="7">
        <v>804.808472591532</v>
      </c>
      <c r="BD56" s="7">
        <v>506.171357939058</v>
      </c>
      <c r="BE56" s="7">
        <v>13908939.478979601</v>
      </c>
      <c r="BF56" s="7">
        <v>254.64790894703299</v>
      </c>
      <c r="BG56" s="7">
        <f t="shared" si="65"/>
        <v>1817.1511884696479</v>
      </c>
      <c r="BI56" s="28">
        <v>40</v>
      </c>
      <c r="BJ56" s="26">
        <v>1.0000000000000001E-5</v>
      </c>
      <c r="BK56" s="28">
        <v>0.5</v>
      </c>
      <c r="BL56" s="28">
        <v>200</v>
      </c>
      <c r="BM56" s="26">
        <v>1E-8</v>
      </c>
      <c r="BN56" s="26">
        <f t="shared" si="66"/>
        <v>5.0000000000000001E-9</v>
      </c>
      <c r="BO56" s="26">
        <f t="shared" si="67"/>
        <v>1E-3</v>
      </c>
      <c r="BP56" s="7">
        <v>62.4925515050016</v>
      </c>
      <c r="BQ56" s="7">
        <v>505.31296257696903</v>
      </c>
      <c r="BR56" s="7">
        <v>803.13685140779603</v>
      </c>
      <c r="BS56" s="7">
        <v>505.31296257696903</v>
      </c>
      <c r="BT56" s="7">
        <v>5563575.7915918296</v>
      </c>
      <c r="BU56" s="7">
        <v>254.64790894703299</v>
      </c>
      <c r="BV56" s="7">
        <f t="shared" si="68"/>
        <v>1813.7627765617342</v>
      </c>
      <c r="BX56" s="28">
        <v>40</v>
      </c>
      <c r="BY56" s="26">
        <v>5.0000000000000002E-5</v>
      </c>
      <c r="BZ56" s="28">
        <v>0.5</v>
      </c>
      <c r="CA56" s="28">
        <v>200</v>
      </c>
      <c r="CB56" s="26">
        <v>1E-8</v>
      </c>
      <c r="CC56" s="26">
        <f t="shared" si="69"/>
        <v>5.0000000000000001E-9</v>
      </c>
      <c r="CD56" s="26">
        <f t="shared" si="70"/>
        <v>1.9999999999999998E-4</v>
      </c>
      <c r="CE56" s="7">
        <v>75.778643354626894</v>
      </c>
      <c r="CF56" s="7">
        <v>101.06259250957299</v>
      </c>
      <c r="CG56" s="7">
        <v>160.627370281559</v>
      </c>
      <c r="CH56" s="7">
        <v>101.06259250957299</v>
      </c>
      <c r="CI56" s="7">
        <v>1112715.19200554</v>
      </c>
      <c r="CJ56" s="7">
        <v>10.1859163578813</v>
      </c>
      <c r="CK56" s="7">
        <f t="shared" si="71"/>
        <v>362.75255530070496</v>
      </c>
      <c r="CM56" s="28">
        <v>40</v>
      </c>
      <c r="CN56" s="26">
        <v>5.0000000000000002E-5</v>
      </c>
      <c r="CO56" s="28">
        <v>1</v>
      </c>
      <c r="CP56" s="28">
        <v>200</v>
      </c>
      <c r="CQ56" s="26">
        <v>1E-8</v>
      </c>
      <c r="CR56" s="26">
        <f t="shared" si="72"/>
        <v>1E-8</v>
      </c>
      <c r="CS56" s="26">
        <f t="shared" si="73"/>
        <v>3.9999999999999996E-4</v>
      </c>
      <c r="CT56" s="7">
        <v>76.027529685236601</v>
      </c>
      <c r="CU56" s="7">
        <v>100.77787314708399</v>
      </c>
      <c r="CV56" s="7">
        <v>160.073267279547</v>
      </c>
      <c r="CW56" s="7">
        <v>100.77787314708399</v>
      </c>
      <c r="CX56" s="7">
        <v>556357.59600277198</v>
      </c>
      <c r="CY56" s="7">
        <v>10.1859163578813</v>
      </c>
      <c r="CZ56" s="7">
        <f t="shared" si="74"/>
        <v>361.62901357371499</v>
      </c>
      <c r="DB56" s="28">
        <v>40</v>
      </c>
      <c r="DC56" s="26">
        <v>5.0000000000000002E-5</v>
      </c>
      <c r="DD56" s="28">
        <v>2</v>
      </c>
      <c r="DE56" s="28">
        <v>200</v>
      </c>
      <c r="DF56" s="26">
        <v>1E-8</v>
      </c>
      <c r="DG56" s="26">
        <f t="shared" si="75"/>
        <v>2E-8</v>
      </c>
      <c r="DH56" s="26">
        <f t="shared" si="76"/>
        <v>7.9999999999999993E-4</v>
      </c>
      <c r="DI56" s="7">
        <v>76.524837867153593</v>
      </c>
      <c r="DJ56" s="7">
        <v>100.213668542356</v>
      </c>
      <c r="DK56" s="7">
        <v>158.97655523681999</v>
      </c>
      <c r="DL56" s="7">
        <v>100.213668542356</v>
      </c>
      <c r="DM56" s="7">
        <v>278178.79800138599</v>
      </c>
      <c r="DN56" s="7">
        <v>10.1859163578813</v>
      </c>
      <c r="DO56" s="7">
        <f t="shared" si="77"/>
        <v>359.403892321532</v>
      </c>
      <c r="DQ56" s="28">
        <v>40</v>
      </c>
      <c r="DR56" s="26">
        <v>5.0000000000000002E-5</v>
      </c>
      <c r="DS56" s="28">
        <v>15</v>
      </c>
      <c r="DT56" s="28">
        <v>300</v>
      </c>
      <c r="DU56" s="26">
        <v>7.4999999999999993E-9</v>
      </c>
      <c r="DV56" s="26">
        <f t="shared" si="78"/>
        <v>1.1249999999999999E-7</v>
      </c>
      <c r="DW56" s="26">
        <f t="shared" si="79"/>
        <v>4.4999999999999997E-3</v>
      </c>
      <c r="DX56" s="7">
        <v>119.391067453446</v>
      </c>
      <c r="DY56" s="7">
        <v>63.957630951740299</v>
      </c>
      <c r="DZ56" s="7">
        <v>100.479958515748</v>
      </c>
      <c r="EA56" s="7">
        <v>63.957630951740299</v>
      </c>
      <c r="EB56" s="7">
        <v>37090.5064001848</v>
      </c>
      <c r="EC56" s="7">
        <v>8.1487330863050396</v>
      </c>
      <c r="ED56" s="7">
        <f t="shared" si="80"/>
        <v>228.39522041922859</v>
      </c>
    </row>
    <row r="57" spans="1:134" x14ac:dyDescent="0.4">
      <c r="A57" s="28">
        <v>45</v>
      </c>
      <c r="B57" s="26">
        <v>1.0000000000000001E-5</v>
      </c>
      <c r="C57" s="28">
        <v>0.2</v>
      </c>
      <c r="D57" s="28">
        <v>30</v>
      </c>
      <c r="E57" s="26">
        <v>1E-8</v>
      </c>
      <c r="F57" s="26">
        <f t="shared" si="54"/>
        <v>2.0000000000000001E-9</v>
      </c>
      <c r="G57" s="26">
        <f t="shared" si="55"/>
        <v>4.0000000000000002E-4</v>
      </c>
      <c r="H57" s="7">
        <v>12.9515061594562</v>
      </c>
      <c r="I57" s="7">
        <v>2844.9728255004802</v>
      </c>
      <c r="J57" s="7">
        <v>5459.8455675855203</v>
      </c>
      <c r="K57" s="7">
        <v>2844.9728255004802</v>
      </c>
      <c r="L57" s="7">
        <v>22314016.336053099</v>
      </c>
      <c r="M57" s="7">
        <v>254.64790894703299</v>
      </c>
      <c r="N57" s="7">
        <f t="shared" si="56"/>
        <v>11149.791218586481</v>
      </c>
      <c r="P57" s="28">
        <v>45</v>
      </c>
      <c r="Q57" s="26">
        <v>3.0000000000000001E-5</v>
      </c>
      <c r="R57" s="28">
        <v>0.2</v>
      </c>
      <c r="S57" s="28">
        <v>30</v>
      </c>
      <c r="T57" s="26">
        <v>1E-8</v>
      </c>
      <c r="U57" s="26">
        <f t="shared" si="57"/>
        <v>2.0000000000000001E-9</v>
      </c>
      <c r="V57" s="26">
        <f t="shared" si="58"/>
        <v>1.3333333333333334E-4</v>
      </c>
      <c r="W57" s="7">
        <v>13.3397842241802</v>
      </c>
      <c r="X57" s="7">
        <v>948.32427515736799</v>
      </c>
      <c r="Y57" s="7">
        <v>1819.94852252851</v>
      </c>
      <c r="Z57" s="7">
        <v>948.32427515736799</v>
      </c>
      <c r="AA57" s="7">
        <v>7438005.4604388904</v>
      </c>
      <c r="AB57" s="7">
        <v>28.2942121052258</v>
      </c>
      <c r="AC57" s="7">
        <f t="shared" si="59"/>
        <v>3716.5970728432458</v>
      </c>
      <c r="AE57" s="28">
        <v>45</v>
      </c>
      <c r="AF57" s="26">
        <v>5.0000000000000002E-5</v>
      </c>
      <c r="AG57" s="28">
        <v>0.2</v>
      </c>
      <c r="AH57" s="28">
        <v>30</v>
      </c>
      <c r="AI57" s="26">
        <v>1E-8</v>
      </c>
      <c r="AJ57" s="26">
        <f t="shared" si="60"/>
        <v>2.0000000000000001E-9</v>
      </c>
      <c r="AK57" s="26">
        <f t="shared" si="61"/>
        <v>8.0000000000000007E-5</v>
      </c>
      <c r="AL57" s="7">
        <v>13.420251846963501</v>
      </c>
      <c r="AM57" s="7">
        <v>568.99456501435202</v>
      </c>
      <c r="AN57" s="7">
        <v>1091.9691135170999</v>
      </c>
      <c r="AO57" s="7">
        <v>568.99456501435202</v>
      </c>
      <c r="AP57" s="7">
        <v>4462803.4040061999</v>
      </c>
      <c r="AQ57" s="7">
        <v>10.1859163578813</v>
      </c>
      <c r="AR57" s="7">
        <f t="shared" si="62"/>
        <v>2229.9582435458042</v>
      </c>
      <c r="AT57" s="28">
        <v>45</v>
      </c>
      <c r="AU57" s="26">
        <v>1.0000000000000001E-5</v>
      </c>
      <c r="AV57" s="28">
        <v>0.2</v>
      </c>
      <c r="AW57" s="28">
        <v>200</v>
      </c>
      <c r="AX57" s="26">
        <v>1E-8</v>
      </c>
      <c r="AY57" s="26">
        <f t="shared" si="63"/>
        <v>2.0000000000000001E-9</v>
      </c>
      <c r="AZ57" s="26">
        <f t="shared" si="64"/>
        <v>4.0000000000000002E-4</v>
      </c>
      <c r="BA57" s="7">
        <v>68.866139165033701</v>
      </c>
      <c r="BB57" s="7">
        <v>429.182314820393</v>
      </c>
      <c r="BC57" s="7">
        <v>824.10906225483302</v>
      </c>
      <c r="BD57" s="7">
        <v>429.182314820393</v>
      </c>
      <c r="BE57" s="7">
        <v>22314016.336053099</v>
      </c>
      <c r="BF57" s="7">
        <v>254.64790894703299</v>
      </c>
      <c r="BG57" s="7">
        <f t="shared" si="65"/>
        <v>1682.4736918956191</v>
      </c>
      <c r="BI57" s="28">
        <v>45</v>
      </c>
      <c r="BJ57" s="26">
        <v>1.0000000000000001E-5</v>
      </c>
      <c r="BK57" s="28">
        <v>0.5</v>
      </c>
      <c r="BL57" s="28">
        <v>200</v>
      </c>
      <c r="BM57" s="26">
        <v>1E-8</v>
      </c>
      <c r="BN57" s="26">
        <f t="shared" si="66"/>
        <v>5.0000000000000001E-9</v>
      </c>
      <c r="BO57" s="26">
        <f t="shared" si="67"/>
        <v>1E-3</v>
      </c>
      <c r="BP57" s="7">
        <v>68.959971844587002</v>
      </c>
      <c r="BQ57" s="7">
        <v>428.53449983983199</v>
      </c>
      <c r="BR57" s="7">
        <v>822.74419088845502</v>
      </c>
      <c r="BS57" s="7">
        <v>428.53449983983199</v>
      </c>
      <c r="BT57" s="7">
        <v>8925606.5344212595</v>
      </c>
      <c r="BU57" s="7">
        <v>254.64790894703299</v>
      </c>
      <c r="BV57" s="7">
        <f t="shared" si="68"/>
        <v>1679.8131905681191</v>
      </c>
      <c r="BX57" s="28">
        <v>45</v>
      </c>
      <c r="BY57" s="26">
        <v>5.0000000000000002E-5</v>
      </c>
      <c r="BZ57" s="28">
        <v>0.5</v>
      </c>
      <c r="CA57" s="28">
        <v>200</v>
      </c>
      <c r="CB57" s="26">
        <v>1E-8</v>
      </c>
      <c r="CC57" s="26">
        <f t="shared" si="69"/>
        <v>5.0000000000000001E-9</v>
      </c>
      <c r="CD57" s="26">
        <f t="shared" si="70"/>
        <v>1.9999999999999998E-4</v>
      </c>
      <c r="CE57" s="7">
        <v>84.726019269072495</v>
      </c>
      <c r="CF57" s="7">
        <v>85.706899963102501</v>
      </c>
      <c r="CG57" s="7">
        <v>164.54883817769101</v>
      </c>
      <c r="CH57" s="7">
        <v>85.706899963102501</v>
      </c>
      <c r="CI57" s="7">
        <v>1785121.3616024801</v>
      </c>
      <c r="CJ57" s="7">
        <v>10.1859163578813</v>
      </c>
      <c r="CK57" s="7">
        <f t="shared" si="71"/>
        <v>335.96263810389598</v>
      </c>
      <c r="CM57" s="28">
        <v>45</v>
      </c>
      <c r="CN57" s="26">
        <v>5.0000000000000002E-5</v>
      </c>
      <c r="CO57" s="28">
        <v>1</v>
      </c>
      <c r="CP57" s="28">
        <v>200</v>
      </c>
      <c r="CQ57" s="26">
        <v>1E-8</v>
      </c>
      <c r="CR57" s="26">
        <f t="shared" si="72"/>
        <v>1E-8</v>
      </c>
      <c r="CS57" s="26">
        <f t="shared" si="73"/>
        <v>3.9999999999999996E-4</v>
      </c>
      <c r="CT57" s="7">
        <v>84.953347597826493</v>
      </c>
      <c r="CU57" s="7">
        <v>85.491887514072303</v>
      </c>
      <c r="CV57" s="7">
        <v>164.095913900619</v>
      </c>
      <c r="CW57" s="7">
        <v>85.491887514072303</v>
      </c>
      <c r="CX57" s="7">
        <v>892560.68080124003</v>
      </c>
      <c r="CY57" s="7">
        <v>10.1859163578813</v>
      </c>
      <c r="CZ57" s="7">
        <f t="shared" si="74"/>
        <v>335.07968892876357</v>
      </c>
      <c r="DB57" s="28">
        <v>45</v>
      </c>
      <c r="DC57" s="26">
        <v>5.0000000000000002E-5</v>
      </c>
      <c r="DD57" s="28">
        <v>2</v>
      </c>
      <c r="DE57" s="28">
        <v>200</v>
      </c>
      <c r="DF57" s="26">
        <v>1E-8</v>
      </c>
      <c r="DG57" s="26">
        <f t="shared" si="75"/>
        <v>2E-8</v>
      </c>
      <c r="DH57" s="26">
        <f t="shared" si="76"/>
        <v>7.9999999999999993E-4</v>
      </c>
      <c r="DI57" s="7">
        <v>85.4076766986026</v>
      </c>
      <c r="DJ57" s="7">
        <v>85.065299620820397</v>
      </c>
      <c r="DK57" s="7">
        <v>163.197611169178</v>
      </c>
      <c r="DL57" s="7">
        <v>85.065299620820397</v>
      </c>
      <c r="DM57" s="7">
        <v>446280.34040062001</v>
      </c>
      <c r="DN57" s="7">
        <v>10.1859163578813</v>
      </c>
      <c r="DO57" s="7">
        <f t="shared" si="77"/>
        <v>333.32821041081877</v>
      </c>
      <c r="DQ57" s="28">
        <v>45</v>
      </c>
      <c r="DR57" s="26">
        <v>5.0000000000000002E-5</v>
      </c>
      <c r="DS57" s="28">
        <v>15</v>
      </c>
      <c r="DT57" s="28">
        <v>300</v>
      </c>
      <c r="DU57" s="26">
        <v>7.4999999999999993E-9</v>
      </c>
      <c r="DV57" s="26">
        <f t="shared" si="78"/>
        <v>1.1249999999999999E-7</v>
      </c>
      <c r="DW57" s="26">
        <f t="shared" si="79"/>
        <v>4.4999999999999997E-3</v>
      </c>
      <c r="DX57" s="7">
        <v>131.966663454007</v>
      </c>
      <c r="DY57" s="7">
        <v>54.539450656433999</v>
      </c>
      <c r="DZ57" s="7">
        <v>104.236562937325</v>
      </c>
      <c r="EA57" s="7">
        <v>54.539450656433999</v>
      </c>
      <c r="EB57" s="7">
        <v>59504.045386749298</v>
      </c>
      <c r="EC57" s="7">
        <v>8.1487330863050396</v>
      </c>
      <c r="ED57" s="7">
        <f t="shared" si="80"/>
        <v>213.31546425019297</v>
      </c>
    </row>
    <row r="58" spans="1:134" x14ac:dyDescent="0.4">
      <c r="A58" s="28">
        <v>50</v>
      </c>
      <c r="B58" s="26">
        <v>1.0000000000000001E-5</v>
      </c>
      <c r="C58" s="28">
        <v>0.2</v>
      </c>
      <c r="D58" s="28">
        <v>30</v>
      </c>
      <c r="E58" s="26">
        <v>1E-8</v>
      </c>
      <c r="F58" s="26">
        <f t="shared" si="54"/>
        <v>2.0000000000000001E-9</v>
      </c>
      <c r="G58" s="26">
        <f t="shared" si="55"/>
        <v>4.0000000000000002E-4</v>
      </c>
      <c r="H58" s="7">
        <v>14.298793855594599</v>
      </c>
      <c r="I58" s="7">
        <v>2422.0764785389101</v>
      </c>
      <c r="J58" s="7">
        <v>5581.9822447758097</v>
      </c>
      <c r="K58" s="7">
        <v>2422.0764785389101</v>
      </c>
      <c r="L58" s="7">
        <v>38032949.861855596</v>
      </c>
      <c r="M58" s="7">
        <v>254.64790894703299</v>
      </c>
      <c r="N58" s="7">
        <f t="shared" si="56"/>
        <v>10426.135201853631</v>
      </c>
      <c r="P58" s="28">
        <v>50</v>
      </c>
      <c r="Q58" s="26">
        <v>3.0000000000000001E-5</v>
      </c>
      <c r="R58" s="28">
        <v>0.2</v>
      </c>
      <c r="S58" s="28">
        <v>30</v>
      </c>
      <c r="T58" s="26">
        <v>1E-8</v>
      </c>
      <c r="U58" s="26">
        <f t="shared" si="57"/>
        <v>2.0000000000000001E-9</v>
      </c>
      <c r="V58" s="26">
        <f t="shared" si="58"/>
        <v>1.3333333333333334E-4</v>
      </c>
      <c r="W58" s="7">
        <v>14.7568466457697</v>
      </c>
      <c r="X58" s="7">
        <v>807.35882617166396</v>
      </c>
      <c r="Y58" s="7">
        <v>1860.6607482586001</v>
      </c>
      <c r="Z58" s="7">
        <v>807.35882617166396</v>
      </c>
      <c r="AA58" s="7">
        <v>12677649.9784535</v>
      </c>
      <c r="AB58" s="7">
        <v>28.2942121052258</v>
      </c>
      <c r="AC58" s="7">
        <f t="shared" si="59"/>
        <v>3475.3784006019282</v>
      </c>
      <c r="AE58" s="28">
        <v>50</v>
      </c>
      <c r="AF58" s="26">
        <v>5.0000000000000002E-5</v>
      </c>
      <c r="AG58" s="28">
        <v>0.2</v>
      </c>
      <c r="AH58" s="28">
        <v>30</v>
      </c>
      <c r="AI58" s="26">
        <v>1E-8</v>
      </c>
      <c r="AJ58" s="26">
        <f t="shared" si="60"/>
        <v>2.0000000000000001E-9</v>
      </c>
      <c r="AK58" s="26">
        <f t="shared" si="61"/>
        <v>8.0000000000000007E-5</v>
      </c>
      <c r="AL58" s="7">
        <v>14.852002561704101</v>
      </c>
      <c r="AM58" s="7">
        <v>484.41529563550102</v>
      </c>
      <c r="AN58" s="7">
        <v>1116.3964489551599</v>
      </c>
      <c r="AO58" s="7">
        <v>484.41529563550102</v>
      </c>
      <c r="AP58" s="7">
        <v>7606590.1945190197</v>
      </c>
      <c r="AQ58" s="7">
        <v>10.1859163578813</v>
      </c>
      <c r="AR58" s="7">
        <f t="shared" si="62"/>
        <v>2085.227040226162</v>
      </c>
      <c r="AT58" s="28">
        <v>50</v>
      </c>
      <c r="AU58" s="26">
        <v>1.0000000000000001E-5</v>
      </c>
      <c r="AV58" s="28">
        <v>0.2</v>
      </c>
      <c r="AW58" s="28">
        <v>200</v>
      </c>
      <c r="AX58" s="26">
        <v>1E-8</v>
      </c>
      <c r="AY58" s="26">
        <f t="shared" si="63"/>
        <v>2.0000000000000001E-9</v>
      </c>
      <c r="AZ58" s="26">
        <f t="shared" si="64"/>
        <v>4.0000000000000002E-4</v>
      </c>
      <c r="BA58" s="7">
        <v>75.114119886936393</v>
      </c>
      <c r="BB58" s="7">
        <v>365.18105956717</v>
      </c>
      <c r="BC58" s="7">
        <v>841.53641728653497</v>
      </c>
      <c r="BD58" s="7">
        <v>365.18105956717</v>
      </c>
      <c r="BE58" s="7">
        <v>38032949.861855596</v>
      </c>
      <c r="BF58" s="7">
        <v>254.64790894703299</v>
      </c>
      <c r="BG58" s="7">
        <f t="shared" si="65"/>
        <v>1571.898536420875</v>
      </c>
      <c r="BI58" s="28">
        <v>50</v>
      </c>
      <c r="BJ58" s="26">
        <v>1.0000000000000001E-5</v>
      </c>
      <c r="BK58" s="28">
        <v>0.5</v>
      </c>
      <c r="BL58" s="28">
        <v>200</v>
      </c>
      <c r="BM58" s="26">
        <v>1E-8</v>
      </c>
      <c r="BN58" s="26">
        <f t="shared" si="66"/>
        <v>5.0000000000000001E-9</v>
      </c>
      <c r="BO58" s="26">
        <f t="shared" si="67"/>
        <v>1E-3</v>
      </c>
      <c r="BP58" s="7">
        <v>75.196876129834195</v>
      </c>
      <c r="BQ58" s="7">
        <v>364.68421056947602</v>
      </c>
      <c r="BR58" s="7">
        <v>840.41004328064798</v>
      </c>
      <c r="BS58" s="7">
        <v>364.68421056947602</v>
      </c>
      <c r="BT58" s="7">
        <v>15213179.944742201</v>
      </c>
      <c r="BU58" s="7">
        <v>254.64790894703299</v>
      </c>
      <c r="BV58" s="7">
        <f t="shared" si="68"/>
        <v>1569.7784644195999</v>
      </c>
      <c r="BX58" s="28">
        <v>50</v>
      </c>
      <c r="BY58" s="26">
        <v>5.0000000000000002E-5</v>
      </c>
      <c r="BZ58" s="28">
        <v>0.5</v>
      </c>
      <c r="CA58" s="28">
        <v>200</v>
      </c>
      <c r="CB58" s="26">
        <v>1E-8</v>
      </c>
      <c r="CC58" s="26">
        <f t="shared" si="69"/>
        <v>5.0000000000000001E-9</v>
      </c>
      <c r="CD58" s="26">
        <f t="shared" si="70"/>
        <v>1.9999999999999998E-4</v>
      </c>
      <c r="CE58" s="7">
        <v>93.5224848746806</v>
      </c>
      <c r="CF58" s="7">
        <v>72.936842109798505</v>
      </c>
      <c r="CG58" s="7">
        <v>168.08200865613</v>
      </c>
      <c r="CH58" s="7">
        <v>72.936842109798505</v>
      </c>
      <c r="CI58" s="7">
        <v>3042636.0778076099</v>
      </c>
      <c r="CJ58" s="7">
        <v>10.1859163578813</v>
      </c>
      <c r="CK58" s="7">
        <f t="shared" si="71"/>
        <v>313.95569287572698</v>
      </c>
      <c r="CM58" s="28">
        <v>50</v>
      </c>
      <c r="CN58" s="26">
        <v>5.0000000000000002E-5</v>
      </c>
      <c r="CO58" s="28">
        <v>1</v>
      </c>
      <c r="CP58" s="28">
        <v>200</v>
      </c>
      <c r="CQ58" s="26">
        <v>1E-8</v>
      </c>
      <c r="CR58" s="26">
        <f t="shared" si="72"/>
        <v>1E-8</v>
      </c>
      <c r="CS58" s="26">
        <f t="shared" si="73"/>
        <v>3.9999999999999996E-4</v>
      </c>
      <c r="CT58" s="7">
        <v>93.730105371763003</v>
      </c>
      <c r="CU58" s="7">
        <v>72.771853396363895</v>
      </c>
      <c r="CV58" s="7">
        <v>167.707917393011</v>
      </c>
      <c r="CW58" s="7">
        <v>72.771853396363895</v>
      </c>
      <c r="CX58" s="7">
        <v>1521318.0389038101</v>
      </c>
      <c r="CY58" s="7">
        <v>10.1859163578813</v>
      </c>
      <c r="CZ58" s="7">
        <f t="shared" si="74"/>
        <v>313.25162418573882</v>
      </c>
      <c r="DB58" s="28">
        <v>50</v>
      </c>
      <c r="DC58" s="26">
        <v>5.0000000000000002E-5</v>
      </c>
      <c r="DD58" s="28">
        <v>2</v>
      </c>
      <c r="DE58" s="28">
        <v>200</v>
      </c>
      <c r="DF58" s="26">
        <v>1E-8</v>
      </c>
      <c r="DG58" s="26">
        <f t="shared" si="75"/>
        <v>2E-8</v>
      </c>
      <c r="DH58" s="26">
        <f t="shared" si="76"/>
        <v>7.9999999999999993E-4</v>
      </c>
      <c r="DI58" s="7">
        <v>94.145094475021807</v>
      </c>
      <c r="DJ58" s="7">
        <v>72.444208829560395</v>
      </c>
      <c r="DK58" s="7">
        <v>166.964817403171</v>
      </c>
      <c r="DL58" s="7">
        <v>72.444208829560395</v>
      </c>
      <c r="DM58" s="7">
        <v>760659.01945190295</v>
      </c>
      <c r="DN58" s="7">
        <v>10.1859163578813</v>
      </c>
      <c r="DO58" s="7">
        <f t="shared" si="77"/>
        <v>311.85323506229179</v>
      </c>
      <c r="DQ58" s="28">
        <v>50</v>
      </c>
      <c r="DR58" s="26">
        <v>5.0000000000000002E-5</v>
      </c>
      <c r="DS58" s="28">
        <v>15</v>
      </c>
      <c r="DT58" s="28">
        <v>300</v>
      </c>
      <c r="DU58" s="26">
        <v>7.4999999999999993E-9</v>
      </c>
      <c r="DV58" s="26">
        <f t="shared" si="78"/>
        <v>1.1249999999999999E-7</v>
      </c>
      <c r="DW58" s="26">
        <f t="shared" si="79"/>
        <v>4.4999999999999997E-3</v>
      </c>
      <c r="DX58" s="7">
        <v>144.35412814564501</v>
      </c>
      <c r="DY58" s="7">
        <v>46.620018473906597</v>
      </c>
      <c r="DZ58" s="7">
        <v>107.50242472112301</v>
      </c>
      <c r="EA58" s="7">
        <v>46.620018473906597</v>
      </c>
      <c r="EB58" s="7">
        <v>101421.202593587</v>
      </c>
      <c r="EC58" s="7">
        <v>8.1487330863050396</v>
      </c>
      <c r="ED58" s="7">
        <f t="shared" si="80"/>
        <v>200.74246166893619</v>
      </c>
    </row>
    <row r="59" spans="1:134" x14ac:dyDescent="0.4">
      <c r="A59" s="28">
        <v>55.000000000000007</v>
      </c>
      <c r="B59" s="26">
        <v>1.0000000000000001E-5</v>
      </c>
      <c r="C59" s="28">
        <v>0.2</v>
      </c>
      <c r="D59" s="28">
        <v>30</v>
      </c>
      <c r="E59" s="26">
        <v>1E-8</v>
      </c>
      <c r="F59" s="26">
        <f t="shared" si="54"/>
        <v>2.0000000000000001E-9</v>
      </c>
      <c r="G59" s="26">
        <f t="shared" si="55"/>
        <v>4.0000000000000002E-4</v>
      </c>
      <c r="H59" s="7">
        <v>15.631429380680601</v>
      </c>
      <c r="I59" s="7">
        <v>2061.2283400943002</v>
      </c>
      <c r="J59" s="7">
        <v>5692.8014386926097</v>
      </c>
      <c r="K59" s="7">
        <v>2061.2283400943002</v>
      </c>
      <c r="L59" s="7">
        <v>72349793.874809399</v>
      </c>
      <c r="M59" s="7">
        <v>254.64790894703299</v>
      </c>
      <c r="N59" s="7">
        <f t="shared" si="56"/>
        <v>9815.2581188812092</v>
      </c>
      <c r="P59" s="28">
        <v>55.000000000000007</v>
      </c>
      <c r="Q59" s="26">
        <v>3.0000000000000001E-5</v>
      </c>
      <c r="R59" s="28">
        <v>0.2</v>
      </c>
      <c r="S59" s="28">
        <v>30</v>
      </c>
      <c r="T59" s="26">
        <v>1E-8</v>
      </c>
      <c r="U59" s="26">
        <f t="shared" si="57"/>
        <v>2.0000000000000001E-9</v>
      </c>
      <c r="V59" s="26">
        <f t="shared" si="58"/>
        <v>1.3333333333333334E-4</v>
      </c>
      <c r="W59" s="7">
        <v>16.162884367360199</v>
      </c>
      <c r="X59" s="7">
        <v>687.07611335802699</v>
      </c>
      <c r="Y59" s="7">
        <v>1897.6004795642</v>
      </c>
      <c r="Z59" s="7">
        <v>687.07611335802699</v>
      </c>
      <c r="AA59" s="7">
        <v>24116597.9983452</v>
      </c>
      <c r="AB59" s="7">
        <v>28.2942121052258</v>
      </c>
      <c r="AC59" s="7">
        <f t="shared" si="59"/>
        <v>3271.7527062802537</v>
      </c>
      <c r="AE59" s="28">
        <v>55.000000000000007</v>
      </c>
      <c r="AF59" s="26">
        <v>5.0000000000000002E-5</v>
      </c>
      <c r="AG59" s="28">
        <v>0.2</v>
      </c>
      <c r="AH59" s="28">
        <v>30</v>
      </c>
      <c r="AI59" s="26">
        <v>1E-8</v>
      </c>
      <c r="AJ59" s="26">
        <f t="shared" si="60"/>
        <v>2.0000000000000001E-9</v>
      </c>
      <c r="AK59" s="26">
        <f t="shared" si="61"/>
        <v>8.0000000000000007E-5</v>
      </c>
      <c r="AL59" s="7">
        <v>16.273542244279</v>
      </c>
      <c r="AM59" s="7">
        <v>412.24566795777702</v>
      </c>
      <c r="AN59" s="7">
        <v>1138.5602877385199</v>
      </c>
      <c r="AO59" s="7">
        <v>412.24566795777702</v>
      </c>
      <c r="AP59" s="7">
        <v>14469959.1382923</v>
      </c>
      <c r="AQ59" s="7">
        <v>10.1859163578813</v>
      </c>
      <c r="AR59" s="7">
        <f t="shared" si="62"/>
        <v>1963.0516236540739</v>
      </c>
      <c r="AT59" s="28">
        <v>55.000000000000007</v>
      </c>
      <c r="AU59" s="26">
        <v>1.0000000000000001E-5</v>
      </c>
      <c r="AV59" s="28">
        <v>0.2</v>
      </c>
      <c r="AW59" s="28">
        <v>200</v>
      </c>
      <c r="AX59" s="26">
        <v>1E-8</v>
      </c>
      <c r="AY59" s="26">
        <f t="shared" si="63"/>
        <v>2.0000000000000001E-9</v>
      </c>
      <c r="AZ59" s="26">
        <f t="shared" si="64"/>
        <v>4.0000000000000002E-4</v>
      </c>
      <c r="BA59" s="7">
        <v>81.171918782124493</v>
      </c>
      <c r="BB59" s="7">
        <v>310.62949089263498</v>
      </c>
      <c r="BC59" s="7">
        <v>857.43494866405695</v>
      </c>
      <c r="BD59" s="7">
        <v>310.62949089263498</v>
      </c>
      <c r="BE59" s="7">
        <v>72349793.874809399</v>
      </c>
      <c r="BF59" s="7">
        <v>254.64790894703299</v>
      </c>
      <c r="BG59" s="7">
        <f t="shared" si="65"/>
        <v>1478.6939304493269</v>
      </c>
      <c r="BI59" s="28">
        <v>55.000000000000007</v>
      </c>
      <c r="BJ59" s="26">
        <v>1.0000000000000001E-5</v>
      </c>
      <c r="BK59" s="28">
        <v>0.5</v>
      </c>
      <c r="BL59" s="28">
        <v>200</v>
      </c>
      <c r="BM59" s="26">
        <v>1E-8</v>
      </c>
      <c r="BN59" s="26">
        <f t="shared" si="66"/>
        <v>5.0000000000000001E-9</v>
      </c>
      <c r="BO59" s="26">
        <f t="shared" si="67"/>
        <v>1E-3</v>
      </c>
      <c r="BP59" s="7">
        <v>81.244780199039894</v>
      </c>
      <c r="BQ59" s="7">
        <v>310.245574031601</v>
      </c>
      <c r="BR59" s="7">
        <v>856.50167124423206</v>
      </c>
      <c r="BS59" s="7">
        <v>310.245574031601</v>
      </c>
      <c r="BT59" s="7">
        <v>28939917.5499238</v>
      </c>
      <c r="BU59" s="7">
        <v>254.64790894703299</v>
      </c>
      <c r="BV59" s="7">
        <f t="shared" si="68"/>
        <v>1476.9928193074338</v>
      </c>
      <c r="BX59" s="28">
        <v>55.000000000000007</v>
      </c>
      <c r="BY59" s="26">
        <v>5.0000000000000002E-5</v>
      </c>
      <c r="BZ59" s="28">
        <v>0.5</v>
      </c>
      <c r="CA59" s="28">
        <v>200</v>
      </c>
      <c r="CB59" s="26">
        <v>1E-8</v>
      </c>
      <c r="CC59" s="26">
        <f t="shared" si="69"/>
        <v>5.0000000000000001E-9</v>
      </c>
      <c r="CD59" s="26">
        <f t="shared" si="70"/>
        <v>1.9999999999999998E-4</v>
      </c>
      <c r="CE59" s="7">
        <v>102.209272110342</v>
      </c>
      <c r="CF59" s="7">
        <v>62.049114802860501</v>
      </c>
      <c r="CG59" s="7">
        <v>171.30033424884601</v>
      </c>
      <c r="CH59" s="7">
        <v>62.049114802860501</v>
      </c>
      <c r="CI59" s="7">
        <v>5787983.6553169098</v>
      </c>
      <c r="CJ59" s="7">
        <v>10.1859163578813</v>
      </c>
      <c r="CK59" s="7">
        <f t="shared" si="71"/>
        <v>295.39856385456704</v>
      </c>
      <c r="CM59" s="28">
        <v>55.000000000000007</v>
      </c>
      <c r="CN59" s="26">
        <v>5.0000000000000002E-5</v>
      </c>
      <c r="CO59" s="28">
        <v>1</v>
      </c>
      <c r="CP59" s="28">
        <v>200</v>
      </c>
      <c r="CQ59" s="26">
        <v>1E-8</v>
      </c>
      <c r="CR59" s="26">
        <f t="shared" si="72"/>
        <v>1E-8</v>
      </c>
      <c r="CS59" s="26">
        <f t="shared" si="73"/>
        <v>3.9999999999999996E-4</v>
      </c>
      <c r="CT59" s="7">
        <v>102.398123621965</v>
      </c>
      <c r="CU59" s="7">
        <v>61.921576216120698</v>
      </c>
      <c r="CV59" s="7">
        <v>170.99017320176</v>
      </c>
      <c r="CW59" s="7">
        <v>61.921576216120698</v>
      </c>
      <c r="CX59" s="7">
        <v>2893991.8276584502</v>
      </c>
      <c r="CY59" s="7">
        <v>10.1859163578813</v>
      </c>
      <c r="CZ59" s="7">
        <f t="shared" si="74"/>
        <v>294.83332563400137</v>
      </c>
      <c r="DB59" s="28">
        <v>55.000000000000007</v>
      </c>
      <c r="DC59" s="26">
        <v>5.0000000000000002E-5</v>
      </c>
      <c r="DD59" s="28">
        <v>2</v>
      </c>
      <c r="DE59" s="28">
        <v>200</v>
      </c>
      <c r="DF59" s="26">
        <v>1E-8</v>
      </c>
      <c r="DG59" s="26">
        <f t="shared" si="75"/>
        <v>2E-8</v>
      </c>
      <c r="DH59" s="26">
        <f t="shared" si="76"/>
        <v>7.9999999999999993E-4</v>
      </c>
      <c r="DI59" s="7">
        <v>102.775614988885</v>
      </c>
      <c r="DJ59" s="7">
        <v>61.6681127663864</v>
      </c>
      <c r="DK59" s="7">
        <v>170.373319720317</v>
      </c>
      <c r="DL59" s="7">
        <v>61.6681127663864</v>
      </c>
      <c r="DM59" s="7">
        <v>1446995.91382923</v>
      </c>
      <c r="DN59" s="7">
        <v>10.1859163578813</v>
      </c>
      <c r="DO59" s="7">
        <f t="shared" si="77"/>
        <v>293.7095452530898</v>
      </c>
      <c r="DQ59" s="28">
        <v>55.000000000000007</v>
      </c>
      <c r="DR59" s="26">
        <v>5.0000000000000002E-5</v>
      </c>
      <c r="DS59" s="28">
        <v>15</v>
      </c>
      <c r="DT59" s="28">
        <v>300</v>
      </c>
      <c r="DU59" s="26">
        <v>7.4999999999999993E-9</v>
      </c>
      <c r="DV59" s="26">
        <f t="shared" si="78"/>
        <v>1.1249999999999999E-7</v>
      </c>
      <c r="DW59" s="26">
        <f t="shared" si="79"/>
        <v>4.4999999999999997E-3</v>
      </c>
      <c r="DX59" s="7">
        <v>156.59146181023499</v>
      </c>
      <c r="DY59" s="7">
        <v>39.809859656104699</v>
      </c>
      <c r="DZ59" s="7">
        <v>110.399385072318</v>
      </c>
      <c r="EA59" s="7">
        <v>39.809859656104699</v>
      </c>
      <c r="EB59" s="7">
        <v>192932.78851056399</v>
      </c>
      <c r="EC59" s="7">
        <v>8.1487330863050396</v>
      </c>
      <c r="ED59" s="7">
        <f t="shared" si="80"/>
        <v>190.0191043845274</v>
      </c>
    </row>
    <row r="60" spans="1:134" x14ac:dyDescent="0.4">
      <c r="A60" s="28">
        <v>60</v>
      </c>
      <c r="B60" s="26">
        <v>1.0000000000000001E-5</v>
      </c>
      <c r="C60" s="28">
        <v>0.2</v>
      </c>
      <c r="D60" s="28">
        <v>30</v>
      </c>
      <c r="E60" s="26">
        <v>1E-8</v>
      </c>
      <c r="F60" s="26">
        <f t="shared" si="54"/>
        <v>2.0000000000000001E-9</v>
      </c>
      <c r="G60" s="26">
        <f t="shared" si="55"/>
        <v>4.0000000000000002E-4</v>
      </c>
      <c r="H60" s="7">
        <v>16.953797200616101</v>
      </c>
      <c r="I60" s="7">
        <v>1747.4582681561301</v>
      </c>
      <c r="J60" s="7">
        <v>5794.3371345962596</v>
      </c>
      <c r="K60" s="7">
        <v>1747.4582681561301</v>
      </c>
      <c r="L60" s="7">
        <v>173207643.02618799</v>
      </c>
      <c r="M60" s="7">
        <v>254.64790894703299</v>
      </c>
      <c r="N60" s="7">
        <f t="shared" si="56"/>
        <v>9289.2536709085198</v>
      </c>
      <c r="P60" s="28">
        <v>60</v>
      </c>
      <c r="Q60" s="26">
        <v>3.0000000000000001E-5</v>
      </c>
      <c r="R60" s="28">
        <v>0.2</v>
      </c>
      <c r="S60" s="28">
        <v>30</v>
      </c>
      <c r="T60" s="26">
        <v>1E-8</v>
      </c>
      <c r="U60" s="26">
        <f t="shared" si="57"/>
        <v>2.0000000000000001E-9</v>
      </c>
      <c r="V60" s="26">
        <f t="shared" si="58"/>
        <v>1.3333333333333334E-4</v>
      </c>
      <c r="W60" s="7">
        <v>17.562317642222698</v>
      </c>
      <c r="X60" s="7">
        <v>582.48608937969198</v>
      </c>
      <c r="Y60" s="7">
        <v>1931.4457115320899</v>
      </c>
      <c r="Z60" s="7">
        <v>582.48608937969198</v>
      </c>
      <c r="AA60" s="7">
        <v>57735881.0752545</v>
      </c>
      <c r="AB60" s="7">
        <v>28.2942121052258</v>
      </c>
      <c r="AC60" s="7">
        <f t="shared" si="59"/>
        <v>3096.4178902914737</v>
      </c>
      <c r="AE60" s="28">
        <v>60</v>
      </c>
      <c r="AF60" s="26">
        <v>5.0000000000000002E-5</v>
      </c>
      <c r="AG60" s="28">
        <v>0.2</v>
      </c>
      <c r="AH60" s="28">
        <v>30</v>
      </c>
      <c r="AI60" s="26">
        <v>1E-8</v>
      </c>
      <c r="AJ60" s="26">
        <f t="shared" si="60"/>
        <v>2.0000000000000001E-9</v>
      </c>
      <c r="AK60" s="26">
        <f t="shared" si="61"/>
        <v>8.0000000000000007E-5</v>
      </c>
      <c r="AL60" s="7">
        <v>17.689301905075599</v>
      </c>
      <c r="AM60" s="7">
        <v>349.491653579706</v>
      </c>
      <c r="AN60" s="7">
        <v>1158.86742691925</v>
      </c>
      <c r="AO60" s="7">
        <v>349.491653579706</v>
      </c>
      <c r="AP60" s="7">
        <v>34641529.208382502</v>
      </c>
      <c r="AQ60" s="7">
        <v>10.1859163578813</v>
      </c>
      <c r="AR60" s="7">
        <f t="shared" si="62"/>
        <v>1857.8507340786621</v>
      </c>
      <c r="AT60" s="28">
        <v>60</v>
      </c>
      <c r="AU60" s="26">
        <v>1.0000000000000001E-5</v>
      </c>
      <c r="AV60" s="28">
        <v>0.2</v>
      </c>
      <c r="AW60" s="28">
        <v>200</v>
      </c>
      <c r="AX60" s="26">
        <v>1E-8</v>
      </c>
      <c r="AY60" s="26">
        <f t="shared" si="63"/>
        <v>2.0000000000000001E-9</v>
      </c>
      <c r="AZ60" s="26">
        <f t="shared" si="64"/>
        <v>4.0000000000000002E-4</v>
      </c>
      <c r="BA60" s="7">
        <v>87.070249520038203</v>
      </c>
      <c r="BB60" s="7">
        <v>263.235986756096</v>
      </c>
      <c r="BC60" s="7">
        <v>872.060132412553</v>
      </c>
      <c r="BD60" s="7">
        <v>263.235986756096</v>
      </c>
      <c r="BE60" s="7">
        <v>173207643.02618799</v>
      </c>
      <c r="BF60" s="7">
        <v>254.64790894703299</v>
      </c>
      <c r="BG60" s="7">
        <f t="shared" si="65"/>
        <v>1398.5321059247451</v>
      </c>
      <c r="BI60" s="28">
        <v>60</v>
      </c>
      <c r="BJ60" s="26">
        <v>1.0000000000000001E-5</v>
      </c>
      <c r="BK60" s="28">
        <v>0.5</v>
      </c>
      <c r="BL60" s="28">
        <v>200</v>
      </c>
      <c r="BM60" s="26">
        <v>1E-8</v>
      </c>
      <c r="BN60" s="26">
        <f t="shared" si="66"/>
        <v>5.0000000000000001E-9</v>
      </c>
      <c r="BO60" s="26">
        <f t="shared" si="67"/>
        <v>1E-3</v>
      </c>
      <c r="BP60" s="7">
        <v>87.134052959591997</v>
      </c>
      <c r="BQ60" s="7">
        <v>262.93930247937197</v>
      </c>
      <c r="BR60" s="7">
        <v>871.287964463192</v>
      </c>
      <c r="BS60" s="7">
        <v>262.93930247937197</v>
      </c>
      <c r="BT60" s="7">
        <v>69283057.210475206</v>
      </c>
      <c r="BU60" s="7">
        <v>254.64790894703299</v>
      </c>
      <c r="BV60" s="7">
        <f t="shared" si="68"/>
        <v>1397.1665694219359</v>
      </c>
      <c r="BX60" s="28">
        <v>60</v>
      </c>
      <c r="BY60" s="26">
        <v>5.0000000000000002E-5</v>
      </c>
      <c r="BZ60" s="28">
        <v>0.5</v>
      </c>
      <c r="CA60" s="28">
        <v>200</v>
      </c>
      <c r="CB60" s="26">
        <v>1E-8</v>
      </c>
      <c r="CC60" s="26">
        <f t="shared" si="69"/>
        <v>5.0000000000000001E-9</v>
      </c>
      <c r="CD60" s="26">
        <f t="shared" si="70"/>
        <v>1.9999999999999998E-4</v>
      </c>
      <c r="CE60" s="7">
        <v>110.816521756036</v>
      </c>
      <c r="CF60" s="7">
        <v>52.5878604929581</v>
      </c>
      <c r="CG60" s="7">
        <v>174.257592892638</v>
      </c>
      <c r="CH60" s="7">
        <v>52.5878604929581</v>
      </c>
      <c r="CI60" s="7">
        <v>13856611.683352999</v>
      </c>
      <c r="CJ60" s="7">
        <v>10.1859163578813</v>
      </c>
      <c r="CK60" s="7">
        <f t="shared" si="71"/>
        <v>279.4333138785542</v>
      </c>
      <c r="CM60" s="28">
        <v>60</v>
      </c>
      <c r="CN60" s="26">
        <v>5.0000000000000002E-5</v>
      </c>
      <c r="CO60" s="28">
        <v>1</v>
      </c>
      <c r="CP60" s="28">
        <v>200</v>
      </c>
      <c r="CQ60" s="26">
        <v>1E-8</v>
      </c>
      <c r="CR60" s="26">
        <f t="shared" si="72"/>
        <v>1E-8</v>
      </c>
      <c r="CS60" s="26">
        <f t="shared" si="73"/>
        <v>3.9999999999999996E-4</v>
      </c>
      <c r="CT60" s="7">
        <v>110.986958361909</v>
      </c>
      <c r="CU60" s="7">
        <v>52.489267736237203</v>
      </c>
      <c r="CV60" s="7">
        <v>174.00084097458901</v>
      </c>
      <c r="CW60" s="7">
        <v>52.489267736237203</v>
      </c>
      <c r="CX60" s="7">
        <v>6928305.8416764997</v>
      </c>
      <c r="CY60" s="7">
        <v>10.1859163578813</v>
      </c>
      <c r="CZ60" s="7">
        <f t="shared" si="74"/>
        <v>278.97937644706343</v>
      </c>
      <c r="DB60" s="28">
        <v>60</v>
      </c>
      <c r="DC60" s="26">
        <v>5.0000000000000002E-5</v>
      </c>
      <c r="DD60" s="28">
        <v>2</v>
      </c>
      <c r="DE60" s="28">
        <v>200</v>
      </c>
      <c r="DF60" s="26">
        <v>1E-8</v>
      </c>
      <c r="DG60" s="26">
        <f t="shared" si="75"/>
        <v>2E-8</v>
      </c>
      <c r="DH60" s="26">
        <f t="shared" si="76"/>
        <v>7.9999999999999993E-4</v>
      </c>
      <c r="DI60" s="7">
        <v>111.327639789217</v>
      </c>
      <c r="DJ60" s="7">
        <v>52.293206867341603</v>
      </c>
      <c r="DK60" s="7">
        <v>173.489713442035</v>
      </c>
      <c r="DL60" s="7">
        <v>52.293206867341603</v>
      </c>
      <c r="DM60" s="7">
        <v>3464152.9208382498</v>
      </c>
      <c r="DN60" s="7">
        <v>10.1859163578813</v>
      </c>
      <c r="DO60" s="7">
        <f t="shared" si="77"/>
        <v>278.07612717671822</v>
      </c>
      <c r="DQ60" s="28">
        <v>60</v>
      </c>
      <c r="DR60" s="26">
        <v>5.0000000000000002E-5</v>
      </c>
      <c r="DS60" s="28">
        <v>15</v>
      </c>
      <c r="DT60" s="28">
        <v>300</v>
      </c>
      <c r="DU60" s="26">
        <v>7.4999999999999993E-9</v>
      </c>
      <c r="DV60" s="26">
        <f t="shared" si="78"/>
        <v>1.1249999999999999E-7</v>
      </c>
      <c r="DW60" s="26">
        <f t="shared" si="79"/>
        <v>4.4999999999999997E-3</v>
      </c>
      <c r="DX60" s="7">
        <v>168.708459083397</v>
      </c>
      <c r="DY60" s="7">
        <v>33.851188115179603</v>
      </c>
      <c r="DZ60" s="7">
        <v>113.007558882322</v>
      </c>
      <c r="EA60" s="7">
        <v>33.851188115179603</v>
      </c>
      <c r="EB60" s="7">
        <v>461887.05611176701</v>
      </c>
      <c r="EC60" s="7">
        <v>8.1487330863050396</v>
      </c>
      <c r="ED60" s="7">
        <f t="shared" si="80"/>
        <v>180.70993511268122</v>
      </c>
    </row>
    <row r="61" spans="1:134" x14ac:dyDescent="0.4">
      <c r="A61" s="28">
        <v>65</v>
      </c>
      <c r="B61" s="26">
        <v>1.0000000000000001E-5</v>
      </c>
      <c r="C61" s="28">
        <v>0.2</v>
      </c>
      <c r="D61" s="28">
        <v>30</v>
      </c>
      <c r="E61" s="26">
        <v>1E-8</v>
      </c>
      <c r="F61" s="26">
        <f t="shared" si="54"/>
        <v>2.0000000000000001E-9</v>
      </c>
      <c r="G61" s="26">
        <f t="shared" si="55"/>
        <v>4.0000000000000002E-4</v>
      </c>
      <c r="H61" s="7">
        <v>18.269284211283601</v>
      </c>
      <c r="I61" s="7">
        <v>1470.52695643265</v>
      </c>
      <c r="J61" s="7">
        <v>5888.0994972997396</v>
      </c>
      <c r="K61" s="7">
        <v>1470.52695643265</v>
      </c>
      <c r="L61" s="7">
        <v>859463306.304919</v>
      </c>
      <c r="M61" s="7">
        <v>254.64790894703299</v>
      </c>
      <c r="N61" s="7">
        <f t="shared" si="56"/>
        <v>8829.1534101650395</v>
      </c>
      <c r="P61" s="28">
        <v>65</v>
      </c>
      <c r="Q61" s="26">
        <v>3.0000000000000001E-5</v>
      </c>
      <c r="R61" s="28">
        <v>0.2</v>
      </c>
      <c r="S61" s="28">
        <v>30</v>
      </c>
      <c r="T61" s="26">
        <v>1E-8</v>
      </c>
      <c r="U61" s="26">
        <f t="shared" si="57"/>
        <v>2.0000000000000001E-9</v>
      </c>
      <c r="V61" s="26">
        <f t="shared" si="58"/>
        <v>1.3333333333333334E-4</v>
      </c>
      <c r="W61" s="7">
        <v>18.958579542379901</v>
      </c>
      <c r="X61" s="7">
        <v>490.175652139448</v>
      </c>
      <c r="Y61" s="7">
        <v>1962.6998324332501</v>
      </c>
      <c r="Z61" s="7">
        <v>490.175652139448</v>
      </c>
      <c r="AA61" s="7">
        <v>286487768.88169003</v>
      </c>
      <c r="AB61" s="7">
        <v>28.2942121052258</v>
      </c>
      <c r="AC61" s="7">
        <f t="shared" si="59"/>
        <v>2943.0511367121462</v>
      </c>
      <c r="AE61" s="28">
        <v>65</v>
      </c>
      <c r="AF61" s="26">
        <v>5.0000000000000002E-5</v>
      </c>
      <c r="AG61" s="28">
        <v>0.2</v>
      </c>
      <c r="AH61" s="28">
        <v>30</v>
      </c>
      <c r="AI61" s="26">
        <v>1E-8</v>
      </c>
      <c r="AJ61" s="26">
        <f t="shared" si="60"/>
        <v>2.0000000000000001E-9</v>
      </c>
      <c r="AK61" s="26">
        <f t="shared" si="61"/>
        <v>8.0000000000000007E-5</v>
      </c>
      <c r="AL61" s="7">
        <v>19.102727799643802</v>
      </c>
      <c r="AM61" s="7">
        <v>294.10539124333502</v>
      </c>
      <c r="AN61" s="7">
        <v>1177.6198994599499</v>
      </c>
      <c r="AO61" s="7">
        <v>294.10539124333502</v>
      </c>
      <c r="AP61" s="7">
        <v>171892662.28655201</v>
      </c>
      <c r="AQ61" s="7">
        <v>10.1859163578813</v>
      </c>
      <c r="AR61" s="7">
        <f t="shared" si="62"/>
        <v>1765.8306819466197</v>
      </c>
      <c r="AT61" s="28">
        <v>65</v>
      </c>
      <c r="AU61" s="26">
        <v>1.0000000000000001E-5</v>
      </c>
      <c r="AV61" s="28">
        <v>0.2</v>
      </c>
      <c r="AW61" s="28">
        <v>200</v>
      </c>
      <c r="AX61" s="26">
        <v>1E-8</v>
      </c>
      <c r="AY61" s="26">
        <f t="shared" si="63"/>
        <v>2.0000000000000001E-9</v>
      </c>
      <c r="AZ61" s="26">
        <f t="shared" si="64"/>
        <v>4.0000000000000002E-4</v>
      </c>
      <c r="BA61" s="7">
        <v>92.832484940028706</v>
      </c>
      <c r="BB61" s="7">
        <v>221.436390808456</v>
      </c>
      <c r="BC61" s="7">
        <v>885.60719905590599</v>
      </c>
      <c r="BD61" s="7">
        <v>221.436390808456</v>
      </c>
      <c r="BE61" s="7">
        <v>859463306.304919</v>
      </c>
      <c r="BF61" s="7">
        <v>254.64790894703299</v>
      </c>
      <c r="BG61" s="7">
        <f t="shared" si="65"/>
        <v>1328.4799806728181</v>
      </c>
      <c r="BI61" s="28">
        <v>65</v>
      </c>
      <c r="BJ61" s="26">
        <v>1.0000000000000001E-5</v>
      </c>
      <c r="BK61" s="28">
        <v>0.5</v>
      </c>
      <c r="BL61" s="28">
        <v>200</v>
      </c>
      <c r="BM61" s="26">
        <v>1E-8</v>
      </c>
      <c r="BN61" s="26">
        <f t="shared" si="66"/>
        <v>5.0000000000000001E-9</v>
      </c>
      <c r="BO61" s="26">
        <f t="shared" si="67"/>
        <v>1E-3</v>
      </c>
      <c r="BP61" s="7">
        <v>92.887865057820093</v>
      </c>
      <c r="BQ61" s="7">
        <v>221.20879187134</v>
      </c>
      <c r="BR61" s="7">
        <v>884.97259280428204</v>
      </c>
      <c r="BS61" s="7">
        <v>221.20879187134</v>
      </c>
      <c r="BT61" s="7">
        <v>343785322.52196801</v>
      </c>
      <c r="BU61" s="7">
        <v>254.64790894703299</v>
      </c>
      <c r="BV61" s="7">
        <f t="shared" si="68"/>
        <v>1327.390176546962</v>
      </c>
      <c r="BX61" s="28">
        <v>65</v>
      </c>
      <c r="BY61" s="26">
        <v>5.0000000000000002E-5</v>
      </c>
      <c r="BZ61" s="28">
        <v>0.5</v>
      </c>
      <c r="CA61" s="28">
        <v>200</v>
      </c>
      <c r="CB61" s="26">
        <v>1E-8</v>
      </c>
      <c r="CC61" s="26">
        <f t="shared" si="69"/>
        <v>5.0000000000000001E-9</v>
      </c>
      <c r="CD61" s="26">
        <f t="shared" si="70"/>
        <v>1.9999999999999998E-4</v>
      </c>
      <c r="CE61" s="7">
        <v>119.367302699578</v>
      </c>
      <c r="CF61" s="7">
        <v>44.241758371824098</v>
      </c>
      <c r="CG61" s="7">
        <v>176.99451856085599</v>
      </c>
      <c r="CH61" s="7">
        <v>44.241758371824098</v>
      </c>
      <c r="CI61" s="7">
        <v>68757064.914620593</v>
      </c>
      <c r="CJ61" s="7">
        <v>10.1859163578813</v>
      </c>
      <c r="CK61" s="7">
        <f t="shared" si="71"/>
        <v>265.4780353045042</v>
      </c>
      <c r="CM61" s="28">
        <v>65</v>
      </c>
      <c r="CN61" s="26">
        <v>5.0000000000000002E-5</v>
      </c>
      <c r="CO61" s="28">
        <v>1</v>
      </c>
      <c r="CP61" s="28">
        <v>200</v>
      </c>
      <c r="CQ61" s="26">
        <v>1E-8</v>
      </c>
      <c r="CR61" s="26">
        <f t="shared" si="72"/>
        <v>1E-8</v>
      </c>
      <c r="CS61" s="26">
        <f t="shared" si="73"/>
        <v>3.9999999999999996E-4</v>
      </c>
      <c r="CT61" s="7">
        <v>119.51933008234499</v>
      </c>
      <c r="CU61" s="7">
        <v>44.166101596649497</v>
      </c>
      <c r="CV61" s="7">
        <v>176.783417824277</v>
      </c>
      <c r="CW61" s="7">
        <v>44.166101596649497</v>
      </c>
      <c r="CX61" s="7">
        <v>34378532.457310297</v>
      </c>
      <c r="CY61" s="7">
        <v>10.1859163578813</v>
      </c>
      <c r="CZ61" s="7">
        <f t="shared" si="74"/>
        <v>265.11562101757602</v>
      </c>
      <c r="DB61" s="28">
        <v>65</v>
      </c>
      <c r="DC61" s="26">
        <v>5.0000000000000002E-5</v>
      </c>
      <c r="DD61" s="28">
        <v>2</v>
      </c>
      <c r="DE61" s="28">
        <v>200</v>
      </c>
      <c r="DF61" s="26">
        <v>1E-8</v>
      </c>
      <c r="DG61" s="26">
        <f t="shared" si="75"/>
        <v>2E-8</v>
      </c>
      <c r="DH61" s="26">
        <f t="shared" si="76"/>
        <v>7.9999999999999993E-4</v>
      </c>
      <c r="DI61" s="7">
        <v>119.823202329634</v>
      </c>
      <c r="DJ61" s="7">
        <v>44.0155689113517</v>
      </c>
      <c r="DK61" s="7">
        <v>176.36283833637401</v>
      </c>
      <c r="DL61" s="7">
        <v>44.0155689113517</v>
      </c>
      <c r="DM61" s="7">
        <v>17189266.2286552</v>
      </c>
      <c r="DN61" s="7">
        <v>10.1859163578813</v>
      </c>
      <c r="DO61" s="7">
        <f t="shared" si="77"/>
        <v>264.3939761590774</v>
      </c>
      <c r="DQ61" s="28">
        <v>65</v>
      </c>
      <c r="DR61" s="26">
        <v>5.0000000000000002E-5</v>
      </c>
      <c r="DS61" s="28">
        <v>15</v>
      </c>
      <c r="DT61" s="28">
        <v>300</v>
      </c>
      <c r="DU61" s="26">
        <v>7.4999999999999993E-9</v>
      </c>
      <c r="DV61" s="26">
        <f t="shared" si="78"/>
        <v>1.1249999999999999E-7</v>
      </c>
      <c r="DW61" s="26">
        <f t="shared" si="79"/>
        <v>4.4999999999999997E-3</v>
      </c>
      <c r="DX61" s="7">
        <v>180.730593042853</v>
      </c>
      <c r="DY61" s="7">
        <v>28.565057936355299</v>
      </c>
      <c r="DZ61" s="7">
        <v>115.382714159923</v>
      </c>
      <c r="EA61" s="7">
        <v>28.565057936355299</v>
      </c>
      <c r="EB61" s="7">
        <v>2291902.16382069</v>
      </c>
      <c r="EC61" s="7">
        <v>8.1487330863050396</v>
      </c>
      <c r="ED61" s="7">
        <f t="shared" si="80"/>
        <v>172.51283003263359</v>
      </c>
    </row>
    <row r="62" spans="1:134" x14ac:dyDescent="0.4">
      <c r="A62" s="28">
        <v>70</v>
      </c>
      <c r="B62" s="26">
        <v>1.0000000000000001E-5</v>
      </c>
      <c r="C62" s="28">
        <v>0.2</v>
      </c>
      <c r="D62" s="28">
        <v>30</v>
      </c>
      <c r="E62" s="26">
        <v>1E-8</v>
      </c>
      <c r="F62" s="26">
        <f t="shared" si="54"/>
        <v>2.0000000000000001E-9</v>
      </c>
      <c r="G62" s="26">
        <f t="shared" si="55"/>
        <v>4.0000000000000002E-4</v>
      </c>
      <c r="H62" s="7">
        <v>19.580702457762801</v>
      </c>
      <c r="I62" s="7">
        <v>1223.14114606982</v>
      </c>
      <c r="J62" s="7">
        <v>5975.2459753258199</v>
      </c>
      <c r="K62" s="7">
        <v>1223.14114606982</v>
      </c>
      <c r="L62" s="7" t="s">
        <v>94</v>
      </c>
      <c r="M62" s="7">
        <v>254.64790894703299</v>
      </c>
      <c r="N62" s="7">
        <f t="shared" si="56"/>
        <v>8421.5282674654591</v>
      </c>
      <c r="P62" s="28">
        <v>70</v>
      </c>
      <c r="Q62" s="26">
        <v>3.0000000000000001E-5</v>
      </c>
      <c r="R62" s="28">
        <v>0.2</v>
      </c>
      <c r="S62" s="28">
        <v>30</v>
      </c>
      <c r="T62" s="26">
        <v>1E-8</v>
      </c>
      <c r="U62" s="26">
        <f t="shared" si="57"/>
        <v>2.0000000000000001E-9</v>
      </c>
      <c r="V62" s="26">
        <f t="shared" si="58"/>
        <v>1.3333333333333334E-4</v>
      </c>
      <c r="W62" s="7">
        <v>20.354537800667298</v>
      </c>
      <c r="X62" s="7">
        <v>407.71371535265399</v>
      </c>
      <c r="Y62" s="7">
        <v>1991.7486584419401</v>
      </c>
      <c r="Z62" s="7">
        <v>407.71371535265399</v>
      </c>
      <c r="AA62" s="7" t="s">
        <v>94</v>
      </c>
      <c r="AB62" s="7">
        <v>28.2942121052258</v>
      </c>
      <c r="AC62" s="7">
        <f t="shared" si="59"/>
        <v>2807.1760891472481</v>
      </c>
      <c r="AE62" s="28">
        <v>70</v>
      </c>
      <c r="AF62" s="26">
        <v>5.0000000000000002E-5</v>
      </c>
      <c r="AG62" s="28">
        <v>0.2</v>
      </c>
      <c r="AH62" s="28">
        <v>30</v>
      </c>
      <c r="AI62" s="26">
        <v>1E-8</v>
      </c>
      <c r="AJ62" s="26">
        <f t="shared" si="60"/>
        <v>2.0000000000000001E-9</v>
      </c>
      <c r="AK62" s="26">
        <f t="shared" si="61"/>
        <v>8.0000000000000007E-5</v>
      </c>
      <c r="AL62" s="7">
        <v>20.5167030761117</v>
      </c>
      <c r="AM62" s="7">
        <v>244.62822917813699</v>
      </c>
      <c r="AN62" s="7">
        <v>1195.0491950651599</v>
      </c>
      <c r="AO62" s="7">
        <v>244.62822917813699</v>
      </c>
      <c r="AP62" s="7" t="s">
        <v>94</v>
      </c>
      <c r="AQ62" s="7">
        <v>10.1859163578813</v>
      </c>
      <c r="AR62" s="7">
        <f t="shared" si="62"/>
        <v>1684.3056534214338</v>
      </c>
      <c r="AT62" s="28">
        <v>70</v>
      </c>
      <c r="AU62" s="26">
        <v>1.0000000000000001E-5</v>
      </c>
      <c r="AV62" s="28">
        <v>0.2</v>
      </c>
      <c r="AW62" s="28">
        <v>200</v>
      </c>
      <c r="AX62" s="26">
        <v>1E-8</v>
      </c>
      <c r="AY62" s="26">
        <f t="shared" si="63"/>
        <v>2.0000000000000001E-9</v>
      </c>
      <c r="AZ62" s="26">
        <f t="shared" si="64"/>
        <v>4.0000000000000002E-4</v>
      </c>
      <c r="BA62" s="7">
        <v>98.477072479236497</v>
      </c>
      <c r="BB62" s="7">
        <v>184.11844341766201</v>
      </c>
      <c r="BC62" s="7">
        <v>898.22894938474894</v>
      </c>
      <c r="BD62" s="7">
        <v>184.11844341766201</v>
      </c>
      <c r="BE62" s="7" t="s">
        <v>94</v>
      </c>
      <c r="BF62" s="7">
        <v>254.64790894703299</v>
      </c>
      <c r="BG62" s="7">
        <f t="shared" si="65"/>
        <v>1266.465836220073</v>
      </c>
      <c r="BI62" s="28">
        <v>70</v>
      </c>
      <c r="BJ62" s="26">
        <v>1.0000000000000001E-5</v>
      </c>
      <c r="BK62" s="28">
        <v>0.5</v>
      </c>
      <c r="BL62" s="28">
        <v>200</v>
      </c>
      <c r="BM62" s="26">
        <v>1E-8</v>
      </c>
      <c r="BN62" s="26">
        <f t="shared" si="66"/>
        <v>5.0000000000000001E-9</v>
      </c>
      <c r="BO62" s="26">
        <f t="shared" si="67"/>
        <v>1E-3</v>
      </c>
      <c r="BP62" s="7">
        <v>98.524707738489397</v>
      </c>
      <c r="BQ62" s="7">
        <v>183.946660682919</v>
      </c>
      <c r="BR62" s="7">
        <v>897.71395999315905</v>
      </c>
      <c r="BS62" s="7">
        <v>183.946660682919</v>
      </c>
      <c r="BT62" s="7" t="s">
        <v>94</v>
      </c>
      <c r="BU62" s="7">
        <v>254.64790894703299</v>
      </c>
      <c r="BV62" s="7">
        <f t="shared" si="68"/>
        <v>1265.6072813589969</v>
      </c>
      <c r="BX62" s="28">
        <v>70</v>
      </c>
      <c r="BY62" s="26">
        <v>5.0000000000000002E-5</v>
      </c>
      <c r="BZ62" s="28">
        <v>0.5</v>
      </c>
      <c r="CA62" s="28">
        <v>200</v>
      </c>
      <c r="CB62" s="26">
        <v>1E-8</v>
      </c>
      <c r="CC62" s="26">
        <f t="shared" si="69"/>
        <v>5.0000000000000001E-9</v>
      </c>
      <c r="CD62" s="26">
        <f t="shared" si="70"/>
        <v>1.9999999999999998E-4</v>
      </c>
      <c r="CE62" s="7">
        <v>127.88014635970799</v>
      </c>
      <c r="CF62" s="7">
        <v>36.7893321345583</v>
      </c>
      <c r="CG62" s="7">
        <v>179.542791998632</v>
      </c>
      <c r="CH62" s="7">
        <v>36.7893321345583</v>
      </c>
      <c r="CI62" s="7" t="s">
        <v>94</v>
      </c>
      <c r="CJ62" s="7">
        <v>10.1859163578813</v>
      </c>
      <c r="CK62" s="7">
        <f t="shared" si="71"/>
        <v>253.12145626774858</v>
      </c>
      <c r="CM62" s="28">
        <v>70</v>
      </c>
      <c r="CN62" s="26">
        <v>5.0000000000000002E-5</v>
      </c>
      <c r="CO62" s="28">
        <v>1</v>
      </c>
      <c r="CP62" s="28">
        <v>200</v>
      </c>
      <c r="CQ62" s="26">
        <v>1E-8</v>
      </c>
      <c r="CR62" s="26">
        <f t="shared" si="72"/>
        <v>1E-8</v>
      </c>
      <c r="CS62" s="26">
        <f t="shared" si="73"/>
        <v>3.9999999999999996E-4</v>
      </c>
      <c r="CT62" s="7">
        <v>128.01382959155799</v>
      </c>
      <c r="CU62" s="7">
        <v>36.732214141098297</v>
      </c>
      <c r="CV62" s="7">
        <v>179.37142238436701</v>
      </c>
      <c r="CW62" s="7">
        <v>36.732214141098297</v>
      </c>
      <c r="CX62" s="7" t="s">
        <v>94</v>
      </c>
      <c r="CY62" s="7">
        <v>10.1859163578813</v>
      </c>
      <c r="CZ62" s="7">
        <f t="shared" si="74"/>
        <v>252.8358506665636</v>
      </c>
      <c r="DB62" s="28">
        <v>70</v>
      </c>
      <c r="DC62" s="26">
        <v>5.0000000000000002E-5</v>
      </c>
      <c r="DD62" s="28">
        <v>2</v>
      </c>
      <c r="DE62" s="28">
        <v>200</v>
      </c>
      <c r="DF62" s="26">
        <v>1E-8</v>
      </c>
      <c r="DG62" s="26">
        <f t="shared" si="75"/>
        <v>2E-8</v>
      </c>
      <c r="DH62" s="26">
        <f t="shared" si="76"/>
        <v>7.9999999999999993E-4</v>
      </c>
      <c r="DI62" s="7">
        <v>128.28101909866999</v>
      </c>
      <c r="DJ62" s="7">
        <v>36.618511090650998</v>
      </c>
      <c r="DK62" s="7">
        <v>179.02977916857401</v>
      </c>
      <c r="DL62" s="7">
        <v>36.618511090650998</v>
      </c>
      <c r="DM62" s="7" t="s">
        <v>94</v>
      </c>
      <c r="DN62" s="7">
        <v>10.1859163578813</v>
      </c>
      <c r="DO62" s="7">
        <f t="shared" si="77"/>
        <v>252.266801349876</v>
      </c>
      <c r="DQ62" s="28">
        <v>70</v>
      </c>
      <c r="DR62" s="26">
        <v>5.0000000000000002E-5</v>
      </c>
      <c r="DS62" s="28">
        <v>15</v>
      </c>
      <c r="DT62" s="28">
        <v>300</v>
      </c>
      <c r="DU62" s="26">
        <v>7.4999999999999993E-9</v>
      </c>
      <c r="DV62" s="26">
        <f t="shared" si="78"/>
        <v>1.1249999999999999E-7</v>
      </c>
      <c r="DW62" s="26">
        <f t="shared" si="79"/>
        <v>4.4999999999999997E-3</v>
      </c>
      <c r="DX62" s="7">
        <v>192.687899003556</v>
      </c>
      <c r="DY62" s="7">
        <v>23.8224846510956</v>
      </c>
      <c r="DZ62" s="7">
        <v>117.565391453988</v>
      </c>
      <c r="EA62" s="7">
        <v>23.8224846510956</v>
      </c>
      <c r="EB62" s="7" t="s">
        <v>94</v>
      </c>
      <c r="EC62" s="7">
        <v>8.1487330863050396</v>
      </c>
      <c r="ED62" s="7">
        <f t="shared" si="80"/>
        <v>165.2103607561792</v>
      </c>
    </row>
    <row r="63" spans="1:134" x14ac:dyDescent="0.4">
      <c r="B63" s="26"/>
      <c r="E63" s="26"/>
      <c r="F63" s="26"/>
      <c r="G63" s="26"/>
      <c r="Q63" s="26"/>
      <c r="T63" s="26"/>
      <c r="U63" s="26"/>
      <c r="V63" s="26"/>
      <c r="AF63" s="26"/>
      <c r="AI63" s="26"/>
      <c r="AJ63" s="26"/>
      <c r="AK63" s="26"/>
      <c r="AU63" s="26"/>
      <c r="AX63" s="26"/>
      <c r="AY63" s="26"/>
      <c r="AZ63" s="26"/>
      <c r="BJ63" s="26"/>
      <c r="BM63" s="26"/>
      <c r="BN63" s="26"/>
      <c r="BO63" s="26"/>
      <c r="BY63" s="26"/>
      <c r="CB63" s="26"/>
      <c r="CC63" s="26"/>
      <c r="CD63" s="26"/>
      <c r="CN63" s="26"/>
      <c r="CQ63" s="26"/>
      <c r="CR63" s="26"/>
      <c r="CS63" s="26"/>
      <c r="DC63" s="26"/>
      <c r="DF63" s="26"/>
      <c r="DG63" s="26"/>
      <c r="DH63" s="26"/>
      <c r="DR63" s="26"/>
      <c r="DU63" s="26"/>
      <c r="DV63" s="26"/>
      <c r="DW63" s="26"/>
    </row>
    <row r="64" spans="1:134" s="36" customFormat="1" ht="47.25" x14ac:dyDescent="0.4">
      <c r="A64" s="53" t="s">
        <v>69</v>
      </c>
      <c r="B64" s="54" t="s">
        <v>93</v>
      </c>
      <c r="C64" s="39" t="s">
        <v>73</v>
      </c>
      <c r="D64" s="39" t="s">
        <v>98</v>
      </c>
      <c r="E64" s="39" t="s">
        <v>97</v>
      </c>
      <c r="F64" s="39" t="s">
        <v>99</v>
      </c>
      <c r="G64" s="39" t="s">
        <v>96</v>
      </c>
      <c r="H64" s="37" t="s">
        <v>60</v>
      </c>
      <c r="I64" s="37" t="s">
        <v>100</v>
      </c>
      <c r="J64" s="37" t="s">
        <v>101</v>
      </c>
      <c r="K64" s="37" t="s">
        <v>102</v>
      </c>
      <c r="L64" s="37" t="s">
        <v>103</v>
      </c>
      <c r="M64" s="37" t="s">
        <v>65</v>
      </c>
      <c r="N64" s="37" t="s">
        <v>68</v>
      </c>
      <c r="O64" s="55"/>
      <c r="P64" s="53" t="s">
        <v>69</v>
      </c>
      <c r="Q64" s="54" t="s">
        <v>93</v>
      </c>
      <c r="R64" s="39" t="s">
        <v>73</v>
      </c>
      <c r="S64" s="39" t="s">
        <v>98</v>
      </c>
      <c r="T64" s="39" t="s">
        <v>97</v>
      </c>
      <c r="U64" s="39" t="s">
        <v>99</v>
      </c>
      <c r="V64" s="39" t="s">
        <v>96</v>
      </c>
      <c r="W64" s="37" t="s">
        <v>60</v>
      </c>
      <c r="X64" s="37" t="s">
        <v>100</v>
      </c>
      <c r="Y64" s="37" t="s">
        <v>101</v>
      </c>
      <c r="Z64" s="37" t="s">
        <v>102</v>
      </c>
      <c r="AA64" s="37" t="s">
        <v>103</v>
      </c>
      <c r="AB64" s="37" t="s">
        <v>65</v>
      </c>
      <c r="AC64" s="37" t="s">
        <v>68</v>
      </c>
      <c r="AD64" s="55"/>
      <c r="AE64" s="53" t="s">
        <v>69</v>
      </c>
      <c r="AF64" s="54" t="s">
        <v>93</v>
      </c>
      <c r="AG64" s="39" t="s">
        <v>73</v>
      </c>
      <c r="AH64" s="39" t="s">
        <v>98</v>
      </c>
      <c r="AI64" s="39" t="s">
        <v>97</v>
      </c>
      <c r="AJ64" s="39" t="s">
        <v>99</v>
      </c>
      <c r="AK64" s="39" t="s">
        <v>96</v>
      </c>
      <c r="AL64" s="37" t="s">
        <v>60</v>
      </c>
      <c r="AM64" s="37" t="s">
        <v>100</v>
      </c>
      <c r="AN64" s="37" t="s">
        <v>101</v>
      </c>
      <c r="AO64" s="37" t="s">
        <v>102</v>
      </c>
      <c r="AP64" s="37" t="s">
        <v>103</v>
      </c>
      <c r="AQ64" s="37" t="s">
        <v>65</v>
      </c>
      <c r="AR64" s="37" t="s">
        <v>68</v>
      </c>
      <c r="AS64" s="55"/>
      <c r="AT64" s="53" t="s">
        <v>69</v>
      </c>
      <c r="AU64" s="54" t="s">
        <v>93</v>
      </c>
      <c r="AV64" s="39" t="s">
        <v>73</v>
      </c>
      <c r="AW64" s="39" t="s">
        <v>98</v>
      </c>
      <c r="AX64" s="39" t="s">
        <v>97</v>
      </c>
      <c r="AY64" s="39" t="s">
        <v>99</v>
      </c>
      <c r="AZ64" s="39" t="s">
        <v>96</v>
      </c>
      <c r="BA64" s="37" t="s">
        <v>60</v>
      </c>
      <c r="BB64" s="37" t="s">
        <v>100</v>
      </c>
      <c r="BC64" s="37" t="s">
        <v>101</v>
      </c>
      <c r="BD64" s="37" t="s">
        <v>102</v>
      </c>
      <c r="BE64" s="37" t="s">
        <v>103</v>
      </c>
      <c r="BF64" s="37" t="s">
        <v>65</v>
      </c>
      <c r="BG64" s="37" t="s">
        <v>68</v>
      </c>
      <c r="BH64" s="55"/>
      <c r="BI64" s="53" t="s">
        <v>69</v>
      </c>
      <c r="BJ64" s="54" t="s">
        <v>93</v>
      </c>
      <c r="BK64" s="39" t="s">
        <v>73</v>
      </c>
      <c r="BL64" s="39" t="s">
        <v>98</v>
      </c>
      <c r="BM64" s="39" t="s">
        <v>97</v>
      </c>
      <c r="BN64" s="39" t="s">
        <v>99</v>
      </c>
      <c r="BO64" s="39" t="s">
        <v>96</v>
      </c>
      <c r="BP64" s="37" t="s">
        <v>60</v>
      </c>
      <c r="BQ64" s="37" t="s">
        <v>100</v>
      </c>
      <c r="BR64" s="37" t="s">
        <v>101</v>
      </c>
      <c r="BS64" s="37" t="s">
        <v>102</v>
      </c>
      <c r="BT64" s="37" t="s">
        <v>103</v>
      </c>
      <c r="BU64" s="37" t="s">
        <v>65</v>
      </c>
      <c r="BV64" s="37" t="s">
        <v>68</v>
      </c>
      <c r="BW64" s="55"/>
      <c r="BX64" s="53" t="s">
        <v>69</v>
      </c>
      <c r="BY64" s="54" t="s">
        <v>93</v>
      </c>
      <c r="BZ64" s="39" t="s">
        <v>73</v>
      </c>
      <c r="CA64" s="39" t="s">
        <v>98</v>
      </c>
      <c r="CB64" s="39" t="s">
        <v>97</v>
      </c>
      <c r="CC64" s="39" t="s">
        <v>99</v>
      </c>
      <c r="CD64" s="39" t="s">
        <v>96</v>
      </c>
      <c r="CE64" s="37" t="s">
        <v>60</v>
      </c>
      <c r="CF64" s="37" t="s">
        <v>100</v>
      </c>
      <c r="CG64" s="37" t="s">
        <v>101</v>
      </c>
      <c r="CH64" s="37" t="s">
        <v>102</v>
      </c>
      <c r="CI64" s="37" t="s">
        <v>103</v>
      </c>
      <c r="CJ64" s="37" t="s">
        <v>65</v>
      </c>
      <c r="CK64" s="37" t="s">
        <v>68</v>
      </c>
      <c r="CL64" s="55"/>
      <c r="CM64" s="53" t="s">
        <v>69</v>
      </c>
      <c r="CN64" s="54" t="s">
        <v>93</v>
      </c>
      <c r="CO64" s="39" t="s">
        <v>73</v>
      </c>
      <c r="CP64" s="39" t="s">
        <v>98</v>
      </c>
      <c r="CQ64" s="39" t="s">
        <v>97</v>
      </c>
      <c r="CR64" s="39" t="s">
        <v>99</v>
      </c>
      <c r="CS64" s="39" t="s">
        <v>96</v>
      </c>
      <c r="CT64" s="37" t="s">
        <v>60</v>
      </c>
      <c r="CU64" s="37" t="s">
        <v>100</v>
      </c>
      <c r="CV64" s="37" t="s">
        <v>101</v>
      </c>
      <c r="CW64" s="37" t="s">
        <v>102</v>
      </c>
      <c r="CX64" s="37" t="s">
        <v>103</v>
      </c>
      <c r="CY64" s="37" t="s">
        <v>65</v>
      </c>
      <c r="CZ64" s="37" t="s">
        <v>68</v>
      </c>
      <c r="DA64" s="55"/>
      <c r="DB64" s="53" t="s">
        <v>69</v>
      </c>
      <c r="DC64" s="54" t="s">
        <v>93</v>
      </c>
      <c r="DD64" s="39" t="s">
        <v>73</v>
      </c>
      <c r="DE64" s="39" t="s">
        <v>98</v>
      </c>
      <c r="DF64" s="39" t="s">
        <v>97</v>
      </c>
      <c r="DG64" s="39" t="s">
        <v>99</v>
      </c>
      <c r="DH64" s="39" t="s">
        <v>96</v>
      </c>
      <c r="DI64" s="37" t="s">
        <v>60</v>
      </c>
      <c r="DJ64" s="37" t="s">
        <v>100</v>
      </c>
      <c r="DK64" s="37" t="s">
        <v>101</v>
      </c>
      <c r="DL64" s="37" t="s">
        <v>102</v>
      </c>
      <c r="DM64" s="37" t="s">
        <v>103</v>
      </c>
      <c r="DN64" s="37" t="s">
        <v>65</v>
      </c>
      <c r="DO64" s="37" t="s">
        <v>68</v>
      </c>
      <c r="DP64" s="55"/>
      <c r="DQ64" s="53" t="s">
        <v>69</v>
      </c>
      <c r="DR64" s="54" t="s">
        <v>93</v>
      </c>
      <c r="DS64" s="39" t="s">
        <v>73</v>
      </c>
      <c r="DT64" s="39" t="s">
        <v>98</v>
      </c>
      <c r="DU64" s="39" t="s">
        <v>97</v>
      </c>
      <c r="DV64" s="39" t="s">
        <v>99</v>
      </c>
      <c r="DW64" s="39" t="s">
        <v>96</v>
      </c>
      <c r="DX64" s="37" t="s">
        <v>60</v>
      </c>
      <c r="DY64" s="37" t="s">
        <v>100</v>
      </c>
      <c r="DZ64" s="37" t="s">
        <v>101</v>
      </c>
      <c r="EA64" s="37" t="s">
        <v>102</v>
      </c>
      <c r="EB64" s="37" t="s">
        <v>103</v>
      </c>
      <c r="EC64" s="37" t="s">
        <v>65</v>
      </c>
      <c r="ED64" s="37" t="s">
        <v>68</v>
      </c>
    </row>
    <row r="65" spans="1:134" x14ac:dyDescent="0.4">
      <c r="A65" s="28">
        <v>1</v>
      </c>
      <c r="B65" s="26">
        <v>1.0000000000000001E-5</v>
      </c>
      <c r="C65" s="28">
        <v>0.2</v>
      </c>
      <c r="D65" s="28">
        <v>30</v>
      </c>
      <c r="E65" s="26">
        <v>2.4999999999999999E-8</v>
      </c>
      <c r="F65" s="26">
        <f t="shared" ref="F65:F83" si="81">C65*E65</f>
        <v>5.0000000000000001E-9</v>
      </c>
      <c r="G65" s="26">
        <f t="shared" ref="G65:G83" si="82">F65/(B65/2)</f>
        <v>1E-3</v>
      </c>
      <c r="H65" s="7">
        <v>0.225638217547211</v>
      </c>
      <c r="I65" s="7">
        <v>20967.675665585699</v>
      </c>
      <c r="J65" s="7">
        <v>750067.42850576504</v>
      </c>
      <c r="K65" s="7">
        <v>20967.675665585699</v>
      </c>
      <c r="L65" s="7">
        <v>246455.34799285</v>
      </c>
      <c r="M65" s="7">
        <v>763.94372684109806</v>
      </c>
      <c r="N65" s="7">
        <f t="shared" ref="N65:N83" si="83">I65+J65+K65</f>
        <v>792002.77983693639</v>
      </c>
      <c r="P65" s="28">
        <v>1</v>
      </c>
      <c r="Q65" s="26">
        <v>3.0000000000000001E-5</v>
      </c>
      <c r="R65" s="28">
        <v>0.2</v>
      </c>
      <c r="S65" s="28">
        <v>30</v>
      </c>
      <c r="T65" s="26">
        <v>2.4999999999999999E-8</v>
      </c>
      <c r="U65" s="26">
        <f t="shared" ref="U65:U83" si="84">R65*T65</f>
        <v>5.0000000000000001E-9</v>
      </c>
      <c r="V65" s="26">
        <f t="shared" ref="V65:V83" si="85">U65/(Q65/2)</f>
        <v>3.3333333333333332E-4</v>
      </c>
      <c r="W65" s="7">
        <v>0.225706943000934</v>
      </c>
      <c r="X65" s="7">
        <v>6989.2252213633501</v>
      </c>
      <c r="Y65" s="7">
        <v>250022.476149864</v>
      </c>
      <c r="Z65" s="7">
        <v>6989.2252213633501</v>
      </c>
      <c r="AA65" s="7">
        <v>82151.782666878105</v>
      </c>
      <c r="AB65" s="7">
        <v>84.882636315677502</v>
      </c>
      <c r="AC65" s="7">
        <f t="shared" ref="AC65:AC83" si="86">X65+Y65+Z65</f>
        <v>264000.92659259069</v>
      </c>
      <c r="AE65" s="28">
        <v>1</v>
      </c>
      <c r="AF65" s="26">
        <v>5.0000000000000002E-5</v>
      </c>
      <c r="AG65" s="28">
        <v>0.2</v>
      </c>
      <c r="AH65" s="28">
        <v>30</v>
      </c>
      <c r="AI65" s="26">
        <v>2.4999999999999999E-8</v>
      </c>
      <c r="AJ65" s="26">
        <f t="shared" ref="AJ65:AJ83" si="87">AG65*AI65</f>
        <v>5.0000000000000001E-9</v>
      </c>
      <c r="AK65" s="26">
        <f t="shared" ref="AK65:AK83" si="88">AJ65/(AF65/2)</f>
        <v>1.9999999999999998E-4</v>
      </c>
      <c r="AL65" s="7">
        <v>0.22572070927649299</v>
      </c>
      <c r="AM65" s="7">
        <v>4193.5351285970401</v>
      </c>
      <c r="AN65" s="7">
        <v>150013.48553139099</v>
      </c>
      <c r="AO65" s="7">
        <v>4193.5351285970401</v>
      </c>
      <c r="AP65" s="7">
        <v>49291.069622095303</v>
      </c>
      <c r="AQ65" s="7">
        <v>30.557749073643901</v>
      </c>
      <c r="AR65" s="7">
        <f t="shared" ref="AR65:AR83" si="89">AM65+AN65+AO65</f>
        <v>158400.5557885851</v>
      </c>
      <c r="AT65" s="28">
        <v>1</v>
      </c>
      <c r="AU65" s="26">
        <v>1.0000000000000001E-5</v>
      </c>
      <c r="AV65" s="28">
        <v>0.2</v>
      </c>
      <c r="AW65" s="28">
        <v>200</v>
      </c>
      <c r="AX65" s="26">
        <v>2.4999999999999999E-8</v>
      </c>
      <c r="AY65" s="26">
        <f t="shared" ref="AY65:AY83" si="90">AV65*AX65</f>
        <v>5.0000000000000001E-9</v>
      </c>
      <c r="AZ65" s="26">
        <f t="shared" ref="AZ65:AZ83" si="91">AY65/(AU65/2)</f>
        <v>1E-3</v>
      </c>
      <c r="BA65" s="7">
        <v>0.22797634322470001</v>
      </c>
      <c r="BB65" s="7">
        <v>4345.3623253436699</v>
      </c>
      <c r="BC65" s="7">
        <v>750067.42850576504</v>
      </c>
      <c r="BD65" s="7">
        <v>4345.3623253436699</v>
      </c>
      <c r="BE65" s="7">
        <v>246455.34799285</v>
      </c>
      <c r="BF65" s="7">
        <v>763.94372684109806</v>
      </c>
      <c r="BG65" s="7">
        <f t="shared" ref="BG65:BG83" si="92">BB65+BC65+BD65</f>
        <v>758758.15315645235</v>
      </c>
      <c r="BI65" s="28">
        <v>1</v>
      </c>
      <c r="BJ65" s="26">
        <v>1.0000000000000001E-5</v>
      </c>
      <c r="BK65" s="28">
        <v>0.5</v>
      </c>
      <c r="BL65" s="28">
        <v>200</v>
      </c>
      <c r="BM65" s="26">
        <v>2.4999999999999999E-8</v>
      </c>
      <c r="BN65" s="26">
        <f t="shared" ref="BN65:BN83" si="93">BK65*BM65</f>
        <v>1.2499999999999999E-8</v>
      </c>
      <c r="BO65" s="26">
        <f t="shared" ref="BO65:BO83" si="94">BN65/(BJ65/2)</f>
        <v>2.4999999999999996E-3</v>
      </c>
      <c r="BP65" s="7">
        <v>0.56769792171905498</v>
      </c>
      <c r="BQ65" s="7">
        <v>3764.12485338133</v>
      </c>
      <c r="BR65" s="7">
        <v>300026.97140230599</v>
      </c>
      <c r="BS65" s="7">
        <v>3764.12485338133</v>
      </c>
      <c r="BT65" s="7">
        <v>98582.139197140001</v>
      </c>
      <c r="BU65" s="7">
        <v>763.94372684109806</v>
      </c>
      <c r="BV65" s="7">
        <f t="shared" ref="BV65:BV83" si="95">BQ65+BR65+BS65</f>
        <v>307555.2211090686</v>
      </c>
      <c r="BX65" s="28">
        <v>1</v>
      </c>
      <c r="BY65" s="26">
        <v>5.0000000000000002E-5</v>
      </c>
      <c r="BZ65" s="28">
        <v>0.5</v>
      </c>
      <c r="CA65" s="28">
        <v>200</v>
      </c>
      <c r="CB65" s="26">
        <v>2.4999999999999999E-8</v>
      </c>
      <c r="CC65" s="26">
        <f t="shared" ref="CC65:CC83" si="96">BZ65*CB65</f>
        <v>1.2499999999999999E-8</v>
      </c>
      <c r="CD65" s="26">
        <f t="shared" ref="CD65:CD83" si="97">CC65/(BY65/2)</f>
        <v>4.999999999999999E-4</v>
      </c>
      <c r="CE65" s="7">
        <v>0.56824297476552199</v>
      </c>
      <c r="CF65" s="7">
        <v>752.82497001808497</v>
      </c>
      <c r="CG65" s="7">
        <v>60005.394212556603</v>
      </c>
      <c r="CH65" s="7">
        <v>752.82497001808497</v>
      </c>
      <c r="CI65" s="7">
        <v>19716.427848838099</v>
      </c>
      <c r="CJ65" s="7">
        <v>30.557749073643901</v>
      </c>
      <c r="CK65" s="7">
        <f t="shared" ref="CK65:CK83" si="98">CF65+CG65+CH65</f>
        <v>61511.044152592767</v>
      </c>
      <c r="CM65" s="28">
        <v>1</v>
      </c>
      <c r="CN65" s="26">
        <v>5.0000000000000002E-5</v>
      </c>
      <c r="CO65" s="28">
        <v>1</v>
      </c>
      <c r="CP65" s="28">
        <v>200</v>
      </c>
      <c r="CQ65" s="26">
        <v>2.4999999999999999E-8</v>
      </c>
      <c r="CR65" s="26">
        <f t="shared" ref="CR65:CR83" si="99">CO65*CQ65</f>
        <v>2.4999999999999999E-8</v>
      </c>
      <c r="CS65" s="26">
        <f t="shared" ref="CS65:CS83" si="100">CR65/(CN65/2)</f>
        <v>9.999999999999998E-4</v>
      </c>
      <c r="CT65" s="7">
        <v>1.1311457446281701</v>
      </c>
      <c r="CU65" s="7">
        <v>665.23311259709499</v>
      </c>
      <c r="CV65" s="7">
        <v>30002.697106278301</v>
      </c>
      <c r="CW65" s="7">
        <v>665.23311259709499</v>
      </c>
      <c r="CX65" s="7">
        <v>9858.2139244190694</v>
      </c>
      <c r="CY65" s="7">
        <v>30.557749073643901</v>
      </c>
      <c r="CZ65" s="7">
        <f t="shared" ref="CZ65:CZ83" si="101">CU65+CV65+CW65</f>
        <v>31333.163331472493</v>
      </c>
      <c r="DB65" s="28">
        <v>1</v>
      </c>
      <c r="DC65" s="26">
        <v>5.0000000000000002E-5</v>
      </c>
      <c r="DD65" s="28">
        <v>2</v>
      </c>
      <c r="DE65" s="28">
        <v>200</v>
      </c>
      <c r="DF65" s="26">
        <v>2.4999999999999999E-8</v>
      </c>
      <c r="DG65" s="26">
        <f t="shared" ref="DG65:DG83" si="102">DD65*DF65</f>
        <v>4.9999999999999998E-8</v>
      </c>
      <c r="DH65" s="26">
        <f t="shared" ref="DH65:DH83" si="103">DG65/(DC65/2)</f>
        <v>1.9999999999999996E-3</v>
      </c>
      <c r="DI65" s="7">
        <v>2.2448988529426699</v>
      </c>
      <c r="DJ65" s="7">
        <v>578.22973015081095</v>
      </c>
      <c r="DK65" s="7">
        <v>15001.3485531391</v>
      </c>
      <c r="DL65" s="7">
        <v>578.22973015081095</v>
      </c>
      <c r="DM65" s="7">
        <v>4929.1069622095301</v>
      </c>
      <c r="DN65" s="7">
        <v>30.557749073643901</v>
      </c>
      <c r="DO65" s="7">
        <f t="shared" ref="DO65:DO83" si="104">DJ65+DK65+DL65</f>
        <v>16157.808013440723</v>
      </c>
      <c r="DQ65" s="28">
        <v>1</v>
      </c>
      <c r="DR65" s="26">
        <v>5.0000000000000002E-5</v>
      </c>
      <c r="DS65" s="28">
        <v>15</v>
      </c>
      <c r="DT65" s="28">
        <v>300</v>
      </c>
      <c r="DU65" s="26">
        <v>1E-8</v>
      </c>
      <c r="DV65" s="26">
        <f t="shared" ref="DV65:DV83" si="105">DS65*DU65</f>
        <v>1.4999999999999999E-7</v>
      </c>
      <c r="DW65" s="26">
        <f t="shared" ref="DW65:DW83" si="106">DV65/(DR65/2)</f>
        <v>5.9999999999999993E-3</v>
      </c>
      <c r="DX65" s="7">
        <v>16.2672437142033</v>
      </c>
      <c r="DY65" s="7">
        <v>254.539230510376</v>
      </c>
      <c r="DZ65" s="7">
        <v>2000.1798070852201</v>
      </c>
      <c r="EA65" s="7">
        <v>254.539230510376</v>
      </c>
      <c r="EB65" s="7">
        <v>657.21426162793796</v>
      </c>
      <c r="EC65" s="7">
        <v>10.1859163578813</v>
      </c>
      <c r="ED65" s="7">
        <f t="shared" ref="ED65:ED83" si="107">DY65+DZ65+EA65</f>
        <v>2509.2582681059721</v>
      </c>
    </row>
    <row r="66" spans="1:134" x14ac:dyDescent="0.4">
      <c r="A66" s="28">
        <v>2</v>
      </c>
      <c r="B66" s="26">
        <v>1.0000000000000001E-5</v>
      </c>
      <c r="C66" s="28">
        <v>0.2</v>
      </c>
      <c r="D66" s="28">
        <v>30</v>
      </c>
      <c r="E66" s="26">
        <v>2.4999999999999999E-8</v>
      </c>
      <c r="F66" s="26">
        <f t="shared" si="81"/>
        <v>5.0000000000000001E-9</v>
      </c>
      <c r="G66" s="26">
        <f t="shared" si="82"/>
        <v>1E-3</v>
      </c>
      <c r="H66" s="7">
        <v>0.25928479246042402</v>
      </c>
      <c r="I66" s="7">
        <v>20967.675665585699</v>
      </c>
      <c r="J66" s="7">
        <v>482013.76177816797</v>
      </c>
      <c r="K66" s="7">
        <v>20967.675665585699</v>
      </c>
      <c r="L66" s="7">
        <v>339325.67523914197</v>
      </c>
      <c r="M66" s="7">
        <v>763.94372684109806</v>
      </c>
      <c r="N66" s="7">
        <f t="shared" si="83"/>
        <v>523949.11310933932</v>
      </c>
      <c r="P66" s="28">
        <v>2</v>
      </c>
      <c r="Q66" s="26">
        <v>3.0000000000000001E-5</v>
      </c>
      <c r="R66" s="28">
        <v>0.2</v>
      </c>
      <c r="S66" s="28">
        <v>30</v>
      </c>
      <c r="T66" s="26">
        <v>2.4999999999999999E-8</v>
      </c>
      <c r="U66" s="26">
        <f t="shared" si="84"/>
        <v>5.0000000000000001E-9</v>
      </c>
      <c r="V66" s="26">
        <f t="shared" si="85"/>
        <v>3.3333333333333332E-4</v>
      </c>
      <c r="W66" s="7">
        <v>0.25948238284052599</v>
      </c>
      <c r="X66" s="7">
        <v>6989.2252213633501</v>
      </c>
      <c r="Y66" s="7">
        <v>160671.25390733199</v>
      </c>
      <c r="Z66" s="7">
        <v>6989.2252213633501</v>
      </c>
      <c r="AA66" s="7">
        <v>113108.558420806</v>
      </c>
      <c r="AB66" s="7">
        <v>84.882636315677502</v>
      </c>
      <c r="AC66" s="7">
        <f t="shared" si="86"/>
        <v>174649.70435005872</v>
      </c>
      <c r="AE66" s="28">
        <v>2</v>
      </c>
      <c r="AF66" s="26">
        <v>5.0000000000000002E-5</v>
      </c>
      <c r="AG66" s="28">
        <v>0.2</v>
      </c>
      <c r="AH66" s="28">
        <v>30</v>
      </c>
      <c r="AI66" s="26">
        <v>2.4999999999999999E-8</v>
      </c>
      <c r="AJ66" s="26">
        <f t="shared" si="87"/>
        <v>5.0000000000000001E-9</v>
      </c>
      <c r="AK66" s="26">
        <f t="shared" si="88"/>
        <v>1.9999999999999998E-4</v>
      </c>
      <c r="AL66" s="7">
        <v>0.25952199306347401</v>
      </c>
      <c r="AM66" s="7">
        <v>4193.5351285970401</v>
      </c>
      <c r="AN66" s="7">
        <v>96402.752185872101</v>
      </c>
      <c r="AO66" s="7">
        <v>4193.5351285970401</v>
      </c>
      <c r="AP66" s="7">
        <v>67865.135118168895</v>
      </c>
      <c r="AQ66" s="7">
        <v>30.557749073643901</v>
      </c>
      <c r="AR66" s="7">
        <f t="shared" si="89"/>
        <v>104789.82244306618</v>
      </c>
      <c r="AT66" s="28">
        <v>2</v>
      </c>
      <c r="AU66" s="26">
        <v>1.0000000000000001E-5</v>
      </c>
      <c r="AV66" s="28">
        <v>0.2</v>
      </c>
      <c r="AW66" s="28">
        <v>200</v>
      </c>
      <c r="AX66" s="26">
        <v>2.4999999999999999E-8</v>
      </c>
      <c r="AY66" s="26">
        <f t="shared" si="90"/>
        <v>5.0000000000000001E-9</v>
      </c>
      <c r="AZ66" s="26">
        <f t="shared" si="91"/>
        <v>1E-3</v>
      </c>
      <c r="BA66" s="7">
        <v>0.26615592030919899</v>
      </c>
      <c r="BB66" s="7">
        <v>4345.3623253436699</v>
      </c>
      <c r="BC66" s="7">
        <v>482013.76177816797</v>
      </c>
      <c r="BD66" s="7">
        <v>4345.3623253436699</v>
      </c>
      <c r="BE66" s="7">
        <v>339325.67523914197</v>
      </c>
      <c r="BF66" s="7">
        <v>763.94372684109806</v>
      </c>
      <c r="BG66" s="7">
        <f t="shared" si="92"/>
        <v>490704.48642885528</v>
      </c>
      <c r="BI66" s="28">
        <v>2</v>
      </c>
      <c r="BJ66" s="26">
        <v>1.0000000000000001E-5</v>
      </c>
      <c r="BK66" s="28">
        <v>0.5</v>
      </c>
      <c r="BL66" s="28">
        <v>200</v>
      </c>
      <c r="BM66" s="26">
        <v>2.4999999999999999E-8</v>
      </c>
      <c r="BN66" s="26">
        <f t="shared" si="93"/>
        <v>1.2499999999999999E-8</v>
      </c>
      <c r="BO66" s="26">
        <f t="shared" si="94"/>
        <v>2.4999999999999996E-3</v>
      </c>
      <c r="BP66" s="7">
        <v>0.65870653714069305</v>
      </c>
      <c r="BQ66" s="7">
        <v>3764.12485338133</v>
      </c>
      <c r="BR66" s="7">
        <v>192805.50471126701</v>
      </c>
      <c r="BS66" s="7">
        <v>3764.12485338133</v>
      </c>
      <c r="BT66" s="7">
        <v>135730.270095657</v>
      </c>
      <c r="BU66" s="7">
        <v>763.94372684109806</v>
      </c>
      <c r="BV66" s="7">
        <f t="shared" si="95"/>
        <v>200333.75441802968</v>
      </c>
      <c r="BX66" s="28">
        <v>2</v>
      </c>
      <c r="BY66" s="26">
        <v>5.0000000000000002E-5</v>
      </c>
      <c r="BZ66" s="28">
        <v>0.5</v>
      </c>
      <c r="CA66" s="28">
        <v>200</v>
      </c>
      <c r="CB66" s="26">
        <v>2.4999999999999999E-8</v>
      </c>
      <c r="CC66" s="26">
        <f t="shared" si="96"/>
        <v>1.2499999999999999E-8</v>
      </c>
      <c r="CD66" s="26">
        <f t="shared" si="97"/>
        <v>4.999999999999999E-4</v>
      </c>
      <c r="CE66" s="7">
        <v>0.66031993674478195</v>
      </c>
      <c r="CF66" s="7">
        <v>752.82497001808497</v>
      </c>
      <c r="CG66" s="7">
        <v>38561.1008743489</v>
      </c>
      <c r="CH66" s="7">
        <v>752.82497001808497</v>
      </c>
      <c r="CI66" s="7">
        <v>27146.0540472676</v>
      </c>
      <c r="CJ66" s="7">
        <v>30.557749073643901</v>
      </c>
      <c r="CK66" s="7">
        <f t="shared" si="98"/>
        <v>40066.750814385065</v>
      </c>
      <c r="CM66" s="28">
        <v>2</v>
      </c>
      <c r="CN66" s="26">
        <v>5.0000000000000002E-5</v>
      </c>
      <c r="CO66" s="28">
        <v>1</v>
      </c>
      <c r="CP66" s="28">
        <v>200</v>
      </c>
      <c r="CQ66" s="26">
        <v>2.4999999999999999E-8</v>
      </c>
      <c r="CR66" s="26">
        <f t="shared" si="99"/>
        <v>2.4999999999999999E-8</v>
      </c>
      <c r="CS66" s="26">
        <f t="shared" si="100"/>
        <v>9.999999999999998E-4</v>
      </c>
      <c r="CT66" s="7">
        <v>1.3049613626638099</v>
      </c>
      <c r="CU66" s="7">
        <v>665.23311259709499</v>
      </c>
      <c r="CV66" s="7">
        <v>19280.550437174399</v>
      </c>
      <c r="CW66" s="7">
        <v>665.23311259709499</v>
      </c>
      <c r="CX66" s="7">
        <v>13573.0270236338</v>
      </c>
      <c r="CY66" s="7">
        <v>30.557749073643901</v>
      </c>
      <c r="CZ66" s="7">
        <f t="shared" si="101"/>
        <v>20611.016662368591</v>
      </c>
      <c r="DB66" s="28">
        <v>2</v>
      </c>
      <c r="DC66" s="26">
        <v>5.0000000000000002E-5</v>
      </c>
      <c r="DD66" s="28">
        <v>2</v>
      </c>
      <c r="DE66" s="28">
        <v>200</v>
      </c>
      <c r="DF66" s="26">
        <v>2.4999999999999999E-8</v>
      </c>
      <c r="DG66" s="26">
        <f t="shared" si="102"/>
        <v>4.9999999999999998E-8</v>
      </c>
      <c r="DH66" s="26">
        <f t="shared" si="103"/>
        <v>1.9999999999999996E-3</v>
      </c>
      <c r="DI66" s="7">
        <v>2.56021176340353</v>
      </c>
      <c r="DJ66" s="7">
        <v>578.22973015081095</v>
      </c>
      <c r="DK66" s="7">
        <v>9640.2752185872196</v>
      </c>
      <c r="DL66" s="7">
        <v>578.22973015081095</v>
      </c>
      <c r="DM66" s="7">
        <v>6786.5135118168901</v>
      </c>
      <c r="DN66" s="7">
        <v>30.557749073643901</v>
      </c>
      <c r="DO66" s="7">
        <f t="shared" si="104"/>
        <v>10796.734678888843</v>
      </c>
      <c r="DQ66" s="28">
        <v>2</v>
      </c>
      <c r="DR66" s="26">
        <v>5.0000000000000002E-5</v>
      </c>
      <c r="DS66" s="28">
        <v>15</v>
      </c>
      <c r="DT66" s="28">
        <v>300</v>
      </c>
      <c r="DU66" s="26">
        <v>1E-8</v>
      </c>
      <c r="DV66" s="26">
        <f t="shared" si="105"/>
        <v>1.4999999999999999E-7</v>
      </c>
      <c r="DW66" s="26">
        <f t="shared" si="106"/>
        <v>5.9999999999999993E-3</v>
      </c>
      <c r="DX66" s="7">
        <v>17.707635480200501</v>
      </c>
      <c r="DY66" s="7">
        <v>254.539230510376</v>
      </c>
      <c r="DZ66" s="7">
        <v>1285.37002914496</v>
      </c>
      <c r="EA66" s="7">
        <v>254.539230510376</v>
      </c>
      <c r="EB66" s="7">
        <v>904.86846824225199</v>
      </c>
      <c r="EC66" s="7">
        <v>10.1859163578813</v>
      </c>
      <c r="ED66" s="7">
        <f t="shared" si="107"/>
        <v>1794.448490165712</v>
      </c>
    </row>
    <row r="67" spans="1:134" x14ac:dyDescent="0.4">
      <c r="A67" s="28">
        <v>4</v>
      </c>
      <c r="B67" s="26">
        <v>1.0000000000000001E-5</v>
      </c>
      <c r="C67" s="28">
        <v>0.2</v>
      </c>
      <c r="D67" s="28">
        <v>30</v>
      </c>
      <c r="E67" s="26">
        <v>2.4999999999999999E-8</v>
      </c>
      <c r="F67" s="26">
        <f t="shared" si="81"/>
        <v>5.0000000000000001E-9</v>
      </c>
      <c r="G67" s="26">
        <f t="shared" si="82"/>
        <v>1E-3</v>
      </c>
      <c r="H67" s="7">
        <v>0.35112572917798401</v>
      </c>
      <c r="I67" s="7">
        <v>20967.675665585699</v>
      </c>
      <c r="J67" s="7">
        <v>269259.42550450901</v>
      </c>
      <c r="K67" s="7">
        <v>20967.675665585699</v>
      </c>
      <c r="L67" s="7">
        <v>496205.96663466899</v>
      </c>
      <c r="M67" s="7">
        <v>763.94372684109806</v>
      </c>
      <c r="N67" s="7">
        <f t="shared" si="83"/>
        <v>311194.77683568036</v>
      </c>
      <c r="P67" s="28">
        <v>4</v>
      </c>
      <c r="Q67" s="26">
        <v>3.0000000000000001E-5</v>
      </c>
      <c r="R67" s="28">
        <v>0.2</v>
      </c>
      <c r="S67" s="28">
        <v>30</v>
      </c>
      <c r="T67" s="26">
        <v>2.4999999999999999E-8</v>
      </c>
      <c r="U67" s="26">
        <f t="shared" si="84"/>
        <v>5.0000000000000001E-9</v>
      </c>
      <c r="V67" s="26">
        <f t="shared" si="85"/>
        <v>3.3333333333333332E-4</v>
      </c>
      <c r="W67" s="7">
        <v>0.35182956613970301</v>
      </c>
      <c r="X67" s="7">
        <v>6989.2252213633501</v>
      </c>
      <c r="Y67" s="7">
        <v>89753.141816112096</v>
      </c>
      <c r="Z67" s="7">
        <v>6989.2252213633501</v>
      </c>
      <c r="AA67" s="7">
        <v>165401.98890513901</v>
      </c>
      <c r="AB67" s="7">
        <v>84.882636315677502</v>
      </c>
      <c r="AC67" s="7">
        <f t="shared" si="86"/>
        <v>103731.59225883879</v>
      </c>
      <c r="AE67" s="28">
        <v>4</v>
      </c>
      <c r="AF67" s="26">
        <v>5.0000000000000002E-5</v>
      </c>
      <c r="AG67" s="28">
        <v>0.2</v>
      </c>
      <c r="AH67" s="28">
        <v>30</v>
      </c>
      <c r="AI67" s="26">
        <v>2.4999999999999999E-8</v>
      </c>
      <c r="AJ67" s="26">
        <f t="shared" si="87"/>
        <v>5.0000000000000001E-9</v>
      </c>
      <c r="AK67" s="26">
        <f t="shared" si="88"/>
        <v>1.9999999999999998E-4</v>
      </c>
      <c r="AL67" s="7">
        <v>0.35197088615948802</v>
      </c>
      <c r="AM67" s="7">
        <v>4193.5351285970401</v>
      </c>
      <c r="AN67" s="7">
        <v>53851.884931140201</v>
      </c>
      <c r="AO67" s="7">
        <v>4193.5351285970401</v>
      </c>
      <c r="AP67" s="7">
        <v>99241.193570966701</v>
      </c>
      <c r="AQ67" s="7">
        <v>30.557749073643901</v>
      </c>
      <c r="AR67" s="7">
        <f t="shared" si="89"/>
        <v>62238.955188334279</v>
      </c>
      <c r="AT67" s="28">
        <v>4</v>
      </c>
      <c r="AU67" s="26">
        <v>1.0000000000000001E-5</v>
      </c>
      <c r="AV67" s="28">
        <v>0.2</v>
      </c>
      <c r="AW67" s="28">
        <v>200</v>
      </c>
      <c r="AX67" s="26">
        <v>2.4999999999999999E-8</v>
      </c>
      <c r="AY67" s="26">
        <f t="shared" si="90"/>
        <v>5.0000000000000001E-9</v>
      </c>
      <c r="AZ67" s="26">
        <f t="shared" si="91"/>
        <v>1E-3</v>
      </c>
      <c r="BA67" s="7">
        <v>0.37674626478429302</v>
      </c>
      <c r="BB67" s="7">
        <v>4345.3623253436699</v>
      </c>
      <c r="BC67" s="7">
        <v>269259.42550450901</v>
      </c>
      <c r="BD67" s="7">
        <v>4345.3623253436699</v>
      </c>
      <c r="BE67" s="7">
        <v>496205.96663466899</v>
      </c>
      <c r="BF67" s="7">
        <v>763.94372684109806</v>
      </c>
      <c r="BG67" s="7">
        <f t="shared" si="92"/>
        <v>277950.15015519632</v>
      </c>
      <c r="BI67" s="28">
        <v>4</v>
      </c>
      <c r="BJ67" s="26">
        <v>1.0000000000000001E-5</v>
      </c>
      <c r="BK67" s="28">
        <v>0.5</v>
      </c>
      <c r="BL67" s="28">
        <v>200</v>
      </c>
      <c r="BM67" s="26">
        <v>2.4999999999999999E-8</v>
      </c>
      <c r="BN67" s="26">
        <f t="shared" si="93"/>
        <v>1.2499999999999999E-8</v>
      </c>
      <c r="BO67" s="26">
        <f t="shared" si="94"/>
        <v>2.4999999999999996E-3</v>
      </c>
      <c r="BP67" s="7">
        <v>0.916225871424732</v>
      </c>
      <c r="BQ67" s="7">
        <v>3764.12485338133</v>
      </c>
      <c r="BR67" s="7">
        <v>107703.770201803</v>
      </c>
      <c r="BS67" s="7">
        <v>3764.12485338133</v>
      </c>
      <c r="BT67" s="7">
        <v>198482.38665386799</v>
      </c>
      <c r="BU67" s="7">
        <v>763.94372684109806</v>
      </c>
      <c r="BV67" s="7">
        <f t="shared" si="95"/>
        <v>115232.01990856566</v>
      </c>
      <c r="BX67" s="28">
        <v>4</v>
      </c>
      <c r="BY67" s="26">
        <v>5.0000000000000002E-5</v>
      </c>
      <c r="BZ67" s="28">
        <v>0.5</v>
      </c>
      <c r="CA67" s="28">
        <v>200</v>
      </c>
      <c r="CB67" s="26">
        <v>2.4999999999999999E-8</v>
      </c>
      <c r="CC67" s="26">
        <f t="shared" si="96"/>
        <v>1.2499999999999999E-8</v>
      </c>
      <c r="CD67" s="26">
        <f t="shared" si="97"/>
        <v>4.999999999999999E-4</v>
      </c>
      <c r="CE67" s="7">
        <v>0.922328797781933</v>
      </c>
      <c r="CF67" s="7">
        <v>752.82497001808497</v>
      </c>
      <c r="CG67" s="7">
        <v>21540.753972456099</v>
      </c>
      <c r="CH67" s="7">
        <v>752.82497001808497</v>
      </c>
      <c r="CI67" s="7">
        <v>39696.477428386701</v>
      </c>
      <c r="CJ67" s="7">
        <v>30.557749073643901</v>
      </c>
      <c r="CK67" s="7">
        <f t="shared" si="98"/>
        <v>23046.403912492271</v>
      </c>
      <c r="CM67" s="28">
        <v>4</v>
      </c>
      <c r="CN67" s="26">
        <v>5.0000000000000002E-5</v>
      </c>
      <c r="CO67" s="28">
        <v>1</v>
      </c>
      <c r="CP67" s="28">
        <v>200</v>
      </c>
      <c r="CQ67" s="26">
        <v>2.4999999999999999E-8</v>
      </c>
      <c r="CR67" s="26">
        <f t="shared" si="99"/>
        <v>2.4999999999999999E-8</v>
      </c>
      <c r="CS67" s="26">
        <f t="shared" si="100"/>
        <v>9.999999999999998E-4</v>
      </c>
      <c r="CT67" s="7">
        <v>1.7863503357800901</v>
      </c>
      <c r="CU67" s="7">
        <v>665.23311259709499</v>
      </c>
      <c r="CV67" s="7">
        <v>10770.376986228001</v>
      </c>
      <c r="CW67" s="7">
        <v>665.23311259709499</v>
      </c>
      <c r="CX67" s="7">
        <v>19848.2387141933</v>
      </c>
      <c r="CY67" s="7">
        <v>30.557749073643901</v>
      </c>
      <c r="CZ67" s="7">
        <f t="shared" si="101"/>
        <v>12100.843211422191</v>
      </c>
      <c r="DB67" s="28">
        <v>4</v>
      </c>
      <c r="DC67" s="26">
        <v>5.0000000000000002E-5</v>
      </c>
      <c r="DD67" s="28">
        <v>2</v>
      </c>
      <c r="DE67" s="28">
        <v>200</v>
      </c>
      <c r="DF67" s="26">
        <v>2.4999999999999999E-8</v>
      </c>
      <c r="DG67" s="26">
        <f t="shared" si="102"/>
        <v>4.9999999999999998E-8</v>
      </c>
      <c r="DH67" s="26">
        <f t="shared" si="103"/>
        <v>1.9999999999999996E-3</v>
      </c>
      <c r="DI67" s="7">
        <v>3.3976372738809801</v>
      </c>
      <c r="DJ67" s="7">
        <v>578.22973015081095</v>
      </c>
      <c r="DK67" s="7">
        <v>5385.1884931140203</v>
      </c>
      <c r="DL67" s="7">
        <v>578.22973015081095</v>
      </c>
      <c r="DM67" s="7">
        <v>9924.1193570966698</v>
      </c>
      <c r="DN67" s="7">
        <v>30.557749073643901</v>
      </c>
      <c r="DO67" s="7">
        <f t="shared" si="104"/>
        <v>6541.6479534156415</v>
      </c>
      <c r="DQ67" s="28">
        <v>4</v>
      </c>
      <c r="DR67" s="26">
        <v>5.0000000000000002E-5</v>
      </c>
      <c r="DS67" s="28">
        <v>15</v>
      </c>
      <c r="DT67" s="28">
        <v>300</v>
      </c>
      <c r="DU67" s="26">
        <v>1E-8</v>
      </c>
      <c r="DV67" s="26">
        <f t="shared" si="105"/>
        <v>1.4999999999999999E-7</v>
      </c>
      <c r="DW67" s="26">
        <f t="shared" si="106"/>
        <v>5.9999999999999993E-3</v>
      </c>
      <c r="DX67" s="7">
        <v>20.9793004324906</v>
      </c>
      <c r="DY67" s="7">
        <v>254.539230510376</v>
      </c>
      <c r="DZ67" s="7">
        <v>718.02513241520205</v>
      </c>
      <c r="EA67" s="7">
        <v>254.539230510376</v>
      </c>
      <c r="EB67" s="7">
        <v>1323.2159142795599</v>
      </c>
      <c r="EC67" s="7">
        <v>10.1859163578813</v>
      </c>
      <c r="ED67" s="7">
        <f t="shared" si="107"/>
        <v>1227.1035934359541</v>
      </c>
    </row>
    <row r="68" spans="1:134" x14ac:dyDescent="0.4">
      <c r="A68" s="28">
        <v>6</v>
      </c>
      <c r="B68" s="26">
        <v>1.0000000000000001E-5</v>
      </c>
      <c r="C68" s="28">
        <v>0.2</v>
      </c>
      <c r="D68" s="28">
        <v>30</v>
      </c>
      <c r="E68" s="26">
        <v>2.4999999999999999E-8</v>
      </c>
      <c r="F68" s="26">
        <f t="shared" si="81"/>
        <v>5.0000000000000001E-9</v>
      </c>
      <c r="G68" s="26">
        <f t="shared" si="82"/>
        <v>1E-3</v>
      </c>
      <c r="H68" s="7">
        <v>0.48683656291449701</v>
      </c>
      <c r="I68" s="7">
        <v>20967.675665585699</v>
      </c>
      <c r="J68" s="7">
        <v>165780.67944707401</v>
      </c>
      <c r="K68" s="7">
        <v>20967.675665585699</v>
      </c>
      <c r="L68" s="7">
        <v>651465.34785778704</v>
      </c>
      <c r="M68" s="7">
        <v>763.94372684109806</v>
      </c>
      <c r="N68" s="7">
        <f t="shared" si="83"/>
        <v>207716.03077824542</v>
      </c>
      <c r="P68" s="28">
        <v>6</v>
      </c>
      <c r="Q68" s="26">
        <v>3.0000000000000001E-5</v>
      </c>
      <c r="R68" s="28">
        <v>0.2</v>
      </c>
      <c r="S68" s="28">
        <v>30</v>
      </c>
      <c r="T68" s="26">
        <v>2.4999999999999999E-8</v>
      </c>
      <c r="U68" s="26">
        <f t="shared" si="84"/>
        <v>5.0000000000000001E-9</v>
      </c>
      <c r="V68" s="26">
        <f t="shared" si="85"/>
        <v>3.3333333333333332E-4</v>
      </c>
      <c r="W68" s="7">
        <v>0.488639101623283</v>
      </c>
      <c r="X68" s="7">
        <v>6989.2252213633501</v>
      </c>
      <c r="Y68" s="7">
        <v>55260.226463633997</v>
      </c>
      <c r="Z68" s="7">
        <v>6989.2252213633501</v>
      </c>
      <c r="AA68" s="7">
        <v>217155.11601730101</v>
      </c>
      <c r="AB68" s="7">
        <v>84.882636315677502</v>
      </c>
      <c r="AC68" s="7">
        <f t="shared" si="86"/>
        <v>69238.676906360692</v>
      </c>
      <c r="AE68" s="28">
        <v>6</v>
      </c>
      <c r="AF68" s="26">
        <v>5.0000000000000002E-5</v>
      </c>
      <c r="AG68" s="28">
        <v>0.2</v>
      </c>
      <c r="AH68" s="28">
        <v>30</v>
      </c>
      <c r="AI68" s="26">
        <v>2.4999999999999999E-8</v>
      </c>
      <c r="AJ68" s="26">
        <f t="shared" si="87"/>
        <v>5.0000000000000001E-9</v>
      </c>
      <c r="AK68" s="26">
        <f t="shared" si="88"/>
        <v>1.9999999999999998E-4</v>
      </c>
      <c r="AL68" s="7">
        <v>0.48900172864121999</v>
      </c>
      <c r="AM68" s="7">
        <v>4193.5351285970401</v>
      </c>
      <c r="AN68" s="7">
        <v>33156.135719653299</v>
      </c>
      <c r="AO68" s="7">
        <v>4193.5351285970401</v>
      </c>
      <c r="AP68" s="7">
        <v>130293.0701582</v>
      </c>
      <c r="AQ68" s="7">
        <v>30.557749073643901</v>
      </c>
      <c r="AR68" s="7">
        <f t="shared" si="89"/>
        <v>41543.205976847377</v>
      </c>
      <c r="AT68" s="28">
        <v>6</v>
      </c>
      <c r="AU68" s="26">
        <v>1.0000000000000001E-5</v>
      </c>
      <c r="AV68" s="28">
        <v>0.2</v>
      </c>
      <c r="AW68" s="28">
        <v>200</v>
      </c>
      <c r="AX68" s="26">
        <v>2.4999999999999999E-8</v>
      </c>
      <c r="AY68" s="26">
        <f t="shared" si="90"/>
        <v>5.0000000000000001E-9</v>
      </c>
      <c r="AZ68" s="26">
        <f t="shared" si="91"/>
        <v>1E-3</v>
      </c>
      <c r="BA68" s="7">
        <v>0.55643966087192098</v>
      </c>
      <c r="BB68" s="7">
        <v>4345.3623253436699</v>
      </c>
      <c r="BC68" s="7">
        <v>165780.67944707401</v>
      </c>
      <c r="BD68" s="7">
        <v>4345.3623253436699</v>
      </c>
      <c r="BE68" s="7">
        <v>651465.34785778704</v>
      </c>
      <c r="BF68" s="7">
        <v>763.94372684109806</v>
      </c>
      <c r="BG68" s="7">
        <f t="shared" si="92"/>
        <v>174471.40409776138</v>
      </c>
      <c r="BI68" s="28">
        <v>6</v>
      </c>
      <c r="BJ68" s="26">
        <v>1.0000000000000001E-5</v>
      </c>
      <c r="BK68" s="28">
        <v>0.5</v>
      </c>
      <c r="BL68" s="28">
        <v>200</v>
      </c>
      <c r="BM68" s="26">
        <v>2.4999999999999999E-8</v>
      </c>
      <c r="BN68" s="26">
        <f t="shared" si="93"/>
        <v>1.2499999999999999E-8</v>
      </c>
      <c r="BO68" s="26">
        <f t="shared" si="94"/>
        <v>2.4999999999999996E-3</v>
      </c>
      <c r="BP68" s="7">
        <v>1.3188965717050101</v>
      </c>
      <c r="BQ68" s="7">
        <v>3764.12485338133</v>
      </c>
      <c r="BR68" s="7">
        <v>66312.271778829701</v>
      </c>
      <c r="BS68" s="7">
        <v>3764.12485338133</v>
      </c>
      <c r="BT68" s="7">
        <v>260586.139143115</v>
      </c>
      <c r="BU68" s="7">
        <v>763.94372684109806</v>
      </c>
      <c r="BV68" s="7">
        <f t="shared" si="95"/>
        <v>73840.52148559237</v>
      </c>
      <c r="BX68" s="28">
        <v>6</v>
      </c>
      <c r="BY68" s="26">
        <v>5.0000000000000002E-5</v>
      </c>
      <c r="BZ68" s="28">
        <v>0.5</v>
      </c>
      <c r="CA68" s="28">
        <v>200</v>
      </c>
      <c r="CB68" s="26">
        <v>2.4999999999999999E-8</v>
      </c>
      <c r="CC68" s="26">
        <f t="shared" si="96"/>
        <v>1.2499999999999999E-8</v>
      </c>
      <c r="CD68" s="26">
        <f t="shared" si="97"/>
        <v>4.999999999999999E-4</v>
      </c>
      <c r="CE68" s="7">
        <v>1.33576111799221</v>
      </c>
      <c r="CF68" s="7">
        <v>752.82497001808497</v>
      </c>
      <c r="CG68" s="7">
        <v>13262.454287861299</v>
      </c>
      <c r="CH68" s="7">
        <v>752.82497001808497</v>
      </c>
      <c r="CI68" s="7">
        <v>52117.228063280199</v>
      </c>
      <c r="CJ68" s="7">
        <v>30.557749073643901</v>
      </c>
      <c r="CK68" s="7">
        <f t="shared" si="98"/>
        <v>14768.104227897471</v>
      </c>
      <c r="CM68" s="28">
        <v>6</v>
      </c>
      <c r="CN68" s="26">
        <v>5.0000000000000002E-5</v>
      </c>
      <c r="CO68" s="28">
        <v>1</v>
      </c>
      <c r="CP68" s="28">
        <v>200</v>
      </c>
      <c r="CQ68" s="26">
        <v>2.4999999999999999E-8</v>
      </c>
      <c r="CR68" s="26">
        <f t="shared" si="99"/>
        <v>2.4999999999999999E-8</v>
      </c>
      <c r="CS68" s="26">
        <f t="shared" si="100"/>
        <v>9.999999999999998E-4</v>
      </c>
      <c r="CT68" s="7">
        <v>2.51385849642829</v>
      </c>
      <c r="CU68" s="7">
        <v>665.23311259709499</v>
      </c>
      <c r="CV68" s="7">
        <v>6631.2271439306596</v>
      </c>
      <c r="CW68" s="7">
        <v>665.23311259709499</v>
      </c>
      <c r="CX68" s="7">
        <v>26058.6140316401</v>
      </c>
      <c r="CY68" s="7">
        <v>30.557749073643901</v>
      </c>
      <c r="CZ68" s="7">
        <f t="shared" si="101"/>
        <v>7961.6933691248496</v>
      </c>
      <c r="DB68" s="28">
        <v>6</v>
      </c>
      <c r="DC68" s="26">
        <v>5.0000000000000002E-5</v>
      </c>
      <c r="DD68" s="28">
        <v>2</v>
      </c>
      <c r="DE68" s="28">
        <v>200</v>
      </c>
      <c r="DF68" s="26">
        <v>2.4999999999999999E-8</v>
      </c>
      <c r="DG68" s="26">
        <f t="shared" si="102"/>
        <v>4.9999999999999998E-8</v>
      </c>
      <c r="DH68" s="26">
        <f t="shared" si="103"/>
        <v>1.9999999999999996E-3</v>
      </c>
      <c r="DI68" s="7">
        <v>4.5852392035574399</v>
      </c>
      <c r="DJ68" s="7">
        <v>578.22973015081095</v>
      </c>
      <c r="DK68" s="7">
        <v>3315.6135719653298</v>
      </c>
      <c r="DL68" s="7">
        <v>578.22973015081095</v>
      </c>
      <c r="DM68" s="7">
        <v>13029.307015820101</v>
      </c>
      <c r="DN68" s="7">
        <v>30.557749073643901</v>
      </c>
      <c r="DO68" s="7">
        <f t="shared" si="104"/>
        <v>4472.0730322669515</v>
      </c>
      <c r="DQ68" s="28">
        <v>6</v>
      </c>
      <c r="DR68" s="26">
        <v>5.0000000000000002E-5</v>
      </c>
      <c r="DS68" s="28">
        <v>15</v>
      </c>
      <c r="DT68" s="28">
        <v>300</v>
      </c>
      <c r="DU68" s="26">
        <v>1E-8</v>
      </c>
      <c r="DV68" s="26">
        <f t="shared" si="105"/>
        <v>1.4999999999999999E-7</v>
      </c>
      <c r="DW68" s="26">
        <f t="shared" si="106"/>
        <v>5.9999999999999993E-3</v>
      </c>
      <c r="DX68" s="7">
        <v>24.748921412480801</v>
      </c>
      <c r="DY68" s="7">
        <v>254.539230510376</v>
      </c>
      <c r="DZ68" s="7">
        <v>442.08180959537702</v>
      </c>
      <c r="EA68" s="7">
        <v>254.539230510376</v>
      </c>
      <c r="EB68" s="7">
        <v>1737.24093544267</v>
      </c>
      <c r="EC68" s="7">
        <v>10.1859163578813</v>
      </c>
      <c r="ED68" s="7">
        <f t="shared" si="107"/>
        <v>951.16027061612908</v>
      </c>
    </row>
    <row r="69" spans="1:134" x14ac:dyDescent="0.4">
      <c r="A69" s="28">
        <v>8</v>
      </c>
      <c r="B69" s="26">
        <v>1.0000000000000001E-5</v>
      </c>
      <c r="C69" s="28">
        <v>0.2</v>
      </c>
      <c r="D69" s="28">
        <v>30</v>
      </c>
      <c r="E69" s="26">
        <v>2.4999999999999999E-8</v>
      </c>
      <c r="F69" s="26">
        <f t="shared" si="81"/>
        <v>5.0000000000000001E-9</v>
      </c>
      <c r="G69" s="26">
        <f t="shared" si="82"/>
        <v>1E-3</v>
      </c>
      <c r="H69" s="7">
        <v>0.693246121576788</v>
      </c>
      <c r="I69" s="7">
        <v>20967.675665585699</v>
      </c>
      <c r="J69" s="7">
        <v>100396.196898707</v>
      </c>
      <c r="K69" s="7">
        <v>20967.675665585699</v>
      </c>
      <c r="L69" s="7">
        <v>821154.82400854595</v>
      </c>
      <c r="M69" s="7">
        <v>763.94372684109806</v>
      </c>
      <c r="N69" s="7">
        <f t="shared" si="83"/>
        <v>142331.54822987839</v>
      </c>
      <c r="P69" s="28">
        <v>8</v>
      </c>
      <c r="Q69" s="26">
        <v>3.0000000000000001E-5</v>
      </c>
      <c r="R69" s="28">
        <v>0.2</v>
      </c>
      <c r="S69" s="28">
        <v>30</v>
      </c>
      <c r="T69" s="26">
        <v>2.4999999999999999E-8</v>
      </c>
      <c r="U69" s="26">
        <f t="shared" si="84"/>
        <v>5.0000000000000001E-9</v>
      </c>
      <c r="V69" s="26">
        <f t="shared" si="85"/>
        <v>3.3333333333333332E-4</v>
      </c>
      <c r="W69" s="7">
        <v>0.69745267572909098</v>
      </c>
      <c r="X69" s="7">
        <v>6989.2252213633501</v>
      </c>
      <c r="Y69" s="7">
        <v>33465.398947511501</v>
      </c>
      <c r="Z69" s="7">
        <v>6989.2252213633501</v>
      </c>
      <c r="AA69" s="7">
        <v>273718.27480960399</v>
      </c>
      <c r="AB69" s="7">
        <v>84.882636315677502</v>
      </c>
      <c r="AC69" s="7">
        <f t="shared" si="86"/>
        <v>47443.849390238196</v>
      </c>
      <c r="AE69" s="28">
        <v>8</v>
      </c>
      <c r="AF69" s="26">
        <v>5.0000000000000002E-5</v>
      </c>
      <c r="AG69" s="28">
        <v>0.2</v>
      </c>
      <c r="AH69" s="28">
        <v>30</v>
      </c>
      <c r="AI69" s="26">
        <v>2.4999999999999999E-8</v>
      </c>
      <c r="AJ69" s="26">
        <f t="shared" si="87"/>
        <v>5.0000000000000001E-9</v>
      </c>
      <c r="AK69" s="26">
        <f t="shared" si="88"/>
        <v>1.9999999999999998E-4</v>
      </c>
      <c r="AL69" s="7">
        <v>0.69830119875893804</v>
      </c>
      <c r="AM69" s="7">
        <v>4193.5351285970401</v>
      </c>
      <c r="AN69" s="7">
        <v>20079.239209979802</v>
      </c>
      <c r="AO69" s="7">
        <v>4193.5351285970401</v>
      </c>
      <c r="AP69" s="7">
        <v>164230.96607182099</v>
      </c>
      <c r="AQ69" s="7">
        <v>30.557749073643901</v>
      </c>
      <c r="AR69" s="7">
        <f t="shared" si="89"/>
        <v>28466.30946717388</v>
      </c>
      <c r="AT69" s="28">
        <v>8</v>
      </c>
      <c r="AU69" s="26">
        <v>1.0000000000000001E-5</v>
      </c>
      <c r="AV69" s="28">
        <v>0.2</v>
      </c>
      <c r="AW69" s="28">
        <v>200</v>
      </c>
      <c r="AX69" s="26">
        <v>2.4999999999999999E-8</v>
      </c>
      <c r="AY69" s="26">
        <f t="shared" si="90"/>
        <v>5.0000000000000001E-9</v>
      </c>
      <c r="AZ69" s="26">
        <f t="shared" si="91"/>
        <v>1E-3</v>
      </c>
      <c r="BA69" s="7">
        <v>0.87053722906466802</v>
      </c>
      <c r="BB69" s="7">
        <v>4345.3623253436699</v>
      </c>
      <c r="BC69" s="7">
        <v>100396.196898707</v>
      </c>
      <c r="BD69" s="7">
        <v>4345.3623253436699</v>
      </c>
      <c r="BE69" s="7">
        <v>821154.82400854595</v>
      </c>
      <c r="BF69" s="7">
        <v>763.94372684109806</v>
      </c>
      <c r="BG69" s="7">
        <f t="shared" si="92"/>
        <v>109086.92154939433</v>
      </c>
      <c r="BI69" s="28">
        <v>8</v>
      </c>
      <c r="BJ69" s="26">
        <v>1.0000000000000001E-5</v>
      </c>
      <c r="BK69" s="28">
        <v>0.5</v>
      </c>
      <c r="BL69" s="28">
        <v>200</v>
      </c>
      <c r="BM69" s="26">
        <v>2.4999999999999999E-8</v>
      </c>
      <c r="BN69" s="26">
        <f t="shared" si="93"/>
        <v>1.2499999999999999E-8</v>
      </c>
      <c r="BO69" s="26">
        <f t="shared" si="94"/>
        <v>2.4999999999999996E-3</v>
      </c>
      <c r="BP69" s="7">
        <v>1.9827045066824101</v>
      </c>
      <c r="BQ69" s="7">
        <v>3764.12485338133</v>
      </c>
      <c r="BR69" s="7">
        <v>40158.478759482699</v>
      </c>
      <c r="BS69" s="7">
        <v>3764.12485338133</v>
      </c>
      <c r="BT69" s="7">
        <v>328461.92960341799</v>
      </c>
      <c r="BU69" s="7">
        <v>763.94372684109806</v>
      </c>
      <c r="BV69" s="7">
        <f t="shared" si="95"/>
        <v>47686.728466245353</v>
      </c>
      <c r="BX69" s="28">
        <v>8</v>
      </c>
      <c r="BY69" s="26">
        <v>5.0000000000000002E-5</v>
      </c>
      <c r="BZ69" s="28">
        <v>0.5</v>
      </c>
      <c r="CA69" s="28">
        <v>200</v>
      </c>
      <c r="CB69" s="26">
        <v>2.4999999999999999E-8</v>
      </c>
      <c r="CC69" s="26">
        <f t="shared" si="96"/>
        <v>1.2499999999999999E-8</v>
      </c>
      <c r="CD69" s="26">
        <f t="shared" si="97"/>
        <v>4.999999999999999E-4</v>
      </c>
      <c r="CE69" s="7">
        <v>2.0266215262419802</v>
      </c>
      <c r="CF69" s="7">
        <v>752.82497001808497</v>
      </c>
      <c r="CG69" s="7">
        <v>8031.6956839919103</v>
      </c>
      <c r="CH69" s="7">
        <v>752.82497001808497</v>
      </c>
      <c r="CI69" s="7">
        <v>65692.386428728598</v>
      </c>
      <c r="CJ69" s="7">
        <v>30.557749073643901</v>
      </c>
      <c r="CK69" s="7">
        <f t="shared" si="98"/>
        <v>9537.3456240280793</v>
      </c>
      <c r="CM69" s="28">
        <v>8</v>
      </c>
      <c r="CN69" s="26">
        <v>5.0000000000000002E-5</v>
      </c>
      <c r="CO69" s="28">
        <v>1</v>
      </c>
      <c r="CP69" s="28">
        <v>200</v>
      </c>
      <c r="CQ69" s="26">
        <v>2.4999999999999999E-8</v>
      </c>
      <c r="CR69" s="26">
        <f t="shared" si="99"/>
        <v>2.4999999999999999E-8</v>
      </c>
      <c r="CS69" s="26">
        <f t="shared" si="100"/>
        <v>9.999999999999998E-4</v>
      </c>
      <c r="CT69" s="7">
        <v>3.6554746021252602</v>
      </c>
      <c r="CU69" s="7">
        <v>665.23311259709499</v>
      </c>
      <c r="CV69" s="7">
        <v>4015.8478419959501</v>
      </c>
      <c r="CW69" s="7">
        <v>665.23311259709499</v>
      </c>
      <c r="CX69" s="7">
        <v>32846.193214364299</v>
      </c>
      <c r="CY69" s="7">
        <v>30.557749073643901</v>
      </c>
      <c r="CZ69" s="7">
        <f t="shared" si="101"/>
        <v>5346.3140671901401</v>
      </c>
      <c r="DB69" s="28">
        <v>8</v>
      </c>
      <c r="DC69" s="26">
        <v>5.0000000000000002E-5</v>
      </c>
      <c r="DD69" s="28">
        <v>2</v>
      </c>
      <c r="DE69" s="28">
        <v>200</v>
      </c>
      <c r="DF69" s="26">
        <v>2.4999999999999999E-8</v>
      </c>
      <c r="DG69" s="26">
        <f t="shared" si="102"/>
        <v>4.9999999999999998E-8</v>
      </c>
      <c r="DH69" s="26">
        <f t="shared" si="103"/>
        <v>1.9999999999999996E-3</v>
      </c>
      <c r="DI69" s="7">
        <v>6.2954486103910003</v>
      </c>
      <c r="DJ69" s="7">
        <v>578.22973015081095</v>
      </c>
      <c r="DK69" s="7">
        <v>2007.9239209979801</v>
      </c>
      <c r="DL69" s="7">
        <v>578.22973015081095</v>
      </c>
      <c r="DM69" s="7">
        <v>16423.096607182099</v>
      </c>
      <c r="DN69" s="7">
        <v>30.557749073643901</v>
      </c>
      <c r="DO69" s="7">
        <f t="shared" si="104"/>
        <v>3164.3833812996022</v>
      </c>
      <c r="DQ69" s="28">
        <v>8</v>
      </c>
      <c r="DR69" s="26">
        <v>5.0000000000000002E-5</v>
      </c>
      <c r="DS69" s="28">
        <v>15</v>
      </c>
      <c r="DT69" s="28">
        <v>300</v>
      </c>
      <c r="DU69" s="26">
        <v>1E-8</v>
      </c>
      <c r="DV69" s="26">
        <f t="shared" si="105"/>
        <v>1.4999999999999999E-7</v>
      </c>
      <c r="DW69" s="26">
        <f t="shared" si="106"/>
        <v>5.9999999999999993E-3</v>
      </c>
      <c r="DX69" s="7">
        <v>29.041833612053001</v>
      </c>
      <c r="DY69" s="7">
        <v>254.539230510376</v>
      </c>
      <c r="DZ69" s="7">
        <v>267.723189466397</v>
      </c>
      <c r="EA69" s="7">
        <v>254.539230510376</v>
      </c>
      <c r="EB69" s="7">
        <v>2189.7462142909499</v>
      </c>
      <c r="EC69" s="7">
        <v>10.1859163578813</v>
      </c>
      <c r="ED69" s="7">
        <f t="shared" si="107"/>
        <v>776.801650487149</v>
      </c>
    </row>
    <row r="70" spans="1:134" x14ac:dyDescent="0.4">
      <c r="A70" s="28">
        <v>10</v>
      </c>
      <c r="B70" s="26">
        <v>1.0000000000000001E-5</v>
      </c>
      <c r="C70" s="28">
        <v>0.2</v>
      </c>
      <c r="D70" s="28">
        <v>30</v>
      </c>
      <c r="E70" s="26">
        <v>2.4999999999999999E-8</v>
      </c>
      <c r="F70" s="26">
        <f t="shared" si="81"/>
        <v>5.0000000000000001E-9</v>
      </c>
      <c r="G70" s="26">
        <f t="shared" si="82"/>
        <v>1E-3</v>
      </c>
      <c r="H70" s="7">
        <v>1.0297110797273601</v>
      </c>
      <c r="I70" s="7">
        <v>20967.675665585699</v>
      </c>
      <c r="J70" s="7">
        <v>53826.312121005001</v>
      </c>
      <c r="K70" s="7">
        <v>20967.675665585699</v>
      </c>
      <c r="L70" s="7">
        <v>1014751.21705289</v>
      </c>
      <c r="M70" s="7">
        <v>763.94372684109806</v>
      </c>
      <c r="N70" s="7">
        <f t="shared" si="83"/>
        <v>95761.663452176406</v>
      </c>
      <c r="P70" s="28">
        <v>10</v>
      </c>
      <c r="Q70" s="26">
        <v>3.0000000000000001E-5</v>
      </c>
      <c r="R70" s="28">
        <v>0.2</v>
      </c>
      <c r="S70" s="28">
        <v>30</v>
      </c>
      <c r="T70" s="26">
        <v>2.4999999999999999E-8</v>
      </c>
      <c r="U70" s="26">
        <f t="shared" si="84"/>
        <v>5.0000000000000001E-9</v>
      </c>
      <c r="V70" s="26">
        <f t="shared" si="85"/>
        <v>3.3333333333333332E-4</v>
      </c>
      <c r="W70" s="7">
        <v>1.03965274383724</v>
      </c>
      <c r="X70" s="7">
        <v>6989.2252213633501</v>
      </c>
      <c r="Y70" s="7">
        <v>17942.1040216109</v>
      </c>
      <c r="Z70" s="7">
        <v>6989.2252213633501</v>
      </c>
      <c r="AA70" s="7">
        <v>338250.40599296999</v>
      </c>
      <c r="AB70" s="7">
        <v>84.882636315677502</v>
      </c>
      <c r="AC70" s="7">
        <f t="shared" si="86"/>
        <v>31920.554464337602</v>
      </c>
      <c r="AE70" s="28">
        <v>10</v>
      </c>
      <c r="AF70" s="26">
        <v>5.0000000000000002E-5</v>
      </c>
      <c r="AG70" s="28">
        <v>0.2</v>
      </c>
      <c r="AH70" s="28">
        <v>30</v>
      </c>
      <c r="AI70" s="26">
        <v>2.4999999999999999E-8</v>
      </c>
      <c r="AJ70" s="26">
        <f t="shared" si="87"/>
        <v>5.0000000000000001E-9</v>
      </c>
      <c r="AK70" s="26">
        <f t="shared" si="88"/>
        <v>1.9999999999999998E-4</v>
      </c>
      <c r="AL70" s="7">
        <v>1.04166638218956</v>
      </c>
      <c r="AM70" s="7">
        <v>4193.5351285970401</v>
      </c>
      <c r="AN70" s="7">
        <v>10765.2622544394</v>
      </c>
      <c r="AO70" s="7">
        <v>4193.5351285970401</v>
      </c>
      <c r="AP70" s="7">
        <v>202950.24620916101</v>
      </c>
      <c r="AQ70" s="7">
        <v>30.557749073643901</v>
      </c>
      <c r="AR70" s="7">
        <f t="shared" si="89"/>
        <v>19152.332511633478</v>
      </c>
      <c r="AT70" s="28">
        <v>10</v>
      </c>
      <c r="AU70" s="26">
        <v>1.0000000000000001E-5</v>
      </c>
      <c r="AV70" s="28">
        <v>0.2</v>
      </c>
      <c r="AW70" s="28">
        <v>200</v>
      </c>
      <c r="AX70" s="26">
        <v>2.4999999999999999E-8</v>
      </c>
      <c r="AY70" s="26">
        <f t="shared" si="90"/>
        <v>5.0000000000000001E-9</v>
      </c>
      <c r="AZ70" s="26">
        <f t="shared" si="91"/>
        <v>1E-3</v>
      </c>
      <c r="BA70" s="7">
        <v>1.5174540311437901</v>
      </c>
      <c r="BB70" s="7">
        <v>4345.3623253436699</v>
      </c>
      <c r="BC70" s="7">
        <v>53826.312121005001</v>
      </c>
      <c r="BD70" s="7">
        <v>4345.3623253436699</v>
      </c>
      <c r="BE70" s="7">
        <v>1014751.21705289</v>
      </c>
      <c r="BF70" s="7">
        <v>763.94372684109806</v>
      </c>
      <c r="BG70" s="7">
        <f t="shared" si="92"/>
        <v>62517.036771692336</v>
      </c>
      <c r="BI70" s="28">
        <v>10</v>
      </c>
      <c r="BJ70" s="26">
        <v>1.0000000000000001E-5</v>
      </c>
      <c r="BK70" s="28">
        <v>0.5</v>
      </c>
      <c r="BL70" s="28">
        <v>200</v>
      </c>
      <c r="BM70" s="26">
        <v>2.4999999999999999E-8</v>
      </c>
      <c r="BN70" s="26">
        <f t="shared" si="93"/>
        <v>1.2499999999999999E-8</v>
      </c>
      <c r="BO70" s="26">
        <f t="shared" si="94"/>
        <v>2.4999999999999996E-3</v>
      </c>
      <c r="BP70" s="7">
        <v>3.2139584782153898</v>
      </c>
      <c r="BQ70" s="7">
        <v>3764.12485338133</v>
      </c>
      <c r="BR70" s="7">
        <v>21530.524848402001</v>
      </c>
      <c r="BS70" s="7">
        <v>3764.12485338133</v>
      </c>
      <c r="BT70" s="7">
        <v>405900.48682115501</v>
      </c>
      <c r="BU70" s="7">
        <v>763.94372684109806</v>
      </c>
      <c r="BV70" s="7">
        <f t="shared" si="95"/>
        <v>29058.774555164662</v>
      </c>
      <c r="BX70" s="28">
        <v>10</v>
      </c>
      <c r="BY70" s="26">
        <v>5.0000000000000002E-5</v>
      </c>
      <c r="BZ70" s="28">
        <v>0.5</v>
      </c>
      <c r="CA70" s="28">
        <v>200</v>
      </c>
      <c r="CB70" s="26">
        <v>2.4999999999999999E-8</v>
      </c>
      <c r="CC70" s="26">
        <f t="shared" si="96"/>
        <v>1.2499999999999999E-8</v>
      </c>
      <c r="CD70" s="26">
        <f t="shared" si="97"/>
        <v>4.999999999999999E-4</v>
      </c>
      <c r="CE70" s="7">
        <v>3.3383667963940198</v>
      </c>
      <c r="CF70" s="7">
        <v>752.82497001808497</v>
      </c>
      <c r="CG70" s="7">
        <v>4306.1049017757796</v>
      </c>
      <c r="CH70" s="7">
        <v>752.82497001808497</v>
      </c>
      <c r="CI70" s="7">
        <v>81180.098483664406</v>
      </c>
      <c r="CJ70" s="7">
        <v>30.557749073643901</v>
      </c>
      <c r="CK70" s="7">
        <f t="shared" si="98"/>
        <v>5811.7548418119495</v>
      </c>
      <c r="CM70" s="28">
        <v>10</v>
      </c>
      <c r="CN70" s="26">
        <v>5.0000000000000002E-5</v>
      </c>
      <c r="CO70" s="28">
        <v>1</v>
      </c>
      <c r="CP70" s="28">
        <v>200</v>
      </c>
      <c r="CQ70" s="26">
        <v>2.4999999999999999E-8</v>
      </c>
      <c r="CR70" s="26">
        <f t="shared" si="99"/>
        <v>2.4999999999999999E-8</v>
      </c>
      <c r="CS70" s="26">
        <f t="shared" si="100"/>
        <v>9.999999999999998E-4</v>
      </c>
      <c r="CT70" s="7">
        <v>5.6084063099356802</v>
      </c>
      <c r="CU70" s="7">
        <v>665.23311259709499</v>
      </c>
      <c r="CV70" s="7">
        <v>2153.0524508878898</v>
      </c>
      <c r="CW70" s="7">
        <v>665.23311259709499</v>
      </c>
      <c r="CX70" s="7">
        <v>40590.049241832203</v>
      </c>
      <c r="CY70" s="7">
        <v>30.557749073643901</v>
      </c>
      <c r="CZ70" s="7">
        <f t="shared" si="101"/>
        <v>3483.5186760820798</v>
      </c>
      <c r="DB70" s="28">
        <v>10</v>
      </c>
      <c r="DC70" s="26">
        <v>5.0000000000000002E-5</v>
      </c>
      <c r="DD70" s="28">
        <v>2</v>
      </c>
      <c r="DE70" s="28">
        <v>200</v>
      </c>
      <c r="DF70" s="26">
        <v>2.4999999999999999E-8</v>
      </c>
      <c r="DG70" s="26">
        <f t="shared" si="102"/>
        <v>4.9999999999999998E-8</v>
      </c>
      <c r="DH70" s="26">
        <f t="shared" si="103"/>
        <v>1.9999999999999996E-3</v>
      </c>
      <c r="DI70" s="7">
        <v>8.8704923273515508</v>
      </c>
      <c r="DJ70" s="7">
        <v>578.22973015081095</v>
      </c>
      <c r="DK70" s="7">
        <v>1076.5262254439399</v>
      </c>
      <c r="DL70" s="7">
        <v>578.22973015081095</v>
      </c>
      <c r="DM70" s="7">
        <v>20295.024620916101</v>
      </c>
      <c r="DN70" s="7">
        <v>30.557749073643901</v>
      </c>
      <c r="DO70" s="7">
        <f t="shared" si="104"/>
        <v>2232.985685745562</v>
      </c>
      <c r="DQ70" s="28">
        <v>10</v>
      </c>
      <c r="DR70" s="26">
        <v>5.0000000000000002E-5</v>
      </c>
      <c r="DS70" s="28">
        <v>15</v>
      </c>
      <c r="DT70" s="28">
        <v>300</v>
      </c>
      <c r="DU70" s="26">
        <v>1E-8</v>
      </c>
      <c r="DV70" s="26">
        <f t="shared" si="105"/>
        <v>1.4999999999999999E-7</v>
      </c>
      <c r="DW70" s="26">
        <f t="shared" si="106"/>
        <v>5.9999999999999993E-3</v>
      </c>
      <c r="DX70" s="7">
        <v>33.923631473950898</v>
      </c>
      <c r="DY70" s="7">
        <v>254.539230510376</v>
      </c>
      <c r="DZ70" s="7">
        <v>143.53683005919299</v>
      </c>
      <c r="EA70" s="7">
        <v>254.539230510376</v>
      </c>
      <c r="EB70" s="7">
        <v>2706.0032827888099</v>
      </c>
      <c r="EC70" s="7">
        <v>10.1859163578813</v>
      </c>
      <c r="ED70" s="7">
        <f t="shared" si="107"/>
        <v>652.615291079945</v>
      </c>
    </row>
    <row r="71" spans="1:134" x14ac:dyDescent="0.4">
      <c r="A71" s="28">
        <v>12</v>
      </c>
      <c r="B71" s="26">
        <v>1.0000000000000001E-5</v>
      </c>
      <c r="C71" s="28">
        <v>0.2</v>
      </c>
      <c r="D71" s="28">
        <v>30</v>
      </c>
      <c r="E71" s="26">
        <v>2.4999999999999999E-8</v>
      </c>
      <c r="F71" s="26">
        <f t="shared" si="81"/>
        <v>5.0000000000000001E-9</v>
      </c>
      <c r="G71" s="26">
        <f t="shared" si="82"/>
        <v>1E-3</v>
      </c>
      <c r="H71" s="7">
        <v>1.65317039218956</v>
      </c>
      <c r="I71" s="7">
        <v>20967.675665585699</v>
      </c>
      <c r="J71" s="7">
        <v>18265.061724746</v>
      </c>
      <c r="K71" s="7">
        <v>20967.675665585699</v>
      </c>
      <c r="L71" s="7">
        <v>1222830.0672564299</v>
      </c>
      <c r="M71" s="7">
        <v>763.94372684109806</v>
      </c>
      <c r="N71" s="7">
        <f t="shared" si="83"/>
        <v>60200.413055917394</v>
      </c>
      <c r="P71" s="28">
        <v>12</v>
      </c>
      <c r="Q71" s="26">
        <v>3.0000000000000001E-5</v>
      </c>
      <c r="R71" s="28">
        <v>0.2</v>
      </c>
      <c r="S71" s="28">
        <v>30</v>
      </c>
      <c r="T71" s="26">
        <v>2.4999999999999999E-8</v>
      </c>
      <c r="U71" s="26">
        <f t="shared" si="84"/>
        <v>5.0000000000000001E-9</v>
      </c>
      <c r="V71" s="26">
        <f t="shared" si="85"/>
        <v>3.3333333333333332E-4</v>
      </c>
      <c r="W71" s="7">
        <v>1.67957452224389</v>
      </c>
      <c r="X71" s="7">
        <v>6989.2252213633501</v>
      </c>
      <c r="Y71" s="7">
        <v>6088.3538895246002</v>
      </c>
      <c r="Z71" s="7">
        <v>6989.2252213633501</v>
      </c>
      <c r="AA71" s="7">
        <v>407610.02322415198</v>
      </c>
      <c r="AB71" s="7">
        <v>84.882636315677502</v>
      </c>
      <c r="AC71" s="7">
        <f t="shared" si="86"/>
        <v>20066.8043322513</v>
      </c>
      <c r="AE71" s="28">
        <v>12</v>
      </c>
      <c r="AF71" s="26">
        <v>5.0000000000000002E-5</v>
      </c>
      <c r="AG71" s="28">
        <v>0.2</v>
      </c>
      <c r="AH71" s="28">
        <v>30</v>
      </c>
      <c r="AI71" s="26">
        <v>2.4999999999999999E-8</v>
      </c>
      <c r="AJ71" s="26">
        <f t="shared" si="87"/>
        <v>5.0000000000000001E-9</v>
      </c>
      <c r="AK71" s="26">
        <f t="shared" si="88"/>
        <v>1.9999999999999998E-4</v>
      </c>
      <c r="AL71" s="7">
        <v>1.68496204836598</v>
      </c>
      <c r="AM71" s="7">
        <v>4193.5351285970401</v>
      </c>
      <c r="AN71" s="7">
        <v>3653.01217518762</v>
      </c>
      <c r="AO71" s="7">
        <v>4193.5351285970401</v>
      </c>
      <c r="AP71" s="7">
        <v>244566.02075291699</v>
      </c>
      <c r="AQ71" s="7">
        <v>30.557749073643901</v>
      </c>
      <c r="AR71" s="7">
        <f t="shared" si="89"/>
        <v>12040.0824323817</v>
      </c>
      <c r="AT71" s="28">
        <v>12</v>
      </c>
      <c r="AU71" s="26">
        <v>1.0000000000000001E-5</v>
      </c>
      <c r="AV71" s="28">
        <v>0.2</v>
      </c>
      <c r="AW71" s="28">
        <v>200</v>
      </c>
      <c r="AX71" s="26">
        <v>2.4999999999999999E-8</v>
      </c>
      <c r="AY71" s="26">
        <f t="shared" si="90"/>
        <v>5.0000000000000001E-9</v>
      </c>
      <c r="AZ71" s="26">
        <f t="shared" si="91"/>
        <v>1E-3</v>
      </c>
      <c r="BA71" s="7">
        <v>3.4899427767726499</v>
      </c>
      <c r="BB71" s="7">
        <v>4345.3623253436699</v>
      </c>
      <c r="BC71" s="7">
        <v>18265.061724746</v>
      </c>
      <c r="BD71" s="7">
        <v>4345.3623253436699</v>
      </c>
      <c r="BE71" s="7">
        <v>1222830.0672564299</v>
      </c>
      <c r="BF71" s="7">
        <v>763.94372684109806</v>
      </c>
      <c r="BG71" s="7">
        <f t="shared" si="92"/>
        <v>26955.786375433341</v>
      </c>
      <c r="BI71" s="28">
        <v>12</v>
      </c>
      <c r="BJ71" s="26">
        <v>1.0000000000000001E-5</v>
      </c>
      <c r="BK71" s="28">
        <v>0.5</v>
      </c>
      <c r="BL71" s="28">
        <v>200</v>
      </c>
      <c r="BM71" s="26">
        <v>2.4999999999999999E-8</v>
      </c>
      <c r="BN71" s="26">
        <f t="shared" si="93"/>
        <v>1.2499999999999999E-8</v>
      </c>
      <c r="BO71" s="26">
        <f t="shared" si="94"/>
        <v>2.4999999999999996E-3</v>
      </c>
      <c r="BP71" s="7">
        <v>6.1356925253458696</v>
      </c>
      <c r="BQ71" s="7">
        <v>3764.12485338133</v>
      </c>
      <c r="BR71" s="7">
        <v>7306.0246898983996</v>
      </c>
      <c r="BS71" s="7">
        <v>3764.12485338133</v>
      </c>
      <c r="BT71" s="7">
        <v>489132.02690256998</v>
      </c>
      <c r="BU71" s="7">
        <v>763.94372684109806</v>
      </c>
      <c r="BV71" s="7">
        <f t="shared" si="95"/>
        <v>14834.27439666106</v>
      </c>
      <c r="BX71" s="28">
        <v>12</v>
      </c>
      <c r="BY71" s="26">
        <v>5.0000000000000002E-5</v>
      </c>
      <c r="BZ71" s="28">
        <v>0.5</v>
      </c>
      <c r="CA71" s="28">
        <v>200</v>
      </c>
      <c r="CB71" s="26">
        <v>2.4999999999999999E-8</v>
      </c>
      <c r="CC71" s="26">
        <f t="shared" si="96"/>
        <v>1.2499999999999999E-8</v>
      </c>
      <c r="CD71" s="26">
        <f t="shared" si="97"/>
        <v>4.999999999999999E-4</v>
      </c>
      <c r="CE71" s="7">
        <v>6.61502115925735</v>
      </c>
      <c r="CF71" s="7">
        <v>752.82497001808497</v>
      </c>
      <c r="CG71" s="7">
        <v>1461.2048700750499</v>
      </c>
      <c r="CH71" s="7">
        <v>752.82497001808497</v>
      </c>
      <c r="CI71" s="7">
        <v>97826.408301166695</v>
      </c>
      <c r="CJ71" s="7">
        <v>30.557749073643901</v>
      </c>
      <c r="CK71" s="7">
        <f t="shared" si="98"/>
        <v>2966.8548101112201</v>
      </c>
      <c r="CM71" s="28">
        <v>12</v>
      </c>
      <c r="CN71" s="26">
        <v>5.0000000000000002E-5</v>
      </c>
      <c r="CO71" s="28">
        <v>1</v>
      </c>
      <c r="CP71" s="28">
        <v>200</v>
      </c>
      <c r="CQ71" s="26">
        <v>2.4999999999999999E-8</v>
      </c>
      <c r="CR71" s="26">
        <f t="shared" si="99"/>
        <v>2.4999999999999999E-8</v>
      </c>
      <c r="CS71" s="26">
        <f t="shared" si="100"/>
        <v>9.999999999999998E-4</v>
      </c>
      <c r="CT71" s="7">
        <v>9.5522667742337806</v>
      </c>
      <c r="CU71" s="7">
        <v>665.23311259709499</v>
      </c>
      <c r="CV71" s="7">
        <v>730.60243503752497</v>
      </c>
      <c r="CW71" s="7">
        <v>665.23311259709499</v>
      </c>
      <c r="CX71" s="7">
        <v>48913.204150583399</v>
      </c>
      <c r="CY71" s="7">
        <v>30.557749073643901</v>
      </c>
      <c r="CZ71" s="7">
        <f t="shared" si="101"/>
        <v>2061.0686602317151</v>
      </c>
      <c r="DB71" s="28">
        <v>12</v>
      </c>
      <c r="DC71" s="26">
        <v>5.0000000000000002E-5</v>
      </c>
      <c r="DD71" s="28">
        <v>2</v>
      </c>
      <c r="DE71" s="28">
        <v>200</v>
      </c>
      <c r="DF71" s="26">
        <v>2.4999999999999999E-8</v>
      </c>
      <c r="DG71" s="26">
        <f t="shared" si="102"/>
        <v>4.9999999999999998E-8</v>
      </c>
      <c r="DH71" s="26">
        <f t="shared" si="103"/>
        <v>1.9999999999999996E-3</v>
      </c>
      <c r="DI71" s="7">
        <v>13.068731003855</v>
      </c>
      <c r="DJ71" s="7">
        <v>578.22973015081095</v>
      </c>
      <c r="DK71" s="7">
        <v>365.301217518763</v>
      </c>
      <c r="DL71" s="7">
        <v>578.22973015081095</v>
      </c>
      <c r="DM71" s="7">
        <v>24456.602075291699</v>
      </c>
      <c r="DN71" s="7">
        <v>30.557749073643901</v>
      </c>
      <c r="DO71" s="7">
        <f t="shared" si="104"/>
        <v>1521.7606778203849</v>
      </c>
      <c r="DQ71" s="28">
        <v>12</v>
      </c>
      <c r="DR71" s="26">
        <v>5.0000000000000002E-5</v>
      </c>
      <c r="DS71" s="28">
        <v>15</v>
      </c>
      <c r="DT71" s="28">
        <v>300</v>
      </c>
      <c r="DU71" s="26">
        <v>1E-8</v>
      </c>
      <c r="DV71" s="26">
        <f t="shared" si="105"/>
        <v>1.4999999999999999E-7</v>
      </c>
      <c r="DW71" s="26">
        <f t="shared" si="106"/>
        <v>5.9999999999999993E-3</v>
      </c>
      <c r="DX71" s="7">
        <v>39.562689656757101</v>
      </c>
      <c r="DY71" s="7">
        <v>254.539230510376</v>
      </c>
      <c r="DZ71" s="7">
        <v>48.7068290025016</v>
      </c>
      <c r="EA71" s="7">
        <v>254.539230510376</v>
      </c>
      <c r="EB71" s="7">
        <v>3260.8802767055599</v>
      </c>
      <c r="EC71" s="7">
        <v>10.1859163578813</v>
      </c>
      <c r="ED71" s="7">
        <f t="shared" si="107"/>
        <v>557.78529002325354</v>
      </c>
    </row>
    <row r="72" spans="1:134" x14ac:dyDescent="0.4">
      <c r="A72" s="28">
        <v>15</v>
      </c>
      <c r="B72" s="26">
        <v>1.0000000000000001E-5</v>
      </c>
      <c r="C72" s="28">
        <v>0.2</v>
      </c>
      <c r="D72" s="28">
        <v>30</v>
      </c>
      <c r="E72" s="26">
        <v>2.4999999999999999E-8</v>
      </c>
      <c r="F72" s="26">
        <f t="shared" si="81"/>
        <v>5.0000000000000001E-9</v>
      </c>
      <c r="G72" s="26">
        <f t="shared" si="82"/>
        <v>1E-3</v>
      </c>
      <c r="H72" s="7">
        <v>3.51514170483726</v>
      </c>
      <c r="I72" s="7">
        <v>12481.634129420599</v>
      </c>
      <c r="J72" s="7">
        <v>3828.3041509332402</v>
      </c>
      <c r="K72" s="7">
        <v>12481.634129420599</v>
      </c>
      <c r="L72" s="7">
        <v>1641861.5249040499</v>
      </c>
      <c r="M72" s="7">
        <v>763.94372684109806</v>
      </c>
      <c r="N72" s="7">
        <f t="shared" si="83"/>
        <v>28791.572409774439</v>
      </c>
      <c r="P72" s="28">
        <v>15</v>
      </c>
      <c r="Q72" s="26">
        <v>3.0000000000000001E-5</v>
      </c>
      <c r="R72" s="28">
        <v>0.2</v>
      </c>
      <c r="S72" s="28">
        <v>30</v>
      </c>
      <c r="T72" s="26">
        <v>2.4999999999999999E-8</v>
      </c>
      <c r="U72" s="26">
        <f t="shared" si="84"/>
        <v>5.0000000000000001E-9</v>
      </c>
      <c r="V72" s="26">
        <f t="shared" si="85"/>
        <v>3.3333333333333332E-4</v>
      </c>
      <c r="W72" s="7">
        <v>3.63512359483919</v>
      </c>
      <c r="X72" s="7">
        <v>4160.5447097236602</v>
      </c>
      <c r="Y72" s="7">
        <v>1276.1013836444099</v>
      </c>
      <c r="Z72" s="7">
        <v>4160.5447097236602</v>
      </c>
      <c r="AA72" s="7">
        <v>547287.17553344101</v>
      </c>
      <c r="AB72" s="7">
        <v>84.882636315677502</v>
      </c>
      <c r="AC72" s="7">
        <f t="shared" si="86"/>
        <v>9597.1908030917293</v>
      </c>
      <c r="AE72" s="28">
        <v>15</v>
      </c>
      <c r="AF72" s="26">
        <v>5.0000000000000002E-5</v>
      </c>
      <c r="AG72" s="28">
        <v>0.2</v>
      </c>
      <c r="AH72" s="28">
        <v>30</v>
      </c>
      <c r="AI72" s="26">
        <v>2.4999999999999999E-8</v>
      </c>
      <c r="AJ72" s="26">
        <f t="shared" si="87"/>
        <v>5.0000000000000001E-9</v>
      </c>
      <c r="AK72" s="26">
        <f t="shared" si="88"/>
        <v>1.9999999999999998E-4</v>
      </c>
      <c r="AL72" s="7">
        <v>3.6601280100651401</v>
      </c>
      <c r="AM72" s="7">
        <v>2496.32682512977</v>
      </c>
      <c r="AN72" s="7">
        <v>765.66083018664904</v>
      </c>
      <c r="AO72" s="7">
        <v>2496.32682512977</v>
      </c>
      <c r="AP72" s="7">
        <v>328372.31010722602</v>
      </c>
      <c r="AQ72" s="7">
        <v>30.557749073643901</v>
      </c>
      <c r="AR72" s="7">
        <f t="shared" si="89"/>
        <v>5758.314480446189</v>
      </c>
      <c r="AT72" s="28">
        <v>15</v>
      </c>
      <c r="AU72" s="26">
        <v>1.0000000000000001E-5</v>
      </c>
      <c r="AV72" s="28">
        <v>0.2</v>
      </c>
      <c r="AW72" s="28">
        <v>200</v>
      </c>
      <c r="AX72" s="26">
        <v>2.4999999999999999E-8</v>
      </c>
      <c r="AY72" s="26">
        <f t="shared" si="90"/>
        <v>5.0000000000000001E-9</v>
      </c>
      <c r="AZ72" s="26">
        <f t="shared" si="91"/>
        <v>1E-3</v>
      </c>
      <c r="BA72" s="7">
        <v>17.354038534825602</v>
      </c>
      <c r="BB72" s="7">
        <v>1941.00035424731</v>
      </c>
      <c r="BC72" s="7">
        <v>642.33504314082199</v>
      </c>
      <c r="BD72" s="7">
        <v>1941.00035424731</v>
      </c>
      <c r="BE72" s="7">
        <v>1641861.5249040499</v>
      </c>
      <c r="BF72" s="7">
        <v>763.94372684109806</v>
      </c>
      <c r="BG72" s="7">
        <f t="shared" si="92"/>
        <v>4524.3357516354426</v>
      </c>
      <c r="BI72" s="28">
        <v>15</v>
      </c>
      <c r="BJ72" s="26">
        <v>1.0000000000000001E-5</v>
      </c>
      <c r="BK72" s="28">
        <v>0.5</v>
      </c>
      <c r="BL72" s="28">
        <v>200</v>
      </c>
      <c r="BM72" s="26">
        <v>2.4999999999999999E-8</v>
      </c>
      <c r="BN72" s="26">
        <f t="shared" si="93"/>
        <v>1.2499999999999999E-8</v>
      </c>
      <c r="BO72" s="26">
        <f t="shared" si="94"/>
        <v>2.4999999999999996E-3</v>
      </c>
      <c r="BP72" s="7">
        <v>17.615837195246201</v>
      </c>
      <c r="BQ72" s="7">
        <v>1921.9637593119501</v>
      </c>
      <c r="BR72" s="7">
        <v>622.78773017584695</v>
      </c>
      <c r="BS72" s="7">
        <v>1921.9637593119501</v>
      </c>
      <c r="BT72" s="7">
        <v>656744.60996161995</v>
      </c>
      <c r="BU72" s="7">
        <v>763.94372684109806</v>
      </c>
      <c r="BV72" s="7">
        <f t="shared" si="95"/>
        <v>4466.7152487997464</v>
      </c>
      <c r="BX72" s="28">
        <v>15</v>
      </c>
      <c r="BY72" s="26">
        <v>5.0000000000000002E-5</v>
      </c>
      <c r="BZ72" s="28">
        <v>0.5</v>
      </c>
      <c r="CA72" s="28">
        <v>200</v>
      </c>
      <c r="CB72" s="26">
        <v>2.4999999999999999E-8</v>
      </c>
      <c r="CC72" s="26">
        <f t="shared" si="96"/>
        <v>1.2499999999999999E-8</v>
      </c>
      <c r="CD72" s="26">
        <f t="shared" si="97"/>
        <v>4.999999999999999E-4</v>
      </c>
      <c r="CE72" s="7">
        <v>22.086906616389701</v>
      </c>
      <c r="CF72" s="7">
        <v>384.39275181655802</v>
      </c>
      <c r="CG72" s="7">
        <v>124.557546035169</v>
      </c>
      <c r="CH72" s="7">
        <v>384.39275181655802</v>
      </c>
      <c r="CI72" s="7">
        <v>131348.92404288999</v>
      </c>
      <c r="CJ72" s="7">
        <v>30.557749073643901</v>
      </c>
      <c r="CK72" s="7">
        <f t="shared" si="98"/>
        <v>893.34304966828495</v>
      </c>
      <c r="CM72" s="28">
        <v>15</v>
      </c>
      <c r="CN72" s="26">
        <v>5.0000000000000002E-5</v>
      </c>
      <c r="CO72" s="28">
        <v>1</v>
      </c>
      <c r="CP72" s="28">
        <v>200</v>
      </c>
      <c r="CQ72" s="26">
        <v>2.4999999999999999E-8</v>
      </c>
      <c r="CR72" s="26">
        <f t="shared" si="99"/>
        <v>2.4999999999999999E-8</v>
      </c>
      <c r="CS72" s="26">
        <f t="shared" si="100"/>
        <v>9.999999999999998E-4</v>
      </c>
      <c r="CT72" s="7">
        <v>22.671450850893901</v>
      </c>
      <c r="CU72" s="7">
        <v>378.32091509688701</v>
      </c>
      <c r="CV72" s="7">
        <v>118.54503217394399</v>
      </c>
      <c r="CW72" s="7">
        <v>378.32091509688701</v>
      </c>
      <c r="CX72" s="7">
        <v>65674.462021445201</v>
      </c>
      <c r="CY72" s="7">
        <v>30.557749073643901</v>
      </c>
      <c r="CZ72" s="7">
        <f t="shared" si="101"/>
        <v>875.18686236771805</v>
      </c>
      <c r="DB72" s="28">
        <v>15</v>
      </c>
      <c r="DC72" s="26">
        <v>5.0000000000000002E-5</v>
      </c>
      <c r="DD72" s="28">
        <v>2</v>
      </c>
      <c r="DE72" s="28">
        <v>200</v>
      </c>
      <c r="DF72" s="26">
        <v>2.4999999999999999E-8</v>
      </c>
      <c r="DG72" s="26">
        <f t="shared" si="102"/>
        <v>4.9999999999999998E-8</v>
      </c>
      <c r="DH72" s="26">
        <f t="shared" si="103"/>
        <v>1.9999999999999996E-3</v>
      </c>
      <c r="DI72" s="7">
        <v>23.804214152177099</v>
      </c>
      <c r="DJ72" s="7">
        <v>367.08848561923799</v>
      </c>
      <c r="DK72" s="7">
        <v>108.10811969663401</v>
      </c>
      <c r="DL72" s="7">
        <v>367.08848561923799</v>
      </c>
      <c r="DM72" s="7">
        <v>32837.2310107226</v>
      </c>
      <c r="DN72" s="7">
        <v>30.557749073643901</v>
      </c>
      <c r="DO72" s="7">
        <f t="shared" si="104"/>
        <v>842.28509093511002</v>
      </c>
      <c r="DQ72" s="28">
        <v>15</v>
      </c>
      <c r="DR72" s="26">
        <v>5.0000000000000002E-5</v>
      </c>
      <c r="DS72" s="28">
        <v>15</v>
      </c>
      <c r="DT72" s="28">
        <v>300</v>
      </c>
      <c r="DU72" s="26">
        <v>1E-8</v>
      </c>
      <c r="DV72" s="26">
        <f t="shared" si="105"/>
        <v>1.4999999999999999E-7</v>
      </c>
      <c r="DW72" s="26">
        <f t="shared" si="106"/>
        <v>5.9999999999999993E-3</v>
      </c>
      <c r="DX72" s="7">
        <v>49.465887077242002</v>
      </c>
      <c r="DY72" s="7">
        <v>202.84957985735099</v>
      </c>
      <c r="DZ72" s="7">
        <v>42.287816140325297</v>
      </c>
      <c r="EA72" s="7">
        <v>202.84957985735099</v>
      </c>
      <c r="EB72" s="7">
        <v>4378.2974680963498</v>
      </c>
      <c r="EC72" s="7">
        <v>10.1859163578813</v>
      </c>
      <c r="ED72" s="7">
        <f t="shared" si="107"/>
        <v>447.98697585502725</v>
      </c>
    </row>
    <row r="73" spans="1:134" x14ac:dyDescent="0.4">
      <c r="A73" s="28">
        <v>20</v>
      </c>
      <c r="B73" s="26">
        <v>1.0000000000000001E-5</v>
      </c>
      <c r="C73" s="28">
        <v>0.2</v>
      </c>
      <c r="D73" s="28">
        <v>30</v>
      </c>
      <c r="E73" s="26">
        <v>2.4999999999999999E-8</v>
      </c>
      <c r="F73" s="26">
        <f t="shared" si="81"/>
        <v>5.0000000000000001E-9</v>
      </c>
      <c r="G73" s="26">
        <f t="shared" si="82"/>
        <v>1E-3</v>
      </c>
      <c r="H73" s="7">
        <v>5.34820940702408</v>
      </c>
      <c r="I73" s="7">
        <v>7857.7524727739301</v>
      </c>
      <c r="J73" s="7">
        <v>4475.4086280782203</v>
      </c>
      <c r="K73" s="7">
        <v>7857.7524727739301</v>
      </c>
      <c r="L73" s="7">
        <v>2551974.2921694499</v>
      </c>
      <c r="M73" s="7">
        <v>763.94372684109806</v>
      </c>
      <c r="N73" s="7">
        <f t="shared" si="83"/>
        <v>20190.91357362608</v>
      </c>
      <c r="P73" s="28">
        <v>20</v>
      </c>
      <c r="Q73" s="26">
        <v>3.0000000000000001E-5</v>
      </c>
      <c r="R73" s="28">
        <v>0.2</v>
      </c>
      <c r="S73" s="28">
        <v>30</v>
      </c>
      <c r="T73" s="26">
        <v>2.4999999999999999E-8</v>
      </c>
      <c r="U73" s="26">
        <f t="shared" si="84"/>
        <v>5.0000000000000001E-9</v>
      </c>
      <c r="V73" s="26">
        <f t="shared" si="85"/>
        <v>3.3333333333333332E-4</v>
      </c>
      <c r="W73" s="7">
        <v>5.6091570080870898</v>
      </c>
      <c r="X73" s="7">
        <v>2619.2508242245099</v>
      </c>
      <c r="Y73" s="7">
        <v>1491.80287602607</v>
      </c>
      <c r="Z73" s="7">
        <v>2619.2508242245099</v>
      </c>
      <c r="AA73" s="7">
        <v>850658.09849467594</v>
      </c>
      <c r="AB73" s="7">
        <v>84.882636315677502</v>
      </c>
      <c r="AC73" s="7">
        <f t="shared" si="86"/>
        <v>6730.3045244750901</v>
      </c>
      <c r="AE73" s="28">
        <v>20</v>
      </c>
      <c r="AF73" s="26">
        <v>5.0000000000000002E-5</v>
      </c>
      <c r="AG73" s="28">
        <v>0.2</v>
      </c>
      <c r="AH73" s="28">
        <v>30</v>
      </c>
      <c r="AI73" s="26">
        <v>2.4999999999999999E-8</v>
      </c>
      <c r="AJ73" s="26">
        <f t="shared" si="87"/>
        <v>5.0000000000000001E-9</v>
      </c>
      <c r="AK73" s="26">
        <f t="shared" si="88"/>
        <v>1.9999999999999998E-4</v>
      </c>
      <c r="AL73" s="7">
        <v>5.6644588546646899</v>
      </c>
      <c r="AM73" s="7">
        <v>1571.5504942513201</v>
      </c>
      <c r="AN73" s="7">
        <v>895.08172561564299</v>
      </c>
      <c r="AO73" s="7">
        <v>1571.5504942513201</v>
      </c>
      <c r="AP73" s="7">
        <v>510394.86845111102</v>
      </c>
      <c r="AQ73" s="7">
        <v>30.557749073643901</v>
      </c>
      <c r="AR73" s="7">
        <f t="shared" si="89"/>
        <v>4038.182714118283</v>
      </c>
      <c r="AT73" s="28">
        <v>20</v>
      </c>
      <c r="AU73" s="26">
        <v>1.0000000000000001E-5</v>
      </c>
      <c r="AV73" s="28">
        <v>0.2</v>
      </c>
      <c r="AW73" s="28">
        <v>200</v>
      </c>
      <c r="AX73" s="26">
        <v>2.4999999999999999E-8</v>
      </c>
      <c r="AY73" s="26">
        <f t="shared" si="90"/>
        <v>5.0000000000000001E-9</v>
      </c>
      <c r="AZ73" s="26">
        <f t="shared" si="91"/>
        <v>1E-3</v>
      </c>
      <c r="BA73" s="7">
        <v>24.9970696833944</v>
      </c>
      <c r="BB73" s="7">
        <v>1196.98361424428</v>
      </c>
      <c r="BC73" s="7">
        <v>694.07852984949898</v>
      </c>
      <c r="BD73" s="7">
        <v>1196.98361424428</v>
      </c>
      <c r="BE73" s="7">
        <v>2551974.2921694499</v>
      </c>
      <c r="BF73" s="7">
        <v>763.94372684109806</v>
      </c>
      <c r="BG73" s="7">
        <f t="shared" si="92"/>
        <v>3088.0457583380589</v>
      </c>
      <c r="BI73" s="28">
        <v>20</v>
      </c>
      <c r="BJ73" s="26">
        <v>1.0000000000000001E-5</v>
      </c>
      <c r="BK73" s="28">
        <v>0.5</v>
      </c>
      <c r="BL73" s="28">
        <v>200</v>
      </c>
      <c r="BM73" s="26">
        <v>2.4999999999999999E-8</v>
      </c>
      <c r="BN73" s="26">
        <f t="shared" si="93"/>
        <v>1.2499999999999999E-8</v>
      </c>
      <c r="BO73" s="26">
        <f t="shared" si="94"/>
        <v>2.4999999999999996E-3</v>
      </c>
      <c r="BP73" s="7">
        <v>25.151697519351998</v>
      </c>
      <c r="BQ73" s="7">
        <v>1192.0586917390101</v>
      </c>
      <c r="BR73" s="7">
        <v>687.90288040570601</v>
      </c>
      <c r="BS73" s="7">
        <v>1192.0586917390101</v>
      </c>
      <c r="BT73" s="7">
        <v>1020789.71686778</v>
      </c>
      <c r="BU73" s="7">
        <v>763.94372684109806</v>
      </c>
      <c r="BV73" s="7">
        <f t="shared" si="95"/>
        <v>3072.0202638837263</v>
      </c>
      <c r="BX73" s="28">
        <v>20</v>
      </c>
      <c r="BY73" s="26">
        <v>5.0000000000000002E-5</v>
      </c>
      <c r="BZ73" s="28">
        <v>0.5</v>
      </c>
      <c r="CA73" s="28">
        <v>200</v>
      </c>
      <c r="CB73" s="26">
        <v>2.4999999999999999E-8</v>
      </c>
      <c r="CC73" s="26">
        <f t="shared" si="96"/>
        <v>1.2499999999999999E-8</v>
      </c>
      <c r="CD73" s="26">
        <f t="shared" si="97"/>
        <v>4.999999999999999E-4</v>
      </c>
      <c r="CE73" s="7">
        <v>34.212947119356201</v>
      </c>
      <c r="CF73" s="7">
        <v>238.41173833028401</v>
      </c>
      <c r="CG73" s="7">
        <v>137.580576081141</v>
      </c>
      <c r="CH73" s="7">
        <v>238.41173833028401</v>
      </c>
      <c r="CI73" s="7">
        <v>204157.947380445</v>
      </c>
      <c r="CJ73" s="7">
        <v>30.557749073643901</v>
      </c>
      <c r="CK73" s="7">
        <f t="shared" si="98"/>
        <v>614.40405274170905</v>
      </c>
      <c r="CM73" s="28">
        <v>20</v>
      </c>
      <c r="CN73" s="26">
        <v>5.0000000000000002E-5</v>
      </c>
      <c r="CO73" s="28">
        <v>1</v>
      </c>
      <c r="CP73" s="28">
        <v>200</v>
      </c>
      <c r="CQ73" s="26">
        <v>2.4999999999999999E-8</v>
      </c>
      <c r="CR73" s="26">
        <f t="shared" si="99"/>
        <v>2.4999999999999999E-8</v>
      </c>
      <c r="CS73" s="26">
        <f t="shared" si="100"/>
        <v>9.999999999999998E-4</v>
      </c>
      <c r="CT73" s="7">
        <v>34.592622967558903</v>
      </c>
      <c r="CU73" s="7">
        <v>236.794372688691</v>
      </c>
      <c r="CV73" s="7">
        <v>135.57018035757301</v>
      </c>
      <c r="CW73" s="7">
        <v>236.794372688691</v>
      </c>
      <c r="CX73" s="7">
        <v>102078.973690222</v>
      </c>
      <c r="CY73" s="7">
        <v>30.557749073643901</v>
      </c>
      <c r="CZ73" s="7">
        <f t="shared" si="101"/>
        <v>609.15892573495501</v>
      </c>
      <c r="DB73" s="28">
        <v>20</v>
      </c>
      <c r="DC73" s="26">
        <v>5.0000000000000002E-5</v>
      </c>
      <c r="DD73" s="28">
        <v>2</v>
      </c>
      <c r="DE73" s="28">
        <v>200</v>
      </c>
      <c r="DF73" s="26">
        <v>2.4999999999999999E-8</v>
      </c>
      <c r="DG73" s="26">
        <f t="shared" si="102"/>
        <v>4.9999999999999998E-8</v>
      </c>
      <c r="DH73" s="26">
        <f t="shared" si="103"/>
        <v>1.9999999999999996E-3</v>
      </c>
      <c r="DI73" s="7">
        <v>35.346380302135501</v>
      </c>
      <c r="DJ73" s="7">
        <v>233.64718966736299</v>
      </c>
      <c r="DK73" s="7">
        <v>131.72072797829401</v>
      </c>
      <c r="DL73" s="7">
        <v>233.64718966736299</v>
      </c>
      <c r="DM73" s="7">
        <v>51039.486845111103</v>
      </c>
      <c r="DN73" s="7">
        <v>30.557749073643901</v>
      </c>
      <c r="DO73" s="7">
        <f t="shared" si="104"/>
        <v>599.01510731302005</v>
      </c>
      <c r="DQ73" s="28">
        <v>20</v>
      </c>
      <c r="DR73" s="26">
        <v>5.0000000000000002E-5</v>
      </c>
      <c r="DS73" s="28">
        <v>15</v>
      </c>
      <c r="DT73" s="28">
        <v>300</v>
      </c>
      <c r="DU73" s="26">
        <v>1E-8</v>
      </c>
      <c r="DV73" s="26">
        <f t="shared" si="105"/>
        <v>1.4999999999999999E-7</v>
      </c>
      <c r="DW73" s="26">
        <f t="shared" si="106"/>
        <v>5.9999999999999993E-3</v>
      </c>
      <c r="DX73" s="7">
        <v>64.8875523869783</v>
      </c>
      <c r="DY73" s="7">
        <v>141.30482192536101</v>
      </c>
      <c r="DZ73" s="7">
        <v>71.560155029152398</v>
      </c>
      <c r="EA73" s="7">
        <v>141.30482192536101</v>
      </c>
      <c r="EB73" s="7">
        <v>6805.2649126814904</v>
      </c>
      <c r="EC73" s="7">
        <v>10.1859163578813</v>
      </c>
      <c r="ED73" s="7">
        <f t="shared" si="107"/>
        <v>354.16979887987441</v>
      </c>
    </row>
    <row r="74" spans="1:134" x14ac:dyDescent="0.4">
      <c r="A74" s="28">
        <v>25</v>
      </c>
      <c r="B74" s="26">
        <v>1.0000000000000001E-5</v>
      </c>
      <c r="C74" s="28">
        <v>0.2</v>
      </c>
      <c r="D74" s="28">
        <v>30</v>
      </c>
      <c r="E74" s="26">
        <v>2.4999999999999999E-8</v>
      </c>
      <c r="F74" s="26">
        <f t="shared" si="81"/>
        <v>5.0000000000000001E-9</v>
      </c>
      <c r="G74" s="26">
        <f t="shared" si="82"/>
        <v>1E-3</v>
      </c>
      <c r="H74" s="7">
        <v>6.8366321280920701</v>
      </c>
      <c r="I74" s="7">
        <v>5967.7070610572</v>
      </c>
      <c r="J74" s="7">
        <v>4769.5933204541298</v>
      </c>
      <c r="K74" s="7">
        <v>5967.7070610572</v>
      </c>
      <c r="L74" s="7">
        <v>3890230.9388607698</v>
      </c>
      <c r="M74" s="7">
        <v>763.94372684109806</v>
      </c>
      <c r="N74" s="7">
        <f t="shared" si="83"/>
        <v>16705.007442568531</v>
      </c>
      <c r="P74" s="28">
        <v>25</v>
      </c>
      <c r="Q74" s="26">
        <v>3.0000000000000001E-5</v>
      </c>
      <c r="R74" s="28">
        <v>0.2</v>
      </c>
      <c r="S74" s="28">
        <v>30</v>
      </c>
      <c r="T74" s="26">
        <v>2.4999999999999999E-8</v>
      </c>
      <c r="U74" s="26">
        <f t="shared" si="84"/>
        <v>5.0000000000000001E-9</v>
      </c>
      <c r="V74" s="26">
        <f t="shared" si="85"/>
        <v>3.3333333333333332E-4</v>
      </c>
      <c r="W74" s="7">
        <v>7.2392769825722896</v>
      </c>
      <c r="X74" s="7">
        <v>1989.2356869965699</v>
      </c>
      <c r="Y74" s="7">
        <v>1589.86444015137</v>
      </c>
      <c r="Z74" s="7">
        <v>1989.2356869965699</v>
      </c>
      <c r="AA74" s="7">
        <v>1296743.6482743199</v>
      </c>
      <c r="AB74" s="7">
        <v>84.882636315677502</v>
      </c>
      <c r="AC74" s="7">
        <f t="shared" si="86"/>
        <v>5568.3358141445096</v>
      </c>
      <c r="AE74" s="28">
        <v>25</v>
      </c>
      <c r="AF74" s="26">
        <v>5.0000000000000002E-5</v>
      </c>
      <c r="AG74" s="28">
        <v>0.2</v>
      </c>
      <c r="AH74" s="28">
        <v>30</v>
      </c>
      <c r="AI74" s="26">
        <v>2.4999999999999999E-8</v>
      </c>
      <c r="AJ74" s="26">
        <f t="shared" si="87"/>
        <v>5.0000000000000001E-9</v>
      </c>
      <c r="AK74" s="26">
        <f t="shared" si="88"/>
        <v>1.9999999999999998E-4</v>
      </c>
      <c r="AL74" s="7">
        <v>7.3255924308863802</v>
      </c>
      <c r="AM74" s="7">
        <v>1193.54141200751</v>
      </c>
      <c r="AN74" s="7">
        <v>953.91866409082502</v>
      </c>
      <c r="AO74" s="7">
        <v>1193.54141200751</v>
      </c>
      <c r="AP74" s="7">
        <v>778046.205790887</v>
      </c>
      <c r="AQ74" s="7">
        <v>30.557749073643901</v>
      </c>
      <c r="AR74" s="7">
        <f t="shared" si="89"/>
        <v>3341.0014881058451</v>
      </c>
      <c r="AT74" s="28">
        <v>25</v>
      </c>
      <c r="AU74" s="26">
        <v>1.0000000000000001E-5</v>
      </c>
      <c r="AV74" s="28">
        <v>0.2</v>
      </c>
      <c r="AW74" s="28">
        <v>200</v>
      </c>
      <c r="AX74" s="26">
        <v>2.4999999999999999E-8</v>
      </c>
      <c r="AY74" s="26">
        <f t="shared" si="90"/>
        <v>5.0000000000000001E-9</v>
      </c>
      <c r="AZ74" s="26">
        <f t="shared" si="91"/>
        <v>1E-3</v>
      </c>
      <c r="BA74" s="7">
        <v>30.5368414951974</v>
      </c>
      <c r="BB74" s="7">
        <v>904.92261526204402</v>
      </c>
      <c r="BC74" s="7">
        <v>729.47946385146201</v>
      </c>
      <c r="BD74" s="7">
        <v>904.92261526204402</v>
      </c>
      <c r="BE74" s="7">
        <v>3890230.9388607698</v>
      </c>
      <c r="BF74" s="7">
        <v>763.94372684109806</v>
      </c>
      <c r="BG74" s="7">
        <f t="shared" si="92"/>
        <v>2539.3246943755503</v>
      </c>
      <c r="BI74" s="28">
        <v>25</v>
      </c>
      <c r="BJ74" s="26">
        <v>1.0000000000000001E-5</v>
      </c>
      <c r="BK74" s="28">
        <v>0.5</v>
      </c>
      <c r="BL74" s="28">
        <v>200</v>
      </c>
      <c r="BM74" s="26">
        <v>2.4999999999999999E-8</v>
      </c>
      <c r="BN74" s="26">
        <f t="shared" si="93"/>
        <v>1.2499999999999999E-8</v>
      </c>
      <c r="BO74" s="26">
        <f t="shared" si="94"/>
        <v>2.4999999999999996E-3</v>
      </c>
      <c r="BP74" s="7">
        <v>30.652272471209699</v>
      </c>
      <c r="BQ74" s="7">
        <v>902.31159397251201</v>
      </c>
      <c r="BR74" s="7">
        <v>725.70943403112403</v>
      </c>
      <c r="BS74" s="7">
        <v>902.31159397251201</v>
      </c>
      <c r="BT74" s="7">
        <v>1556092.3755443101</v>
      </c>
      <c r="BU74" s="7">
        <v>763.94372684109806</v>
      </c>
      <c r="BV74" s="7">
        <f t="shared" si="95"/>
        <v>2530.3326219761479</v>
      </c>
      <c r="BX74" s="28">
        <v>25</v>
      </c>
      <c r="BY74" s="26">
        <v>5.0000000000000002E-5</v>
      </c>
      <c r="BZ74" s="28">
        <v>0.5</v>
      </c>
      <c r="CA74" s="28">
        <v>200</v>
      </c>
      <c r="CB74" s="26">
        <v>2.4999999999999999E-8</v>
      </c>
      <c r="CC74" s="26">
        <f t="shared" si="96"/>
        <v>1.2499999999999999E-8</v>
      </c>
      <c r="CD74" s="26">
        <f t="shared" si="97"/>
        <v>4.999999999999999E-4</v>
      </c>
      <c r="CE74" s="7">
        <v>43.829390055579999</v>
      </c>
      <c r="CF74" s="7">
        <v>180.46231878283399</v>
      </c>
      <c r="CG74" s="7">
        <v>145.14188680622499</v>
      </c>
      <c r="CH74" s="7">
        <v>180.46231878283399</v>
      </c>
      <c r="CI74" s="7">
        <v>311218.48231635499</v>
      </c>
      <c r="CJ74" s="7">
        <v>30.557749073643901</v>
      </c>
      <c r="CK74" s="7">
        <f t="shared" si="98"/>
        <v>506.06652437189302</v>
      </c>
      <c r="CM74" s="28">
        <v>25</v>
      </c>
      <c r="CN74" s="26">
        <v>5.0000000000000002E-5</v>
      </c>
      <c r="CO74" s="28">
        <v>1</v>
      </c>
      <c r="CP74" s="28">
        <v>200</v>
      </c>
      <c r="CQ74" s="26">
        <v>2.4999999999999999E-8</v>
      </c>
      <c r="CR74" s="26">
        <f t="shared" si="99"/>
        <v>2.4999999999999999E-8</v>
      </c>
      <c r="CS74" s="26">
        <f t="shared" si="100"/>
        <v>9.999999999999998E-4</v>
      </c>
      <c r="CT74" s="7">
        <v>44.138920416231301</v>
      </c>
      <c r="CU74" s="7">
        <v>179.60025764253999</v>
      </c>
      <c r="CV74" s="7">
        <v>143.90240734913101</v>
      </c>
      <c r="CW74" s="7">
        <v>179.60025764253999</v>
      </c>
      <c r="CX74" s="7">
        <v>155609.241158177</v>
      </c>
      <c r="CY74" s="7">
        <v>30.557749073643901</v>
      </c>
      <c r="CZ74" s="7">
        <f t="shared" si="101"/>
        <v>503.10292263421098</v>
      </c>
      <c r="DB74" s="28">
        <v>25</v>
      </c>
      <c r="DC74" s="26">
        <v>5.0000000000000002E-5</v>
      </c>
      <c r="DD74" s="28">
        <v>2</v>
      </c>
      <c r="DE74" s="28">
        <v>200</v>
      </c>
      <c r="DF74" s="26">
        <v>2.4999999999999999E-8</v>
      </c>
      <c r="DG74" s="26">
        <f t="shared" si="102"/>
        <v>4.9999999999999998E-8</v>
      </c>
      <c r="DH74" s="26">
        <f t="shared" si="103"/>
        <v>1.9999999999999996E-3</v>
      </c>
      <c r="DI74" s="7">
        <v>44.7554994295242</v>
      </c>
      <c r="DJ74" s="7">
        <v>177.90643586546901</v>
      </c>
      <c r="DK74" s="7">
        <v>141.48598257191699</v>
      </c>
      <c r="DL74" s="7">
        <v>177.90643586546901</v>
      </c>
      <c r="DM74" s="7">
        <v>77804.620579088703</v>
      </c>
      <c r="DN74" s="7">
        <v>30.557749073643901</v>
      </c>
      <c r="DO74" s="7">
        <f t="shared" si="104"/>
        <v>497.29885430285503</v>
      </c>
      <c r="DQ74" s="28">
        <v>25</v>
      </c>
      <c r="DR74" s="26">
        <v>5.0000000000000002E-5</v>
      </c>
      <c r="DS74" s="28">
        <v>15</v>
      </c>
      <c r="DT74" s="28">
        <v>300</v>
      </c>
      <c r="DU74" s="26">
        <v>1E-8</v>
      </c>
      <c r="DV74" s="26">
        <f t="shared" si="105"/>
        <v>1.4999999999999999E-7</v>
      </c>
      <c r="DW74" s="26">
        <f t="shared" si="106"/>
        <v>5.9999999999999993E-3</v>
      </c>
      <c r="DX74" s="7">
        <v>78.887043617018804</v>
      </c>
      <c r="DY74" s="7">
        <v>110.42994925436599</v>
      </c>
      <c r="DZ74" s="7">
        <v>83.155364315094602</v>
      </c>
      <c r="EA74" s="7">
        <v>110.42994925436599</v>
      </c>
      <c r="EB74" s="7">
        <v>10373.949410545199</v>
      </c>
      <c r="EC74" s="7">
        <v>10.1859163578813</v>
      </c>
      <c r="ED74" s="7">
        <f t="shared" si="107"/>
        <v>304.01526282382656</v>
      </c>
    </row>
    <row r="75" spans="1:134" x14ac:dyDescent="0.4">
      <c r="A75" s="28">
        <v>30</v>
      </c>
      <c r="B75" s="26">
        <v>1.0000000000000001E-5</v>
      </c>
      <c r="C75" s="28">
        <v>0.2</v>
      </c>
      <c r="D75" s="28">
        <v>30</v>
      </c>
      <c r="E75" s="26">
        <v>2.4999999999999999E-8</v>
      </c>
      <c r="F75" s="26">
        <f t="shared" si="81"/>
        <v>5.0000000000000001E-9</v>
      </c>
      <c r="G75" s="26">
        <f t="shared" si="82"/>
        <v>1E-3</v>
      </c>
      <c r="H75" s="7">
        <v>8.1956294691860005</v>
      </c>
      <c r="I75" s="7">
        <v>4807.3324198337996</v>
      </c>
      <c r="J75" s="7">
        <v>4988.6125859415297</v>
      </c>
      <c r="K75" s="7">
        <v>4807.3324198337996</v>
      </c>
      <c r="L75" s="7">
        <v>5893089.4851508904</v>
      </c>
      <c r="M75" s="7">
        <v>763.94372684109806</v>
      </c>
      <c r="N75" s="7">
        <f t="shared" si="83"/>
        <v>14603.277425609129</v>
      </c>
      <c r="P75" s="28">
        <v>30</v>
      </c>
      <c r="Q75" s="26">
        <v>3.0000000000000001E-5</v>
      </c>
      <c r="R75" s="28">
        <v>0.2</v>
      </c>
      <c r="S75" s="28">
        <v>30</v>
      </c>
      <c r="T75" s="26">
        <v>2.4999999999999999E-8</v>
      </c>
      <c r="U75" s="26">
        <f t="shared" si="84"/>
        <v>5.0000000000000001E-9</v>
      </c>
      <c r="V75" s="26">
        <f t="shared" si="85"/>
        <v>3.3333333333333332E-4</v>
      </c>
      <c r="W75" s="7">
        <v>8.7465092484143891</v>
      </c>
      <c r="X75" s="7">
        <v>1602.4441399274999</v>
      </c>
      <c r="Y75" s="7">
        <v>1662.87086198051</v>
      </c>
      <c r="Z75" s="7">
        <v>1602.4441399274999</v>
      </c>
      <c r="AA75" s="7">
        <v>1964363.1651242101</v>
      </c>
      <c r="AB75" s="7">
        <v>84.882636315677502</v>
      </c>
      <c r="AC75" s="7">
        <f t="shared" si="86"/>
        <v>4867.7591418355096</v>
      </c>
      <c r="AE75" s="28">
        <v>30</v>
      </c>
      <c r="AF75" s="26">
        <v>5.0000000000000002E-5</v>
      </c>
      <c r="AG75" s="28">
        <v>0.2</v>
      </c>
      <c r="AH75" s="28">
        <v>30</v>
      </c>
      <c r="AI75" s="26">
        <v>2.4999999999999999E-8</v>
      </c>
      <c r="AJ75" s="26">
        <f t="shared" si="87"/>
        <v>5.0000000000000001E-9</v>
      </c>
      <c r="AK75" s="26">
        <f t="shared" si="88"/>
        <v>1.9999999999999998E-4</v>
      </c>
      <c r="AL75" s="7">
        <v>8.8657180356789205</v>
      </c>
      <c r="AM75" s="7">
        <v>961.46648381169098</v>
      </c>
      <c r="AN75" s="7">
        <v>997.72251718830603</v>
      </c>
      <c r="AO75" s="7">
        <v>961.46648381169098</v>
      </c>
      <c r="AP75" s="7">
        <v>1178617.9279219799</v>
      </c>
      <c r="AQ75" s="7">
        <v>30.557749073643901</v>
      </c>
      <c r="AR75" s="7">
        <f t="shared" si="89"/>
        <v>2920.655484811688</v>
      </c>
      <c r="AT75" s="28">
        <v>30</v>
      </c>
      <c r="AU75" s="26">
        <v>1.0000000000000001E-5</v>
      </c>
      <c r="AV75" s="28">
        <v>0.2</v>
      </c>
      <c r="AW75" s="28">
        <v>200</v>
      </c>
      <c r="AX75" s="26">
        <v>2.4999999999999999E-8</v>
      </c>
      <c r="AY75" s="26">
        <f t="shared" si="90"/>
        <v>5.0000000000000001E-9</v>
      </c>
      <c r="AZ75" s="26">
        <f t="shared" si="91"/>
        <v>1E-3</v>
      </c>
      <c r="BA75" s="7">
        <v>35.264820055826597</v>
      </c>
      <c r="BB75" s="7">
        <v>727.37388968977803</v>
      </c>
      <c r="BC75" s="7">
        <v>758.42598130330396</v>
      </c>
      <c r="BD75" s="7">
        <v>727.37388968977803</v>
      </c>
      <c r="BE75" s="7">
        <v>5893089.4851508904</v>
      </c>
      <c r="BF75" s="7">
        <v>763.94372684109806</v>
      </c>
      <c r="BG75" s="7">
        <f t="shared" si="92"/>
        <v>2213.1737606828601</v>
      </c>
      <c r="BI75" s="28">
        <v>30</v>
      </c>
      <c r="BJ75" s="26">
        <v>1.0000000000000001E-5</v>
      </c>
      <c r="BK75" s="28">
        <v>0.5</v>
      </c>
      <c r="BL75" s="28">
        <v>200</v>
      </c>
      <c r="BM75" s="26">
        <v>2.4999999999999999E-8</v>
      </c>
      <c r="BN75" s="26">
        <f t="shared" si="93"/>
        <v>1.2499999999999999E-8</v>
      </c>
      <c r="BO75" s="26">
        <f t="shared" si="94"/>
        <v>2.4999999999999996E-3</v>
      </c>
      <c r="BP75" s="7">
        <v>35.3555194188163</v>
      </c>
      <c r="BQ75" s="7">
        <v>725.70064173773096</v>
      </c>
      <c r="BR75" s="7">
        <v>755.71672459466504</v>
      </c>
      <c r="BS75" s="7">
        <v>725.70064173773096</v>
      </c>
      <c r="BT75" s="7">
        <v>2357235.7940603602</v>
      </c>
      <c r="BU75" s="7">
        <v>763.94372684109806</v>
      </c>
      <c r="BV75" s="7">
        <f t="shared" si="95"/>
        <v>2207.118008070127</v>
      </c>
      <c r="BX75" s="28">
        <v>30</v>
      </c>
      <c r="BY75" s="26">
        <v>5.0000000000000002E-5</v>
      </c>
      <c r="BZ75" s="28">
        <v>0.5</v>
      </c>
      <c r="CA75" s="28">
        <v>200</v>
      </c>
      <c r="CB75" s="26">
        <v>2.4999999999999999E-8</v>
      </c>
      <c r="CC75" s="26">
        <f t="shared" si="96"/>
        <v>1.2499999999999999E-8</v>
      </c>
      <c r="CD75" s="26">
        <f t="shared" si="97"/>
        <v>4.999999999999999E-4</v>
      </c>
      <c r="CE75" s="7">
        <v>52.527133649481698</v>
      </c>
      <c r="CF75" s="7">
        <v>145.140128338708</v>
      </c>
      <c r="CG75" s="7">
        <v>151.143344918933</v>
      </c>
      <c r="CH75" s="7">
        <v>145.140128338708</v>
      </c>
      <c r="CI75" s="7">
        <v>471447.17116879002</v>
      </c>
      <c r="CJ75" s="7">
        <v>30.557749073643901</v>
      </c>
      <c r="CK75" s="7">
        <f t="shared" si="98"/>
        <v>441.42360159634899</v>
      </c>
      <c r="CM75" s="28">
        <v>30</v>
      </c>
      <c r="CN75" s="26">
        <v>5.0000000000000002E-5</v>
      </c>
      <c r="CO75" s="28">
        <v>1</v>
      </c>
      <c r="CP75" s="28">
        <v>200</v>
      </c>
      <c r="CQ75" s="26">
        <v>2.4999999999999999E-8</v>
      </c>
      <c r="CR75" s="26">
        <f t="shared" si="99"/>
        <v>2.4999999999999999E-8</v>
      </c>
      <c r="CS75" s="26">
        <f t="shared" si="100"/>
        <v>9.999999999999998E-4</v>
      </c>
      <c r="CT75" s="7">
        <v>52.792933960744698</v>
      </c>
      <c r="CU75" s="7">
        <v>144.58638467526899</v>
      </c>
      <c r="CV75" s="7">
        <v>150.24883810203599</v>
      </c>
      <c r="CW75" s="7">
        <v>144.58638467526899</v>
      </c>
      <c r="CX75" s="7">
        <v>235723.58558439501</v>
      </c>
      <c r="CY75" s="7">
        <v>30.557749073643901</v>
      </c>
      <c r="CZ75" s="7">
        <f t="shared" si="101"/>
        <v>439.42160745257399</v>
      </c>
      <c r="DB75" s="28">
        <v>30</v>
      </c>
      <c r="DC75" s="26">
        <v>5.0000000000000002E-5</v>
      </c>
      <c r="DD75" s="28">
        <v>2</v>
      </c>
      <c r="DE75" s="28">
        <v>200</v>
      </c>
      <c r="DF75" s="26">
        <v>2.4999999999999999E-8</v>
      </c>
      <c r="DG75" s="26">
        <f t="shared" si="102"/>
        <v>4.9999999999999998E-8</v>
      </c>
      <c r="DH75" s="26">
        <f t="shared" si="103"/>
        <v>1.9999999999999996E-3</v>
      </c>
      <c r="DI75" s="7">
        <v>53.323088645525999</v>
      </c>
      <c r="DJ75" s="7">
        <v>143.493651420682</v>
      </c>
      <c r="DK75" s="7">
        <v>148.49131311393799</v>
      </c>
      <c r="DL75" s="7">
        <v>143.493651420682</v>
      </c>
      <c r="DM75" s="7">
        <v>117861.792792198</v>
      </c>
      <c r="DN75" s="7">
        <v>30.557749073643901</v>
      </c>
      <c r="DO75" s="7">
        <f t="shared" si="104"/>
        <v>435.47861595530196</v>
      </c>
      <c r="DQ75" s="28">
        <v>30</v>
      </c>
      <c r="DR75" s="26">
        <v>5.0000000000000002E-5</v>
      </c>
      <c r="DS75" s="28">
        <v>15</v>
      </c>
      <c r="DT75" s="28">
        <v>300</v>
      </c>
      <c r="DU75" s="26">
        <v>1E-8</v>
      </c>
      <c r="DV75" s="26">
        <f t="shared" si="105"/>
        <v>1.4999999999999999E-7</v>
      </c>
      <c r="DW75" s="26">
        <f t="shared" si="106"/>
        <v>5.9999999999999993E-3</v>
      </c>
      <c r="DX75" s="7">
        <v>92.159129740469794</v>
      </c>
      <c r="DY75" s="7">
        <v>90.265822408235607</v>
      </c>
      <c r="DZ75" s="7">
        <v>90.525422516156297</v>
      </c>
      <c r="EA75" s="7">
        <v>90.265822408235607</v>
      </c>
      <c r="EB75" s="7">
        <v>15714.905705626299</v>
      </c>
      <c r="EC75" s="7">
        <v>10.1859163578813</v>
      </c>
      <c r="ED75" s="7">
        <f t="shared" si="107"/>
        <v>271.05706733262753</v>
      </c>
    </row>
    <row r="76" spans="1:134" x14ac:dyDescent="0.4">
      <c r="A76" s="28">
        <v>35</v>
      </c>
      <c r="B76" s="26">
        <v>1.0000000000000001E-5</v>
      </c>
      <c r="C76" s="28">
        <v>0.2</v>
      </c>
      <c r="D76" s="28">
        <v>30</v>
      </c>
      <c r="E76" s="26">
        <v>2.4999999999999999E-8</v>
      </c>
      <c r="F76" s="26">
        <f t="shared" si="81"/>
        <v>5.0000000000000001E-9</v>
      </c>
      <c r="G76" s="26">
        <f t="shared" si="82"/>
        <v>1E-3</v>
      </c>
      <c r="H76" s="7">
        <v>9.4800079650117102</v>
      </c>
      <c r="I76" s="7">
        <v>3984.07853527202</v>
      </c>
      <c r="J76" s="7">
        <v>5168.7820727017497</v>
      </c>
      <c r="K76" s="7">
        <v>3984.07853527202</v>
      </c>
      <c r="L76" s="7">
        <v>8973470.5022608098</v>
      </c>
      <c r="M76" s="7">
        <v>763.94372684109806</v>
      </c>
      <c r="N76" s="7">
        <f t="shared" si="83"/>
        <v>13136.939143245789</v>
      </c>
      <c r="P76" s="28">
        <v>35</v>
      </c>
      <c r="Q76" s="26">
        <v>3.0000000000000001E-5</v>
      </c>
      <c r="R76" s="28">
        <v>0.2</v>
      </c>
      <c r="S76" s="28">
        <v>30</v>
      </c>
      <c r="T76" s="26">
        <v>2.4999999999999999E-8</v>
      </c>
      <c r="U76" s="26">
        <f t="shared" si="84"/>
        <v>5.0000000000000001E-9</v>
      </c>
      <c r="V76" s="26">
        <f t="shared" si="85"/>
        <v>3.3333333333333332E-4</v>
      </c>
      <c r="W76" s="7">
        <v>10.186466701111099</v>
      </c>
      <c r="X76" s="7">
        <v>1328.02617841029</v>
      </c>
      <c r="Y76" s="7">
        <v>1722.9273575672501</v>
      </c>
      <c r="Z76" s="7">
        <v>1328.02617841029</v>
      </c>
      <c r="AA76" s="7">
        <v>2991156.8397606201</v>
      </c>
      <c r="AB76" s="7">
        <v>84.882636315677502</v>
      </c>
      <c r="AC76" s="7">
        <f t="shared" si="86"/>
        <v>4378.9797143878295</v>
      </c>
      <c r="AE76" s="28">
        <v>35</v>
      </c>
      <c r="AF76" s="26">
        <v>5.0000000000000002E-5</v>
      </c>
      <c r="AG76" s="28">
        <v>0.2</v>
      </c>
      <c r="AH76" s="28">
        <v>30</v>
      </c>
      <c r="AI76" s="26">
        <v>2.4999999999999999E-8</v>
      </c>
      <c r="AJ76" s="26">
        <f t="shared" si="87"/>
        <v>5.0000000000000001E-9</v>
      </c>
      <c r="AK76" s="26">
        <f t="shared" si="88"/>
        <v>1.9999999999999998E-4</v>
      </c>
      <c r="AL76" s="7">
        <v>10.3406059174</v>
      </c>
      <c r="AM76" s="7">
        <v>796.81570693005597</v>
      </c>
      <c r="AN76" s="7">
        <v>1033.7564145403501</v>
      </c>
      <c r="AO76" s="7">
        <v>796.81570693005597</v>
      </c>
      <c r="AP76" s="7">
        <v>1794694.1518928199</v>
      </c>
      <c r="AQ76" s="7">
        <v>30.557749073643901</v>
      </c>
      <c r="AR76" s="7">
        <f t="shared" si="89"/>
        <v>2627.3878284004622</v>
      </c>
      <c r="AT76" s="28">
        <v>35</v>
      </c>
      <c r="AU76" s="26">
        <v>1.0000000000000001E-5</v>
      </c>
      <c r="AV76" s="28">
        <v>0.2</v>
      </c>
      <c r="AW76" s="28">
        <v>200</v>
      </c>
      <c r="AX76" s="26">
        <v>2.4999999999999999E-8</v>
      </c>
      <c r="AY76" s="26">
        <f t="shared" si="90"/>
        <v>5.0000000000000001E-9</v>
      </c>
      <c r="AZ76" s="26">
        <f t="shared" si="91"/>
        <v>1E-3</v>
      </c>
      <c r="BA76" s="7">
        <v>39.501638611689302</v>
      </c>
      <c r="BB76" s="7">
        <v>602.00500937137394</v>
      </c>
      <c r="BC76" s="7">
        <v>783.15203621901901</v>
      </c>
      <c r="BD76" s="7">
        <v>602.00500937137394</v>
      </c>
      <c r="BE76" s="7">
        <v>8973470.5022608098</v>
      </c>
      <c r="BF76" s="7">
        <v>763.94372684109806</v>
      </c>
      <c r="BG76" s="7">
        <f t="shared" si="92"/>
        <v>1987.1620549617669</v>
      </c>
      <c r="BI76" s="28">
        <v>35</v>
      </c>
      <c r="BJ76" s="26">
        <v>1.0000000000000001E-5</v>
      </c>
      <c r="BK76" s="28">
        <v>0.5</v>
      </c>
      <c r="BL76" s="28">
        <v>200</v>
      </c>
      <c r="BM76" s="26">
        <v>2.4999999999999999E-8</v>
      </c>
      <c r="BN76" s="26">
        <f t="shared" si="93"/>
        <v>1.2499999999999999E-8</v>
      </c>
      <c r="BO76" s="26">
        <f t="shared" si="94"/>
        <v>2.4999999999999996E-3</v>
      </c>
      <c r="BP76" s="7">
        <v>39.574659469449202</v>
      </c>
      <c r="BQ76" s="7">
        <v>600.83500597989303</v>
      </c>
      <c r="BR76" s="7">
        <v>781.06268252331097</v>
      </c>
      <c r="BS76" s="7">
        <v>600.83500597989303</v>
      </c>
      <c r="BT76" s="7">
        <v>3589388.20090432</v>
      </c>
      <c r="BU76" s="7">
        <v>763.94372684109806</v>
      </c>
      <c r="BV76" s="7">
        <f t="shared" si="95"/>
        <v>1982.732694483097</v>
      </c>
      <c r="BX76" s="28">
        <v>35</v>
      </c>
      <c r="BY76" s="26">
        <v>5.0000000000000002E-5</v>
      </c>
      <c r="BZ76" s="28">
        <v>0.5</v>
      </c>
      <c r="CA76" s="28">
        <v>200</v>
      </c>
      <c r="CB76" s="26">
        <v>2.4999999999999999E-8</v>
      </c>
      <c r="CC76" s="26">
        <f t="shared" si="96"/>
        <v>1.2499999999999999E-8</v>
      </c>
      <c r="CD76" s="26">
        <f t="shared" si="97"/>
        <v>4.999999999999999E-4</v>
      </c>
      <c r="CE76" s="7">
        <v>60.692965943223697</v>
      </c>
      <c r="CF76" s="7">
        <v>120.167001188906</v>
      </c>
      <c r="CG76" s="7">
        <v>156.21253650466201</v>
      </c>
      <c r="CH76" s="7">
        <v>120.167001188906</v>
      </c>
      <c r="CI76" s="7">
        <v>717877.66075713001</v>
      </c>
      <c r="CJ76" s="7">
        <v>30.557749073643901</v>
      </c>
      <c r="CK76" s="7">
        <f t="shared" si="98"/>
        <v>396.54653888247401</v>
      </c>
      <c r="CM76" s="28">
        <v>35</v>
      </c>
      <c r="CN76" s="26">
        <v>5.0000000000000002E-5</v>
      </c>
      <c r="CO76" s="28">
        <v>1</v>
      </c>
      <c r="CP76" s="28">
        <v>200</v>
      </c>
      <c r="CQ76" s="26">
        <v>2.4999999999999999E-8</v>
      </c>
      <c r="CR76" s="26">
        <f t="shared" si="99"/>
        <v>2.4999999999999999E-8</v>
      </c>
      <c r="CS76" s="26">
        <f t="shared" si="100"/>
        <v>9.999999999999998E-4</v>
      </c>
      <c r="CT76" s="7">
        <v>60.926674612408803</v>
      </c>
      <c r="CU76" s="7">
        <v>119.779274796552</v>
      </c>
      <c r="CV76" s="7">
        <v>155.521045898078</v>
      </c>
      <c r="CW76" s="7">
        <v>119.779274796552</v>
      </c>
      <c r="CX76" s="7">
        <v>358938.83037856501</v>
      </c>
      <c r="CY76" s="7">
        <v>30.557749073643901</v>
      </c>
      <c r="CZ76" s="7">
        <f t="shared" si="101"/>
        <v>395.07959549118198</v>
      </c>
      <c r="DB76" s="28">
        <v>35</v>
      </c>
      <c r="DC76" s="26">
        <v>5.0000000000000002E-5</v>
      </c>
      <c r="DD76" s="28">
        <v>2</v>
      </c>
      <c r="DE76" s="28">
        <v>200</v>
      </c>
      <c r="DF76" s="26">
        <v>2.4999999999999999E-8</v>
      </c>
      <c r="DG76" s="26">
        <f t="shared" si="102"/>
        <v>4.9999999999999998E-8</v>
      </c>
      <c r="DH76" s="26">
        <f t="shared" si="103"/>
        <v>1.9999999999999996E-3</v>
      </c>
      <c r="DI76" s="7">
        <v>61.393133884624497</v>
      </c>
      <c r="DJ76" s="7">
        <v>119.01223137089301</v>
      </c>
      <c r="DK76" s="7">
        <v>154.156369850555</v>
      </c>
      <c r="DL76" s="7">
        <v>119.01223137089301</v>
      </c>
      <c r="DM76" s="7">
        <v>179469.41518928201</v>
      </c>
      <c r="DN76" s="7">
        <v>30.557749073643901</v>
      </c>
      <c r="DO76" s="7">
        <f t="shared" si="104"/>
        <v>392.18083259234101</v>
      </c>
      <c r="DQ76" s="28">
        <v>35</v>
      </c>
      <c r="DR76" s="26">
        <v>5.0000000000000002E-5</v>
      </c>
      <c r="DS76" s="28">
        <v>15</v>
      </c>
      <c r="DT76" s="28">
        <v>300</v>
      </c>
      <c r="DU76" s="26">
        <v>1E-8</v>
      </c>
      <c r="DV76" s="26">
        <f t="shared" si="105"/>
        <v>1.4999999999999999E-7</v>
      </c>
      <c r="DW76" s="26">
        <f t="shared" si="106"/>
        <v>5.9999999999999993E-3</v>
      </c>
      <c r="DX76" s="7">
        <v>104.96920588309101</v>
      </c>
      <c r="DY76" s="7">
        <v>75.5008244304708</v>
      </c>
      <c r="DZ76" s="7">
        <v>96.032312732024195</v>
      </c>
      <c r="EA76" s="7">
        <v>75.5008244304708</v>
      </c>
      <c r="EB76" s="7">
        <v>23929.255358571001</v>
      </c>
      <c r="EC76" s="7">
        <v>10.1859163578813</v>
      </c>
      <c r="ED76" s="7">
        <f t="shared" si="107"/>
        <v>247.0339615929658</v>
      </c>
    </row>
    <row r="77" spans="1:134" x14ac:dyDescent="0.4">
      <c r="A77" s="28">
        <v>40</v>
      </c>
      <c r="B77" s="26">
        <v>1.0000000000000001E-5</v>
      </c>
      <c r="C77" s="28">
        <v>0.2</v>
      </c>
      <c r="D77" s="28">
        <v>30</v>
      </c>
      <c r="E77" s="26">
        <v>2.4999999999999999E-8</v>
      </c>
      <c r="F77" s="26">
        <f t="shared" si="81"/>
        <v>5.0000000000000001E-9</v>
      </c>
      <c r="G77" s="26">
        <f t="shared" si="82"/>
        <v>1E-3</v>
      </c>
      <c r="H77" s="7">
        <v>10.7140881290993</v>
      </c>
      <c r="I77" s="7">
        <v>3352.9677929484601</v>
      </c>
      <c r="J77" s="7">
        <v>5323.5334580216904</v>
      </c>
      <c r="K77" s="7">
        <v>3352.9677929484601</v>
      </c>
      <c r="L77" s="7">
        <v>13908939.478979601</v>
      </c>
      <c r="M77" s="7">
        <v>763.94372684109806</v>
      </c>
      <c r="N77" s="7">
        <f t="shared" si="83"/>
        <v>12029.469043918611</v>
      </c>
      <c r="P77" s="28">
        <v>40</v>
      </c>
      <c r="Q77" s="26">
        <v>3.0000000000000001E-5</v>
      </c>
      <c r="R77" s="28">
        <v>0.2</v>
      </c>
      <c r="S77" s="28">
        <v>30</v>
      </c>
      <c r="T77" s="26">
        <v>2.4999999999999999E-8</v>
      </c>
      <c r="U77" s="26">
        <f t="shared" si="84"/>
        <v>5.0000000000000001E-9</v>
      </c>
      <c r="V77" s="26">
        <f t="shared" si="85"/>
        <v>3.3333333333333332E-4</v>
      </c>
      <c r="W77" s="7">
        <v>11.5836038758434</v>
      </c>
      <c r="X77" s="7">
        <v>1117.6559309715101</v>
      </c>
      <c r="Y77" s="7">
        <v>1774.5111526738999</v>
      </c>
      <c r="Z77" s="7">
        <v>1117.6559309715101</v>
      </c>
      <c r="AA77" s="7">
        <v>4636313.1689486196</v>
      </c>
      <c r="AB77" s="7">
        <v>84.882636315677502</v>
      </c>
      <c r="AC77" s="7">
        <f t="shared" si="86"/>
        <v>4009.8230146169199</v>
      </c>
      <c r="AE77" s="28">
        <v>40</v>
      </c>
      <c r="AF77" s="26">
        <v>5.0000000000000002E-5</v>
      </c>
      <c r="AG77" s="28">
        <v>0.2</v>
      </c>
      <c r="AH77" s="28">
        <v>30</v>
      </c>
      <c r="AI77" s="26">
        <v>2.4999999999999999E-8</v>
      </c>
      <c r="AJ77" s="26">
        <f t="shared" si="87"/>
        <v>5.0000000000000001E-9</v>
      </c>
      <c r="AK77" s="26">
        <f t="shared" si="88"/>
        <v>1.9999999999999998E-4</v>
      </c>
      <c r="AL77" s="7">
        <v>11.7747395146662</v>
      </c>
      <c r="AM77" s="7">
        <v>670.59355848720395</v>
      </c>
      <c r="AN77" s="7">
        <v>1064.70669160434</v>
      </c>
      <c r="AO77" s="7">
        <v>670.59355848720395</v>
      </c>
      <c r="AP77" s="7">
        <v>2781787.9800138599</v>
      </c>
      <c r="AQ77" s="7">
        <v>30.557749073643901</v>
      </c>
      <c r="AR77" s="7">
        <f t="shared" si="89"/>
        <v>2405.8938085787481</v>
      </c>
      <c r="AT77" s="28">
        <v>40</v>
      </c>
      <c r="AU77" s="26">
        <v>1.0000000000000001E-5</v>
      </c>
      <c r="AV77" s="28">
        <v>0.2</v>
      </c>
      <c r="AW77" s="28">
        <v>200</v>
      </c>
      <c r="AX77" s="26">
        <v>2.4999999999999999E-8</v>
      </c>
      <c r="AY77" s="26">
        <f t="shared" si="90"/>
        <v>5.0000000000000001E-9</v>
      </c>
      <c r="AZ77" s="26">
        <f t="shared" si="91"/>
        <v>1E-3</v>
      </c>
      <c r="BA77" s="7">
        <v>43.392074583542801</v>
      </c>
      <c r="BB77" s="7">
        <v>506.171357939058</v>
      </c>
      <c r="BC77" s="7">
        <v>804.808472591532</v>
      </c>
      <c r="BD77" s="7">
        <v>506.171357939058</v>
      </c>
      <c r="BE77" s="7">
        <v>13908939.478979601</v>
      </c>
      <c r="BF77" s="7">
        <v>763.94372684109806</v>
      </c>
      <c r="BG77" s="7">
        <f t="shared" si="92"/>
        <v>1817.1511884696479</v>
      </c>
      <c r="BI77" s="28">
        <v>40</v>
      </c>
      <c r="BJ77" s="26">
        <v>1.0000000000000001E-5</v>
      </c>
      <c r="BK77" s="28">
        <v>0.5</v>
      </c>
      <c r="BL77" s="28">
        <v>200</v>
      </c>
      <c r="BM77" s="26">
        <v>2.4999999999999999E-8</v>
      </c>
      <c r="BN77" s="26">
        <f t="shared" si="93"/>
        <v>1.2499999999999999E-8</v>
      </c>
      <c r="BO77" s="26">
        <f t="shared" si="94"/>
        <v>2.4999999999999996E-3</v>
      </c>
      <c r="BP77" s="7">
        <v>43.451712930230698</v>
      </c>
      <c r="BQ77" s="7">
        <v>505.31296257696903</v>
      </c>
      <c r="BR77" s="7">
        <v>803.13685140779603</v>
      </c>
      <c r="BS77" s="7">
        <v>505.31296257696903</v>
      </c>
      <c r="BT77" s="7">
        <v>5563575.7915918296</v>
      </c>
      <c r="BU77" s="7">
        <v>763.94372684109806</v>
      </c>
      <c r="BV77" s="7">
        <f t="shared" si="95"/>
        <v>1813.7627765617342</v>
      </c>
      <c r="BX77" s="28">
        <v>40</v>
      </c>
      <c r="BY77" s="26">
        <v>5.0000000000000002E-5</v>
      </c>
      <c r="BZ77" s="28">
        <v>0.5</v>
      </c>
      <c r="CA77" s="28">
        <v>200</v>
      </c>
      <c r="CB77" s="26">
        <v>2.4999999999999999E-8</v>
      </c>
      <c r="CC77" s="26">
        <f t="shared" si="96"/>
        <v>1.2499999999999999E-8</v>
      </c>
      <c r="CD77" s="26">
        <f t="shared" si="97"/>
        <v>4.999999999999999E-4</v>
      </c>
      <c r="CE77" s="7">
        <v>68.497044846705094</v>
      </c>
      <c r="CF77" s="7">
        <v>101.06259250957299</v>
      </c>
      <c r="CG77" s="7">
        <v>160.627370281559</v>
      </c>
      <c r="CH77" s="7">
        <v>101.06259250957299</v>
      </c>
      <c r="CI77" s="7">
        <v>1112715.19200554</v>
      </c>
      <c r="CJ77" s="7">
        <v>30.557749073643901</v>
      </c>
      <c r="CK77" s="7">
        <f t="shared" si="98"/>
        <v>362.75255530070496</v>
      </c>
      <c r="CM77" s="28">
        <v>40</v>
      </c>
      <c r="CN77" s="26">
        <v>5.0000000000000002E-5</v>
      </c>
      <c r="CO77" s="28">
        <v>1</v>
      </c>
      <c r="CP77" s="28">
        <v>200</v>
      </c>
      <c r="CQ77" s="26">
        <v>2.4999999999999999E-8</v>
      </c>
      <c r="CR77" s="26">
        <f t="shared" si="99"/>
        <v>2.4999999999999999E-8</v>
      </c>
      <c r="CS77" s="26">
        <f t="shared" si="100"/>
        <v>9.999999999999998E-4</v>
      </c>
      <c r="CT77" s="7">
        <v>68.705105064814106</v>
      </c>
      <c r="CU77" s="7">
        <v>100.77787314708399</v>
      </c>
      <c r="CV77" s="7">
        <v>160.073267279547</v>
      </c>
      <c r="CW77" s="7">
        <v>100.77787314708399</v>
      </c>
      <c r="CX77" s="7">
        <v>556357.59600277198</v>
      </c>
      <c r="CY77" s="7">
        <v>30.557749073643901</v>
      </c>
      <c r="CZ77" s="7">
        <f t="shared" si="101"/>
        <v>361.62901357371499</v>
      </c>
      <c r="DB77" s="28">
        <v>40</v>
      </c>
      <c r="DC77" s="26">
        <v>5.0000000000000002E-5</v>
      </c>
      <c r="DD77" s="28">
        <v>2</v>
      </c>
      <c r="DE77" s="28">
        <v>200</v>
      </c>
      <c r="DF77" s="26">
        <v>2.4999999999999999E-8</v>
      </c>
      <c r="DG77" s="26">
        <f t="shared" si="102"/>
        <v>4.9999999999999998E-8</v>
      </c>
      <c r="DH77" s="26">
        <f t="shared" si="103"/>
        <v>1.9999999999999996E-3</v>
      </c>
      <c r="DI77" s="7">
        <v>69.120538238598598</v>
      </c>
      <c r="DJ77" s="7">
        <v>100.213668542356</v>
      </c>
      <c r="DK77" s="7">
        <v>158.97655523681999</v>
      </c>
      <c r="DL77" s="7">
        <v>100.213668542356</v>
      </c>
      <c r="DM77" s="7">
        <v>278178.79800138599</v>
      </c>
      <c r="DN77" s="7">
        <v>30.557749073643901</v>
      </c>
      <c r="DO77" s="7">
        <f t="shared" si="104"/>
        <v>359.403892321532</v>
      </c>
      <c r="DQ77" s="28">
        <v>40</v>
      </c>
      <c r="DR77" s="26">
        <v>5.0000000000000002E-5</v>
      </c>
      <c r="DS77" s="28">
        <v>15</v>
      </c>
      <c r="DT77" s="28">
        <v>300</v>
      </c>
      <c r="DU77" s="26">
        <v>1E-8</v>
      </c>
      <c r="DV77" s="26">
        <f t="shared" si="105"/>
        <v>1.4999999999999999E-7</v>
      </c>
      <c r="DW77" s="26">
        <f t="shared" si="106"/>
        <v>5.9999999999999993E-3</v>
      </c>
      <c r="DX77" s="7">
        <v>117.448467554327</v>
      </c>
      <c r="DY77" s="7">
        <v>63.957630951740299</v>
      </c>
      <c r="DZ77" s="7">
        <v>100.479958515748</v>
      </c>
      <c r="EA77" s="7">
        <v>63.957630951740299</v>
      </c>
      <c r="EB77" s="7">
        <v>37090.5064001848</v>
      </c>
      <c r="EC77" s="7">
        <v>10.1859163578813</v>
      </c>
      <c r="ED77" s="7">
        <f t="shared" si="107"/>
        <v>228.39522041922859</v>
      </c>
    </row>
    <row r="78" spans="1:134" x14ac:dyDescent="0.4">
      <c r="A78" s="28">
        <v>45</v>
      </c>
      <c r="B78" s="26">
        <v>1.0000000000000001E-5</v>
      </c>
      <c r="C78" s="28">
        <v>0.2</v>
      </c>
      <c r="D78" s="28">
        <v>30</v>
      </c>
      <c r="E78" s="26">
        <v>2.4999999999999999E-8</v>
      </c>
      <c r="F78" s="26">
        <f t="shared" si="81"/>
        <v>5.0000000000000001E-9</v>
      </c>
      <c r="G78" s="26">
        <f t="shared" si="82"/>
        <v>1E-3</v>
      </c>
      <c r="H78" s="7">
        <v>11.911457203895599</v>
      </c>
      <c r="I78" s="7">
        <v>2844.9728255004802</v>
      </c>
      <c r="J78" s="7">
        <v>5459.8455675855203</v>
      </c>
      <c r="K78" s="7">
        <v>2844.9728255004802</v>
      </c>
      <c r="L78" s="7">
        <v>22314016.336053099</v>
      </c>
      <c r="M78" s="7">
        <v>763.94372684109806</v>
      </c>
      <c r="N78" s="7">
        <f t="shared" si="83"/>
        <v>11149.791218586481</v>
      </c>
      <c r="P78" s="28">
        <v>45</v>
      </c>
      <c r="Q78" s="26">
        <v>3.0000000000000001E-5</v>
      </c>
      <c r="R78" s="28">
        <v>0.2</v>
      </c>
      <c r="S78" s="28">
        <v>30</v>
      </c>
      <c r="T78" s="26">
        <v>2.4999999999999999E-8</v>
      </c>
      <c r="U78" s="26">
        <f t="shared" si="84"/>
        <v>5.0000000000000001E-9</v>
      </c>
      <c r="V78" s="26">
        <f t="shared" si="85"/>
        <v>3.3333333333333332E-4</v>
      </c>
      <c r="W78" s="7">
        <v>12.951506159505501</v>
      </c>
      <c r="X78" s="7">
        <v>948.32427515736799</v>
      </c>
      <c r="Y78" s="7">
        <v>1819.94852252851</v>
      </c>
      <c r="Z78" s="7">
        <v>948.32427515736799</v>
      </c>
      <c r="AA78" s="7">
        <v>7438005.4604388904</v>
      </c>
      <c r="AB78" s="7">
        <v>84.882636315677502</v>
      </c>
      <c r="AC78" s="7">
        <f t="shared" si="86"/>
        <v>3716.5970728432458</v>
      </c>
      <c r="AE78" s="28">
        <v>45</v>
      </c>
      <c r="AF78" s="26">
        <v>5.0000000000000002E-5</v>
      </c>
      <c r="AG78" s="28">
        <v>0.2</v>
      </c>
      <c r="AH78" s="28">
        <v>30</v>
      </c>
      <c r="AI78" s="26">
        <v>2.4999999999999999E-8</v>
      </c>
      <c r="AJ78" s="26">
        <f t="shared" si="87"/>
        <v>5.0000000000000001E-9</v>
      </c>
      <c r="AK78" s="26">
        <f t="shared" si="88"/>
        <v>1.9999999999999998E-4</v>
      </c>
      <c r="AL78" s="7">
        <v>13.1817109977502</v>
      </c>
      <c r="AM78" s="7">
        <v>568.99456501435202</v>
      </c>
      <c r="AN78" s="7">
        <v>1091.9691135170999</v>
      </c>
      <c r="AO78" s="7">
        <v>568.99456501435202</v>
      </c>
      <c r="AP78" s="7">
        <v>4462803.4040061999</v>
      </c>
      <c r="AQ78" s="7">
        <v>30.557749073643901</v>
      </c>
      <c r="AR78" s="7">
        <f t="shared" si="89"/>
        <v>2229.9582435458042</v>
      </c>
      <c r="AT78" s="28">
        <v>45</v>
      </c>
      <c r="AU78" s="26">
        <v>1.0000000000000001E-5</v>
      </c>
      <c r="AV78" s="28">
        <v>0.2</v>
      </c>
      <c r="AW78" s="28">
        <v>200</v>
      </c>
      <c r="AX78" s="26">
        <v>2.4999999999999999E-8</v>
      </c>
      <c r="AY78" s="26">
        <f t="shared" si="90"/>
        <v>5.0000000000000001E-9</v>
      </c>
      <c r="AZ78" s="26">
        <f t="shared" si="91"/>
        <v>1E-3</v>
      </c>
      <c r="BA78" s="7">
        <v>47.018259509411202</v>
      </c>
      <c r="BB78" s="7">
        <v>429.182314820393</v>
      </c>
      <c r="BC78" s="7">
        <v>824.10906225483302</v>
      </c>
      <c r="BD78" s="7">
        <v>429.182314820393</v>
      </c>
      <c r="BE78" s="7">
        <v>22314016.336053099</v>
      </c>
      <c r="BF78" s="7">
        <v>763.94372684109806</v>
      </c>
      <c r="BG78" s="7">
        <f t="shared" si="92"/>
        <v>1682.4736918956191</v>
      </c>
      <c r="BI78" s="28">
        <v>45</v>
      </c>
      <c r="BJ78" s="26">
        <v>1.0000000000000001E-5</v>
      </c>
      <c r="BK78" s="28">
        <v>0.5</v>
      </c>
      <c r="BL78" s="28">
        <v>200</v>
      </c>
      <c r="BM78" s="26">
        <v>2.4999999999999999E-8</v>
      </c>
      <c r="BN78" s="26">
        <f t="shared" si="93"/>
        <v>1.2499999999999999E-8</v>
      </c>
      <c r="BO78" s="26">
        <f t="shared" si="94"/>
        <v>2.4999999999999996E-3</v>
      </c>
      <c r="BP78" s="7">
        <v>47.067396802143001</v>
      </c>
      <c r="BQ78" s="7">
        <v>428.53449983983199</v>
      </c>
      <c r="BR78" s="7">
        <v>822.74419088845502</v>
      </c>
      <c r="BS78" s="7">
        <v>428.53449983983199</v>
      </c>
      <c r="BT78" s="7">
        <v>8925606.5344212595</v>
      </c>
      <c r="BU78" s="7">
        <v>763.94372684109806</v>
      </c>
      <c r="BV78" s="7">
        <f t="shared" si="95"/>
        <v>1679.8131905681191</v>
      </c>
      <c r="BX78" s="28">
        <v>45</v>
      </c>
      <c r="BY78" s="26">
        <v>5.0000000000000002E-5</v>
      </c>
      <c r="BZ78" s="28">
        <v>0.5</v>
      </c>
      <c r="CA78" s="28">
        <v>200</v>
      </c>
      <c r="CB78" s="26">
        <v>2.4999999999999999E-8</v>
      </c>
      <c r="CC78" s="26">
        <f t="shared" si="96"/>
        <v>1.2499999999999999E-8</v>
      </c>
      <c r="CD78" s="26">
        <f t="shared" si="97"/>
        <v>4.999999999999999E-4</v>
      </c>
      <c r="CE78" s="7">
        <v>76.034128859884902</v>
      </c>
      <c r="CF78" s="7">
        <v>85.706899963102501</v>
      </c>
      <c r="CG78" s="7">
        <v>164.54883817769101</v>
      </c>
      <c r="CH78" s="7">
        <v>85.706899963102501</v>
      </c>
      <c r="CI78" s="7">
        <v>1785121.3616024801</v>
      </c>
      <c r="CJ78" s="7">
        <v>30.557749073643901</v>
      </c>
      <c r="CK78" s="7">
        <f t="shared" si="98"/>
        <v>335.96263810389598</v>
      </c>
      <c r="CM78" s="28">
        <v>45</v>
      </c>
      <c r="CN78" s="26">
        <v>5.0000000000000002E-5</v>
      </c>
      <c r="CO78" s="28">
        <v>1</v>
      </c>
      <c r="CP78" s="28">
        <v>200</v>
      </c>
      <c r="CQ78" s="26">
        <v>2.4999999999999999E-8</v>
      </c>
      <c r="CR78" s="26">
        <f t="shared" si="99"/>
        <v>2.4999999999999999E-8</v>
      </c>
      <c r="CS78" s="26">
        <f t="shared" si="100"/>
        <v>9.999999999999998E-4</v>
      </c>
      <c r="CT78" s="7">
        <v>76.220447733949101</v>
      </c>
      <c r="CU78" s="7">
        <v>85.491887514072303</v>
      </c>
      <c r="CV78" s="7">
        <v>164.095913900619</v>
      </c>
      <c r="CW78" s="7">
        <v>85.491887514072303</v>
      </c>
      <c r="CX78" s="7">
        <v>892560.68080124003</v>
      </c>
      <c r="CY78" s="7">
        <v>30.557749073643901</v>
      </c>
      <c r="CZ78" s="7">
        <f t="shared" si="101"/>
        <v>335.07968892876357</v>
      </c>
      <c r="DB78" s="28">
        <v>45</v>
      </c>
      <c r="DC78" s="26">
        <v>5.0000000000000002E-5</v>
      </c>
      <c r="DD78" s="28">
        <v>2</v>
      </c>
      <c r="DE78" s="28">
        <v>200</v>
      </c>
      <c r="DF78" s="26">
        <v>2.4999999999999999E-8</v>
      </c>
      <c r="DG78" s="26">
        <f t="shared" si="102"/>
        <v>4.9999999999999998E-8</v>
      </c>
      <c r="DH78" s="26">
        <f t="shared" si="103"/>
        <v>1.9999999999999996E-3</v>
      </c>
      <c r="DI78" s="7">
        <v>76.592563220572998</v>
      </c>
      <c r="DJ78" s="7">
        <v>85.065299620820397</v>
      </c>
      <c r="DK78" s="7">
        <v>163.197611169178</v>
      </c>
      <c r="DL78" s="7">
        <v>85.065299620820397</v>
      </c>
      <c r="DM78" s="7">
        <v>446280.34040062001</v>
      </c>
      <c r="DN78" s="7">
        <v>30.557749073643901</v>
      </c>
      <c r="DO78" s="7">
        <f t="shared" si="104"/>
        <v>333.32821041081877</v>
      </c>
      <c r="DQ78" s="28">
        <v>45</v>
      </c>
      <c r="DR78" s="26">
        <v>5.0000000000000002E-5</v>
      </c>
      <c r="DS78" s="28">
        <v>15</v>
      </c>
      <c r="DT78" s="28">
        <v>300</v>
      </c>
      <c r="DU78" s="26">
        <v>1E-8</v>
      </c>
      <c r="DV78" s="26">
        <f t="shared" si="105"/>
        <v>1.4999999999999999E-7</v>
      </c>
      <c r="DW78" s="26">
        <f t="shared" si="106"/>
        <v>5.9999999999999993E-3</v>
      </c>
      <c r="DX78" s="7">
        <v>129.67465293161399</v>
      </c>
      <c r="DY78" s="7">
        <v>54.539450656433999</v>
      </c>
      <c r="DZ78" s="7">
        <v>104.236562937325</v>
      </c>
      <c r="EA78" s="7">
        <v>54.539450656433999</v>
      </c>
      <c r="EB78" s="7">
        <v>59504.045386749298</v>
      </c>
      <c r="EC78" s="7">
        <v>10.1859163578813</v>
      </c>
      <c r="ED78" s="7">
        <f t="shared" si="107"/>
        <v>213.31546425019297</v>
      </c>
    </row>
    <row r="79" spans="1:134" x14ac:dyDescent="0.4">
      <c r="A79" s="28">
        <v>50</v>
      </c>
      <c r="B79" s="26">
        <v>1.0000000000000001E-5</v>
      </c>
      <c r="C79" s="28">
        <v>0.2</v>
      </c>
      <c r="D79" s="28">
        <v>30</v>
      </c>
      <c r="E79" s="26">
        <v>2.4999999999999999E-8</v>
      </c>
      <c r="F79" s="26">
        <f t="shared" si="81"/>
        <v>5.0000000000000001E-9</v>
      </c>
      <c r="G79" s="26">
        <f t="shared" si="82"/>
        <v>1E-3</v>
      </c>
      <c r="H79" s="7">
        <v>13.0807565682335</v>
      </c>
      <c r="I79" s="7">
        <v>2422.0764785389101</v>
      </c>
      <c r="J79" s="7">
        <v>5581.9822447758097</v>
      </c>
      <c r="K79" s="7">
        <v>2422.0764785389101</v>
      </c>
      <c r="L79" s="7">
        <v>38032949.861855596</v>
      </c>
      <c r="M79" s="7">
        <v>763.94372684109806</v>
      </c>
      <c r="N79" s="7">
        <f t="shared" si="83"/>
        <v>10426.135201853631</v>
      </c>
      <c r="P79" s="28">
        <v>50</v>
      </c>
      <c r="Q79" s="26">
        <v>3.0000000000000001E-5</v>
      </c>
      <c r="R79" s="28">
        <v>0.2</v>
      </c>
      <c r="S79" s="28">
        <v>30</v>
      </c>
      <c r="T79" s="26">
        <v>2.4999999999999999E-8</v>
      </c>
      <c r="U79" s="26">
        <f t="shared" si="84"/>
        <v>5.0000000000000001E-9</v>
      </c>
      <c r="V79" s="26">
        <f t="shared" si="85"/>
        <v>3.3333333333333332E-4</v>
      </c>
      <c r="W79" s="7">
        <v>14.298793855649199</v>
      </c>
      <c r="X79" s="7">
        <v>807.35882617166396</v>
      </c>
      <c r="Y79" s="7">
        <v>1860.6607482586001</v>
      </c>
      <c r="Z79" s="7">
        <v>807.35882617166396</v>
      </c>
      <c r="AA79" s="7">
        <v>12677649.9784535</v>
      </c>
      <c r="AB79" s="7">
        <v>84.882636315677502</v>
      </c>
      <c r="AC79" s="7">
        <f t="shared" si="86"/>
        <v>3475.3784006019282</v>
      </c>
      <c r="AE79" s="28">
        <v>50</v>
      </c>
      <c r="AF79" s="26">
        <v>5.0000000000000002E-5</v>
      </c>
      <c r="AG79" s="28">
        <v>0.2</v>
      </c>
      <c r="AH79" s="28">
        <v>30</v>
      </c>
      <c r="AI79" s="26">
        <v>2.4999999999999999E-8</v>
      </c>
      <c r="AJ79" s="26">
        <f t="shared" si="87"/>
        <v>5.0000000000000001E-9</v>
      </c>
      <c r="AK79" s="26">
        <f t="shared" si="88"/>
        <v>1.9999999999999998E-4</v>
      </c>
      <c r="AL79" s="7">
        <v>14.570147474381899</v>
      </c>
      <c r="AM79" s="7">
        <v>484.41529563550102</v>
      </c>
      <c r="AN79" s="7">
        <v>1116.3964489551599</v>
      </c>
      <c r="AO79" s="7">
        <v>484.41529563550102</v>
      </c>
      <c r="AP79" s="7">
        <v>7606590.1945190197</v>
      </c>
      <c r="AQ79" s="7">
        <v>30.557749073643901</v>
      </c>
      <c r="AR79" s="7">
        <f t="shared" si="89"/>
        <v>2085.227040226162</v>
      </c>
      <c r="AT79" s="28">
        <v>50</v>
      </c>
      <c r="AU79" s="26">
        <v>1.0000000000000001E-5</v>
      </c>
      <c r="AV79" s="28">
        <v>0.2</v>
      </c>
      <c r="AW79" s="28">
        <v>200</v>
      </c>
      <c r="AX79" s="26">
        <v>2.4999999999999999E-8</v>
      </c>
      <c r="AY79" s="26">
        <f t="shared" si="90"/>
        <v>5.0000000000000001E-9</v>
      </c>
      <c r="AZ79" s="26">
        <f t="shared" si="91"/>
        <v>1E-3</v>
      </c>
      <c r="BA79" s="7">
        <v>50.432923186285699</v>
      </c>
      <c r="BB79" s="7">
        <v>365.18105956717</v>
      </c>
      <c r="BC79" s="7">
        <v>841.53641728653497</v>
      </c>
      <c r="BD79" s="7">
        <v>365.18105956717</v>
      </c>
      <c r="BE79" s="7">
        <v>38032949.861855596</v>
      </c>
      <c r="BF79" s="7">
        <v>763.94372684109806</v>
      </c>
      <c r="BG79" s="7">
        <f t="shared" si="92"/>
        <v>1571.898536420875</v>
      </c>
      <c r="BI79" s="28">
        <v>50</v>
      </c>
      <c r="BJ79" s="26">
        <v>1.0000000000000001E-5</v>
      </c>
      <c r="BK79" s="28">
        <v>0.5</v>
      </c>
      <c r="BL79" s="28">
        <v>200</v>
      </c>
      <c r="BM79" s="26">
        <v>2.4999999999999999E-8</v>
      </c>
      <c r="BN79" s="26">
        <f t="shared" si="93"/>
        <v>1.2499999999999999E-8</v>
      </c>
      <c r="BO79" s="26">
        <f t="shared" si="94"/>
        <v>2.4999999999999996E-3</v>
      </c>
      <c r="BP79" s="7">
        <v>50.473602267796203</v>
      </c>
      <c r="BQ79" s="7">
        <v>364.68421056947602</v>
      </c>
      <c r="BR79" s="7">
        <v>840.41004328064798</v>
      </c>
      <c r="BS79" s="7">
        <v>364.68421056947602</v>
      </c>
      <c r="BT79" s="7">
        <v>15213179.944742201</v>
      </c>
      <c r="BU79" s="7">
        <v>763.94372684109806</v>
      </c>
      <c r="BV79" s="7">
        <f t="shared" si="95"/>
        <v>1569.7784644195999</v>
      </c>
      <c r="BX79" s="28">
        <v>50</v>
      </c>
      <c r="BY79" s="26">
        <v>5.0000000000000002E-5</v>
      </c>
      <c r="BZ79" s="28">
        <v>0.5</v>
      </c>
      <c r="CA79" s="28">
        <v>200</v>
      </c>
      <c r="CB79" s="26">
        <v>2.4999999999999999E-8</v>
      </c>
      <c r="CC79" s="26">
        <f t="shared" si="96"/>
        <v>1.2499999999999999E-8</v>
      </c>
      <c r="CD79" s="26">
        <f t="shared" si="97"/>
        <v>4.999999999999999E-4</v>
      </c>
      <c r="CE79" s="7">
        <v>83.364332833723694</v>
      </c>
      <c r="CF79" s="7">
        <v>72.936842109798505</v>
      </c>
      <c r="CG79" s="7">
        <v>168.08200865613</v>
      </c>
      <c r="CH79" s="7">
        <v>72.936842109798505</v>
      </c>
      <c r="CI79" s="7">
        <v>3042636.0778076099</v>
      </c>
      <c r="CJ79" s="7">
        <v>30.557749073643901</v>
      </c>
      <c r="CK79" s="7">
        <f t="shared" si="98"/>
        <v>313.95569287572698</v>
      </c>
      <c r="CM79" s="28">
        <v>50</v>
      </c>
      <c r="CN79" s="26">
        <v>5.0000000000000002E-5</v>
      </c>
      <c r="CO79" s="28">
        <v>1</v>
      </c>
      <c r="CP79" s="28">
        <v>200</v>
      </c>
      <c r="CQ79" s="26">
        <v>2.4999999999999999E-8</v>
      </c>
      <c r="CR79" s="26">
        <f t="shared" si="99"/>
        <v>2.4999999999999999E-8</v>
      </c>
      <c r="CS79" s="26">
        <f t="shared" si="100"/>
        <v>9.999999999999998E-4</v>
      </c>
      <c r="CT79" s="7">
        <v>83.531371221696105</v>
      </c>
      <c r="CU79" s="7">
        <v>72.771853396363895</v>
      </c>
      <c r="CV79" s="7">
        <v>167.707917393011</v>
      </c>
      <c r="CW79" s="7">
        <v>72.771853396363895</v>
      </c>
      <c r="CX79" s="7">
        <v>1521318.0389038101</v>
      </c>
      <c r="CY79" s="7">
        <v>30.557749073643901</v>
      </c>
      <c r="CZ79" s="7">
        <f t="shared" si="101"/>
        <v>313.25162418573882</v>
      </c>
      <c r="DB79" s="28">
        <v>50</v>
      </c>
      <c r="DC79" s="26">
        <v>5.0000000000000002E-5</v>
      </c>
      <c r="DD79" s="28">
        <v>2</v>
      </c>
      <c r="DE79" s="28">
        <v>200</v>
      </c>
      <c r="DF79" s="26">
        <v>2.4999999999999999E-8</v>
      </c>
      <c r="DG79" s="26">
        <f t="shared" si="102"/>
        <v>4.9999999999999998E-8</v>
      </c>
      <c r="DH79" s="26">
        <f t="shared" si="103"/>
        <v>1.9999999999999996E-3</v>
      </c>
      <c r="DI79" s="7">
        <v>83.865032657352202</v>
      </c>
      <c r="DJ79" s="7">
        <v>72.444208829560395</v>
      </c>
      <c r="DK79" s="7">
        <v>166.964817403171</v>
      </c>
      <c r="DL79" s="7">
        <v>72.444208829560395</v>
      </c>
      <c r="DM79" s="7">
        <v>760659.01945190295</v>
      </c>
      <c r="DN79" s="7">
        <v>30.557749073643901</v>
      </c>
      <c r="DO79" s="7">
        <f t="shared" si="104"/>
        <v>311.85323506229179</v>
      </c>
      <c r="DQ79" s="28">
        <v>50</v>
      </c>
      <c r="DR79" s="26">
        <v>5.0000000000000002E-5</v>
      </c>
      <c r="DS79" s="28">
        <v>15</v>
      </c>
      <c r="DT79" s="28">
        <v>300</v>
      </c>
      <c r="DU79" s="26">
        <v>1E-8</v>
      </c>
      <c r="DV79" s="26">
        <f t="shared" si="105"/>
        <v>1.4999999999999999E-7</v>
      </c>
      <c r="DW79" s="26">
        <f t="shared" si="106"/>
        <v>5.9999999999999993E-3</v>
      </c>
      <c r="DX79" s="7">
        <v>141.69986428033201</v>
      </c>
      <c r="DY79" s="7">
        <v>46.620018473906597</v>
      </c>
      <c r="DZ79" s="7">
        <v>107.50242472112301</v>
      </c>
      <c r="EA79" s="7">
        <v>46.620018473906597</v>
      </c>
      <c r="EB79" s="7">
        <v>101421.202593587</v>
      </c>
      <c r="EC79" s="7">
        <v>10.1859163578813</v>
      </c>
      <c r="ED79" s="7">
        <f t="shared" si="107"/>
        <v>200.74246166893619</v>
      </c>
    </row>
    <row r="80" spans="1:134" x14ac:dyDescent="0.4">
      <c r="A80" s="28">
        <v>55.000000000000007</v>
      </c>
      <c r="B80" s="26">
        <v>1.0000000000000001E-5</v>
      </c>
      <c r="C80" s="28">
        <v>0.2</v>
      </c>
      <c r="D80" s="28">
        <v>30</v>
      </c>
      <c r="E80" s="26">
        <v>2.4999999999999999E-8</v>
      </c>
      <c r="F80" s="26">
        <f t="shared" si="81"/>
        <v>5.0000000000000001E-9</v>
      </c>
      <c r="G80" s="26">
        <f t="shared" si="82"/>
        <v>1E-3</v>
      </c>
      <c r="H80" s="7">
        <v>14.227958772205501</v>
      </c>
      <c r="I80" s="7">
        <v>2061.2283400943002</v>
      </c>
      <c r="J80" s="7">
        <v>5692.8014386926097</v>
      </c>
      <c r="K80" s="7">
        <v>2061.2283400943002</v>
      </c>
      <c r="L80" s="7">
        <v>72349793.874809399</v>
      </c>
      <c r="M80" s="7">
        <v>763.94372684109806</v>
      </c>
      <c r="N80" s="7">
        <f t="shared" si="83"/>
        <v>9815.2581188812092</v>
      </c>
      <c r="P80" s="28">
        <v>55.000000000000007</v>
      </c>
      <c r="Q80" s="26">
        <v>3.0000000000000001E-5</v>
      </c>
      <c r="R80" s="28">
        <v>0.2</v>
      </c>
      <c r="S80" s="28">
        <v>30</v>
      </c>
      <c r="T80" s="26">
        <v>2.4999999999999999E-8</v>
      </c>
      <c r="U80" s="26">
        <f t="shared" si="84"/>
        <v>5.0000000000000001E-9</v>
      </c>
      <c r="V80" s="26">
        <f t="shared" si="85"/>
        <v>3.3333333333333332E-4</v>
      </c>
      <c r="W80" s="7">
        <v>15.6314293807381</v>
      </c>
      <c r="X80" s="7">
        <v>687.07611335802699</v>
      </c>
      <c r="Y80" s="7">
        <v>1897.6004795642</v>
      </c>
      <c r="Z80" s="7">
        <v>687.07611335802699</v>
      </c>
      <c r="AA80" s="7">
        <v>24116597.9983452</v>
      </c>
      <c r="AB80" s="7">
        <v>84.882636315677502</v>
      </c>
      <c r="AC80" s="7">
        <f t="shared" si="86"/>
        <v>3271.7527062802537</v>
      </c>
      <c r="AE80" s="28">
        <v>55.000000000000007</v>
      </c>
      <c r="AF80" s="26">
        <v>5.0000000000000002E-5</v>
      </c>
      <c r="AG80" s="28">
        <v>0.2</v>
      </c>
      <c r="AH80" s="28">
        <v>30</v>
      </c>
      <c r="AI80" s="26">
        <v>2.4999999999999999E-8</v>
      </c>
      <c r="AJ80" s="26">
        <f t="shared" si="87"/>
        <v>5.0000000000000001E-9</v>
      </c>
      <c r="AK80" s="26">
        <f t="shared" si="88"/>
        <v>1.9999999999999998E-4</v>
      </c>
      <c r="AL80" s="7">
        <v>15.9460233940341</v>
      </c>
      <c r="AM80" s="7">
        <v>412.24566795777702</v>
      </c>
      <c r="AN80" s="7">
        <v>1138.5602877385199</v>
      </c>
      <c r="AO80" s="7">
        <v>412.24566795777702</v>
      </c>
      <c r="AP80" s="7">
        <v>14469959.1382923</v>
      </c>
      <c r="AQ80" s="7">
        <v>30.557749073643901</v>
      </c>
      <c r="AR80" s="7">
        <f t="shared" si="89"/>
        <v>1963.0516236540739</v>
      </c>
      <c r="AT80" s="28">
        <v>55.000000000000007</v>
      </c>
      <c r="AU80" s="26">
        <v>1.0000000000000001E-5</v>
      </c>
      <c r="AV80" s="28">
        <v>0.2</v>
      </c>
      <c r="AW80" s="28">
        <v>200</v>
      </c>
      <c r="AX80" s="26">
        <v>2.4999999999999999E-8</v>
      </c>
      <c r="AY80" s="26">
        <f t="shared" si="90"/>
        <v>5.0000000000000001E-9</v>
      </c>
      <c r="AZ80" s="26">
        <f t="shared" si="91"/>
        <v>1E-3</v>
      </c>
      <c r="BA80" s="7">
        <v>53.672657938932701</v>
      </c>
      <c r="BB80" s="7">
        <v>310.62949089263498</v>
      </c>
      <c r="BC80" s="7">
        <v>857.43494866405695</v>
      </c>
      <c r="BD80" s="7">
        <v>310.62949089263498</v>
      </c>
      <c r="BE80" s="7">
        <v>72349793.874809399</v>
      </c>
      <c r="BF80" s="7">
        <v>763.94372684109806</v>
      </c>
      <c r="BG80" s="7">
        <f t="shared" si="92"/>
        <v>1478.6939304493269</v>
      </c>
      <c r="BI80" s="28">
        <v>55.000000000000007</v>
      </c>
      <c r="BJ80" s="26">
        <v>1.0000000000000001E-5</v>
      </c>
      <c r="BK80" s="28">
        <v>0.5</v>
      </c>
      <c r="BL80" s="28">
        <v>200</v>
      </c>
      <c r="BM80" s="26">
        <v>2.4999999999999999E-8</v>
      </c>
      <c r="BN80" s="26">
        <f t="shared" si="93"/>
        <v>1.2499999999999999E-8</v>
      </c>
      <c r="BO80" s="26">
        <f t="shared" si="94"/>
        <v>2.4999999999999996E-3</v>
      </c>
      <c r="BP80" s="7">
        <v>53.706387140108497</v>
      </c>
      <c r="BQ80" s="7">
        <v>310.245574031601</v>
      </c>
      <c r="BR80" s="7">
        <v>856.50167124423206</v>
      </c>
      <c r="BS80" s="7">
        <v>310.245574031601</v>
      </c>
      <c r="BT80" s="7">
        <v>28939917.5499238</v>
      </c>
      <c r="BU80" s="7">
        <v>763.94372684109806</v>
      </c>
      <c r="BV80" s="7">
        <f t="shared" si="95"/>
        <v>1476.9928193074338</v>
      </c>
      <c r="BX80" s="28">
        <v>55.000000000000007</v>
      </c>
      <c r="BY80" s="26">
        <v>5.0000000000000002E-5</v>
      </c>
      <c r="BZ80" s="28">
        <v>0.5</v>
      </c>
      <c r="CA80" s="28">
        <v>200</v>
      </c>
      <c r="CB80" s="26">
        <v>2.4999999999999999E-8</v>
      </c>
      <c r="CC80" s="26">
        <f t="shared" si="96"/>
        <v>1.2499999999999999E-8</v>
      </c>
      <c r="CD80" s="26">
        <f t="shared" si="97"/>
        <v>4.999999999999999E-4</v>
      </c>
      <c r="CE80" s="7">
        <v>90.529078675321799</v>
      </c>
      <c r="CF80" s="7">
        <v>62.049114802860501</v>
      </c>
      <c r="CG80" s="7">
        <v>171.30033424884601</v>
      </c>
      <c r="CH80" s="7">
        <v>62.049114802860501</v>
      </c>
      <c r="CI80" s="7">
        <v>5787983.6553169098</v>
      </c>
      <c r="CJ80" s="7">
        <v>30.557749073643901</v>
      </c>
      <c r="CK80" s="7">
        <f t="shared" si="98"/>
        <v>295.39856385456704</v>
      </c>
      <c r="CM80" s="28">
        <v>55.000000000000007</v>
      </c>
      <c r="CN80" s="26">
        <v>5.0000000000000002E-5</v>
      </c>
      <c r="CO80" s="28">
        <v>1</v>
      </c>
      <c r="CP80" s="28">
        <v>200</v>
      </c>
      <c r="CQ80" s="26">
        <v>2.4999999999999999E-8</v>
      </c>
      <c r="CR80" s="26">
        <f t="shared" si="99"/>
        <v>2.4999999999999999E-8</v>
      </c>
      <c r="CS80" s="26">
        <f t="shared" si="100"/>
        <v>9.999999999999998E-4</v>
      </c>
      <c r="CT80" s="7">
        <v>90.678403678521093</v>
      </c>
      <c r="CU80" s="7">
        <v>61.921576216120698</v>
      </c>
      <c r="CV80" s="7">
        <v>170.99017320176</v>
      </c>
      <c r="CW80" s="7">
        <v>61.921576216120698</v>
      </c>
      <c r="CX80" s="7">
        <v>2893991.8276584502</v>
      </c>
      <c r="CY80" s="7">
        <v>30.557749073643901</v>
      </c>
      <c r="CZ80" s="7">
        <f t="shared" si="101"/>
        <v>294.83332563400137</v>
      </c>
      <c r="DB80" s="28">
        <v>55.000000000000007</v>
      </c>
      <c r="DC80" s="26">
        <v>5.0000000000000002E-5</v>
      </c>
      <c r="DD80" s="28">
        <v>2</v>
      </c>
      <c r="DE80" s="28">
        <v>200</v>
      </c>
      <c r="DF80" s="26">
        <v>2.4999999999999999E-8</v>
      </c>
      <c r="DG80" s="26">
        <f t="shared" si="102"/>
        <v>4.9999999999999998E-8</v>
      </c>
      <c r="DH80" s="26">
        <f t="shared" si="103"/>
        <v>1.9999999999999996E-3</v>
      </c>
      <c r="DI80" s="7">
        <v>90.976711196759297</v>
      </c>
      <c r="DJ80" s="7">
        <v>61.6681127663864</v>
      </c>
      <c r="DK80" s="7">
        <v>170.373319720317</v>
      </c>
      <c r="DL80" s="7">
        <v>61.6681127663864</v>
      </c>
      <c r="DM80" s="7">
        <v>1446995.91382923</v>
      </c>
      <c r="DN80" s="7">
        <v>30.557749073643901</v>
      </c>
      <c r="DO80" s="7">
        <f t="shared" si="104"/>
        <v>293.7095452530898</v>
      </c>
      <c r="DQ80" s="28">
        <v>55.000000000000007</v>
      </c>
      <c r="DR80" s="26">
        <v>5.0000000000000002E-5</v>
      </c>
      <c r="DS80" s="28">
        <v>15</v>
      </c>
      <c r="DT80" s="28">
        <v>300</v>
      </c>
      <c r="DU80" s="26">
        <v>1E-8</v>
      </c>
      <c r="DV80" s="26">
        <f t="shared" si="105"/>
        <v>1.4999999999999999E-7</v>
      </c>
      <c r="DW80" s="26">
        <f t="shared" si="106"/>
        <v>5.9999999999999993E-3</v>
      </c>
      <c r="DX80" s="7">
        <v>153.56219885530101</v>
      </c>
      <c r="DY80" s="7">
        <v>39.809859656104699</v>
      </c>
      <c r="DZ80" s="7">
        <v>110.399385072318</v>
      </c>
      <c r="EA80" s="7">
        <v>39.809859656104699</v>
      </c>
      <c r="EB80" s="7">
        <v>192932.78851056399</v>
      </c>
      <c r="EC80" s="7">
        <v>10.1859163578813</v>
      </c>
      <c r="ED80" s="7">
        <f t="shared" si="107"/>
        <v>190.0191043845274</v>
      </c>
    </row>
    <row r="81" spans="1:134" x14ac:dyDescent="0.4">
      <c r="A81" s="28">
        <v>60</v>
      </c>
      <c r="B81" s="26">
        <v>1.0000000000000001E-5</v>
      </c>
      <c r="C81" s="28">
        <v>0.2</v>
      </c>
      <c r="D81" s="28">
        <v>30</v>
      </c>
      <c r="E81" s="26">
        <v>2.4999999999999999E-8</v>
      </c>
      <c r="F81" s="26">
        <f t="shared" si="81"/>
        <v>5.0000000000000001E-9</v>
      </c>
      <c r="G81" s="26">
        <f t="shared" si="82"/>
        <v>1E-3</v>
      </c>
      <c r="H81" s="7">
        <v>15.3574401823053</v>
      </c>
      <c r="I81" s="7">
        <v>1747.4582681561301</v>
      </c>
      <c r="J81" s="7">
        <v>5794.3371345962596</v>
      </c>
      <c r="K81" s="7">
        <v>1747.4582681561301</v>
      </c>
      <c r="L81" s="7">
        <v>173207643.02618799</v>
      </c>
      <c r="M81" s="7">
        <v>763.94372684109806</v>
      </c>
      <c r="N81" s="7">
        <f t="shared" si="83"/>
        <v>9289.2536709085198</v>
      </c>
      <c r="P81" s="28">
        <v>60</v>
      </c>
      <c r="Q81" s="26">
        <v>3.0000000000000001E-5</v>
      </c>
      <c r="R81" s="28">
        <v>0.2</v>
      </c>
      <c r="S81" s="28">
        <v>30</v>
      </c>
      <c r="T81" s="26">
        <v>2.4999999999999999E-8</v>
      </c>
      <c r="U81" s="26">
        <f t="shared" si="84"/>
        <v>5.0000000000000001E-9</v>
      </c>
      <c r="V81" s="26">
        <f t="shared" si="85"/>
        <v>3.3333333333333332E-4</v>
      </c>
      <c r="W81" s="7">
        <v>16.953797200674</v>
      </c>
      <c r="X81" s="7">
        <v>582.48608937969198</v>
      </c>
      <c r="Y81" s="7">
        <v>1931.4457115320899</v>
      </c>
      <c r="Z81" s="7">
        <v>582.48608937969198</v>
      </c>
      <c r="AA81" s="7">
        <v>57735881.0752545</v>
      </c>
      <c r="AB81" s="7">
        <v>84.882636315677502</v>
      </c>
      <c r="AC81" s="7">
        <f t="shared" si="86"/>
        <v>3096.4178902914737</v>
      </c>
      <c r="AE81" s="28">
        <v>60</v>
      </c>
      <c r="AF81" s="26">
        <v>5.0000000000000002E-5</v>
      </c>
      <c r="AG81" s="28">
        <v>0.2</v>
      </c>
      <c r="AH81" s="28">
        <v>30</v>
      </c>
      <c r="AI81" s="26">
        <v>2.4999999999999999E-8</v>
      </c>
      <c r="AJ81" s="26">
        <f t="shared" si="87"/>
        <v>5.0000000000000001E-9</v>
      </c>
      <c r="AK81" s="26">
        <f t="shared" si="88"/>
        <v>1.9999999999999998E-4</v>
      </c>
      <c r="AL81" s="7">
        <v>17.313741401929899</v>
      </c>
      <c r="AM81" s="7">
        <v>349.491653579706</v>
      </c>
      <c r="AN81" s="7">
        <v>1158.86742691925</v>
      </c>
      <c r="AO81" s="7">
        <v>349.491653579706</v>
      </c>
      <c r="AP81" s="7">
        <v>34641529.208382502</v>
      </c>
      <c r="AQ81" s="7">
        <v>30.557749073643901</v>
      </c>
      <c r="AR81" s="7">
        <f t="shared" si="89"/>
        <v>1857.8507340786621</v>
      </c>
      <c r="AT81" s="28">
        <v>60</v>
      </c>
      <c r="AU81" s="26">
        <v>1.0000000000000001E-5</v>
      </c>
      <c r="AV81" s="28">
        <v>0.2</v>
      </c>
      <c r="AW81" s="28">
        <v>200</v>
      </c>
      <c r="AX81" s="26">
        <v>2.4999999999999999E-8</v>
      </c>
      <c r="AY81" s="26">
        <f t="shared" si="90"/>
        <v>5.0000000000000001E-9</v>
      </c>
      <c r="AZ81" s="26">
        <f t="shared" si="91"/>
        <v>1E-3</v>
      </c>
      <c r="BA81" s="7">
        <v>56.764256408130699</v>
      </c>
      <c r="BB81" s="7">
        <v>263.235986756096</v>
      </c>
      <c r="BC81" s="7">
        <v>872.060132412553</v>
      </c>
      <c r="BD81" s="7">
        <v>263.235986756096</v>
      </c>
      <c r="BE81" s="7">
        <v>173207643.02618799</v>
      </c>
      <c r="BF81" s="7">
        <v>763.94372684109806</v>
      </c>
      <c r="BG81" s="7">
        <f t="shared" si="92"/>
        <v>1398.5321059247451</v>
      </c>
      <c r="BI81" s="28">
        <v>60</v>
      </c>
      <c r="BJ81" s="26">
        <v>1.0000000000000001E-5</v>
      </c>
      <c r="BK81" s="28">
        <v>0.5</v>
      </c>
      <c r="BL81" s="28">
        <v>200</v>
      </c>
      <c r="BM81" s="26">
        <v>2.4999999999999999E-8</v>
      </c>
      <c r="BN81" s="26">
        <f t="shared" si="93"/>
        <v>1.2499999999999999E-8</v>
      </c>
      <c r="BO81" s="26">
        <f t="shared" si="94"/>
        <v>2.4999999999999996E-3</v>
      </c>
      <c r="BP81" s="7">
        <v>56.792194430417602</v>
      </c>
      <c r="BQ81" s="7">
        <v>262.93930247937197</v>
      </c>
      <c r="BR81" s="7">
        <v>871.287964463192</v>
      </c>
      <c r="BS81" s="7">
        <v>262.93930247937197</v>
      </c>
      <c r="BT81" s="7">
        <v>69283057.210475206</v>
      </c>
      <c r="BU81" s="7">
        <v>763.94372684109806</v>
      </c>
      <c r="BV81" s="7">
        <f t="shared" si="95"/>
        <v>1397.1665694219359</v>
      </c>
      <c r="BX81" s="28">
        <v>60</v>
      </c>
      <c r="BY81" s="26">
        <v>5.0000000000000002E-5</v>
      </c>
      <c r="BZ81" s="28">
        <v>0.5</v>
      </c>
      <c r="CA81" s="28">
        <v>200</v>
      </c>
      <c r="CB81" s="26">
        <v>2.4999999999999999E-8</v>
      </c>
      <c r="CC81" s="26">
        <f t="shared" si="96"/>
        <v>1.2499999999999999E-8</v>
      </c>
      <c r="CD81" s="26">
        <f t="shared" si="97"/>
        <v>4.999999999999999E-4</v>
      </c>
      <c r="CE81" s="7">
        <v>97.558587973366599</v>
      </c>
      <c r="CF81" s="7">
        <v>52.5878604929581</v>
      </c>
      <c r="CG81" s="7">
        <v>174.257592892638</v>
      </c>
      <c r="CH81" s="7">
        <v>52.5878604929581</v>
      </c>
      <c r="CI81" s="7">
        <v>13856611.683352999</v>
      </c>
      <c r="CJ81" s="7">
        <v>30.557749073643901</v>
      </c>
      <c r="CK81" s="7">
        <f t="shared" si="98"/>
        <v>279.4333138785542</v>
      </c>
      <c r="CM81" s="28">
        <v>60</v>
      </c>
      <c r="CN81" s="26">
        <v>5.0000000000000002E-5</v>
      </c>
      <c r="CO81" s="28">
        <v>1</v>
      </c>
      <c r="CP81" s="28">
        <v>200</v>
      </c>
      <c r="CQ81" s="26">
        <v>2.4999999999999999E-8</v>
      </c>
      <c r="CR81" s="26">
        <f t="shared" si="99"/>
        <v>2.4999999999999999E-8</v>
      </c>
      <c r="CS81" s="26">
        <f t="shared" si="100"/>
        <v>9.999999999999998E-4</v>
      </c>
      <c r="CT81" s="7">
        <v>97.691197495363795</v>
      </c>
      <c r="CU81" s="7">
        <v>52.489267736237203</v>
      </c>
      <c r="CV81" s="7">
        <v>174.00084097458901</v>
      </c>
      <c r="CW81" s="7">
        <v>52.489267736237203</v>
      </c>
      <c r="CX81" s="7">
        <v>6928305.8416764997</v>
      </c>
      <c r="CY81" s="7">
        <v>30.557749073643901</v>
      </c>
      <c r="CZ81" s="7">
        <f t="shared" si="101"/>
        <v>278.97937644706343</v>
      </c>
      <c r="DB81" s="28">
        <v>60</v>
      </c>
      <c r="DC81" s="26">
        <v>5.0000000000000002E-5</v>
      </c>
      <c r="DD81" s="28">
        <v>2</v>
      </c>
      <c r="DE81" s="28">
        <v>200</v>
      </c>
      <c r="DF81" s="26">
        <v>2.4999999999999999E-8</v>
      </c>
      <c r="DG81" s="26">
        <f t="shared" si="102"/>
        <v>4.9999999999999998E-8</v>
      </c>
      <c r="DH81" s="26">
        <f t="shared" si="103"/>
        <v>1.9999999999999996E-3</v>
      </c>
      <c r="DI81" s="7">
        <v>97.956126397372799</v>
      </c>
      <c r="DJ81" s="7">
        <v>52.293206867341603</v>
      </c>
      <c r="DK81" s="7">
        <v>173.489713442035</v>
      </c>
      <c r="DL81" s="7">
        <v>52.293206867341603</v>
      </c>
      <c r="DM81" s="7">
        <v>3464152.9208382498</v>
      </c>
      <c r="DN81" s="7">
        <v>30.557749073643901</v>
      </c>
      <c r="DO81" s="7">
        <f t="shared" si="104"/>
        <v>278.07612717671822</v>
      </c>
      <c r="DQ81" s="28">
        <v>60</v>
      </c>
      <c r="DR81" s="26">
        <v>5.0000000000000002E-5</v>
      </c>
      <c r="DS81" s="28">
        <v>15</v>
      </c>
      <c r="DT81" s="28">
        <v>300</v>
      </c>
      <c r="DU81" s="26">
        <v>1E-8</v>
      </c>
      <c r="DV81" s="26">
        <f t="shared" si="105"/>
        <v>1.4999999999999999E-7</v>
      </c>
      <c r="DW81" s="26">
        <f t="shared" si="106"/>
        <v>5.9999999999999993E-3</v>
      </c>
      <c r="DX81" s="7">
        <v>165.29150563539301</v>
      </c>
      <c r="DY81" s="7">
        <v>33.851188115179603</v>
      </c>
      <c r="DZ81" s="7">
        <v>113.007558882322</v>
      </c>
      <c r="EA81" s="7">
        <v>33.851188115179603</v>
      </c>
      <c r="EB81" s="7">
        <v>461887.05611176701</v>
      </c>
      <c r="EC81" s="7">
        <v>10.1859163578813</v>
      </c>
      <c r="ED81" s="7">
        <f t="shared" si="107"/>
        <v>180.70993511268122</v>
      </c>
    </row>
    <row r="82" spans="1:134" x14ac:dyDescent="0.4">
      <c r="A82" s="28">
        <v>65</v>
      </c>
      <c r="B82" s="26">
        <v>1.0000000000000001E-5</v>
      </c>
      <c r="C82" s="28">
        <v>0.2</v>
      </c>
      <c r="D82" s="28">
        <v>30</v>
      </c>
      <c r="E82" s="26">
        <v>2.4999999999999999E-8</v>
      </c>
      <c r="F82" s="26">
        <f t="shared" si="81"/>
        <v>5.0000000000000001E-9</v>
      </c>
      <c r="G82" s="26">
        <f t="shared" si="82"/>
        <v>1E-3</v>
      </c>
      <c r="H82" s="7">
        <v>16.4725607898059</v>
      </c>
      <c r="I82" s="7">
        <v>1470.52695643265</v>
      </c>
      <c r="J82" s="7">
        <v>5888.0994972997396</v>
      </c>
      <c r="K82" s="7">
        <v>1470.52695643265</v>
      </c>
      <c r="L82" s="7">
        <v>859463306.304919</v>
      </c>
      <c r="M82" s="7">
        <v>763.94372684109806</v>
      </c>
      <c r="N82" s="7">
        <f t="shared" si="83"/>
        <v>8829.1534101650395</v>
      </c>
      <c r="P82" s="28">
        <v>65</v>
      </c>
      <c r="Q82" s="26">
        <v>3.0000000000000001E-5</v>
      </c>
      <c r="R82" s="28">
        <v>0.2</v>
      </c>
      <c r="S82" s="28">
        <v>30</v>
      </c>
      <c r="T82" s="26">
        <v>2.4999999999999999E-8</v>
      </c>
      <c r="U82" s="26">
        <f t="shared" si="84"/>
        <v>5.0000000000000001E-9</v>
      </c>
      <c r="V82" s="26">
        <f t="shared" si="85"/>
        <v>3.3333333333333332E-4</v>
      </c>
      <c r="W82" s="7">
        <v>18.2692842113395</v>
      </c>
      <c r="X82" s="7">
        <v>490.175652139448</v>
      </c>
      <c r="Y82" s="7">
        <v>1962.6998324332501</v>
      </c>
      <c r="Z82" s="7">
        <v>490.175652139448</v>
      </c>
      <c r="AA82" s="7">
        <v>286487768.88169003</v>
      </c>
      <c r="AB82" s="7">
        <v>84.882636315677502</v>
      </c>
      <c r="AC82" s="7">
        <f t="shared" si="86"/>
        <v>2943.0511367121462</v>
      </c>
      <c r="AE82" s="28">
        <v>65</v>
      </c>
      <c r="AF82" s="26">
        <v>5.0000000000000002E-5</v>
      </c>
      <c r="AG82" s="28">
        <v>0.2</v>
      </c>
      <c r="AH82" s="28">
        <v>30</v>
      </c>
      <c r="AI82" s="26">
        <v>2.4999999999999999E-8</v>
      </c>
      <c r="AJ82" s="26">
        <f t="shared" si="87"/>
        <v>5.0000000000000001E-9</v>
      </c>
      <c r="AK82" s="26">
        <f t="shared" si="88"/>
        <v>1.9999999999999998E-4</v>
      </c>
      <c r="AL82" s="7">
        <v>18.676712479054899</v>
      </c>
      <c r="AM82" s="7">
        <v>294.10539124333502</v>
      </c>
      <c r="AN82" s="7">
        <v>1177.6198994599499</v>
      </c>
      <c r="AO82" s="7">
        <v>294.10539124333502</v>
      </c>
      <c r="AP82" s="7">
        <v>171892662.28655201</v>
      </c>
      <c r="AQ82" s="7">
        <v>30.557749073643901</v>
      </c>
      <c r="AR82" s="7">
        <f t="shared" si="89"/>
        <v>1765.8306819466197</v>
      </c>
      <c r="AT82" s="28">
        <v>65</v>
      </c>
      <c r="AU82" s="26">
        <v>1.0000000000000001E-5</v>
      </c>
      <c r="AV82" s="28">
        <v>0.2</v>
      </c>
      <c r="AW82" s="28">
        <v>200</v>
      </c>
      <c r="AX82" s="26">
        <v>2.4999999999999999E-8</v>
      </c>
      <c r="AY82" s="26">
        <f t="shared" si="90"/>
        <v>5.0000000000000001E-9</v>
      </c>
      <c r="AZ82" s="26">
        <f t="shared" si="91"/>
        <v>1E-3</v>
      </c>
      <c r="BA82" s="7">
        <v>59.728133812135702</v>
      </c>
      <c r="BB82" s="7">
        <v>221.436390808456</v>
      </c>
      <c r="BC82" s="7">
        <v>885.60719905590599</v>
      </c>
      <c r="BD82" s="7">
        <v>221.436390808456</v>
      </c>
      <c r="BE82" s="7">
        <v>859463306.304919</v>
      </c>
      <c r="BF82" s="7">
        <v>763.94372684109806</v>
      </c>
      <c r="BG82" s="7">
        <f t="shared" si="92"/>
        <v>1328.4799806728181</v>
      </c>
      <c r="BI82" s="28">
        <v>65</v>
      </c>
      <c r="BJ82" s="26">
        <v>1.0000000000000001E-5</v>
      </c>
      <c r="BK82" s="28">
        <v>0.5</v>
      </c>
      <c r="BL82" s="28">
        <v>200</v>
      </c>
      <c r="BM82" s="26">
        <v>2.4999999999999999E-8</v>
      </c>
      <c r="BN82" s="26">
        <f t="shared" si="93"/>
        <v>1.2499999999999999E-8</v>
      </c>
      <c r="BO82" s="26">
        <f t="shared" si="94"/>
        <v>2.4999999999999996E-3</v>
      </c>
      <c r="BP82" s="7">
        <v>59.7512285598538</v>
      </c>
      <c r="BQ82" s="7">
        <v>221.20879187134</v>
      </c>
      <c r="BR82" s="7">
        <v>884.97259280428204</v>
      </c>
      <c r="BS82" s="7">
        <v>221.20879187134</v>
      </c>
      <c r="BT82" s="7">
        <v>343785322.52196801</v>
      </c>
      <c r="BU82" s="7">
        <v>763.94372684109806</v>
      </c>
      <c r="BV82" s="7">
        <f t="shared" si="95"/>
        <v>1327.390176546962</v>
      </c>
      <c r="BX82" s="28">
        <v>65</v>
      </c>
      <c r="BY82" s="26">
        <v>5.0000000000000002E-5</v>
      </c>
      <c r="BZ82" s="28">
        <v>0.5</v>
      </c>
      <c r="CA82" s="28">
        <v>200</v>
      </c>
      <c r="CB82" s="26">
        <v>2.4999999999999999E-8</v>
      </c>
      <c r="CC82" s="26">
        <f t="shared" si="96"/>
        <v>1.2499999999999999E-8</v>
      </c>
      <c r="CD82" s="26">
        <f t="shared" si="97"/>
        <v>4.999999999999999E-4</v>
      </c>
      <c r="CE82" s="7">
        <v>104.475883466515</v>
      </c>
      <c r="CF82" s="7">
        <v>44.241758371824098</v>
      </c>
      <c r="CG82" s="7">
        <v>176.99451856085599</v>
      </c>
      <c r="CH82" s="7">
        <v>44.241758371824098</v>
      </c>
      <c r="CI82" s="7">
        <v>68757064.914620593</v>
      </c>
      <c r="CJ82" s="7">
        <v>30.557749073643901</v>
      </c>
      <c r="CK82" s="7">
        <f t="shared" si="98"/>
        <v>265.4780353045042</v>
      </c>
      <c r="CM82" s="28">
        <v>65</v>
      </c>
      <c r="CN82" s="26">
        <v>5.0000000000000002E-5</v>
      </c>
      <c r="CO82" s="28">
        <v>1</v>
      </c>
      <c r="CP82" s="28">
        <v>200</v>
      </c>
      <c r="CQ82" s="26">
        <v>2.4999999999999999E-8</v>
      </c>
      <c r="CR82" s="26">
        <f t="shared" si="99"/>
        <v>2.4999999999999999E-8</v>
      </c>
      <c r="CS82" s="26">
        <f t="shared" si="100"/>
        <v>9.999999999999998E-4</v>
      </c>
      <c r="CT82" s="7">
        <v>104.592442753182</v>
      </c>
      <c r="CU82" s="7">
        <v>44.166101596649497</v>
      </c>
      <c r="CV82" s="7">
        <v>176.783417824277</v>
      </c>
      <c r="CW82" s="7">
        <v>44.166101596649497</v>
      </c>
      <c r="CX82" s="7">
        <v>34378532.457310297</v>
      </c>
      <c r="CY82" s="7">
        <v>30.557749073643901</v>
      </c>
      <c r="CZ82" s="7">
        <f t="shared" si="101"/>
        <v>265.11562101757602</v>
      </c>
      <c r="DB82" s="28">
        <v>65</v>
      </c>
      <c r="DC82" s="26">
        <v>5.0000000000000002E-5</v>
      </c>
      <c r="DD82" s="28">
        <v>2</v>
      </c>
      <c r="DE82" s="28">
        <v>200</v>
      </c>
      <c r="DF82" s="26">
        <v>2.4999999999999999E-8</v>
      </c>
      <c r="DG82" s="26">
        <f t="shared" si="102"/>
        <v>4.9999999999999998E-8</v>
      </c>
      <c r="DH82" s="26">
        <f t="shared" si="103"/>
        <v>1.9999999999999996E-3</v>
      </c>
      <c r="DI82" s="7">
        <v>104.82531140745201</v>
      </c>
      <c r="DJ82" s="7">
        <v>44.0155689113517</v>
      </c>
      <c r="DK82" s="7">
        <v>176.36283833637401</v>
      </c>
      <c r="DL82" s="7">
        <v>44.0155689113517</v>
      </c>
      <c r="DM82" s="7">
        <v>17189266.2286552</v>
      </c>
      <c r="DN82" s="7">
        <v>30.557749073643901</v>
      </c>
      <c r="DO82" s="7">
        <f t="shared" si="104"/>
        <v>264.3939761590774</v>
      </c>
      <c r="DQ82" s="28">
        <v>65</v>
      </c>
      <c r="DR82" s="26">
        <v>5.0000000000000002E-5</v>
      </c>
      <c r="DS82" s="28">
        <v>15</v>
      </c>
      <c r="DT82" s="28">
        <v>300</v>
      </c>
      <c r="DU82" s="26">
        <v>1E-8</v>
      </c>
      <c r="DV82" s="26">
        <f t="shared" si="105"/>
        <v>1.4999999999999999E-7</v>
      </c>
      <c r="DW82" s="26">
        <f t="shared" si="106"/>
        <v>5.9999999999999993E-3</v>
      </c>
      <c r="DX82" s="7">
        <v>176.91327541129701</v>
      </c>
      <c r="DY82" s="7">
        <v>28.565057936355299</v>
      </c>
      <c r="DZ82" s="7">
        <v>115.382714159923</v>
      </c>
      <c r="EA82" s="7">
        <v>28.565057936355299</v>
      </c>
      <c r="EB82" s="7">
        <v>2291902.16382069</v>
      </c>
      <c r="EC82" s="7">
        <v>10.1859163578813</v>
      </c>
      <c r="ED82" s="7">
        <f t="shared" si="107"/>
        <v>172.51283003263359</v>
      </c>
    </row>
    <row r="83" spans="1:134" x14ac:dyDescent="0.4">
      <c r="A83" s="28">
        <v>70</v>
      </c>
      <c r="B83" s="26">
        <v>1.0000000000000001E-5</v>
      </c>
      <c r="C83" s="28">
        <v>0.2</v>
      </c>
      <c r="D83" s="28">
        <v>30</v>
      </c>
      <c r="E83" s="26">
        <v>2.4999999999999999E-8</v>
      </c>
      <c r="F83" s="26">
        <f t="shared" si="81"/>
        <v>5.0000000000000001E-9</v>
      </c>
      <c r="G83" s="26">
        <f t="shared" si="82"/>
        <v>1E-3</v>
      </c>
      <c r="H83" s="7">
        <v>17.576088286908501</v>
      </c>
      <c r="I83" s="7">
        <v>1223.14114606982</v>
      </c>
      <c r="J83" s="7">
        <v>5975.2459753258199</v>
      </c>
      <c r="K83" s="7">
        <v>1223.14114606982</v>
      </c>
      <c r="L83" s="7" t="s">
        <v>94</v>
      </c>
      <c r="M83" s="7">
        <v>763.94372684109806</v>
      </c>
      <c r="N83" s="7">
        <f t="shared" si="83"/>
        <v>8421.5282674654591</v>
      </c>
      <c r="P83" s="28">
        <v>70</v>
      </c>
      <c r="Q83" s="26">
        <v>3.0000000000000001E-5</v>
      </c>
      <c r="R83" s="28">
        <v>0.2</v>
      </c>
      <c r="S83" s="28">
        <v>30</v>
      </c>
      <c r="T83" s="26">
        <v>2.4999999999999999E-8</v>
      </c>
      <c r="U83" s="26">
        <f t="shared" si="84"/>
        <v>5.0000000000000001E-9</v>
      </c>
      <c r="V83" s="26">
        <f t="shared" si="85"/>
        <v>3.3333333333333332E-4</v>
      </c>
      <c r="W83" s="7">
        <v>19.580702457814901</v>
      </c>
      <c r="X83" s="7">
        <v>407.71371535265399</v>
      </c>
      <c r="Y83" s="7">
        <v>1991.7486584419401</v>
      </c>
      <c r="Z83" s="7">
        <v>407.71371535265399</v>
      </c>
      <c r="AA83" s="7" t="s">
        <v>94</v>
      </c>
      <c r="AB83" s="7">
        <v>84.882636315677502</v>
      </c>
      <c r="AC83" s="7">
        <f t="shared" si="86"/>
        <v>2807.1760891472481</v>
      </c>
      <c r="AE83" s="28">
        <v>70</v>
      </c>
      <c r="AF83" s="26">
        <v>5.0000000000000002E-5</v>
      </c>
      <c r="AG83" s="28">
        <v>0.2</v>
      </c>
      <c r="AH83" s="28">
        <v>30</v>
      </c>
      <c r="AI83" s="26">
        <v>2.4999999999999999E-8</v>
      </c>
      <c r="AJ83" s="26">
        <f t="shared" si="87"/>
        <v>5.0000000000000001E-9</v>
      </c>
      <c r="AK83" s="26">
        <f t="shared" si="88"/>
        <v>1.9999999999999998E-4</v>
      </c>
      <c r="AL83" s="7">
        <v>20.037778155819701</v>
      </c>
      <c r="AM83" s="7">
        <v>244.62822917813699</v>
      </c>
      <c r="AN83" s="7">
        <v>1195.0491950651599</v>
      </c>
      <c r="AO83" s="7">
        <v>244.62822917813699</v>
      </c>
      <c r="AP83" s="7" t="s">
        <v>94</v>
      </c>
      <c r="AQ83" s="7">
        <v>30.557749073643901</v>
      </c>
      <c r="AR83" s="7">
        <f t="shared" si="89"/>
        <v>1684.3056534214338</v>
      </c>
      <c r="AT83" s="28">
        <v>70</v>
      </c>
      <c r="AU83" s="26">
        <v>1.0000000000000001E-5</v>
      </c>
      <c r="AV83" s="28">
        <v>0.2</v>
      </c>
      <c r="AW83" s="28">
        <v>200</v>
      </c>
      <c r="AX83" s="26">
        <v>2.4999999999999999E-8</v>
      </c>
      <c r="AY83" s="26">
        <f t="shared" si="90"/>
        <v>5.0000000000000001E-9</v>
      </c>
      <c r="AZ83" s="26">
        <f t="shared" si="91"/>
        <v>1E-3</v>
      </c>
      <c r="BA83" s="7">
        <v>62.580422364619103</v>
      </c>
      <c r="BB83" s="7">
        <v>184.11844341766201</v>
      </c>
      <c r="BC83" s="7">
        <v>898.22894938474894</v>
      </c>
      <c r="BD83" s="7">
        <v>184.11844341766201</v>
      </c>
      <c r="BE83" s="7" t="s">
        <v>94</v>
      </c>
      <c r="BF83" s="7">
        <v>763.94372684109806</v>
      </c>
      <c r="BG83" s="7">
        <f t="shared" si="92"/>
        <v>1266.465836220073</v>
      </c>
      <c r="BI83" s="28">
        <v>70</v>
      </c>
      <c r="BJ83" s="26">
        <v>1.0000000000000001E-5</v>
      </c>
      <c r="BK83" s="28">
        <v>0.5</v>
      </c>
      <c r="BL83" s="28">
        <v>200</v>
      </c>
      <c r="BM83" s="26">
        <v>2.4999999999999999E-8</v>
      </c>
      <c r="BN83" s="26">
        <f t="shared" si="93"/>
        <v>1.2499999999999999E-8</v>
      </c>
      <c r="BO83" s="26">
        <f t="shared" si="94"/>
        <v>2.4999999999999996E-3</v>
      </c>
      <c r="BP83" s="7">
        <v>62.599655880671797</v>
      </c>
      <c r="BQ83" s="7">
        <v>183.946660682919</v>
      </c>
      <c r="BR83" s="7">
        <v>897.71395999315905</v>
      </c>
      <c r="BS83" s="7">
        <v>183.946660682919</v>
      </c>
      <c r="BT83" s="7" t="s">
        <v>94</v>
      </c>
      <c r="BU83" s="7">
        <v>763.94372684109806</v>
      </c>
      <c r="BV83" s="7">
        <f t="shared" si="95"/>
        <v>1265.6072813589969</v>
      </c>
      <c r="BX83" s="28">
        <v>70</v>
      </c>
      <c r="BY83" s="26">
        <v>5.0000000000000002E-5</v>
      </c>
      <c r="BZ83" s="28">
        <v>0.5</v>
      </c>
      <c r="CA83" s="28">
        <v>200</v>
      </c>
      <c r="CB83" s="26">
        <v>2.4999999999999999E-8</v>
      </c>
      <c r="CC83" s="26">
        <f t="shared" si="96"/>
        <v>1.2499999999999999E-8</v>
      </c>
      <c r="CD83" s="26">
        <f t="shared" si="97"/>
        <v>4.999999999999999E-4</v>
      </c>
      <c r="CE83" s="7">
        <v>111.299327886866</v>
      </c>
      <c r="CF83" s="7">
        <v>36.7893321345583</v>
      </c>
      <c r="CG83" s="7">
        <v>179.542791998632</v>
      </c>
      <c r="CH83" s="7">
        <v>36.7893321345583</v>
      </c>
      <c r="CI83" s="7" t="s">
        <v>94</v>
      </c>
      <c r="CJ83" s="7">
        <v>30.557749073643901</v>
      </c>
      <c r="CK83" s="7">
        <f t="shared" si="98"/>
        <v>253.12145626774858</v>
      </c>
      <c r="CM83" s="28">
        <v>70</v>
      </c>
      <c r="CN83" s="26">
        <v>5.0000000000000002E-5</v>
      </c>
      <c r="CO83" s="28">
        <v>1</v>
      </c>
      <c r="CP83" s="28">
        <v>200</v>
      </c>
      <c r="CQ83" s="26">
        <v>2.4999999999999999E-8</v>
      </c>
      <c r="CR83" s="26">
        <f t="shared" si="99"/>
        <v>2.4999999999999999E-8</v>
      </c>
      <c r="CS83" s="26">
        <f t="shared" si="100"/>
        <v>9.999999999999998E-4</v>
      </c>
      <c r="CT83" s="7">
        <v>111.40057832446701</v>
      </c>
      <c r="CU83" s="7">
        <v>36.732214141098297</v>
      </c>
      <c r="CV83" s="7">
        <v>179.37142238436701</v>
      </c>
      <c r="CW83" s="7">
        <v>36.732214141098297</v>
      </c>
      <c r="CX83" s="7" t="s">
        <v>94</v>
      </c>
      <c r="CY83" s="7">
        <v>30.557749073643901</v>
      </c>
      <c r="CZ83" s="7">
        <f t="shared" si="101"/>
        <v>252.8358506665636</v>
      </c>
      <c r="DB83" s="28">
        <v>70</v>
      </c>
      <c r="DC83" s="26">
        <v>5.0000000000000002E-5</v>
      </c>
      <c r="DD83" s="28">
        <v>2</v>
      </c>
      <c r="DE83" s="28">
        <v>200</v>
      </c>
      <c r="DF83" s="26">
        <v>2.4999999999999999E-8</v>
      </c>
      <c r="DG83" s="26">
        <f t="shared" si="102"/>
        <v>4.9999999999999998E-8</v>
      </c>
      <c r="DH83" s="26">
        <f t="shared" si="103"/>
        <v>1.9999999999999996E-3</v>
      </c>
      <c r="DI83" s="7">
        <v>111.602862955972</v>
      </c>
      <c r="DJ83" s="7">
        <v>36.618511090650998</v>
      </c>
      <c r="DK83" s="7">
        <v>179.02977916857401</v>
      </c>
      <c r="DL83" s="7">
        <v>36.618511090650998</v>
      </c>
      <c r="DM83" s="7" t="s">
        <v>94</v>
      </c>
      <c r="DN83" s="7">
        <v>30.557749073643901</v>
      </c>
      <c r="DO83" s="7">
        <f t="shared" si="104"/>
        <v>252.266801349876</v>
      </c>
      <c r="DQ83" s="28">
        <v>70</v>
      </c>
      <c r="DR83" s="26">
        <v>5.0000000000000002E-5</v>
      </c>
      <c r="DS83" s="28">
        <v>15</v>
      </c>
      <c r="DT83" s="28">
        <v>300</v>
      </c>
      <c r="DU83" s="26">
        <v>1E-8</v>
      </c>
      <c r="DV83" s="26">
        <f t="shared" si="105"/>
        <v>1.4999999999999999E-7</v>
      </c>
      <c r="DW83" s="26">
        <f t="shared" si="106"/>
        <v>5.9999999999999993E-3</v>
      </c>
      <c r="DX83" s="7">
        <v>188.45753016114199</v>
      </c>
      <c r="DY83" s="7">
        <v>23.8224846510956</v>
      </c>
      <c r="DZ83" s="7">
        <v>117.565391453988</v>
      </c>
      <c r="EA83" s="7">
        <v>23.8224846510956</v>
      </c>
      <c r="EB83" s="7" t="s">
        <v>94</v>
      </c>
      <c r="EC83" s="7">
        <v>10.1859163578813</v>
      </c>
      <c r="ED83" s="7">
        <f t="shared" si="107"/>
        <v>165.2103607561792</v>
      </c>
    </row>
    <row r="84" spans="1:134" x14ac:dyDescent="0.4">
      <c r="B84" s="26"/>
      <c r="E84" s="26"/>
      <c r="F84" s="26"/>
      <c r="G84" s="26"/>
      <c r="Q84" s="26"/>
      <c r="T84" s="26"/>
      <c r="U84" s="26"/>
      <c r="V84" s="26"/>
      <c r="AF84" s="26"/>
      <c r="AI84" s="26"/>
      <c r="AJ84" s="26"/>
      <c r="AK84" s="26"/>
      <c r="AU84" s="26"/>
      <c r="AX84" s="26"/>
      <c r="AY84" s="26"/>
      <c r="AZ84" s="26"/>
      <c r="BJ84" s="26"/>
      <c r="BM84" s="26"/>
      <c r="BN84" s="26"/>
      <c r="BO84" s="26"/>
      <c r="BY84" s="26"/>
      <c r="CB84" s="26"/>
      <c r="CC84" s="26"/>
      <c r="CD84" s="26"/>
      <c r="CN84" s="26"/>
      <c r="CQ84" s="26"/>
      <c r="CR84" s="26"/>
      <c r="CS84" s="26"/>
      <c r="DC84" s="26"/>
      <c r="DF84" s="26"/>
      <c r="DG84" s="26"/>
      <c r="DH84" s="26"/>
      <c r="DR84" s="26"/>
      <c r="DU84" s="26"/>
      <c r="DV84" s="26"/>
      <c r="DW84" s="26"/>
    </row>
    <row r="85" spans="1:134" s="36" customFormat="1" ht="47.25" x14ac:dyDescent="0.4">
      <c r="A85" s="53" t="s">
        <v>69</v>
      </c>
      <c r="B85" s="54" t="s">
        <v>93</v>
      </c>
      <c r="C85" s="39" t="s">
        <v>73</v>
      </c>
      <c r="D85" s="39" t="s">
        <v>98</v>
      </c>
      <c r="E85" s="39" t="s">
        <v>97</v>
      </c>
      <c r="F85" s="39" t="s">
        <v>99</v>
      </c>
      <c r="G85" s="39" t="s">
        <v>96</v>
      </c>
      <c r="H85" s="37" t="s">
        <v>60</v>
      </c>
      <c r="I85" s="37" t="s">
        <v>100</v>
      </c>
      <c r="J85" s="37" t="s">
        <v>101</v>
      </c>
      <c r="K85" s="37" t="s">
        <v>102</v>
      </c>
      <c r="L85" s="37" t="s">
        <v>103</v>
      </c>
      <c r="M85" s="37" t="s">
        <v>65</v>
      </c>
      <c r="N85" s="37" t="s">
        <v>68</v>
      </c>
      <c r="O85" s="55"/>
      <c r="P85" s="53" t="s">
        <v>69</v>
      </c>
      <c r="Q85" s="54" t="s">
        <v>93</v>
      </c>
      <c r="R85" s="39" t="s">
        <v>73</v>
      </c>
      <c r="S85" s="39" t="s">
        <v>98</v>
      </c>
      <c r="T85" s="39" t="s">
        <v>97</v>
      </c>
      <c r="U85" s="39" t="s">
        <v>99</v>
      </c>
      <c r="V85" s="39" t="s">
        <v>96</v>
      </c>
      <c r="W85" s="37" t="s">
        <v>60</v>
      </c>
      <c r="X85" s="37" t="s">
        <v>100</v>
      </c>
      <c r="Y85" s="37" t="s">
        <v>101</v>
      </c>
      <c r="Z85" s="37" t="s">
        <v>102</v>
      </c>
      <c r="AA85" s="37" t="s">
        <v>103</v>
      </c>
      <c r="AB85" s="37" t="s">
        <v>65</v>
      </c>
      <c r="AC85" s="37" t="s">
        <v>68</v>
      </c>
      <c r="AD85" s="55"/>
      <c r="AE85" s="53" t="s">
        <v>69</v>
      </c>
      <c r="AF85" s="54" t="s">
        <v>93</v>
      </c>
      <c r="AG85" s="39" t="s">
        <v>73</v>
      </c>
      <c r="AH85" s="39" t="s">
        <v>98</v>
      </c>
      <c r="AI85" s="39" t="s">
        <v>97</v>
      </c>
      <c r="AJ85" s="39" t="s">
        <v>99</v>
      </c>
      <c r="AK85" s="39" t="s">
        <v>96</v>
      </c>
      <c r="AL85" s="37" t="s">
        <v>60</v>
      </c>
      <c r="AM85" s="37" t="s">
        <v>100</v>
      </c>
      <c r="AN85" s="37" t="s">
        <v>101</v>
      </c>
      <c r="AO85" s="37" t="s">
        <v>102</v>
      </c>
      <c r="AP85" s="37" t="s">
        <v>103</v>
      </c>
      <c r="AQ85" s="37" t="s">
        <v>65</v>
      </c>
      <c r="AR85" s="37" t="s">
        <v>68</v>
      </c>
      <c r="AS85" s="55"/>
      <c r="AT85" s="53" t="s">
        <v>69</v>
      </c>
      <c r="AU85" s="54" t="s">
        <v>93</v>
      </c>
      <c r="AV85" s="39" t="s">
        <v>73</v>
      </c>
      <c r="AW85" s="39" t="s">
        <v>98</v>
      </c>
      <c r="AX85" s="39" t="s">
        <v>97</v>
      </c>
      <c r="AY85" s="39" t="s">
        <v>99</v>
      </c>
      <c r="AZ85" s="39" t="s">
        <v>96</v>
      </c>
      <c r="BA85" s="37" t="s">
        <v>60</v>
      </c>
      <c r="BB85" s="37" t="s">
        <v>100</v>
      </c>
      <c r="BC85" s="37" t="s">
        <v>101</v>
      </c>
      <c r="BD85" s="37" t="s">
        <v>102</v>
      </c>
      <c r="BE85" s="37" t="s">
        <v>103</v>
      </c>
      <c r="BF85" s="37" t="s">
        <v>65</v>
      </c>
      <c r="BG85" s="37" t="s">
        <v>68</v>
      </c>
      <c r="BH85" s="55"/>
      <c r="BI85" s="53" t="s">
        <v>69</v>
      </c>
      <c r="BJ85" s="54" t="s">
        <v>93</v>
      </c>
      <c r="BK85" s="39" t="s">
        <v>73</v>
      </c>
      <c r="BL85" s="39" t="s">
        <v>98</v>
      </c>
      <c r="BM85" s="39" t="s">
        <v>97</v>
      </c>
      <c r="BN85" s="39" t="s">
        <v>99</v>
      </c>
      <c r="BO85" s="39" t="s">
        <v>96</v>
      </c>
      <c r="BP85" s="37" t="s">
        <v>60</v>
      </c>
      <c r="BQ85" s="37" t="s">
        <v>100</v>
      </c>
      <c r="BR85" s="37" t="s">
        <v>101</v>
      </c>
      <c r="BS85" s="37" t="s">
        <v>102</v>
      </c>
      <c r="BT85" s="37" t="s">
        <v>103</v>
      </c>
      <c r="BU85" s="37" t="s">
        <v>65</v>
      </c>
      <c r="BV85" s="37" t="s">
        <v>68</v>
      </c>
      <c r="BW85" s="55"/>
      <c r="BX85" s="53" t="s">
        <v>69</v>
      </c>
      <c r="BY85" s="54" t="s">
        <v>93</v>
      </c>
      <c r="BZ85" s="39" t="s">
        <v>73</v>
      </c>
      <c r="CA85" s="39" t="s">
        <v>98</v>
      </c>
      <c r="CB85" s="39" t="s">
        <v>97</v>
      </c>
      <c r="CC85" s="39" t="s">
        <v>99</v>
      </c>
      <c r="CD85" s="39" t="s">
        <v>96</v>
      </c>
      <c r="CE85" s="37" t="s">
        <v>60</v>
      </c>
      <c r="CF85" s="37" t="s">
        <v>100</v>
      </c>
      <c r="CG85" s="37" t="s">
        <v>101</v>
      </c>
      <c r="CH85" s="37" t="s">
        <v>102</v>
      </c>
      <c r="CI85" s="37" t="s">
        <v>103</v>
      </c>
      <c r="CJ85" s="37" t="s">
        <v>65</v>
      </c>
      <c r="CK85" s="37" t="s">
        <v>68</v>
      </c>
      <c r="CL85" s="55"/>
      <c r="CM85" s="53" t="s">
        <v>69</v>
      </c>
      <c r="CN85" s="54" t="s">
        <v>93</v>
      </c>
      <c r="CO85" s="39" t="s">
        <v>73</v>
      </c>
      <c r="CP85" s="39" t="s">
        <v>98</v>
      </c>
      <c r="CQ85" s="39" t="s">
        <v>97</v>
      </c>
      <c r="CR85" s="39" t="s">
        <v>99</v>
      </c>
      <c r="CS85" s="39" t="s">
        <v>96</v>
      </c>
      <c r="CT85" s="37" t="s">
        <v>60</v>
      </c>
      <c r="CU85" s="37" t="s">
        <v>100</v>
      </c>
      <c r="CV85" s="37" t="s">
        <v>101</v>
      </c>
      <c r="CW85" s="37" t="s">
        <v>102</v>
      </c>
      <c r="CX85" s="37" t="s">
        <v>103</v>
      </c>
      <c r="CY85" s="37" t="s">
        <v>65</v>
      </c>
      <c r="CZ85" s="37" t="s">
        <v>68</v>
      </c>
      <c r="DA85" s="55"/>
      <c r="DB85" s="53" t="s">
        <v>69</v>
      </c>
      <c r="DC85" s="54" t="s">
        <v>93</v>
      </c>
      <c r="DD85" s="39" t="s">
        <v>73</v>
      </c>
      <c r="DE85" s="39" t="s">
        <v>98</v>
      </c>
      <c r="DF85" s="39" t="s">
        <v>97</v>
      </c>
      <c r="DG85" s="39" t="s">
        <v>99</v>
      </c>
      <c r="DH85" s="39" t="s">
        <v>96</v>
      </c>
      <c r="DI85" s="37" t="s">
        <v>60</v>
      </c>
      <c r="DJ85" s="37" t="s">
        <v>100</v>
      </c>
      <c r="DK85" s="37" t="s">
        <v>101</v>
      </c>
      <c r="DL85" s="37" t="s">
        <v>102</v>
      </c>
      <c r="DM85" s="37" t="s">
        <v>103</v>
      </c>
      <c r="DN85" s="37" t="s">
        <v>65</v>
      </c>
      <c r="DO85" s="37" t="s">
        <v>68</v>
      </c>
      <c r="DP85" s="55"/>
      <c r="DQ85" s="53" t="s">
        <v>69</v>
      </c>
      <c r="DR85" s="54" t="s">
        <v>93</v>
      </c>
      <c r="DS85" s="39" t="s">
        <v>73</v>
      </c>
      <c r="DT85" s="39" t="s">
        <v>98</v>
      </c>
      <c r="DU85" s="39" t="s">
        <v>97</v>
      </c>
      <c r="DV85" s="39" t="s">
        <v>99</v>
      </c>
      <c r="DW85" s="39" t="s">
        <v>96</v>
      </c>
      <c r="DX85" s="37" t="s">
        <v>60</v>
      </c>
      <c r="DY85" s="37" t="s">
        <v>100</v>
      </c>
      <c r="DZ85" s="37" t="s">
        <v>101</v>
      </c>
      <c r="EA85" s="37" t="s">
        <v>102</v>
      </c>
      <c r="EB85" s="37" t="s">
        <v>103</v>
      </c>
      <c r="EC85" s="37" t="s">
        <v>65</v>
      </c>
      <c r="ED85" s="37" t="s">
        <v>68</v>
      </c>
    </row>
    <row r="86" spans="1:134" x14ac:dyDescent="0.4">
      <c r="A86" s="28">
        <v>1</v>
      </c>
      <c r="B86" s="26">
        <v>1.0000000000000001E-5</v>
      </c>
      <c r="C86" s="28">
        <v>0.2</v>
      </c>
      <c r="D86" s="28">
        <v>30</v>
      </c>
      <c r="E86" s="26">
        <v>4.9999999999999998E-8</v>
      </c>
      <c r="F86" s="26">
        <f t="shared" ref="F86:F104" si="108">C86*E86</f>
        <v>1E-8</v>
      </c>
      <c r="G86" s="26">
        <f t="shared" ref="G86:G104" si="109">F86/(B86/2)</f>
        <v>2E-3</v>
      </c>
      <c r="H86" s="7">
        <v>0.22556966830056499</v>
      </c>
      <c r="I86" s="7">
        <v>20967.675665585699</v>
      </c>
      <c r="J86" s="7">
        <v>750067.42850576504</v>
      </c>
      <c r="K86" s="7">
        <v>20967.675665585699</v>
      </c>
      <c r="L86" s="7">
        <v>246455.34799285</v>
      </c>
      <c r="M86" s="7">
        <v>1273.2395447351601</v>
      </c>
      <c r="N86" s="7">
        <f t="shared" ref="N86:N104" si="110">I86+J86+K86</f>
        <v>792002.77983693639</v>
      </c>
      <c r="P86" s="28">
        <v>1</v>
      </c>
      <c r="Q86" s="26">
        <v>3.0000000000000001E-5</v>
      </c>
      <c r="R86" s="28">
        <v>0.2</v>
      </c>
      <c r="S86" s="28">
        <v>30</v>
      </c>
      <c r="T86" s="26">
        <v>4.9999999999999998E-8</v>
      </c>
      <c r="U86" s="26">
        <f t="shared" ref="U86:U104" si="111">R86*T86</f>
        <v>1E-8</v>
      </c>
      <c r="V86" s="26">
        <f t="shared" ref="V86:V104" si="112">U86/(Q86/2)</f>
        <v>6.6666666666666664E-4</v>
      </c>
      <c r="W86" s="7">
        <v>0.22568401489522999</v>
      </c>
      <c r="X86" s="7">
        <v>6989.2252213633501</v>
      </c>
      <c r="Y86" s="7">
        <v>250022.476149864</v>
      </c>
      <c r="Z86" s="7">
        <v>6989.2252213633501</v>
      </c>
      <c r="AA86" s="7">
        <v>82151.782666878105</v>
      </c>
      <c r="AB86" s="7">
        <v>141.47106052612901</v>
      </c>
      <c r="AC86" s="7">
        <f t="shared" ref="AC86:AC104" si="113">X86+Y86+Z86</f>
        <v>264000.92659259069</v>
      </c>
      <c r="AE86" s="28">
        <v>1</v>
      </c>
      <c r="AF86" s="26">
        <v>5.0000000000000002E-5</v>
      </c>
      <c r="AG86" s="28">
        <v>0.2</v>
      </c>
      <c r="AH86" s="28">
        <v>30</v>
      </c>
      <c r="AI86" s="26">
        <v>4.9999999999999998E-8</v>
      </c>
      <c r="AJ86" s="26">
        <f t="shared" ref="AJ86:AJ104" si="114">AG86*AI86</f>
        <v>1E-8</v>
      </c>
      <c r="AK86" s="26">
        <f t="shared" ref="AK86:AK104" si="115">AJ86/(AF86/2)</f>
        <v>3.9999999999999996E-4</v>
      </c>
      <c r="AL86" s="7">
        <v>0.22570694298060201</v>
      </c>
      <c r="AM86" s="7">
        <v>4193.5351285970401</v>
      </c>
      <c r="AN86" s="7">
        <v>150013.48553139099</v>
      </c>
      <c r="AO86" s="7">
        <v>4193.5351285970401</v>
      </c>
      <c r="AP86" s="7">
        <v>49291.069622095303</v>
      </c>
      <c r="AQ86" s="7">
        <v>50.929581789406498</v>
      </c>
      <c r="AR86" s="7">
        <f t="shared" ref="AR86:AR104" si="116">AM86+AN86+AO86</f>
        <v>158400.5557885851</v>
      </c>
      <c r="AT86" s="28">
        <v>1</v>
      </c>
      <c r="AU86" s="26">
        <v>1.0000000000000001E-5</v>
      </c>
      <c r="AV86" s="28">
        <v>0.2</v>
      </c>
      <c r="AW86" s="28">
        <v>200</v>
      </c>
      <c r="AX86" s="26">
        <v>4.9999999999999998E-8</v>
      </c>
      <c r="AY86" s="26">
        <f t="shared" ref="AY86:AY104" si="117">AV86*AX86</f>
        <v>1E-8</v>
      </c>
      <c r="AZ86" s="26">
        <f t="shared" ref="AZ86:AZ104" si="118">AY86/(AU86/2)</f>
        <v>2E-3</v>
      </c>
      <c r="BA86" s="7">
        <v>0.22790167226386099</v>
      </c>
      <c r="BB86" s="7">
        <v>4345.3623253436699</v>
      </c>
      <c r="BC86" s="7">
        <v>750067.42850576504</v>
      </c>
      <c r="BD86" s="7">
        <v>4345.3623253436699</v>
      </c>
      <c r="BE86" s="7">
        <v>246455.34799285</v>
      </c>
      <c r="BF86" s="7">
        <v>1273.2395447351601</v>
      </c>
      <c r="BG86" s="7">
        <f t="shared" ref="BG86:BG104" si="119">BB86+BC86+BD86</f>
        <v>758758.15315645235</v>
      </c>
      <c r="BI86" s="28">
        <v>1</v>
      </c>
      <c r="BJ86" s="26">
        <v>1.0000000000000001E-5</v>
      </c>
      <c r="BK86" s="28">
        <v>0.5</v>
      </c>
      <c r="BL86" s="28">
        <v>200</v>
      </c>
      <c r="BM86" s="26">
        <v>4.9999999999999998E-8</v>
      </c>
      <c r="BN86" s="26">
        <f t="shared" ref="BN86:BN104" si="120">BK86*BM86</f>
        <v>2.4999999999999999E-8</v>
      </c>
      <c r="BO86" s="26">
        <f t="shared" ref="BO86:BO104" si="121">BN86/(BJ86/2)</f>
        <v>4.9999999999999992E-3</v>
      </c>
      <c r="BP86" s="7">
        <v>0.56724699308930304</v>
      </c>
      <c r="BQ86" s="7">
        <v>3764.12485338133</v>
      </c>
      <c r="BR86" s="7">
        <v>300026.97140230599</v>
      </c>
      <c r="BS86" s="7">
        <v>3764.12485338133</v>
      </c>
      <c r="BT86" s="7">
        <v>98582.139197140001</v>
      </c>
      <c r="BU86" s="7">
        <v>1273.2395447351601</v>
      </c>
      <c r="BV86" s="7">
        <f t="shared" ref="BV86:BV104" si="122">BQ86+BR86+BS86</f>
        <v>307555.2211090686</v>
      </c>
      <c r="BX86" s="28">
        <v>1</v>
      </c>
      <c r="BY86" s="26">
        <v>5.0000000000000002E-5</v>
      </c>
      <c r="BZ86" s="28">
        <v>0.5</v>
      </c>
      <c r="CA86" s="28">
        <v>200</v>
      </c>
      <c r="CB86" s="26">
        <v>4.9999999999999998E-8</v>
      </c>
      <c r="CC86" s="26">
        <f t="shared" ref="CC86:CC104" si="123">BZ86*CB86</f>
        <v>2.4999999999999999E-8</v>
      </c>
      <c r="CD86" s="26">
        <f t="shared" ref="CD86:CD104" si="124">CC86/(BY86/2)</f>
        <v>9.999999999999998E-4</v>
      </c>
      <c r="CE86" s="7">
        <v>0.56815183221980103</v>
      </c>
      <c r="CF86" s="7">
        <v>752.82497001808497</v>
      </c>
      <c r="CG86" s="7">
        <v>60005.394212556603</v>
      </c>
      <c r="CH86" s="7">
        <v>752.82497001808497</v>
      </c>
      <c r="CI86" s="7">
        <v>19716.427848838099</v>
      </c>
      <c r="CJ86" s="7">
        <v>50.929581789406498</v>
      </c>
      <c r="CK86" s="7">
        <f t="shared" ref="CK86:CK104" si="125">CF86+CG86+CH86</f>
        <v>61511.044152592767</v>
      </c>
      <c r="CM86" s="28">
        <v>1</v>
      </c>
      <c r="CN86" s="26">
        <v>5.0000000000000002E-5</v>
      </c>
      <c r="CO86" s="28">
        <v>1</v>
      </c>
      <c r="CP86" s="28">
        <v>200</v>
      </c>
      <c r="CQ86" s="26">
        <v>4.9999999999999998E-8</v>
      </c>
      <c r="CR86" s="26">
        <f t="shared" ref="CR86:CR104" si="126">CO86*CQ86</f>
        <v>4.9999999999999998E-8</v>
      </c>
      <c r="CS86" s="26">
        <f t="shared" ref="CS86:CS104" si="127">CR86/(CN86/2)</f>
        <v>1.9999999999999996E-3</v>
      </c>
      <c r="CT86" s="7">
        <v>1.1307953859098101</v>
      </c>
      <c r="CU86" s="7">
        <v>665.23311259709499</v>
      </c>
      <c r="CV86" s="7">
        <v>30002.697106278301</v>
      </c>
      <c r="CW86" s="7">
        <v>665.23311259709499</v>
      </c>
      <c r="CX86" s="7">
        <v>9858.2139244190694</v>
      </c>
      <c r="CY86" s="7">
        <v>50.929581789406498</v>
      </c>
      <c r="CZ86" s="7">
        <f t="shared" ref="CZ86:CZ104" si="128">CU86+CV86+CW86</f>
        <v>31333.163331472493</v>
      </c>
      <c r="DB86" s="28">
        <v>1</v>
      </c>
      <c r="DC86" s="26">
        <v>5.0000000000000002E-5</v>
      </c>
      <c r="DD86" s="28">
        <v>2</v>
      </c>
      <c r="DE86" s="28">
        <v>200</v>
      </c>
      <c r="DF86" s="26">
        <v>4.9999999999999998E-8</v>
      </c>
      <c r="DG86" s="26">
        <f t="shared" ref="DG86:DG104" si="129">DD86*DF86</f>
        <v>9.9999999999999995E-8</v>
      </c>
      <c r="DH86" s="26">
        <f t="shared" ref="DH86:DH104" si="130">DG86/(DC86/2)</f>
        <v>3.9999999999999992E-3</v>
      </c>
      <c r="DI86" s="7">
        <v>2.2435877296337301</v>
      </c>
      <c r="DJ86" s="7">
        <v>578.22973015081095</v>
      </c>
      <c r="DK86" s="7">
        <v>15001.3485531391</v>
      </c>
      <c r="DL86" s="7">
        <v>578.22973015081095</v>
      </c>
      <c r="DM86" s="7">
        <v>4929.1069622095301</v>
      </c>
      <c r="DN86" s="7">
        <v>50.929581789406498</v>
      </c>
      <c r="DO86" s="7">
        <f t="shared" ref="DO86:DO104" si="131">DJ86+DK86+DL86</f>
        <v>16157.808013440723</v>
      </c>
      <c r="DQ86" s="28">
        <v>1</v>
      </c>
      <c r="DR86" s="26">
        <v>5.0000000000000002E-5</v>
      </c>
      <c r="DS86" s="28">
        <v>15</v>
      </c>
      <c r="DT86" s="28">
        <v>300</v>
      </c>
      <c r="DU86" s="26">
        <v>2.4999999999999999E-8</v>
      </c>
      <c r="DV86" s="26">
        <f t="shared" ref="DV86:DV104" si="132">DS86*DU86</f>
        <v>3.7500000000000001E-7</v>
      </c>
      <c r="DW86" s="26">
        <f t="shared" ref="DW86:DW104" si="133">DV86/(DR86/2)</f>
        <v>1.4999999999999999E-2</v>
      </c>
      <c r="DX86" s="7">
        <v>16.214066704122299</v>
      </c>
      <c r="DY86" s="7">
        <v>254.539230510376</v>
      </c>
      <c r="DZ86" s="7">
        <v>2000.1798070852201</v>
      </c>
      <c r="EA86" s="7">
        <v>254.539230510376</v>
      </c>
      <c r="EB86" s="7">
        <v>657.21426162793796</v>
      </c>
      <c r="EC86" s="7">
        <v>30.557749073643901</v>
      </c>
      <c r="ED86" s="7">
        <f t="shared" ref="ED86:ED104" si="134">DY86+DZ86+EA86</f>
        <v>2509.2582681059721</v>
      </c>
    </row>
    <row r="87" spans="1:134" x14ac:dyDescent="0.4">
      <c r="A87" s="28">
        <v>2</v>
      </c>
      <c r="B87" s="26">
        <v>1.0000000000000001E-5</v>
      </c>
      <c r="C87" s="28">
        <v>0.2</v>
      </c>
      <c r="D87" s="28">
        <v>30</v>
      </c>
      <c r="E87" s="26">
        <v>4.9999999999999998E-8</v>
      </c>
      <c r="F87" s="26">
        <f t="shared" si="108"/>
        <v>1E-8</v>
      </c>
      <c r="G87" s="26">
        <f t="shared" si="109"/>
        <v>2E-3</v>
      </c>
      <c r="H87" s="7">
        <v>0.25908796662267802</v>
      </c>
      <c r="I87" s="7">
        <v>20967.675665585699</v>
      </c>
      <c r="J87" s="7">
        <v>482013.76177816797</v>
      </c>
      <c r="K87" s="7">
        <v>20967.675665585699</v>
      </c>
      <c r="L87" s="7">
        <v>339325.67523914197</v>
      </c>
      <c r="M87" s="7">
        <v>1273.2395447351601</v>
      </c>
      <c r="N87" s="7">
        <f t="shared" si="110"/>
        <v>523949.11310933932</v>
      </c>
      <c r="P87" s="28">
        <v>2</v>
      </c>
      <c r="Q87" s="26">
        <v>3.0000000000000001E-5</v>
      </c>
      <c r="R87" s="28">
        <v>0.2</v>
      </c>
      <c r="S87" s="28">
        <v>30</v>
      </c>
      <c r="T87" s="26">
        <v>4.9999999999999998E-8</v>
      </c>
      <c r="U87" s="26">
        <f t="shared" si="111"/>
        <v>1E-8</v>
      </c>
      <c r="V87" s="26">
        <f t="shared" si="112"/>
        <v>6.6666666666666664E-4</v>
      </c>
      <c r="W87" s="7">
        <v>0.25941643415683502</v>
      </c>
      <c r="X87" s="7">
        <v>6989.2252213633501</v>
      </c>
      <c r="Y87" s="7">
        <v>160671.25390733199</v>
      </c>
      <c r="Z87" s="7">
        <v>6989.2252213633501</v>
      </c>
      <c r="AA87" s="7">
        <v>113108.558420806</v>
      </c>
      <c r="AB87" s="7">
        <v>141.47106052612901</v>
      </c>
      <c r="AC87" s="7">
        <f t="shared" si="113"/>
        <v>174649.70435005872</v>
      </c>
      <c r="AE87" s="28">
        <v>2</v>
      </c>
      <c r="AF87" s="26">
        <v>5.0000000000000002E-5</v>
      </c>
      <c r="AG87" s="28">
        <v>0.2</v>
      </c>
      <c r="AH87" s="28">
        <v>30</v>
      </c>
      <c r="AI87" s="26">
        <v>4.9999999999999998E-8</v>
      </c>
      <c r="AJ87" s="26">
        <f t="shared" si="114"/>
        <v>1E-8</v>
      </c>
      <c r="AK87" s="26">
        <f t="shared" si="115"/>
        <v>3.9999999999999996E-4</v>
      </c>
      <c r="AL87" s="7">
        <v>0.25948238285029801</v>
      </c>
      <c r="AM87" s="7">
        <v>4193.5351285970401</v>
      </c>
      <c r="AN87" s="7">
        <v>96402.752185872101</v>
      </c>
      <c r="AO87" s="7">
        <v>4193.5351285970401</v>
      </c>
      <c r="AP87" s="7">
        <v>67865.135118168895</v>
      </c>
      <c r="AQ87" s="7">
        <v>50.929581789406498</v>
      </c>
      <c r="AR87" s="7">
        <f t="shared" si="116"/>
        <v>104789.82244306618</v>
      </c>
      <c r="AT87" s="28">
        <v>2</v>
      </c>
      <c r="AU87" s="26">
        <v>1.0000000000000001E-5</v>
      </c>
      <c r="AV87" s="28">
        <v>0.2</v>
      </c>
      <c r="AW87" s="28">
        <v>200</v>
      </c>
      <c r="AX87" s="26">
        <v>4.9999999999999998E-8</v>
      </c>
      <c r="AY87" s="26">
        <f t="shared" si="117"/>
        <v>1E-8</v>
      </c>
      <c r="AZ87" s="26">
        <f t="shared" si="118"/>
        <v>2E-3</v>
      </c>
      <c r="BA87" s="7">
        <v>0.26593163933036101</v>
      </c>
      <c r="BB87" s="7">
        <v>4345.3623253436699</v>
      </c>
      <c r="BC87" s="7">
        <v>482013.76177816797</v>
      </c>
      <c r="BD87" s="7">
        <v>4345.3623253436699</v>
      </c>
      <c r="BE87" s="7">
        <v>339325.67523914197</v>
      </c>
      <c r="BF87" s="7">
        <v>1273.2395447351601</v>
      </c>
      <c r="BG87" s="7">
        <f t="shared" si="119"/>
        <v>490704.48642885528</v>
      </c>
      <c r="BI87" s="28">
        <v>2</v>
      </c>
      <c r="BJ87" s="26">
        <v>1.0000000000000001E-5</v>
      </c>
      <c r="BK87" s="28">
        <v>0.5</v>
      </c>
      <c r="BL87" s="28">
        <v>200</v>
      </c>
      <c r="BM87" s="26">
        <v>4.9999999999999998E-8</v>
      </c>
      <c r="BN87" s="26">
        <f t="shared" si="120"/>
        <v>2.4999999999999999E-8</v>
      </c>
      <c r="BO87" s="26">
        <f t="shared" si="121"/>
        <v>4.9999999999999992E-3</v>
      </c>
      <c r="BP87" s="7">
        <v>0.65737688810441597</v>
      </c>
      <c r="BQ87" s="7">
        <v>3764.12485338133</v>
      </c>
      <c r="BR87" s="7">
        <v>192805.50471126701</v>
      </c>
      <c r="BS87" s="7">
        <v>3764.12485338133</v>
      </c>
      <c r="BT87" s="7">
        <v>135730.270095657</v>
      </c>
      <c r="BU87" s="7">
        <v>1273.2395447351601</v>
      </c>
      <c r="BV87" s="7">
        <f t="shared" si="122"/>
        <v>200333.75441802968</v>
      </c>
      <c r="BX87" s="28">
        <v>2</v>
      </c>
      <c r="BY87" s="26">
        <v>5.0000000000000002E-5</v>
      </c>
      <c r="BZ87" s="28">
        <v>0.5</v>
      </c>
      <c r="CA87" s="28">
        <v>200</v>
      </c>
      <c r="CB87" s="26">
        <v>4.9999999999999998E-8</v>
      </c>
      <c r="CC87" s="26">
        <f t="shared" si="123"/>
        <v>2.4999999999999999E-8</v>
      </c>
      <c r="CD87" s="26">
        <f t="shared" si="124"/>
        <v>9.999999999999998E-4</v>
      </c>
      <c r="CE87" s="7">
        <v>0.66004967307086404</v>
      </c>
      <c r="CF87" s="7">
        <v>752.82497001808497</v>
      </c>
      <c r="CG87" s="7">
        <v>38561.1008743489</v>
      </c>
      <c r="CH87" s="7">
        <v>752.82497001808497</v>
      </c>
      <c r="CI87" s="7">
        <v>27146.0540472676</v>
      </c>
      <c r="CJ87" s="7">
        <v>50.929581789406498</v>
      </c>
      <c r="CK87" s="7">
        <f t="shared" si="125"/>
        <v>40066.750814385065</v>
      </c>
      <c r="CM87" s="28">
        <v>2</v>
      </c>
      <c r="CN87" s="26">
        <v>5.0000000000000002E-5</v>
      </c>
      <c r="CO87" s="28">
        <v>1</v>
      </c>
      <c r="CP87" s="28">
        <v>200</v>
      </c>
      <c r="CQ87" s="26">
        <v>4.9999999999999998E-8</v>
      </c>
      <c r="CR87" s="26">
        <f t="shared" si="126"/>
        <v>4.9999999999999998E-8</v>
      </c>
      <c r="CS87" s="26">
        <f t="shared" si="127"/>
        <v>1.9999999999999996E-3</v>
      </c>
      <c r="CT87" s="7">
        <v>1.3039439553083501</v>
      </c>
      <c r="CU87" s="7">
        <v>665.23311259709499</v>
      </c>
      <c r="CV87" s="7">
        <v>19280.550437174399</v>
      </c>
      <c r="CW87" s="7">
        <v>665.23311259709499</v>
      </c>
      <c r="CX87" s="7">
        <v>13573.0270236338</v>
      </c>
      <c r="CY87" s="7">
        <v>50.929581789406498</v>
      </c>
      <c r="CZ87" s="7">
        <f t="shared" si="128"/>
        <v>20611.016662368591</v>
      </c>
      <c r="DB87" s="28">
        <v>2</v>
      </c>
      <c r="DC87" s="26">
        <v>5.0000000000000002E-5</v>
      </c>
      <c r="DD87" s="28">
        <v>2</v>
      </c>
      <c r="DE87" s="28">
        <v>200</v>
      </c>
      <c r="DF87" s="26">
        <v>4.9999999999999998E-8</v>
      </c>
      <c r="DG87" s="26">
        <f t="shared" si="129"/>
        <v>9.9999999999999995E-8</v>
      </c>
      <c r="DH87" s="26">
        <f t="shared" si="130"/>
        <v>3.9999999999999992E-3</v>
      </c>
      <c r="DI87" s="7">
        <v>2.55653042081794</v>
      </c>
      <c r="DJ87" s="7">
        <v>578.22973015081095</v>
      </c>
      <c r="DK87" s="7">
        <v>9640.2752185872196</v>
      </c>
      <c r="DL87" s="7">
        <v>578.22973015081095</v>
      </c>
      <c r="DM87" s="7">
        <v>6786.5135118168901</v>
      </c>
      <c r="DN87" s="7">
        <v>50.929581789406498</v>
      </c>
      <c r="DO87" s="7">
        <f t="shared" si="131"/>
        <v>10796.734678888843</v>
      </c>
      <c r="DQ87" s="28">
        <v>2</v>
      </c>
      <c r="DR87" s="26">
        <v>5.0000000000000002E-5</v>
      </c>
      <c r="DS87" s="28">
        <v>15</v>
      </c>
      <c r="DT87" s="28">
        <v>300</v>
      </c>
      <c r="DU87" s="26">
        <v>2.4999999999999999E-8</v>
      </c>
      <c r="DV87" s="26">
        <f t="shared" si="132"/>
        <v>3.7500000000000001E-7</v>
      </c>
      <c r="DW87" s="26">
        <f t="shared" si="133"/>
        <v>1.4999999999999999E-2</v>
      </c>
      <c r="DX87" s="7">
        <v>17.5782722122397</v>
      </c>
      <c r="DY87" s="7">
        <v>254.539230510376</v>
      </c>
      <c r="DZ87" s="7">
        <v>1285.37002914496</v>
      </c>
      <c r="EA87" s="7">
        <v>254.539230510376</v>
      </c>
      <c r="EB87" s="7">
        <v>904.86846824225199</v>
      </c>
      <c r="EC87" s="7">
        <v>30.557749073643901</v>
      </c>
      <c r="ED87" s="7">
        <f t="shared" si="134"/>
        <v>1794.448490165712</v>
      </c>
    </row>
    <row r="88" spans="1:134" x14ac:dyDescent="0.4">
      <c r="A88" s="28">
        <v>4</v>
      </c>
      <c r="B88" s="26">
        <v>1.0000000000000001E-5</v>
      </c>
      <c r="C88" s="28">
        <v>0.2</v>
      </c>
      <c r="D88" s="28">
        <v>30</v>
      </c>
      <c r="E88" s="26">
        <v>4.9999999999999998E-8</v>
      </c>
      <c r="F88" s="26">
        <f t="shared" si="108"/>
        <v>1E-8</v>
      </c>
      <c r="G88" s="26">
        <f t="shared" si="109"/>
        <v>2E-3</v>
      </c>
      <c r="H88" s="7">
        <v>0.35042646238597203</v>
      </c>
      <c r="I88" s="7">
        <v>20967.675665585699</v>
      </c>
      <c r="J88" s="7">
        <v>269259.42550450901</v>
      </c>
      <c r="K88" s="7">
        <v>20967.675665585699</v>
      </c>
      <c r="L88" s="7">
        <v>496205.96663466899</v>
      </c>
      <c r="M88" s="7">
        <v>1273.2395447351601</v>
      </c>
      <c r="N88" s="7">
        <f t="shared" si="110"/>
        <v>311194.77683568036</v>
      </c>
      <c r="P88" s="28">
        <v>4</v>
      </c>
      <c r="Q88" s="26">
        <v>3.0000000000000001E-5</v>
      </c>
      <c r="R88" s="28">
        <v>0.2</v>
      </c>
      <c r="S88" s="28">
        <v>30</v>
      </c>
      <c r="T88" s="26">
        <v>4.9999999999999998E-8</v>
      </c>
      <c r="U88" s="26">
        <f t="shared" si="111"/>
        <v>1E-8</v>
      </c>
      <c r="V88" s="26">
        <f t="shared" si="112"/>
        <v>6.6666666666666664E-4</v>
      </c>
      <c r="W88" s="7">
        <v>0.351594443268195</v>
      </c>
      <c r="X88" s="7">
        <v>6989.2252213633501</v>
      </c>
      <c r="Y88" s="7">
        <v>89753.141816112096</v>
      </c>
      <c r="Z88" s="7">
        <v>6989.2252213633501</v>
      </c>
      <c r="AA88" s="7">
        <v>165401.98890513901</v>
      </c>
      <c r="AB88" s="7">
        <v>141.47106052612901</v>
      </c>
      <c r="AC88" s="7">
        <f t="shared" si="113"/>
        <v>103731.59225883879</v>
      </c>
      <c r="AE88" s="28">
        <v>4</v>
      </c>
      <c r="AF88" s="26">
        <v>5.0000000000000002E-5</v>
      </c>
      <c r="AG88" s="28">
        <v>0.2</v>
      </c>
      <c r="AH88" s="28">
        <v>30</v>
      </c>
      <c r="AI88" s="26">
        <v>4.9999999999999998E-8</v>
      </c>
      <c r="AJ88" s="26">
        <f t="shared" si="114"/>
        <v>1E-8</v>
      </c>
      <c r="AK88" s="26">
        <f t="shared" si="115"/>
        <v>3.9999999999999996E-4</v>
      </c>
      <c r="AL88" s="7">
        <v>0.351829566406762</v>
      </c>
      <c r="AM88" s="7">
        <v>4193.5351285970401</v>
      </c>
      <c r="AN88" s="7">
        <v>53851.884931140201</v>
      </c>
      <c r="AO88" s="7">
        <v>4193.5351285970401</v>
      </c>
      <c r="AP88" s="7">
        <v>99241.193570966701</v>
      </c>
      <c r="AQ88" s="7">
        <v>50.929581789406498</v>
      </c>
      <c r="AR88" s="7">
        <f t="shared" si="116"/>
        <v>62238.955188334279</v>
      </c>
      <c r="AT88" s="28">
        <v>4</v>
      </c>
      <c r="AU88" s="26">
        <v>1.0000000000000001E-5</v>
      </c>
      <c r="AV88" s="28">
        <v>0.2</v>
      </c>
      <c r="AW88" s="28">
        <v>200</v>
      </c>
      <c r="AX88" s="26">
        <v>4.9999999999999998E-8</v>
      </c>
      <c r="AY88" s="26">
        <f t="shared" si="117"/>
        <v>1E-8</v>
      </c>
      <c r="AZ88" s="26">
        <f t="shared" si="118"/>
        <v>2E-3</v>
      </c>
      <c r="BA88" s="7">
        <v>0.37587108241405598</v>
      </c>
      <c r="BB88" s="7">
        <v>4345.3623253436699</v>
      </c>
      <c r="BC88" s="7">
        <v>269259.42550450901</v>
      </c>
      <c r="BD88" s="7">
        <v>4345.3623253436699</v>
      </c>
      <c r="BE88" s="7">
        <v>496205.96663466899</v>
      </c>
      <c r="BF88" s="7">
        <v>1273.2395447351601</v>
      </c>
      <c r="BG88" s="7">
        <f t="shared" si="119"/>
        <v>277950.15015519632</v>
      </c>
      <c r="BI88" s="28">
        <v>4</v>
      </c>
      <c r="BJ88" s="26">
        <v>1.0000000000000001E-5</v>
      </c>
      <c r="BK88" s="28">
        <v>0.5</v>
      </c>
      <c r="BL88" s="28">
        <v>200</v>
      </c>
      <c r="BM88" s="26">
        <v>4.9999999999999998E-8</v>
      </c>
      <c r="BN88" s="26">
        <f t="shared" si="120"/>
        <v>2.4999999999999999E-8</v>
      </c>
      <c r="BO88" s="26">
        <f t="shared" si="121"/>
        <v>4.9999999999999992E-3</v>
      </c>
      <c r="BP88" s="7">
        <v>0.91123686417060801</v>
      </c>
      <c r="BQ88" s="7">
        <v>3764.12485338133</v>
      </c>
      <c r="BR88" s="7">
        <v>107703.770201803</v>
      </c>
      <c r="BS88" s="7">
        <v>3764.12485338133</v>
      </c>
      <c r="BT88" s="7">
        <v>198482.38665386799</v>
      </c>
      <c r="BU88" s="7">
        <v>1273.2395447351601</v>
      </c>
      <c r="BV88" s="7">
        <f t="shared" si="122"/>
        <v>115232.01990856566</v>
      </c>
      <c r="BX88" s="28">
        <v>4</v>
      </c>
      <c r="BY88" s="26">
        <v>5.0000000000000002E-5</v>
      </c>
      <c r="BZ88" s="28">
        <v>0.5</v>
      </c>
      <c r="CA88" s="28">
        <v>200</v>
      </c>
      <c r="CB88" s="26">
        <v>4.9999999999999998E-8</v>
      </c>
      <c r="CC88" s="26">
        <f t="shared" si="123"/>
        <v>2.4999999999999999E-8</v>
      </c>
      <c r="CD88" s="26">
        <f t="shared" si="124"/>
        <v>9.999999999999998E-4</v>
      </c>
      <c r="CE88" s="7">
        <v>0.921302691979488</v>
      </c>
      <c r="CF88" s="7">
        <v>752.82497001808497</v>
      </c>
      <c r="CG88" s="7">
        <v>21540.753972456099</v>
      </c>
      <c r="CH88" s="7">
        <v>752.82497001808497</v>
      </c>
      <c r="CI88" s="7">
        <v>39696.477428386701</v>
      </c>
      <c r="CJ88" s="7">
        <v>50.929581789406498</v>
      </c>
      <c r="CK88" s="7">
        <f t="shared" si="125"/>
        <v>23046.403912492271</v>
      </c>
      <c r="CM88" s="28">
        <v>4</v>
      </c>
      <c r="CN88" s="26">
        <v>5.0000000000000002E-5</v>
      </c>
      <c r="CO88" s="28">
        <v>1</v>
      </c>
      <c r="CP88" s="28">
        <v>200</v>
      </c>
      <c r="CQ88" s="26">
        <v>4.9999999999999998E-8</v>
      </c>
      <c r="CR88" s="26">
        <f t="shared" si="126"/>
        <v>4.9999999999999998E-8</v>
      </c>
      <c r="CS88" s="26">
        <f t="shared" si="127"/>
        <v>1.9999999999999996E-3</v>
      </c>
      <c r="CT88" s="7">
        <v>1.78265201705969</v>
      </c>
      <c r="CU88" s="7">
        <v>665.23311259709499</v>
      </c>
      <c r="CV88" s="7">
        <v>10770.376986228001</v>
      </c>
      <c r="CW88" s="7">
        <v>665.23311259709499</v>
      </c>
      <c r="CX88" s="7">
        <v>19848.2387141933</v>
      </c>
      <c r="CY88" s="7">
        <v>50.929581789406498</v>
      </c>
      <c r="CZ88" s="7">
        <f t="shared" si="128"/>
        <v>12100.843211422191</v>
      </c>
      <c r="DB88" s="28">
        <v>4</v>
      </c>
      <c r="DC88" s="26">
        <v>5.0000000000000002E-5</v>
      </c>
      <c r="DD88" s="28">
        <v>2</v>
      </c>
      <c r="DE88" s="28">
        <v>200</v>
      </c>
      <c r="DF88" s="26">
        <v>4.9999999999999998E-8</v>
      </c>
      <c r="DG88" s="26">
        <f t="shared" si="129"/>
        <v>9.9999999999999995E-8</v>
      </c>
      <c r="DH88" s="26">
        <f t="shared" si="130"/>
        <v>3.9999999999999992E-3</v>
      </c>
      <c r="DI88" s="7">
        <v>3.3851248705226902</v>
      </c>
      <c r="DJ88" s="7">
        <v>578.22973015081095</v>
      </c>
      <c r="DK88" s="7">
        <v>5385.1884931140203</v>
      </c>
      <c r="DL88" s="7">
        <v>578.22973015081095</v>
      </c>
      <c r="DM88" s="7">
        <v>9924.1193570966698</v>
      </c>
      <c r="DN88" s="7">
        <v>50.929581789406498</v>
      </c>
      <c r="DO88" s="7">
        <f t="shared" si="131"/>
        <v>6541.6479534156415</v>
      </c>
      <c r="DQ88" s="28">
        <v>4</v>
      </c>
      <c r="DR88" s="26">
        <v>5.0000000000000002E-5</v>
      </c>
      <c r="DS88" s="28">
        <v>15</v>
      </c>
      <c r="DT88" s="28">
        <v>300</v>
      </c>
      <c r="DU88" s="26">
        <v>2.4999999999999999E-8</v>
      </c>
      <c r="DV88" s="26">
        <f t="shared" si="132"/>
        <v>3.7500000000000001E-7</v>
      </c>
      <c r="DW88" s="26">
        <f t="shared" si="133"/>
        <v>1.4999999999999999E-2</v>
      </c>
      <c r="DX88" s="7">
        <v>20.637759980397</v>
      </c>
      <c r="DY88" s="7">
        <v>254.539230510376</v>
      </c>
      <c r="DZ88" s="7">
        <v>718.02513241520205</v>
      </c>
      <c r="EA88" s="7">
        <v>254.539230510376</v>
      </c>
      <c r="EB88" s="7">
        <v>1323.2159142795599</v>
      </c>
      <c r="EC88" s="7">
        <v>30.557749073643901</v>
      </c>
      <c r="ED88" s="7">
        <f t="shared" si="134"/>
        <v>1227.1035934359541</v>
      </c>
    </row>
    <row r="89" spans="1:134" x14ac:dyDescent="0.4">
      <c r="A89" s="28">
        <v>6</v>
      </c>
      <c r="B89" s="26">
        <v>1.0000000000000001E-5</v>
      </c>
      <c r="C89" s="28">
        <v>0.2</v>
      </c>
      <c r="D89" s="28">
        <v>30</v>
      </c>
      <c r="E89" s="26">
        <v>4.9999999999999998E-8</v>
      </c>
      <c r="F89" s="26">
        <f t="shared" si="108"/>
        <v>1E-8</v>
      </c>
      <c r="G89" s="26">
        <f t="shared" si="109"/>
        <v>2E-3</v>
      </c>
      <c r="H89" s="7">
        <v>0.48505148864228897</v>
      </c>
      <c r="I89" s="7">
        <v>20967.675665585699</v>
      </c>
      <c r="J89" s="7">
        <v>165780.67944707401</v>
      </c>
      <c r="K89" s="7">
        <v>20967.675665585699</v>
      </c>
      <c r="L89" s="7">
        <v>651465.34785778704</v>
      </c>
      <c r="M89" s="7">
        <v>1273.2395447351601</v>
      </c>
      <c r="N89" s="7">
        <f t="shared" si="110"/>
        <v>207716.03077824542</v>
      </c>
      <c r="P89" s="28">
        <v>6</v>
      </c>
      <c r="Q89" s="26">
        <v>3.0000000000000001E-5</v>
      </c>
      <c r="R89" s="28">
        <v>0.2</v>
      </c>
      <c r="S89" s="28">
        <v>30</v>
      </c>
      <c r="T89" s="26">
        <v>4.9999999999999998E-8</v>
      </c>
      <c r="U89" s="26">
        <f t="shared" si="111"/>
        <v>1E-8</v>
      </c>
      <c r="V89" s="26">
        <f t="shared" si="112"/>
        <v>6.6666666666666664E-4</v>
      </c>
      <c r="W89" s="7">
        <v>0.48803629912987001</v>
      </c>
      <c r="X89" s="7">
        <v>6989.2252213633501</v>
      </c>
      <c r="Y89" s="7">
        <v>55260.226463633997</v>
      </c>
      <c r="Z89" s="7">
        <v>6989.2252213633501</v>
      </c>
      <c r="AA89" s="7">
        <v>217155.11601730101</v>
      </c>
      <c r="AB89" s="7">
        <v>141.47106052612901</v>
      </c>
      <c r="AC89" s="7">
        <f t="shared" si="113"/>
        <v>69238.676906360692</v>
      </c>
      <c r="AE89" s="28">
        <v>6</v>
      </c>
      <c r="AF89" s="26">
        <v>5.0000000000000002E-5</v>
      </c>
      <c r="AG89" s="28">
        <v>0.2</v>
      </c>
      <c r="AH89" s="28">
        <v>30</v>
      </c>
      <c r="AI89" s="26">
        <v>4.9999999999999998E-8</v>
      </c>
      <c r="AJ89" s="26">
        <f t="shared" si="114"/>
        <v>1E-8</v>
      </c>
      <c r="AK89" s="26">
        <f t="shared" si="115"/>
        <v>3.9999999999999996E-4</v>
      </c>
      <c r="AL89" s="7">
        <v>0.488639102610266</v>
      </c>
      <c r="AM89" s="7">
        <v>4193.5351285970401</v>
      </c>
      <c r="AN89" s="7">
        <v>33156.135719653299</v>
      </c>
      <c r="AO89" s="7">
        <v>4193.5351285970401</v>
      </c>
      <c r="AP89" s="7">
        <v>130293.0701582</v>
      </c>
      <c r="AQ89" s="7">
        <v>50.929581789406498</v>
      </c>
      <c r="AR89" s="7">
        <f t="shared" si="116"/>
        <v>41543.205976847377</v>
      </c>
      <c r="AT89" s="28">
        <v>6</v>
      </c>
      <c r="AU89" s="26">
        <v>1.0000000000000001E-5</v>
      </c>
      <c r="AV89" s="28">
        <v>0.2</v>
      </c>
      <c r="AW89" s="28">
        <v>200</v>
      </c>
      <c r="AX89" s="26">
        <v>4.9999999999999998E-8</v>
      </c>
      <c r="AY89" s="26">
        <f t="shared" si="117"/>
        <v>1E-8</v>
      </c>
      <c r="AZ89" s="26">
        <f t="shared" si="118"/>
        <v>2E-3</v>
      </c>
      <c r="BA89" s="7">
        <v>0.55391883460202895</v>
      </c>
      <c r="BB89" s="7">
        <v>4345.3623253436699</v>
      </c>
      <c r="BC89" s="7">
        <v>165780.67944707401</v>
      </c>
      <c r="BD89" s="7">
        <v>4345.3623253436699</v>
      </c>
      <c r="BE89" s="7">
        <v>651465.34785778704</v>
      </c>
      <c r="BF89" s="7">
        <v>1273.2395447351601</v>
      </c>
      <c r="BG89" s="7">
        <f t="shared" si="119"/>
        <v>174471.40409776138</v>
      </c>
      <c r="BI89" s="28">
        <v>6</v>
      </c>
      <c r="BJ89" s="26">
        <v>1.0000000000000001E-5</v>
      </c>
      <c r="BK89" s="28">
        <v>0.5</v>
      </c>
      <c r="BL89" s="28">
        <v>200</v>
      </c>
      <c r="BM89" s="26">
        <v>4.9999999999999998E-8</v>
      </c>
      <c r="BN89" s="26">
        <f t="shared" si="120"/>
        <v>2.4999999999999999E-8</v>
      </c>
      <c r="BO89" s="26">
        <f t="shared" si="121"/>
        <v>4.9999999999999992E-3</v>
      </c>
      <c r="BP89" s="7">
        <v>1.3052550702315999</v>
      </c>
      <c r="BQ89" s="7">
        <v>3764.12485338133</v>
      </c>
      <c r="BR89" s="7">
        <v>66312.271778829701</v>
      </c>
      <c r="BS89" s="7">
        <v>3764.12485338133</v>
      </c>
      <c r="BT89" s="7">
        <v>260586.139143115</v>
      </c>
      <c r="BU89" s="7">
        <v>1273.2395447351601</v>
      </c>
      <c r="BV89" s="7">
        <f t="shared" si="122"/>
        <v>73840.52148559237</v>
      </c>
      <c r="BX89" s="28">
        <v>6</v>
      </c>
      <c r="BY89" s="26">
        <v>5.0000000000000002E-5</v>
      </c>
      <c r="BZ89" s="28">
        <v>0.5</v>
      </c>
      <c r="CA89" s="28">
        <v>200</v>
      </c>
      <c r="CB89" s="26">
        <v>4.9999999999999998E-8</v>
      </c>
      <c r="CC89" s="26">
        <f t="shared" si="123"/>
        <v>2.4999999999999999E-8</v>
      </c>
      <c r="CD89" s="26">
        <f t="shared" si="124"/>
        <v>9.999999999999998E-4</v>
      </c>
      <c r="CE89" s="7">
        <v>1.33291185349799</v>
      </c>
      <c r="CF89" s="7">
        <v>752.82497001808497</v>
      </c>
      <c r="CG89" s="7">
        <v>13262.454287861299</v>
      </c>
      <c r="CH89" s="7">
        <v>752.82497001808497</v>
      </c>
      <c r="CI89" s="7">
        <v>52117.228063280199</v>
      </c>
      <c r="CJ89" s="7">
        <v>50.929581789406498</v>
      </c>
      <c r="CK89" s="7">
        <f t="shared" si="125"/>
        <v>14768.104227897471</v>
      </c>
      <c r="CM89" s="28">
        <v>6</v>
      </c>
      <c r="CN89" s="26">
        <v>5.0000000000000002E-5</v>
      </c>
      <c r="CO89" s="28">
        <v>1</v>
      </c>
      <c r="CP89" s="28">
        <v>200</v>
      </c>
      <c r="CQ89" s="26">
        <v>4.9999999999999998E-8</v>
      </c>
      <c r="CR89" s="26">
        <f t="shared" si="126"/>
        <v>4.9999999999999998E-8</v>
      </c>
      <c r="CS89" s="26">
        <f t="shared" si="127"/>
        <v>1.9999999999999996E-3</v>
      </c>
      <c r="CT89" s="7">
        <v>2.5041465092526001</v>
      </c>
      <c r="CU89" s="7">
        <v>665.23311259709499</v>
      </c>
      <c r="CV89" s="7">
        <v>6631.2271439306596</v>
      </c>
      <c r="CW89" s="7">
        <v>665.23311259709499</v>
      </c>
      <c r="CX89" s="7">
        <v>26058.6140316401</v>
      </c>
      <c r="CY89" s="7">
        <v>50.929581789406498</v>
      </c>
      <c r="CZ89" s="7">
        <f t="shared" si="128"/>
        <v>7961.6933691248496</v>
      </c>
      <c r="DB89" s="28">
        <v>6</v>
      </c>
      <c r="DC89" s="26">
        <v>5.0000000000000002E-5</v>
      </c>
      <c r="DD89" s="28">
        <v>2</v>
      </c>
      <c r="DE89" s="28">
        <v>200</v>
      </c>
      <c r="DF89" s="26">
        <v>4.9999999999999998E-8</v>
      </c>
      <c r="DG89" s="26">
        <f t="shared" si="129"/>
        <v>9.9999999999999995E-8</v>
      </c>
      <c r="DH89" s="26">
        <f t="shared" si="130"/>
        <v>3.9999999999999992E-3</v>
      </c>
      <c r="DI89" s="7">
        <v>4.5549374709051902</v>
      </c>
      <c r="DJ89" s="7">
        <v>578.22973015081095</v>
      </c>
      <c r="DK89" s="7">
        <v>3315.6135719653298</v>
      </c>
      <c r="DL89" s="7">
        <v>578.22973015081095</v>
      </c>
      <c r="DM89" s="7">
        <v>13029.307015820101</v>
      </c>
      <c r="DN89" s="7">
        <v>50.929581789406498</v>
      </c>
      <c r="DO89" s="7">
        <f t="shared" si="131"/>
        <v>4472.0730322669515</v>
      </c>
      <c r="DQ89" s="28">
        <v>6</v>
      </c>
      <c r="DR89" s="26">
        <v>5.0000000000000002E-5</v>
      </c>
      <c r="DS89" s="28">
        <v>15</v>
      </c>
      <c r="DT89" s="28">
        <v>300</v>
      </c>
      <c r="DU89" s="26">
        <v>2.4999999999999999E-8</v>
      </c>
      <c r="DV89" s="26">
        <f t="shared" si="132"/>
        <v>3.7500000000000001E-7</v>
      </c>
      <c r="DW89" s="26">
        <f t="shared" si="133"/>
        <v>1.4999999999999999E-2</v>
      </c>
      <c r="DX89" s="7">
        <v>24.110062484125301</v>
      </c>
      <c r="DY89" s="7">
        <v>254.539230510376</v>
      </c>
      <c r="DZ89" s="7">
        <v>442.08180959537702</v>
      </c>
      <c r="EA89" s="7">
        <v>254.539230510376</v>
      </c>
      <c r="EB89" s="7">
        <v>1737.24093544267</v>
      </c>
      <c r="EC89" s="7">
        <v>30.557749073643901</v>
      </c>
      <c r="ED89" s="7">
        <f t="shared" si="134"/>
        <v>951.16027061612908</v>
      </c>
    </row>
    <row r="90" spans="1:134" x14ac:dyDescent="0.4">
      <c r="A90" s="28">
        <v>8</v>
      </c>
      <c r="B90" s="26">
        <v>1.0000000000000001E-5</v>
      </c>
      <c r="C90" s="28">
        <v>0.2</v>
      </c>
      <c r="D90" s="28">
        <v>30</v>
      </c>
      <c r="E90" s="26">
        <v>4.9999999999999998E-8</v>
      </c>
      <c r="F90" s="26">
        <f t="shared" si="108"/>
        <v>1E-8</v>
      </c>
      <c r="G90" s="26">
        <f t="shared" si="109"/>
        <v>2E-3</v>
      </c>
      <c r="H90" s="7">
        <v>0.68909871752131402</v>
      </c>
      <c r="I90" s="7">
        <v>20967.675665585699</v>
      </c>
      <c r="J90" s="7">
        <v>100396.196898707</v>
      </c>
      <c r="K90" s="7">
        <v>20967.675665585699</v>
      </c>
      <c r="L90" s="7">
        <v>821154.82400854595</v>
      </c>
      <c r="M90" s="7">
        <v>1273.2395447351601</v>
      </c>
      <c r="N90" s="7">
        <f t="shared" si="110"/>
        <v>142331.54822987839</v>
      </c>
      <c r="P90" s="28">
        <v>8</v>
      </c>
      <c r="Q90" s="26">
        <v>3.0000000000000001E-5</v>
      </c>
      <c r="R90" s="28">
        <v>0.2</v>
      </c>
      <c r="S90" s="28">
        <v>30</v>
      </c>
      <c r="T90" s="26">
        <v>4.9999999999999998E-8</v>
      </c>
      <c r="U90" s="26">
        <f t="shared" si="111"/>
        <v>1E-8</v>
      </c>
      <c r="V90" s="26">
        <f t="shared" si="112"/>
        <v>6.6666666666666664E-4</v>
      </c>
      <c r="W90" s="7">
        <v>0.69604384093835403</v>
      </c>
      <c r="X90" s="7">
        <v>6989.2252213633501</v>
      </c>
      <c r="Y90" s="7">
        <v>33465.398947511501</v>
      </c>
      <c r="Z90" s="7">
        <v>6989.2252213633501</v>
      </c>
      <c r="AA90" s="7">
        <v>273718.27480960399</v>
      </c>
      <c r="AB90" s="7">
        <v>141.47106052612901</v>
      </c>
      <c r="AC90" s="7">
        <f t="shared" si="113"/>
        <v>47443.849390238196</v>
      </c>
      <c r="AE90" s="28">
        <v>8</v>
      </c>
      <c r="AF90" s="26">
        <v>5.0000000000000002E-5</v>
      </c>
      <c r="AG90" s="28">
        <v>0.2</v>
      </c>
      <c r="AH90" s="28">
        <v>30</v>
      </c>
      <c r="AI90" s="26">
        <v>4.9999999999999998E-8</v>
      </c>
      <c r="AJ90" s="26">
        <f t="shared" si="114"/>
        <v>1E-8</v>
      </c>
      <c r="AK90" s="26">
        <f t="shared" si="115"/>
        <v>3.9999999999999996E-4</v>
      </c>
      <c r="AL90" s="7">
        <v>0.69745267845504799</v>
      </c>
      <c r="AM90" s="7">
        <v>4193.5351285970401</v>
      </c>
      <c r="AN90" s="7">
        <v>20079.239209979802</v>
      </c>
      <c r="AO90" s="7">
        <v>4193.5351285970401</v>
      </c>
      <c r="AP90" s="7">
        <v>164230.96607182099</v>
      </c>
      <c r="AQ90" s="7">
        <v>50.929581789406498</v>
      </c>
      <c r="AR90" s="7">
        <f t="shared" si="116"/>
        <v>28466.30946717388</v>
      </c>
      <c r="AT90" s="28">
        <v>8</v>
      </c>
      <c r="AU90" s="26">
        <v>1.0000000000000001E-5</v>
      </c>
      <c r="AV90" s="28">
        <v>0.2</v>
      </c>
      <c r="AW90" s="28">
        <v>200</v>
      </c>
      <c r="AX90" s="26">
        <v>4.9999999999999998E-8</v>
      </c>
      <c r="AY90" s="26">
        <f t="shared" si="117"/>
        <v>1E-8</v>
      </c>
      <c r="AZ90" s="26">
        <f t="shared" si="118"/>
        <v>2E-3</v>
      </c>
      <c r="BA90" s="7">
        <v>0.86353703958044603</v>
      </c>
      <c r="BB90" s="7">
        <v>4345.3623253436699</v>
      </c>
      <c r="BC90" s="7">
        <v>100396.196898707</v>
      </c>
      <c r="BD90" s="7">
        <v>4345.3623253436699</v>
      </c>
      <c r="BE90" s="7">
        <v>821154.82400854595</v>
      </c>
      <c r="BF90" s="7">
        <v>1273.2395447351601</v>
      </c>
      <c r="BG90" s="7">
        <f t="shared" si="119"/>
        <v>109086.92154939433</v>
      </c>
      <c r="BI90" s="28">
        <v>8</v>
      </c>
      <c r="BJ90" s="26">
        <v>1.0000000000000001E-5</v>
      </c>
      <c r="BK90" s="28">
        <v>0.5</v>
      </c>
      <c r="BL90" s="28">
        <v>200</v>
      </c>
      <c r="BM90" s="26">
        <v>4.9999999999999998E-8</v>
      </c>
      <c r="BN90" s="26">
        <f t="shared" si="120"/>
        <v>2.4999999999999999E-8</v>
      </c>
      <c r="BO90" s="26">
        <f t="shared" si="121"/>
        <v>4.9999999999999992E-3</v>
      </c>
      <c r="BP90" s="7">
        <v>1.94773961284242</v>
      </c>
      <c r="BQ90" s="7">
        <v>3764.12485338133</v>
      </c>
      <c r="BR90" s="7">
        <v>40158.478759482699</v>
      </c>
      <c r="BS90" s="7">
        <v>3764.12485338133</v>
      </c>
      <c r="BT90" s="7">
        <v>328461.92960341799</v>
      </c>
      <c r="BU90" s="7">
        <v>1273.2395447351601</v>
      </c>
      <c r="BV90" s="7">
        <f t="shared" si="122"/>
        <v>47686.728466245353</v>
      </c>
      <c r="BX90" s="28">
        <v>8</v>
      </c>
      <c r="BY90" s="26">
        <v>5.0000000000000002E-5</v>
      </c>
      <c r="BZ90" s="28">
        <v>0.5</v>
      </c>
      <c r="CA90" s="28">
        <v>200</v>
      </c>
      <c r="CB90" s="26">
        <v>4.9999999999999998E-8</v>
      </c>
      <c r="CC90" s="26">
        <f t="shared" si="123"/>
        <v>2.4999999999999999E-8</v>
      </c>
      <c r="CD90" s="26">
        <f t="shared" si="124"/>
        <v>9.999999999999998E-4</v>
      </c>
      <c r="CE90" s="7">
        <v>2.0191473317624902</v>
      </c>
      <c r="CF90" s="7">
        <v>752.82497001808497</v>
      </c>
      <c r="CG90" s="7">
        <v>8031.6956839919103</v>
      </c>
      <c r="CH90" s="7">
        <v>752.82497001808497</v>
      </c>
      <c r="CI90" s="7">
        <v>65692.386428728598</v>
      </c>
      <c r="CJ90" s="7">
        <v>50.929581789406498</v>
      </c>
      <c r="CK90" s="7">
        <f t="shared" si="125"/>
        <v>9537.3456240280793</v>
      </c>
      <c r="CM90" s="28">
        <v>8</v>
      </c>
      <c r="CN90" s="26">
        <v>5.0000000000000002E-5</v>
      </c>
      <c r="CO90" s="28">
        <v>1</v>
      </c>
      <c r="CP90" s="28">
        <v>200</v>
      </c>
      <c r="CQ90" s="26">
        <v>4.9999999999999998E-8</v>
      </c>
      <c r="CR90" s="26">
        <f t="shared" si="126"/>
        <v>4.9999999999999998E-8</v>
      </c>
      <c r="CS90" s="26">
        <f t="shared" si="127"/>
        <v>1.9999999999999996E-3</v>
      </c>
      <c r="CT90" s="7">
        <v>3.6320017732809902</v>
      </c>
      <c r="CU90" s="7">
        <v>665.23311259709499</v>
      </c>
      <c r="CV90" s="7">
        <v>4015.8478419959501</v>
      </c>
      <c r="CW90" s="7">
        <v>665.23311259709499</v>
      </c>
      <c r="CX90" s="7">
        <v>32846.193214364299</v>
      </c>
      <c r="CY90" s="7">
        <v>50.929581789406498</v>
      </c>
      <c r="CZ90" s="7">
        <f t="shared" si="128"/>
        <v>5346.3140671901401</v>
      </c>
      <c r="DB90" s="28">
        <v>8</v>
      </c>
      <c r="DC90" s="26">
        <v>5.0000000000000002E-5</v>
      </c>
      <c r="DD90" s="28">
        <v>2</v>
      </c>
      <c r="DE90" s="28">
        <v>200</v>
      </c>
      <c r="DF90" s="26">
        <v>4.9999999999999998E-8</v>
      </c>
      <c r="DG90" s="26">
        <f t="shared" si="129"/>
        <v>9.9999999999999995E-8</v>
      </c>
      <c r="DH90" s="26">
        <f t="shared" si="130"/>
        <v>3.9999999999999992E-3</v>
      </c>
      <c r="DI90" s="7">
        <v>6.2298096212063099</v>
      </c>
      <c r="DJ90" s="7">
        <v>578.22973015081095</v>
      </c>
      <c r="DK90" s="7">
        <v>2007.9239209979801</v>
      </c>
      <c r="DL90" s="7">
        <v>578.22973015081095</v>
      </c>
      <c r="DM90" s="7">
        <v>16423.096607182099</v>
      </c>
      <c r="DN90" s="7">
        <v>50.929581789406498</v>
      </c>
      <c r="DO90" s="7">
        <f t="shared" si="131"/>
        <v>3164.3833812996022</v>
      </c>
      <c r="DQ90" s="28">
        <v>8</v>
      </c>
      <c r="DR90" s="26">
        <v>5.0000000000000002E-5</v>
      </c>
      <c r="DS90" s="28">
        <v>15</v>
      </c>
      <c r="DT90" s="28">
        <v>300</v>
      </c>
      <c r="DU90" s="26">
        <v>2.4999999999999999E-8</v>
      </c>
      <c r="DV90" s="26">
        <f t="shared" si="132"/>
        <v>3.7500000000000001E-7</v>
      </c>
      <c r="DW90" s="26">
        <f t="shared" si="133"/>
        <v>1.4999999999999999E-2</v>
      </c>
      <c r="DX90" s="7">
        <v>28.006564424303999</v>
      </c>
      <c r="DY90" s="7">
        <v>254.539230510376</v>
      </c>
      <c r="DZ90" s="7">
        <v>267.723189466397</v>
      </c>
      <c r="EA90" s="7">
        <v>254.539230510376</v>
      </c>
      <c r="EB90" s="7">
        <v>2189.7462142909499</v>
      </c>
      <c r="EC90" s="7">
        <v>30.557749073643901</v>
      </c>
      <c r="ED90" s="7">
        <f t="shared" si="134"/>
        <v>776.801650487149</v>
      </c>
    </row>
    <row r="91" spans="1:134" x14ac:dyDescent="0.4">
      <c r="A91" s="28">
        <v>10</v>
      </c>
      <c r="B91" s="26">
        <v>1.0000000000000001E-5</v>
      </c>
      <c r="C91" s="28">
        <v>0.2</v>
      </c>
      <c r="D91" s="28">
        <v>30</v>
      </c>
      <c r="E91" s="26">
        <v>4.9999999999999998E-8</v>
      </c>
      <c r="F91" s="26">
        <f t="shared" si="108"/>
        <v>1E-8</v>
      </c>
      <c r="G91" s="26">
        <f t="shared" si="109"/>
        <v>2E-3</v>
      </c>
      <c r="H91" s="7">
        <v>1.01997543151359</v>
      </c>
      <c r="I91" s="7">
        <v>20967.675665585699</v>
      </c>
      <c r="J91" s="7">
        <v>53826.312121005001</v>
      </c>
      <c r="K91" s="7">
        <v>20967.675665585699</v>
      </c>
      <c r="L91" s="7">
        <v>1014751.21705289</v>
      </c>
      <c r="M91" s="7">
        <v>1273.2395447351601</v>
      </c>
      <c r="N91" s="7">
        <f t="shared" si="110"/>
        <v>95761.663452176406</v>
      </c>
      <c r="P91" s="28">
        <v>10</v>
      </c>
      <c r="Q91" s="26">
        <v>3.0000000000000001E-5</v>
      </c>
      <c r="R91" s="28">
        <v>0.2</v>
      </c>
      <c r="S91" s="28">
        <v>30</v>
      </c>
      <c r="T91" s="26">
        <v>4.9999999999999998E-8</v>
      </c>
      <c r="U91" s="26">
        <f t="shared" si="111"/>
        <v>1E-8</v>
      </c>
      <c r="V91" s="26">
        <f t="shared" si="112"/>
        <v>6.6666666666666664E-4</v>
      </c>
      <c r="W91" s="7">
        <v>1.0363155631274801</v>
      </c>
      <c r="X91" s="7">
        <v>6989.2252213633501</v>
      </c>
      <c r="Y91" s="7">
        <v>17942.1040216109</v>
      </c>
      <c r="Z91" s="7">
        <v>6989.2252213633501</v>
      </c>
      <c r="AA91" s="7">
        <v>338250.40599296999</v>
      </c>
      <c r="AB91" s="7">
        <v>141.47106052612901</v>
      </c>
      <c r="AC91" s="7">
        <f t="shared" si="113"/>
        <v>31920.554464337602</v>
      </c>
      <c r="AE91" s="28">
        <v>10</v>
      </c>
      <c r="AF91" s="26">
        <v>5.0000000000000002E-5</v>
      </c>
      <c r="AG91" s="28">
        <v>0.2</v>
      </c>
      <c r="AH91" s="28">
        <v>30</v>
      </c>
      <c r="AI91" s="26">
        <v>4.9999999999999998E-8</v>
      </c>
      <c r="AJ91" s="26">
        <f t="shared" si="114"/>
        <v>1E-8</v>
      </c>
      <c r="AK91" s="26">
        <f t="shared" si="115"/>
        <v>3.9999999999999996E-4</v>
      </c>
      <c r="AL91" s="7">
        <v>1.03965275091168</v>
      </c>
      <c r="AM91" s="7">
        <v>4193.5351285970401</v>
      </c>
      <c r="AN91" s="7">
        <v>10765.2622544394</v>
      </c>
      <c r="AO91" s="7">
        <v>4193.5351285970401</v>
      </c>
      <c r="AP91" s="7">
        <v>202950.24620916101</v>
      </c>
      <c r="AQ91" s="7">
        <v>50.929581789406498</v>
      </c>
      <c r="AR91" s="7">
        <f t="shared" si="116"/>
        <v>19152.332511633478</v>
      </c>
      <c r="AT91" s="28">
        <v>10</v>
      </c>
      <c r="AU91" s="26">
        <v>1.0000000000000001E-5</v>
      </c>
      <c r="AV91" s="28">
        <v>0.2</v>
      </c>
      <c r="AW91" s="28">
        <v>200</v>
      </c>
      <c r="AX91" s="26">
        <v>4.9999999999999998E-8</v>
      </c>
      <c r="AY91" s="26">
        <f t="shared" si="117"/>
        <v>1E-8</v>
      </c>
      <c r="AZ91" s="26">
        <f t="shared" si="118"/>
        <v>2E-3</v>
      </c>
      <c r="BA91" s="7">
        <v>1.4951081071060499</v>
      </c>
      <c r="BB91" s="7">
        <v>4345.3623253436699</v>
      </c>
      <c r="BC91" s="7">
        <v>53826.312121005001</v>
      </c>
      <c r="BD91" s="7">
        <v>4345.3623253436699</v>
      </c>
      <c r="BE91" s="7">
        <v>1014751.21705289</v>
      </c>
      <c r="BF91" s="7">
        <v>1273.2395447351601</v>
      </c>
      <c r="BG91" s="7">
        <f t="shared" si="119"/>
        <v>62517.036771692336</v>
      </c>
      <c r="BI91" s="28">
        <v>10</v>
      </c>
      <c r="BJ91" s="26">
        <v>1.0000000000000001E-5</v>
      </c>
      <c r="BK91" s="28">
        <v>0.5</v>
      </c>
      <c r="BL91" s="28">
        <v>200</v>
      </c>
      <c r="BM91" s="26">
        <v>4.9999999999999998E-8</v>
      </c>
      <c r="BN91" s="26">
        <f t="shared" si="120"/>
        <v>2.4999999999999999E-8</v>
      </c>
      <c r="BO91" s="26">
        <f t="shared" si="121"/>
        <v>4.9999999999999992E-3</v>
      </c>
      <c r="BP91" s="7">
        <v>3.1176356561926801</v>
      </c>
      <c r="BQ91" s="7">
        <v>3764.12485338133</v>
      </c>
      <c r="BR91" s="7">
        <v>21530.524848402001</v>
      </c>
      <c r="BS91" s="7">
        <v>3764.12485338133</v>
      </c>
      <c r="BT91" s="7">
        <v>405900.48682115501</v>
      </c>
      <c r="BU91" s="7">
        <v>1273.2395447351601</v>
      </c>
      <c r="BV91" s="7">
        <f t="shared" si="122"/>
        <v>29058.774555164662</v>
      </c>
      <c r="BX91" s="28">
        <v>10</v>
      </c>
      <c r="BY91" s="26">
        <v>5.0000000000000002E-5</v>
      </c>
      <c r="BZ91" s="28">
        <v>0.5</v>
      </c>
      <c r="CA91" s="28">
        <v>200</v>
      </c>
      <c r="CB91" s="26">
        <v>4.9999999999999998E-8</v>
      </c>
      <c r="CC91" s="26">
        <f t="shared" si="123"/>
        <v>2.4999999999999999E-8</v>
      </c>
      <c r="CD91" s="26">
        <f t="shared" si="124"/>
        <v>9.999999999999998E-4</v>
      </c>
      <c r="CE91" s="7">
        <v>3.3169177907985401</v>
      </c>
      <c r="CF91" s="7">
        <v>752.82497001808497</v>
      </c>
      <c r="CG91" s="7">
        <v>4306.1049017757796</v>
      </c>
      <c r="CH91" s="7">
        <v>752.82497001808497</v>
      </c>
      <c r="CI91" s="7">
        <v>81180.098483664406</v>
      </c>
      <c r="CJ91" s="7">
        <v>50.929581789406498</v>
      </c>
      <c r="CK91" s="7">
        <f t="shared" si="125"/>
        <v>5811.7548418119495</v>
      </c>
      <c r="CM91" s="28">
        <v>10</v>
      </c>
      <c r="CN91" s="26">
        <v>5.0000000000000002E-5</v>
      </c>
      <c r="CO91" s="28">
        <v>1</v>
      </c>
      <c r="CP91" s="28">
        <v>200</v>
      </c>
      <c r="CQ91" s="26">
        <v>4.9999999999999998E-8</v>
      </c>
      <c r="CR91" s="26">
        <f t="shared" si="126"/>
        <v>4.9999999999999998E-8</v>
      </c>
      <c r="CS91" s="26">
        <f t="shared" si="127"/>
        <v>1.9999999999999996E-3</v>
      </c>
      <c r="CT91" s="7">
        <v>5.5497919267949101</v>
      </c>
      <c r="CU91" s="7">
        <v>665.23311259709499</v>
      </c>
      <c r="CV91" s="7">
        <v>2153.0524508878898</v>
      </c>
      <c r="CW91" s="7">
        <v>665.23311259709499</v>
      </c>
      <c r="CX91" s="7">
        <v>40590.049241832203</v>
      </c>
      <c r="CY91" s="7">
        <v>50.929581789406498</v>
      </c>
      <c r="CZ91" s="7">
        <f t="shared" si="128"/>
        <v>3483.5186760820798</v>
      </c>
      <c r="DB91" s="28">
        <v>10</v>
      </c>
      <c r="DC91" s="26">
        <v>5.0000000000000002E-5</v>
      </c>
      <c r="DD91" s="28">
        <v>2</v>
      </c>
      <c r="DE91" s="28">
        <v>200</v>
      </c>
      <c r="DF91" s="26">
        <v>4.9999999999999998E-8</v>
      </c>
      <c r="DG91" s="26">
        <f t="shared" si="129"/>
        <v>9.9999999999999995E-8</v>
      </c>
      <c r="DH91" s="26">
        <f t="shared" si="130"/>
        <v>3.9999999999999992E-3</v>
      </c>
      <c r="DI91" s="7">
        <v>8.7314202464392405</v>
      </c>
      <c r="DJ91" s="7">
        <v>578.22973015081095</v>
      </c>
      <c r="DK91" s="7">
        <v>1076.5262254439399</v>
      </c>
      <c r="DL91" s="7">
        <v>578.22973015081095</v>
      </c>
      <c r="DM91" s="7">
        <v>20295.024620916101</v>
      </c>
      <c r="DN91" s="7">
        <v>50.929581789406498</v>
      </c>
      <c r="DO91" s="7">
        <f t="shared" si="131"/>
        <v>2232.985685745562</v>
      </c>
      <c r="DQ91" s="28">
        <v>10</v>
      </c>
      <c r="DR91" s="26">
        <v>5.0000000000000002E-5</v>
      </c>
      <c r="DS91" s="28">
        <v>15</v>
      </c>
      <c r="DT91" s="28">
        <v>300</v>
      </c>
      <c r="DU91" s="26">
        <v>2.4999999999999999E-8</v>
      </c>
      <c r="DV91" s="26">
        <f t="shared" si="132"/>
        <v>3.7500000000000001E-7</v>
      </c>
      <c r="DW91" s="26">
        <f t="shared" si="133"/>
        <v>1.4999999999999999E-2</v>
      </c>
      <c r="DX91" s="7">
        <v>32.372783017870297</v>
      </c>
      <c r="DY91" s="7">
        <v>254.539230510376</v>
      </c>
      <c r="DZ91" s="7">
        <v>143.53683005919299</v>
      </c>
      <c r="EA91" s="7">
        <v>254.539230510376</v>
      </c>
      <c r="EB91" s="7">
        <v>2706.0032827888099</v>
      </c>
      <c r="EC91" s="7">
        <v>30.557749073643901</v>
      </c>
      <c r="ED91" s="7">
        <f t="shared" si="134"/>
        <v>652.615291079945</v>
      </c>
    </row>
    <row r="92" spans="1:134" x14ac:dyDescent="0.4">
      <c r="A92" s="28">
        <v>12</v>
      </c>
      <c r="B92" s="26">
        <v>1.0000000000000001E-5</v>
      </c>
      <c r="C92" s="28">
        <v>0.2</v>
      </c>
      <c r="D92" s="28">
        <v>30</v>
      </c>
      <c r="E92" s="26">
        <v>4.9999999999999998E-8</v>
      </c>
      <c r="F92" s="26">
        <f t="shared" si="108"/>
        <v>1E-8</v>
      </c>
      <c r="G92" s="26">
        <f t="shared" si="109"/>
        <v>2E-3</v>
      </c>
      <c r="H92" s="7">
        <v>1.6276235179346501</v>
      </c>
      <c r="I92" s="7">
        <v>20967.675665585699</v>
      </c>
      <c r="J92" s="7">
        <v>18265.061724746</v>
      </c>
      <c r="K92" s="7">
        <v>20967.675665585699</v>
      </c>
      <c r="L92" s="7">
        <v>1222830.0672564299</v>
      </c>
      <c r="M92" s="7">
        <v>1273.2395447351601</v>
      </c>
      <c r="N92" s="7">
        <f t="shared" si="110"/>
        <v>60200.413055917394</v>
      </c>
      <c r="P92" s="28">
        <v>12</v>
      </c>
      <c r="Q92" s="26">
        <v>3.0000000000000001E-5</v>
      </c>
      <c r="R92" s="28">
        <v>0.2</v>
      </c>
      <c r="S92" s="28">
        <v>30</v>
      </c>
      <c r="T92" s="26">
        <v>4.9999999999999998E-8</v>
      </c>
      <c r="U92" s="26">
        <f t="shared" si="111"/>
        <v>1E-8</v>
      </c>
      <c r="V92" s="26">
        <f t="shared" si="112"/>
        <v>6.6666666666666664E-4</v>
      </c>
      <c r="W92" s="7">
        <v>1.6706752468022099</v>
      </c>
      <c r="X92" s="7">
        <v>6989.2252213633501</v>
      </c>
      <c r="Y92" s="7">
        <v>6088.3538895246002</v>
      </c>
      <c r="Z92" s="7">
        <v>6989.2252213633501</v>
      </c>
      <c r="AA92" s="7">
        <v>407610.02322415198</v>
      </c>
      <c r="AB92" s="7">
        <v>141.47106052612901</v>
      </c>
      <c r="AC92" s="7">
        <f t="shared" si="113"/>
        <v>20066.8043322513</v>
      </c>
      <c r="AE92" s="28">
        <v>12</v>
      </c>
      <c r="AF92" s="26">
        <v>5.0000000000000002E-5</v>
      </c>
      <c r="AG92" s="28">
        <v>0.2</v>
      </c>
      <c r="AH92" s="28">
        <v>30</v>
      </c>
      <c r="AI92" s="26">
        <v>4.9999999999999998E-8</v>
      </c>
      <c r="AJ92" s="26">
        <f t="shared" si="114"/>
        <v>1E-8</v>
      </c>
      <c r="AK92" s="26">
        <f t="shared" si="115"/>
        <v>3.9999999999999996E-4</v>
      </c>
      <c r="AL92" s="7">
        <v>1.67957454203321</v>
      </c>
      <c r="AM92" s="7">
        <v>4193.5351285970401</v>
      </c>
      <c r="AN92" s="7">
        <v>3653.01217518762</v>
      </c>
      <c r="AO92" s="7">
        <v>4193.5351285970401</v>
      </c>
      <c r="AP92" s="7">
        <v>244566.02075291699</v>
      </c>
      <c r="AQ92" s="7">
        <v>50.929581789406498</v>
      </c>
      <c r="AR92" s="7">
        <f t="shared" si="116"/>
        <v>12040.0824323817</v>
      </c>
      <c r="AT92" s="28">
        <v>12</v>
      </c>
      <c r="AU92" s="26">
        <v>1.0000000000000001E-5</v>
      </c>
      <c r="AV92" s="28">
        <v>0.2</v>
      </c>
      <c r="AW92" s="28">
        <v>200</v>
      </c>
      <c r="AX92" s="26">
        <v>4.9999999999999998E-8</v>
      </c>
      <c r="AY92" s="26">
        <f t="shared" si="117"/>
        <v>1E-8</v>
      </c>
      <c r="AZ92" s="26">
        <f t="shared" si="118"/>
        <v>2E-3</v>
      </c>
      <c r="BA92" s="7">
        <v>3.3721922279058099</v>
      </c>
      <c r="BB92" s="7">
        <v>4345.3623253436699</v>
      </c>
      <c r="BC92" s="7">
        <v>18265.061724746</v>
      </c>
      <c r="BD92" s="7">
        <v>4345.3623253436699</v>
      </c>
      <c r="BE92" s="7">
        <v>1222830.0672564299</v>
      </c>
      <c r="BF92" s="7">
        <v>1273.2395447351601</v>
      </c>
      <c r="BG92" s="7">
        <f t="shared" si="119"/>
        <v>26955.786375433341</v>
      </c>
      <c r="BI92" s="28">
        <v>12</v>
      </c>
      <c r="BJ92" s="26">
        <v>1.0000000000000001E-5</v>
      </c>
      <c r="BK92" s="28">
        <v>0.5</v>
      </c>
      <c r="BL92" s="28">
        <v>200</v>
      </c>
      <c r="BM92" s="26">
        <v>4.9999999999999998E-8</v>
      </c>
      <c r="BN92" s="26">
        <f t="shared" si="120"/>
        <v>2.4999999999999999E-8</v>
      </c>
      <c r="BO92" s="26">
        <f t="shared" si="121"/>
        <v>4.9999999999999992E-3</v>
      </c>
      <c r="BP92" s="7">
        <v>5.7877519907378803</v>
      </c>
      <c r="BQ92" s="7">
        <v>3764.12485338133</v>
      </c>
      <c r="BR92" s="7">
        <v>7306.0246898983996</v>
      </c>
      <c r="BS92" s="7">
        <v>3764.12485338133</v>
      </c>
      <c r="BT92" s="7">
        <v>489132.02690256998</v>
      </c>
      <c r="BU92" s="7">
        <v>1273.2395447351601</v>
      </c>
      <c r="BV92" s="7">
        <f t="shared" si="122"/>
        <v>14834.27439666106</v>
      </c>
      <c r="BX92" s="28">
        <v>12</v>
      </c>
      <c r="BY92" s="26">
        <v>5.0000000000000002E-5</v>
      </c>
      <c r="BZ92" s="28">
        <v>0.5</v>
      </c>
      <c r="CA92" s="28">
        <v>200</v>
      </c>
      <c r="CB92" s="26">
        <v>4.9999999999999998E-8</v>
      </c>
      <c r="CC92" s="26">
        <f t="shared" si="123"/>
        <v>2.4999999999999999E-8</v>
      </c>
      <c r="CD92" s="26">
        <f t="shared" si="124"/>
        <v>9.999999999999998E-4</v>
      </c>
      <c r="CE92" s="7">
        <v>6.5298296574201</v>
      </c>
      <c r="CF92" s="7">
        <v>752.82497001808497</v>
      </c>
      <c r="CG92" s="7">
        <v>1461.2048700750499</v>
      </c>
      <c r="CH92" s="7">
        <v>752.82497001808497</v>
      </c>
      <c r="CI92" s="7">
        <v>97826.408301166695</v>
      </c>
      <c r="CJ92" s="7">
        <v>50.929581789406498</v>
      </c>
      <c r="CK92" s="7">
        <f t="shared" si="125"/>
        <v>2966.8548101112201</v>
      </c>
      <c r="CM92" s="28">
        <v>12</v>
      </c>
      <c r="CN92" s="26">
        <v>5.0000000000000002E-5</v>
      </c>
      <c r="CO92" s="28">
        <v>1</v>
      </c>
      <c r="CP92" s="28">
        <v>200</v>
      </c>
      <c r="CQ92" s="26">
        <v>4.9999999999999998E-8</v>
      </c>
      <c r="CR92" s="26">
        <f t="shared" si="126"/>
        <v>4.9999999999999998E-8</v>
      </c>
      <c r="CS92" s="26">
        <f t="shared" si="127"/>
        <v>1.9999999999999996E-3</v>
      </c>
      <c r="CT92" s="7">
        <v>9.3798104195461693</v>
      </c>
      <c r="CU92" s="7">
        <v>665.23311259709499</v>
      </c>
      <c r="CV92" s="7">
        <v>730.60243503752497</v>
      </c>
      <c r="CW92" s="7">
        <v>665.23311259709499</v>
      </c>
      <c r="CX92" s="7">
        <v>48913.204150583399</v>
      </c>
      <c r="CY92" s="7">
        <v>50.929581789406498</v>
      </c>
      <c r="CZ92" s="7">
        <f t="shared" si="128"/>
        <v>2061.0686602317151</v>
      </c>
      <c r="DB92" s="28">
        <v>12</v>
      </c>
      <c r="DC92" s="26">
        <v>5.0000000000000002E-5</v>
      </c>
      <c r="DD92" s="28">
        <v>2</v>
      </c>
      <c r="DE92" s="28">
        <v>200</v>
      </c>
      <c r="DF92" s="26">
        <v>4.9999999999999998E-8</v>
      </c>
      <c r="DG92" s="26">
        <f t="shared" si="129"/>
        <v>9.9999999999999995E-8</v>
      </c>
      <c r="DH92" s="26">
        <f t="shared" si="130"/>
        <v>3.9999999999999992E-3</v>
      </c>
      <c r="DI92" s="7">
        <v>12.7607151964267</v>
      </c>
      <c r="DJ92" s="7">
        <v>578.22973015081095</v>
      </c>
      <c r="DK92" s="7">
        <v>365.301217518763</v>
      </c>
      <c r="DL92" s="7">
        <v>578.22973015081095</v>
      </c>
      <c r="DM92" s="7">
        <v>24456.602075291699</v>
      </c>
      <c r="DN92" s="7">
        <v>50.929581789406498</v>
      </c>
      <c r="DO92" s="7">
        <f t="shared" si="131"/>
        <v>1521.7606778203849</v>
      </c>
      <c r="DQ92" s="28">
        <v>12</v>
      </c>
      <c r="DR92" s="26">
        <v>5.0000000000000002E-5</v>
      </c>
      <c r="DS92" s="28">
        <v>15</v>
      </c>
      <c r="DT92" s="28">
        <v>300</v>
      </c>
      <c r="DU92" s="26">
        <v>2.4999999999999999E-8</v>
      </c>
      <c r="DV92" s="26">
        <f t="shared" si="132"/>
        <v>3.7500000000000001E-7</v>
      </c>
      <c r="DW92" s="26">
        <f t="shared" si="133"/>
        <v>1.4999999999999999E-2</v>
      </c>
      <c r="DX92" s="7">
        <v>37.350423469854903</v>
      </c>
      <c r="DY92" s="7">
        <v>254.539230510376</v>
      </c>
      <c r="DZ92" s="7">
        <v>48.7068290025016</v>
      </c>
      <c r="EA92" s="7">
        <v>254.539230510376</v>
      </c>
      <c r="EB92" s="7">
        <v>3260.8802767055599</v>
      </c>
      <c r="EC92" s="7">
        <v>30.557749073643901</v>
      </c>
      <c r="ED92" s="7">
        <f t="shared" si="134"/>
        <v>557.78529002325354</v>
      </c>
    </row>
    <row r="93" spans="1:134" x14ac:dyDescent="0.4">
      <c r="A93" s="28">
        <v>15</v>
      </c>
      <c r="B93" s="26">
        <v>1.0000000000000001E-5</v>
      </c>
      <c r="C93" s="28">
        <v>0.2</v>
      </c>
      <c r="D93" s="28">
        <v>30</v>
      </c>
      <c r="E93" s="26">
        <v>4.9999999999999998E-8</v>
      </c>
      <c r="F93" s="26">
        <f t="shared" si="108"/>
        <v>1E-8</v>
      </c>
      <c r="G93" s="26">
        <f t="shared" si="109"/>
        <v>2E-3</v>
      </c>
      <c r="H93" s="7">
        <v>3.4029594414031599</v>
      </c>
      <c r="I93" s="7">
        <v>12481.634129420599</v>
      </c>
      <c r="J93" s="7">
        <v>3828.3041509332402</v>
      </c>
      <c r="K93" s="7">
        <v>12481.634129420599</v>
      </c>
      <c r="L93" s="7">
        <v>1641861.5249040499</v>
      </c>
      <c r="M93" s="7">
        <v>1273.2395447351601</v>
      </c>
      <c r="N93" s="7">
        <f t="shared" si="110"/>
        <v>28791.572409774439</v>
      </c>
      <c r="P93" s="28">
        <v>15</v>
      </c>
      <c r="Q93" s="26">
        <v>3.0000000000000001E-5</v>
      </c>
      <c r="R93" s="28">
        <v>0.2</v>
      </c>
      <c r="S93" s="28">
        <v>30</v>
      </c>
      <c r="T93" s="26">
        <v>4.9999999999999998E-8</v>
      </c>
      <c r="U93" s="26">
        <f t="shared" si="111"/>
        <v>1E-8</v>
      </c>
      <c r="V93" s="26">
        <f t="shared" si="112"/>
        <v>6.6666666666666664E-4</v>
      </c>
      <c r="W93" s="7">
        <v>3.5942133704030699</v>
      </c>
      <c r="X93" s="7">
        <v>4160.5447097236602</v>
      </c>
      <c r="Y93" s="7">
        <v>1276.1013836444099</v>
      </c>
      <c r="Z93" s="7">
        <v>4160.5447097236602</v>
      </c>
      <c r="AA93" s="7">
        <v>547287.17553344101</v>
      </c>
      <c r="AB93" s="7">
        <v>141.47106052612901</v>
      </c>
      <c r="AC93" s="7">
        <f t="shared" si="113"/>
        <v>9597.1908030917293</v>
      </c>
      <c r="AE93" s="28">
        <v>15</v>
      </c>
      <c r="AF93" s="26">
        <v>5.0000000000000002E-5</v>
      </c>
      <c r="AG93" s="28">
        <v>0.2</v>
      </c>
      <c r="AH93" s="28">
        <v>30</v>
      </c>
      <c r="AI93" s="26">
        <v>4.9999999999999998E-8</v>
      </c>
      <c r="AJ93" s="26">
        <f t="shared" si="114"/>
        <v>1E-8</v>
      </c>
      <c r="AK93" s="26">
        <f t="shared" si="115"/>
        <v>3.9999999999999996E-4</v>
      </c>
      <c r="AL93" s="7">
        <v>3.6351235947686198</v>
      </c>
      <c r="AM93" s="7">
        <v>2496.32682512977</v>
      </c>
      <c r="AN93" s="7">
        <v>765.66083018664904</v>
      </c>
      <c r="AO93" s="7">
        <v>2496.32682512977</v>
      </c>
      <c r="AP93" s="7">
        <v>328372.31010722602</v>
      </c>
      <c r="AQ93" s="7">
        <v>50.929581789406498</v>
      </c>
      <c r="AR93" s="7">
        <f t="shared" si="116"/>
        <v>5758.314480446189</v>
      </c>
      <c r="AT93" s="28">
        <v>15</v>
      </c>
      <c r="AU93" s="26">
        <v>1.0000000000000001E-5</v>
      </c>
      <c r="AV93" s="28">
        <v>0.2</v>
      </c>
      <c r="AW93" s="28">
        <v>200</v>
      </c>
      <c r="AX93" s="26">
        <v>4.9999999999999998E-8</v>
      </c>
      <c r="AY93" s="26">
        <f t="shared" si="117"/>
        <v>1E-8</v>
      </c>
      <c r="AZ93" s="26">
        <f t="shared" si="118"/>
        <v>2E-3</v>
      </c>
      <c r="BA93" s="7">
        <v>14.863270709033401</v>
      </c>
      <c r="BB93" s="7">
        <v>1941.00035424731</v>
      </c>
      <c r="BC93" s="7">
        <v>642.33504314082199</v>
      </c>
      <c r="BD93" s="7">
        <v>1941.00035424731</v>
      </c>
      <c r="BE93" s="7">
        <v>1641861.5249040499</v>
      </c>
      <c r="BF93" s="7">
        <v>1273.2395447351601</v>
      </c>
      <c r="BG93" s="7">
        <f t="shared" si="119"/>
        <v>4524.3357516354426</v>
      </c>
      <c r="BI93" s="28">
        <v>15</v>
      </c>
      <c r="BJ93" s="26">
        <v>1.0000000000000001E-5</v>
      </c>
      <c r="BK93" s="28">
        <v>0.5</v>
      </c>
      <c r="BL93" s="28">
        <v>200</v>
      </c>
      <c r="BM93" s="26">
        <v>4.9999999999999998E-8</v>
      </c>
      <c r="BN93" s="26">
        <f t="shared" si="120"/>
        <v>2.4999999999999999E-8</v>
      </c>
      <c r="BO93" s="26">
        <f t="shared" si="121"/>
        <v>4.9999999999999992E-3</v>
      </c>
      <c r="BP93" s="7">
        <v>15.080467064183299</v>
      </c>
      <c r="BQ93" s="7">
        <v>1921.9637593119501</v>
      </c>
      <c r="BR93" s="7">
        <v>622.78773017584695</v>
      </c>
      <c r="BS93" s="7">
        <v>1921.9637593119501</v>
      </c>
      <c r="BT93" s="7">
        <v>656744.60996161995</v>
      </c>
      <c r="BU93" s="7">
        <v>1273.2395447351601</v>
      </c>
      <c r="BV93" s="7">
        <f t="shared" si="122"/>
        <v>4466.7152487997464</v>
      </c>
      <c r="BX93" s="28">
        <v>15</v>
      </c>
      <c r="BY93" s="26">
        <v>5.0000000000000002E-5</v>
      </c>
      <c r="BZ93" s="28">
        <v>0.5</v>
      </c>
      <c r="CA93" s="28">
        <v>200</v>
      </c>
      <c r="CB93" s="26">
        <v>4.9999999999999998E-8</v>
      </c>
      <c r="CC93" s="26">
        <f t="shared" si="123"/>
        <v>2.4999999999999999E-8</v>
      </c>
      <c r="CD93" s="26">
        <f t="shared" si="124"/>
        <v>9.999999999999998E-4</v>
      </c>
      <c r="CE93" s="7">
        <v>21.1891900691705</v>
      </c>
      <c r="CF93" s="7">
        <v>384.39275181655802</v>
      </c>
      <c r="CG93" s="7">
        <v>124.557546035169</v>
      </c>
      <c r="CH93" s="7">
        <v>384.39275181655802</v>
      </c>
      <c r="CI93" s="7">
        <v>131348.92404288999</v>
      </c>
      <c r="CJ93" s="7">
        <v>50.929581789406498</v>
      </c>
      <c r="CK93" s="7">
        <f t="shared" si="125"/>
        <v>893.34304966828495</v>
      </c>
      <c r="CM93" s="28">
        <v>15</v>
      </c>
      <c r="CN93" s="26">
        <v>5.0000000000000002E-5</v>
      </c>
      <c r="CO93" s="28">
        <v>1</v>
      </c>
      <c r="CP93" s="28">
        <v>200</v>
      </c>
      <c r="CQ93" s="26">
        <v>4.9999999999999998E-8</v>
      </c>
      <c r="CR93" s="26">
        <f t="shared" si="126"/>
        <v>4.9999999999999998E-8</v>
      </c>
      <c r="CS93" s="26">
        <f t="shared" si="127"/>
        <v>1.9999999999999996E-3</v>
      </c>
      <c r="CT93" s="7">
        <v>21.739320832182699</v>
      </c>
      <c r="CU93" s="7">
        <v>378.32091509688701</v>
      </c>
      <c r="CV93" s="7">
        <v>118.54503217394399</v>
      </c>
      <c r="CW93" s="7">
        <v>378.32091509688701</v>
      </c>
      <c r="CX93" s="7">
        <v>65674.462021445201</v>
      </c>
      <c r="CY93" s="7">
        <v>50.929581789406498</v>
      </c>
      <c r="CZ93" s="7">
        <f t="shared" si="128"/>
        <v>875.18686236771805</v>
      </c>
      <c r="DB93" s="28">
        <v>15</v>
      </c>
      <c r="DC93" s="26">
        <v>5.0000000000000002E-5</v>
      </c>
      <c r="DD93" s="28">
        <v>2</v>
      </c>
      <c r="DE93" s="28">
        <v>200</v>
      </c>
      <c r="DF93" s="26">
        <v>4.9999999999999998E-8</v>
      </c>
      <c r="DG93" s="26">
        <f t="shared" si="129"/>
        <v>9.9999999999999995E-8</v>
      </c>
      <c r="DH93" s="26">
        <f t="shared" si="130"/>
        <v>3.9999999999999992E-3</v>
      </c>
      <c r="DI93" s="7">
        <v>22.804469910737001</v>
      </c>
      <c r="DJ93" s="7">
        <v>367.08848561923799</v>
      </c>
      <c r="DK93" s="7">
        <v>108.10811969663401</v>
      </c>
      <c r="DL93" s="7">
        <v>367.08848561923799</v>
      </c>
      <c r="DM93" s="7">
        <v>32837.2310107226</v>
      </c>
      <c r="DN93" s="7">
        <v>50.929581789406498</v>
      </c>
      <c r="DO93" s="7">
        <f t="shared" si="131"/>
        <v>842.28509093511002</v>
      </c>
      <c r="DQ93" s="28">
        <v>15</v>
      </c>
      <c r="DR93" s="26">
        <v>5.0000000000000002E-5</v>
      </c>
      <c r="DS93" s="28">
        <v>15</v>
      </c>
      <c r="DT93" s="28">
        <v>300</v>
      </c>
      <c r="DU93" s="26">
        <v>2.4999999999999999E-8</v>
      </c>
      <c r="DV93" s="26">
        <f t="shared" si="132"/>
        <v>3.7500000000000001E-7</v>
      </c>
      <c r="DW93" s="26">
        <f t="shared" si="133"/>
        <v>1.4999999999999999E-2</v>
      </c>
      <c r="DX93" s="7">
        <v>45.889671131946301</v>
      </c>
      <c r="DY93" s="7">
        <v>202.84957985735099</v>
      </c>
      <c r="DZ93" s="7">
        <v>42.287816140325297</v>
      </c>
      <c r="EA93" s="7">
        <v>202.84957985735099</v>
      </c>
      <c r="EB93" s="7">
        <v>4378.2974680963498</v>
      </c>
      <c r="EC93" s="7">
        <v>30.557749073643901</v>
      </c>
      <c r="ED93" s="7">
        <f t="shared" si="134"/>
        <v>447.98697585502725</v>
      </c>
    </row>
    <row r="94" spans="1:134" x14ac:dyDescent="0.4">
      <c r="A94" s="28">
        <v>20</v>
      </c>
      <c r="B94" s="26">
        <v>1.0000000000000001E-5</v>
      </c>
      <c r="C94" s="28">
        <v>0.2</v>
      </c>
      <c r="D94" s="28">
        <v>30</v>
      </c>
      <c r="E94" s="26">
        <v>4.9999999999999998E-8</v>
      </c>
      <c r="F94" s="26">
        <f t="shared" si="108"/>
        <v>1E-8</v>
      </c>
      <c r="G94" s="26">
        <f t="shared" si="109"/>
        <v>2E-3</v>
      </c>
      <c r="H94" s="7">
        <v>5.1106417112749396</v>
      </c>
      <c r="I94" s="7">
        <v>7857.7524727739301</v>
      </c>
      <c r="J94" s="7">
        <v>4475.4086280782203</v>
      </c>
      <c r="K94" s="7">
        <v>7857.7524727739301</v>
      </c>
      <c r="L94" s="7">
        <v>2551974.2921694499</v>
      </c>
      <c r="M94" s="7">
        <v>1273.2395447351601</v>
      </c>
      <c r="N94" s="7">
        <f t="shared" si="110"/>
        <v>20190.91357362608</v>
      </c>
      <c r="P94" s="28">
        <v>20</v>
      </c>
      <c r="Q94" s="26">
        <v>3.0000000000000001E-5</v>
      </c>
      <c r="R94" s="28">
        <v>0.2</v>
      </c>
      <c r="S94" s="28">
        <v>30</v>
      </c>
      <c r="T94" s="26">
        <v>4.9999999999999998E-8</v>
      </c>
      <c r="U94" s="26">
        <f t="shared" si="111"/>
        <v>1E-8</v>
      </c>
      <c r="V94" s="26">
        <f t="shared" si="112"/>
        <v>6.6666666666666664E-4</v>
      </c>
      <c r="W94" s="7">
        <v>5.5193670987174901</v>
      </c>
      <c r="X94" s="7">
        <v>2619.2508242245099</v>
      </c>
      <c r="Y94" s="7">
        <v>1491.80287602607</v>
      </c>
      <c r="Z94" s="7">
        <v>2619.2508242245099</v>
      </c>
      <c r="AA94" s="7">
        <v>850658.09849467594</v>
      </c>
      <c r="AB94" s="7">
        <v>141.47106052612901</v>
      </c>
      <c r="AC94" s="7">
        <f t="shared" si="113"/>
        <v>6730.3045244750901</v>
      </c>
      <c r="AE94" s="28">
        <v>20</v>
      </c>
      <c r="AF94" s="26">
        <v>5.0000000000000002E-5</v>
      </c>
      <c r="AG94" s="28">
        <v>0.2</v>
      </c>
      <c r="AH94" s="28">
        <v>30</v>
      </c>
      <c r="AI94" s="26">
        <v>4.9999999999999998E-8</v>
      </c>
      <c r="AJ94" s="26">
        <f t="shared" si="114"/>
        <v>1E-8</v>
      </c>
      <c r="AK94" s="26">
        <f t="shared" si="115"/>
        <v>3.9999999999999996E-4</v>
      </c>
      <c r="AL94" s="7">
        <v>5.6091570080216302</v>
      </c>
      <c r="AM94" s="7">
        <v>1571.5504942513201</v>
      </c>
      <c r="AN94" s="7">
        <v>895.08172561564299</v>
      </c>
      <c r="AO94" s="7">
        <v>1571.5504942513201</v>
      </c>
      <c r="AP94" s="7">
        <v>510394.86845111102</v>
      </c>
      <c r="AQ94" s="7">
        <v>50.929581789406498</v>
      </c>
      <c r="AR94" s="7">
        <f t="shared" si="116"/>
        <v>4038.182714118283</v>
      </c>
      <c r="AT94" s="28">
        <v>20</v>
      </c>
      <c r="AU94" s="26">
        <v>1.0000000000000001E-5</v>
      </c>
      <c r="AV94" s="28">
        <v>0.2</v>
      </c>
      <c r="AW94" s="28">
        <v>200</v>
      </c>
      <c r="AX94" s="26">
        <v>4.9999999999999998E-8</v>
      </c>
      <c r="AY94" s="26">
        <f t="shared" si="117"/>
        <v>1E-8</v>
      </c>
      <c r="AZ94" s="26">
        <f t="shared" si="118"/>
        <v>2E-3</v>
      </c>
      <c r="BA94" s="7">
        <v>20.486337119586199</v>
      </c>
      <c r="BB94" s="7">
        <v>1196.98361424428</v>
      </c>
      <c r="BC94" s="7">
        <v>694.07852984949898</v>
      </c>
      <c r="BD94" s="7">
        <v>1196.98361424428</v>
      </c>
      <c r="BE94" s="7">
        <v>2551974.2921694499</v>
      </c>
      <c r="BF94" s="7">
        <v>1273.2395447351601</v>
      </c>
      <c r="BG94" s="7">
        <f t="shared" si="119"/>
        <v>3088.0457583380589</v>
      </c>
      <c r="BI94" s="28">
        <v>20</v>
      </c>
      <c r="BJ94" s="26">
        <v>1.0000000000000001E-5</v>
      </c>
      <c r="BK94" s="28">
        <v>0.5</v>
      </c>
      <c r="BL94" s="28">
        <v>200</v>
      </c>
      <c r="BM94" s="26">
        <v>4.9999999999999998E-8</v>
      </c>
      <c r="BN94" s="26">
        <f t="shared" si="120"/>
        <v>2.4999999999999999E-8</v>
      </c>
      <c r="BO94" s="26">
        <f t="shared" si="121"/>
        <v>4.9999999999999992E-3</v>
      </c>
      <c r="BP94" s="7">
        <v>20.612339471984299</v>
      </c>
      <c r="BQ94" s="7">
        <v>1192.0586917390101</v>
      </c>
      <c r="BR94" s="7">
        <v>687.90288040570601</v>
      </c>
      <c r="BS94" s="7">
        <v>1192.0586917390101</v>
      </c>
      <c r="BT94" s="7">
        <v>1020789.71686778</v>
      </c>
      <c r="BU94" s="7">
        <v>1273.2395447351601</v>
      </c>
      <c r="BV94" s="7">
        <f t="shared" si="122"/>
        <v>3072.0202638837263</v>
      </c>
      <c r="BX94" s="28">
        <v>20</v>
      </c>
      <c r="BY94" s="26">
        <v>5.0000000000000002E-5</v>
      </c>
      <c r="BZ94" s="28">
        <v>0.5</v>
      </c>
      <c r="CA94" s="28">
        <v>200</v>
      </c>
      <c r="CB94" s="26">
        <v>4.9999999999999998E-8</v>
      </c>
      <c r="CC94" s="26">
        <f t="shared" si="123"/>
        <v>2.4999999999999999E-8</v>
      </c>
      <c r="CD94" s="26">
        <f t="shared" si="124"/>
        <v>9.999999999999998E-4</v>
      </c>
      <c r="CE94" s="7">
        <v>32.273208067178302</v>
      </c>
      <c r="CF94" s="7">
        <v>238.41173833028401</v>
      </c>
      <c r="CG94" s="7">
        <v>137.580576081141</v>
      </c>
      <c r="CH94" s="7">
        <v>238.41173833028401</v>
      </c>
      <c r="CI94" s="7">
        <v>204157.947380445</v>
      </c>
      <c r="CJ94" s="7">
        <v>50.929581789406498</v>
      </c>
      <c r="CK94" s="7">
        <f t="shared" si="125"/>
        <v>614.40405274170905</v>
      </c>
      <c r="CM94" s="28">
        <v>20</v>
      </c>
      <c r="CN94" s="26">
        <v>5.0000000000000002E-5</v>
      </c>
      <c r="CO94" s="28">
        <v>1</v>
      </c>
      <c r="CP94" s="28">
        <v>200</v>
      </c>
      <c r="CQ94" s="26">
        <v>4.9999999999999998E-8</v>
      </c>
      <c r="CR94" s="26">
        <f t="shared" si="126"/>
        <v>4.9999999999999998E-8</v>
      </c>
      <c r="CS94" s="26">
        <f t="shared" si="127"/>
        <v>1.9999999999999996E-3</v>
      </c>
      <c r="CT94" s="7">
        <v>32.623283508282398</v>
      </c>
      <c r="CU94" s="7">
        <v>236.794372688691</v>
      </c>
      <c r="CV94" s="7">
        <v>135.57018035757301</v>
      </c>
      <c r="CW94" s="7">
        <v>236.794372688691</v>
      </c>
      <c r="CX94" s="7">
        <v>102078.973690222</v>
      </c>
      <c r="CY94" s="7">
        <v>50.929581789406498</v>
      </c>
      <c r="CZ94" s="7">
        <f t="shared" si="128"/>
        <v>609.15892573495501</v>
      </c>
      <c r="DB94" s="28">
        <v>20</v>
      </c>
      <c r="DC94" s="26">
        <v>5.0000000000000002E-5</v>
      </c>
      <c r="DD94" s="28">
        <v>2</v>
      </c>
      <c r="DE94" s="28">
        <v>200</v>
      </c>
      <c r="DF94" s="26">
        <v>4.9999999999999998E-8</v>
      </c>
      <c r="DG94" s="26">
        <f t="shared" si="129"/>
        <v>9.9999999999999995E-8</v>
      </c>
      <c r="DH94" s="26">
        <f t="shared" si="130"/>
        <v>3.9999999999999992E-3</v>
      </c>
      <c r="DI94" s="7">
        <v>33.317838810166798</v>
      </c>
      <c r="DJ94" s="7">
        <v>233.64718966736299</v>
      </c>
      <c r="DK94" s="7">
        <v>131.72072797829401</v>
      </c>
      <c r="DL94" s="7">
        <v>233.64718966736299</v>
      </c>
      <c r="DM94" s="7">
        <v>51039.486845111103</v>
      </c>
      <c r="DN94" s="7">
        <v>50.929581789406498</v>
      </c>
      <c r="DO94" s="7">
        <f t="shared" si="131"/>
        <v>599.01510731302005</v>
      </c>
      <c r="DQ94" s="28">
        <v>20</v>
      </c>
      <c r="DR94" s="26">
        <v>5.0000000000000002E-5</v>
      </c>
      <c r="DS94" s="28">
        <v>15</v>
      </c>
      <c r="DT94" s="28">
        <v>300</v>
      </c>
      <c r="DU94" s="26">
        <v>2.4999999999999999E-8</v>
      </c>
      <c r="DV94" s="26">
        <f t="shared" si="132"/>
        <v>3.7500000000000001E-7</v>
      </c>
      <c r="DW94" s="26">
        <f t="shared" si="133"/>
        <v>1.4999999999999999E-2</v>
      </c>
      <c r="DX94" s="7">
        <v>58.8535256891833</v>
      </c>
      <c r="DY94" s="7">
        <v>141.30482192536101</v>
      </c>
      <c r="DZ94" s="7">
        <v>71.560155029152398</v>
      </c>
      <c r="EA94" s="7">
        <v>141.30482192536101</v>
      </c>
      <c r="EB94" s="7">
        <v>6805.2649126814904</v>
      </c>
      <c r="EC94" s="7">
        <v>30.557749073643901</v>
      </c>
      <c r="ED94" s="7">
        <f t="shared" si="134"/>
        <v>354.16979887987441</v>
      </c>
    </row>
    <row r="95" spans="1:134" x14ac:dyDescent="0.4">
      <c r="A95" s="28">
        <v>25</v>
      </c>
      <c r="B95" s="26">
        <v>1.0000000000000001E-5</v>
      </c>
      <c r="C95" s="28">
        <v>0.2</v>
      </c>
      <c r="D95" s="28">
        <v>30</v>
      </c>
      <c r="E95" s="26">
        <v>4.9999999999999998E-8</v>
      </c>
      <c r="F95" s="26">
        <f t="shared" si="108"/>
        <v>1E-8</v>
      </c>
      <c r="G95" s="26">
        <f t="shared" si="109"/>
        <v>2E-3</v>
      </c>
      <c r="H95" s="7">
        <v>6.4765949631894699</v>
      </c>
      <c r="I95" s="7">
        <v>5967.7070610572</v>
      </c>
      <c r="J95" s="7">
        <v>4769.5933204541298</v>
      </c>
      <c r="K95" s="7">
        <v>5967.7070610572</v>
      </c>
      <c r="L95" s="7">
        <v>3890230.9388607698</v>
      </c>
      <c r="M95" s="7">
        <v>1273.2395447351601</v>
      </c>
      <c r="N95" s="7">
        <f t="shared" si="110"/>
        <v>16705.007442568531</v>
      </c>
      <c r="P95" s="28">
        <v>25</v>
      </c>
      <c r="Q95" s="26">
        <v>3.0000000000000001E-5</v>
      </c>
      <c r="R95" s="28">
        <v>0.2</v>
      </c>
      <c r="S95" s="28">
        <v>30</v>
      </c>
      <c r="T95" s="26">
        <v>4.9999999999999998E-8</v>
      </c>
      <c r="U95" s="26">
        <f t="shared" si="111"/>
        <v>1E-8</v>
      </c>
      <c r="V95" s="26">
        <f t="shared" si="112"/>
        <v>6.6666666666666664E-4</v>
      </c>
      <c r="W95" s="7">
        <v>7.09986999426651</v>
      </c>
      <c r="X95" s="7">
        <v>1989.2356869965699</v>
      </c>
      <c r="Y95" s="7">
        <v>1589.86444015137</v>
      </c>
      <c r="Z95" s="7">
        <v>1989.2356869965699</v>
      </c>
      <c r="AA95" s="7">
        <v>1296743.6482743199</v>
      </c>
      <c r="AB95" s="7">
        <v>141.47106052612901</v>
      </c>
      <c r="AC95" s="7">
        <f t="shared" si="113"/>
        <v>5568.3358141445096</v>
      </c>
      <c r="AE95" s="28">
        <v>25</v>
      </c>
      <c r="AF95" s="26">
        <v>5.0000000000000002E-5</v>
      </c>
      <c r="AG95" s="28">
        <v>0.2</v>
      </c>
      <c r="AH95" s="28">
        <v>30</v>
      </c>
      <c r="AI95" s="26">
        <v>4.9999999999999998E-8</v>
      </c>
      <c r="AJ95" s="26">
        <f t="shared" si="114"/>
        <v>1E-8</v>
      </c>
      <c r="AK95" s="26">
        <f t="shared" si="115"/>
        <v>3.9999999999999996E-4</v>
      </c>
      <c r="AL95" s="7">
        <v>7.23927698267988</v>
      </c>
      <c r="AM95" s="7">
        <v>1193.54141200751</v>
      </c>
      <c r="AN95" s="7">
        <v>953.91866409082502</v>
      </c>
      <c r="AO95" s="7">
        <v>1193.54141200751</v>
      </c>
      <c r="AP95" s="7">
        <v>778046.205790887</v>
      </c>
      <c r="AQ95" s="7">
        <v>50.929581789406498</v>
      </c>
      <c r="AR95" s="7">
        <f t="shared" si="116"/>
        <v>3341.0014881058451</v>
      </c>
      <c r="AT95" s="28">
        <v>25</v>
      </c>
      <c r="AU95" s="26">
        <v>1.0000000000000001E-5</v>
      </c>
      <c r="AV95" s="28">
        <v>0.2</v>
      </c>
      <c r="AW95" s="28">
        <v>200</v>
      </c>
      <c r="AX95" s="26">
        <v>4.9999999999999998E-8</v>
      </c>
      <c r="AY95" s="26">
        <f t="shared" si="117"/>
        <v>1E-8</v>
      </c>
      <c r="AZ95" s="26">
        <f t="shared" si="118"/>
        <v>2E-3</v>
      </c>
      <c r="BA95" s="7">
        <v>24.427269246733601</v>
      </c>
      <c r="BB95" s="7">
        <v>904.92261526204402</v>
      </c>
      <c r="BC95" s="7">
        <v>729.47946385146201</v>
      </c>
      <c r="BD95" s="7">
        <v>904.92261526204402</v>
      </c>
      <c r="BE95" s="7">
        <v>3890230.9388607698</v>
      </c>
      <c r="BF95" s="7">
        <v>1273.2395447351601</v>
      </c>
      <c r="BG95" s="7">
        <f t="shared" si="119"/>
        <v>2539.3246943755503</v>
      </c>
      <c r="BI95" s="28">
        <v>25</v>
      </c>
      <c r="BJ95" s="26">
        <v>1.0000000000000001E-5</v>
      </c>
      <c r="BK95" s="28">
        <v>0.5</v>
      </c>
      <c r="BL95" s="28">
        <v>200</v>
      </c>
      <c r="BM95" s="26">
        <v>4.9999999999999998E-8</v>
      </c>
      <c r="BN95" s="26">
        <f t="shared" si="120"/>
        <v>2.4999999999999999E-8</v>
      </c>
      <c r="BO95" s="26">
        <f t="shared" si="121"/>
        <v>4.9999999999999992E-3</v>
      </c>
      <c r="BP95" s="7">
        <v>24.518317550611901</v>
      </c>
      <c r="BQ95" s="7">
        <v>902.31159397251201</v>
      </c>
      <c r="BR95" s="7">
        <v>725.70943403112403</v>
      </c>
      <c r="BS95" s="7">
        <v>902.31159397251201</v>
      </c>
      <c r="BT95" s="7">
        <v>1556092.3755443101</v>
      </c>
      <c r="BU95" s="7">
        <v>1273.2395447351601</v>
      </c>
      <c r="BV95" s="7">
        <f t="shared" si="122"/>
        <v>2530.3326219761479</v>
      </c>
      <c r="BX95" s="28">
        <v>25</v>
      </c>
      <c r="BY95" s="26">
        <v>5.0000000000000002E-5</v>
      </c>
      <c r="BZ95" s="28">
        <v>0.5</v>
      </c>
      <c r="CA95" s="28">
        <v>200</v>
      </c>
      <c r="CB95" s="26">
        <v>4.9999999999999998E-8</v>
      </c>
      <c r="CC95" s="26">
        <f t="shared" si="123"/>
        <v>2.4999999999999999E-8</v>
      </c>
      <c r="CD95" s="26">
        <f t="shared" si="124"/>
        <v>9.999999999999998E-4</v>
      </c>
      <c r="CE95" s="7">
        <v>40.897252998782001</v>
      </c>
      <c r="CF95" s="7">
        <v>180.46231878283399</v>
      </c>
      <c r="CG95" s="7">
        <v>145.14188680622499</v>
      </c>
      <c r="CH95" s="7">
        <v>180.46231878283399</v>
      </c>
      <c r="CI95" s="7">
        <v>311218.48231635499</v>
      </c>
      <c r="CJ95" s="7">
        <v>50.929581789406498</v>
      </c>
      <c r="CK95" s="7">
        <f t="shared" si="125"/>
        <v>506.06652437189302</v>
      </c>
      <c r="CM95" s="28">
        <v>25</v>
      </c>
      <c r="CN95" s="26">
        <v>5.0000000000000002E-5</v>
      </c>
      <c r="CO95" s="28">
        <v>1</v>
      </c>
      <c r="CP95" s="28">
        <v>200</v>
      </c>
      <c r="CQ95" s="26">
        <v>4.9999999999999998E-8</v>
      </c>
      <c r="CR95" s="26">
        <f t="shared" si="126"/>
        <v>4.9999999999999998E-8</v>
      </c>
      <c r="CS95" s="26">
        <f t="shared" si="127"/>
        <v>1.9999999999999996E-3</v>
      </c>
      <c r="CT95" s="7">
        <v>41.176942611937399</v>
      </c>
      <c r="CU95" s="7">
        <v>179.60025764253999</v>
      </c>
      <c r="CV95" s="7">
        <v>143.90240734913101</v>
      </c>
      <c r="CW95" s="7">
        <v>179.60025764253999</v>
      </c>
      <c r="CX95" s="7">
        <v>155609.241158177</v>
      </c>
      <c r="CY95" s="7">
        <v>50.929581789406498</v>
      </c>
      <c r="CZ95" s="7">
        <f t="shared" si="128"/>
        <v>503.10292263421098</v>
      </c>
      <c r="DB95" s="28">
        <v>25</v>
      </c>
      <c r="DC95" s="26">
        <v>5.0000000000000002E-5</v>
      </c>
      <c r="DD95" s="28">
        <v>2</v>
      </c>
      <c r="DE95" s="28">
        <v>200</v>
      </c>
      <c r="DF95" s="26">
        <v>4.9999999999999998E-8</v>
      </c>
      <c r="DG95" s="26">
        <f t="shared" si="129"/>
        <v>9.9999999999999995E-8</v>
      </c>
      <c r="DH95" s="26">
        <f t="shared" si="130"/>
        <v>3.9999999999999992E-3</v>
      </c>
      <c r="DI95" s="7">
        <v>41.733744278708201</v>
      </c>
      <c r="DJ95" s="7">
        <v>177.90643586546901</v>
      </c>
      <c r="DK95" s="7">
        <v>141.48598257191699</v>
      </c>
      <c r="DL95" s="7">
        <v>177.90643586546901</v>
      </c>
      <c r="DM95" s="7">
        <v>77804.620579088703</v>
      </c>
      <c r="DN95" s="7">
        <v>50.929581789406498</v>
      </c>
      <c r="DO95" s="7">
        <f t="shared" si="131"/>
        <v>497.29885430285503</v>
      </c>
      <c r="DQ95" s="28">
        <v>25</v>
      </c>
      <c r="DR95" s="26">
        <v>5.0000000000000002E-5</v>
      </c>
      <c r="DS95" s="28">
        <v>15</v>
      </c>
      <c r="DT95" s="28">
        <v>300</v>
      </c>
      <c r="DU95" s="26">
        <v>2.4999999999999999E-8</v>
      </c>
      <c r="DV95" s="26">
        <f t="shared" si="132"/>
        <v>3.7500000000000001E-7</v>
      </c>
      <c r="DW95" s="26">
        <f t="shared" si="133"/>
        <v>1.4999999999999999E-2</v>
      </c>
      <c r="DX95" s="7">
        <v>70.351224034071095</v>
      </c>
      <c r="DY95" s="7">
        <v>110.42994925436599</v>
      </c>
      <c r="DZ95" s="7">
        <v>83.155364315094602</v>
      </c>
      <c r="EA95" s="7">
        <v>110.42994925436599</v>
      </c>
      <c r="EB95" s="7">
        <v>10373.949410545199</v>
      </c>
      <c r="EC95" s="7">
        <v>30.557749073643901</v>
      </c>
      <c r="ED95" s="7">
        <f t="shared" si="134"/>
        <v>304.01526282382656</v>
      </c>
    </row>
    <row r="96" spans="1:134" x14ac:dyDescent="0.4">
      <c r="A96" s="28">
        <v>30</v>
      </c>
      <c r="B96" s="26">
        <v>1.0000000000000001E-5</v>
      </c>
      <c r="C96" s="28">
        <v>0.2</v>
      </c>
      <c r="D96" s="28">
        <v>30</v>
      </c>
      <c r="E96" s="26">
        <v>4.9999999999999998E-8</v>
      </c>
      <c r="F96" s="26">
        <f t="shared" si="108"/>
        <v>1E-8</v>
      </c>
      <c r="G96" s="26">
        <f t="shared" si="109"/>
        <v>2E-3</v>
      </c>
      <c r="H96" s="7">
        <v>7.7101875327757199</v>
      </c>
      <c r="I96" s="7">
        <v>4807.3324198337996</v>
      </c>
      <c r="J96" s="7">
        <v>4988.6125859415297</v>
      </c>
      <c r="K96" s="7">
        <v>4807.3324198337996</v>
      </c>
      <c r="L96" s="7">
        <v>5893089.4851508904</v>
      </c>
      <c r="M96" s="7">
        <v>1273.2395447351601</v>
      </c>
      <c r="N96" s="7">
        <f t="shared" si="110"/>
        <v>14603.277425609129</v>
      </c>
      <c r="P96" s="28">
        <v>30</v>
      </c>
      <c r="Q96" s="26">
        <v>3.0000000000000001E-5</v>
      </c>
      <c r="R96" s="28">
        <v>0.2</v>
      </c>
      <c r="S96" s="28">
        <v>30</v>
      </c>
      <c r="T96" s="26">
        <v>4.9999999999999998E-8</v>
      </c>
      <c r="U96" s="26">
        <f t="shared" si="111"/>
        <v>1E-8</v>
      </c>
      <c r="V96" s="26">
        <f t="shared" si="112"/>
        <v>6.6666666666666664E-4</v>
      </c>
      <c r="W96" s="7">
        <v>8.5548129661762999</v>
      </c>
      <c r="X96" s="7">
        <v>1602.4441399274999</v>
      </c>
      <c r="Y96" s="7">
        <v>1662.87086198051</v>
      </c>
      <c r="Z96" s="7">
        <v>1602.4441399274999</v>
      </c>
      <c r="AA96" s="7">
        <v>1964363.1651242101</v>
      </c>
      <c r="AB96" s="7">
        <v>141.47106052612901</v>
      </c>
      <c r="AC96" s="7">
        <f t="shared" si="113"/>
        <v>4867.7591418355096</v>
      </c>
      <c r="AE96" s="28">
        <v>30</v>
      </c>
      <c r="AF96" s="26">
        <v>5.0000000000000002E-5</v>
      </c>
      <c r="AG96" s="28">
        <v>0.2</v>
      </c>
      <c r="AH96" s="28">
        <v>30</v>
      </c>
      <c r="AI96" s="26">
        <v>4.9999999999999998E-8</v>
      </c>
      <c r="AJ96" s="26">
        <f t="shared" si="114"/>
        <v>1E-8</v>
      </c>
      <c r="AK96" s="26">
        <f t="shared" si="115"/>
        <v>3.9999999999999996E-4</v>
      </c>
      <c r="AL96" s="7">
        <v>8.7465092487027398</v>
      </c>
      <c r="AM96" s="7">
        <v>961.46648381169098</v>
      </c>
      <c r="AN96" s="7">
        <v>997.72251718830603</v>
      </c>
      <c r="AO96" s="7">
        <v>961.46648381169098</v>
      </c>
      <c r="AP96" s="7">
        <v>1178617.9279219799</v>
      </c>
      <c r="AQ96" s="7">
        <v>50.929581789406498</v>
      </c>
      <c r="AR96" s="7">
        <f t="shared" si="116"/>
        <v>2920.655484811688</v>
      </c>
      <c r="AT96" s="28">
        <v>30</v>
      </c>
      <c r="AU96" s="26">
        <v>1.0000000000000001E-5</v>
      </c>
      <c r="AV96" s="28">
        <v>0.2</v>
      </c>
      <c r="AW96" s="28">
        <v>200</v>
      </c>
      <c r="AX96" s="26">
        <v>4.9999999999999998E-8</v>
      </c>
      <c r="AY96" s="26">
        <f t="shared" si="117"/>
        <v>1E-8</v>
      </c>
      <c r="AZ96" s="26">
        <f t="shared" si="118"/>
        <v>2E-3</v>
      </c>
      <c r="BA96" s="7">
        <v>27.7227443496968</v>
      </c>
      <c r="BB96" s="7">
        <v>727.37388968977803</v>
      </c>
      <c r="BC96" s="7">
        <v>758.42598130330396</v>
      </c>
      <c r="BD96" s="7">
        <v>727.37388968977803</v>
      </c>
      <c r="BE96" s="7">
        <v>5893089.4851508904</v>
      </c>
      <c r="BF96" s="7">
        <v>1273.2395447351601</v>
      </c>
      <c r="BG96" s="7">
        <f t="shared" si="119"/>
        <v>2213.1737606828601</v>
      </c>
      <c r="BI96" s="28">
        <v>30</v>
      </c>
      <c r="BJ96" s="26">
        <v>1.0000000000000001E-5</v>
      </c>
      <c r="BK96" s="28">
        <v>0.5</v>
      </c>
      <c r="BL96" s="28">
        <v>200</v>
      </c>
      <c r="BM96" s="26">
        <v>4.9999999999999998E-8</v>
      </c>
      <c r="BN96" s="26">
        <f t="shared" si="120"/>
        <v>2.4999999999999999E-8</v>
      </c>
      <c r="BO96" s="26">
        <f t="shared" si="121"/>
        <v>4.9999999999999992E-3</v>
      </c>
      <c r="BP96" s="7">
        <v>27.791591706402802</v>
      </c>
      <c r="BQ96" s="7">
        <v>725.70064173773096</v>
      </c>
      <c r="BR96" s="7">
        <v>755.71672459466504</v>
      </c>
      <c r="BS96" s="7">
        <v>725.70064173773096</v>
      </c>
      <c r="BT96" s="7">
        <v>2357235.7940603602</v>
      </c>
      <c r="BU96" s="7">
        <v>1273.2395447351601</v>
      </c>
      <c r="BV96" s="7">
        <f t="shared" si="122"/>
        <v>2207.118008070127</v>
      </c>
      <c r="BX96" s="28">
        <v>30</v>
      </c>
      <c r="BY96" s="26">
        <v>5.0000000000000002E-5</v>
      </c>
      <c r="BZ96" s="28">
        <v>0.5</v>
      </c>
      <c r="CA96" s="28">
        <v>200</v>
      </c>
      <c r="CB96" s="26">
        <v>4.9999999999999998E-8</v>
      </c>
      <c r="CC96" s="26">
        <f t="shared" si="123"/>
        <v>2.4999999999999999E-8</v>
      </c>
      <c r="CD96" s="26">
        <f t="shared" si="124"/>
        <v>9.999999999999998E-4</v>
      </c>
      <c r="CE96" s="7">
        <v>48.592039008124402</v>
      </c>
      <c r="CF96" s="7">
        <v>145.140128338708</v>
      </c>
      <c r="CG96" s="7">
        <v>151.143344918933</v>
      </c>
      <c r="CH96" s="7">
        <v>145.140128338708</v>
      </c>
      <c r="CI96" s="7">
        <v>471447.17116879002</v>
      </c>
      <c r="CJ96" s="7">
        <v>50.929581789406498</v>
      </c>
      <c r="CK96" s="7">
        <f t="shared" si="125"/>
        <v>441.42360159634899</v>
      </c>
      <c r="CM96" s="28">
        <v>30</v>
      </c>
      <c r="CN96" s="26">
        <v>5.0000000000000002E-5</v>
      </c>
      <c r="CO96" s="28">
        <v>1</v>
      </c>
      <c r="CP96" s="28">
        <v>200</v>
      </c>
      <c r="CQ96" s="26">
        <v>4.9999999999999998E-8</v>
      </c>
      <c r="CR96" s="26">
        <f t="shared" si="126"/>
        <v>4.9999999999999998E-8</v>
      </c>
      <c r="CS96" s="26">
        <f t="shared" si="127"/>
        <v>1.9999999999999996E-3</v>
      </c>
      <c r="CT96" s="7">
        <v>48.827487504301303</v>
      </c>
      <c r="CU96" s="7">
        <v>144.58638467526899</v>
      </c>
      <c r="CV96" s="7">
        <v>150.24883810203599</v>
      </c>
      <c r="CW96" s="7">
        <v>144.58638467526899</v>
      </c>
      <c r="CX96" s="7">
        <v>235723.58558439501</v>
      </c>
      <c r="CY96" s="7">
        <v>50.929581789406498</v>
      </c>
      <c r="CZ96" s="7">
        <f t="shared" si="128"/>
        <v>439.42160745257399</v>
      </c>
      <c r="DB96" s="28">
        <v>30</v>
      </c>
      <c r="DC96" s="26">
        <v>5.0000000000000002E-5</v>
      </c>
      <c r="DD96" s="28">
        <v>2</v>
      </c>
      <c r="DE96" s="28">
        <v>200</v>
      </c>
      <c r="DF96" s="26">
        <v>4.9999999999999998E-8</v>
      </c>
      <c r="DG96" s="26">
        <f t="shared" si="129"/>
        <v>9.9999999999999995E-8</v>
      </c>
      <c r="DH96" s="26">
        <f t="shared" si="130"/>
        <v>3.9999999999999992E-3</v>
      </c>
      <c r="DI96" s="7">
        <v>49.296826729996901</v>
      </c>
      <c r="DJ96" s="7">
        <v>143.493651420682</v>
      </c>
      <c r="DK96" s="7">
        <v>148.49131311393799</v>
      </c>
      <c r="DL96" s="7">
        <v>143.493651420682</v>
      </c>
      <c r="DM96" s="7">
        <v>117861.792792198</v>
      </c>
      <c r="DN96" s="7">
        <v>50.929581789406498</v>
      </c>
      <c r="DO96" s="7">
        <f t="shared" si="131"/>
        <v>435.47861595530196</v>
      </c>
      <c r="DQ96" s="28">
        <v>30</v>
      </c>
      <c r="DR96" s="26">
        <v>5.0000000000000002E-5</v>
      </c>
      <c r="DS96" s="28">
        <v>15</v>
      </c>
      <c r="DT96" s="28">
        <v>300</v>
      </c>
      <c r="DU96" s="26">
        <v>2.4999999999999999E-8</v>
      </c>
      <c r="DV96" s="26">
        <f t="shared" si="132"/>
        <v>3.7500000000000001E-7</v>
      </c>
      <c r="DW96" s="26">
        <f t="shared" si="133"/>
        <v>1.4999999999999999E-2</v>
      </c>
      <c r="DX96" s="7">
        <v>81.060877547329895</v>
      </c>
      <c r="DY96" s="7">
        <v>90.265822408235607</v>
      </c>
      <c r="DZ96" s="7">
        <v>90.525422516156297</v>
      </c>
      <c r="EA96" s="7">
        <v>90.265822408235607</v>
      </c>
      <c r="EB96" s="7">
        <v>15714.905705626299</v>
      </c>
      <c r="EC96" s="7">
        <v>30.557749073643901</v>
      </c>
      <c r="ED96" s="7">
        <f t="shared" si="134"/>
        <v>271.05706733262753</v>
      </c>
    </row>
    <row r="97" spans="1:134" x14ac:dyDescent="0.4">
      <c r="A97" s="28">
        <v>35</v>
      </c>
      <c r="B97" s="26">
        <v>1.0000000000000001E-5</v>
      </c>
      <c r="C97" s="28">
        <v>0.2</v>
      </c>
      <c r="D97" s="28">
        <v>30</v>
      </c>
      <c r="E97" s="26">
        <v>4.9999999999999998E-8</v>
      </c>
      <c r="F97" s="26">
        <f t="shared" si="108"/>
        <v>1E-8</v>
      </c>
      <c r="G97" s="26">
        <f t="shared" si="109"/>
        <v>2E-3</v>
      </c>
      <c r="H97" s="7">
        <v>8.8653140405319597</v>
      </c>
      <c r="I97" s="7">
        <v>3984.07853527202</v>
      </c>
      <c r="J97" s="7">
        <v>5168.7820727017497</v>
      </c>
      <c r="K97" s="7">
        <v>3984.07853527202</v>
      </c>
      <c r="L97" s="7">
        <v>8973470.5022608098</v>
      </c>
      <c r="M97" s="7">
        <v>1273.2395447351601</v>
      </c>
      <c r="N97" s="7">
        <f t="shared" si="110"/>
        <v>13136.939143245789</v>
      </c>
      <c r="P97" s="28">
        <v>35</v>
      </c>
      <c r="Q97" s="26">
        <v>3.0000000000000001E-5</v>
      </c>
      <c r="R97" s="28">
        <v>0.2</v>
      </c>
      <c r="S97" s="28">
        <v>30</v>
      </c>
      <c r="T97" s="26">
        <v>4.9999999999999998E-8</v>
      </c>
      <c r="U97" s="26">
        <f t="shared" si="111"/>
        <v>1E-8</v>
      </c>
      <c r="V97" s="26">
        <f t="shared" si="112"/>
        <v>6.6666666666666664E-4</v>
      </c>
      <c r="W97" s="7">
        <v>9.9395467200371606</v>
      </c>
      <c r="X97" s="7">
        <v>1328.02617841029</v>
      </c>
      <c r="Y97" s="7">
        <v>1722.9273575672501</v>
      </c>
      <c r="Z97" s="7">
        <v>1328.02617841029</v>
      </c>
      <c r="AA97" s="7">
        <v>2991156.8397606201</v>
      </c>
      <c r="AB97" s="7">
        <v>141.47106052612901</v>
      </c>
      <c r="AC97" s="7">
        <f t="shared" si="113"/>
        <v>4378.9797143878295</v>
      </c>
      <c r="AE97" s="28">
        <v>35</v>
      </c>
      <c r="AF97" s="26">
        <v>5.0000000000000002E-5</v>
      </c>
      <c r="AG97" s="28">
        <v>0.2</v>
      </c>
      <c r="AH97" s="28">
        <v>30</v>
      </c>
      <c r="AI97" s="26">
        <v>4.9999999999999998E-8</v>
      </c>
      <c r="AJ97" s="26">
        <f t="shared" si="114"/>
        <v>1E-8</v>
      </c>
      <c r="AK97" s="26">
        <f t="shared" si="115"/>
        <v>3.9999999999999996E-4</v>
      </c>
      <c r="AL97" s="7">
        <v>10.186466701562599</v>
      </c>
      <c r="AM97" s="7">
        <v>796.81570693005597</v>
      </c>
      <c r="AN97" s="7">
        <v>1033.7564145403501</v>
      </c>
      <c r="AO97" s="7">
        <v>796.81570693005597</v>
      </c>
      <c r="AP97" s="7">
        <v>1794694.1518928199</v>
      </c>
      <c r="AQ97" s="7">
        <v>50.929581789406498</v>
      </c>
      <c r="AR97" s="7">
        <f t="shared" si="116"/>
        <v>2627.3878284004622</v>
      </c>
      <c r="AT97" s="28">
        <v>35</v>
      </c>
      <c r="AU97" s="26">
        <v>1.0000000000000001E-5</v>
      </c>
      <c r="AV97" s="28">
        <v>0.2</v>
      </c>
      <c r="AW97" s="28">
        <v>200</v>
      </c>
      <c r="AX97" s="26">
        <v>4.9999999999999998E-8</v>
      </c>
      <c r="AY97" s="26">
        <f t="shared" si="117"/>
        <v>1E-8</v>
      </c>
      <c r="AZ97" s="26">
        <f t="shared" si="118"/>
        <v>2E-3</v>
      </c>
      <c r="BA97" s="7">
        <v>30.630119563132201</v>
      </c>
      <c r="BB97" s="7">
        <v>602.00500937137394</v>
      </c>
      <c r="BC97" s="7">
        <v>783.15203621901901</v>
      </c>
      <c r="BD97" s="7">
        <v>602.00500937137394</v>
      </c>
      <c r="BE97" s="7">
        <v>8973470.5022608098</v>
      </c>
      <c r="BF97" s="7">
        <v>1273.2395447351601</v>
      </c>
      <c r="BG97" s="7">
        <f t="shared" si="119"/>
        <v>1987.1620549617669</v>
      </c>
      <c r="BI97" s="28">
        <v>35</v>
      </c>
      <c r="BJ97" s="26">
        <v>1.0000000000000001E-5</v>
      </c>
      <c r="BK97" s="28">
        <v>0.5</v>
      </c>
      <c r="BL97" s="28">
        <v>200</v>
      </c>
      <c r="BM97" s="26">
        <v>4.9999999999999998E-8</v>
      </c>
      <c r="BN97" s="26">
        <f t="shared" si="120"/>
        <v>2.4999999999999999E-8</v>
      </c>
      <c r="BO97" s="26">
        <f t="shared" si="121"/>
        <v>4.9999999999999992E-3</v>
      </c>
      <c r="BP97" s="7">
        <v>30.6832603140111</v>
      </c>
      <c r="BQ97" s="7">
        <v>600.83500597989303</v>
      </c>
      <c r="BR97" s="7">
        <v>781.06268252331097</v>
      </c>
      <c r="BS97" s="7">
        <v>600.83500597989303</v>
      </c>
      <c r="BT97" s="7">
        <v>3589388.20090432</v>
      </c>
      <c r="BU97" s="7">
        <v>1273.2395447351601</v>
      </c>
      <c r="BV97" s="7">
        <f t="shared" si="122"/>
        <v>1982.732694483097</v>
      </c>
      <c r="BX97" s="28">
        <v>35</v>
      </c>
      <c r="BY97" s="26">
        <v>5.0000000000000002E-5</v>
      </c>
      <c r="BZ97" s="28">
        <v>0.5</v>
      </c>
      <c r="CA97" s="28">
        <v>200</v>
      </c>
      <c r="CB97" s="26">
        <v>4.9999999999999998E-8</v>
      </c>
      <c r="CC97" s="26">
        <f t="shared" si="123"/>
        <v>2.4999999999999999E-8</v>
      </c>
      <c r="CD97" s="26">
        <f t="shared" si="124"/>
        <v>9.999999999999998E-4</v>
      </c>
      <c r="CE97" s="7">
        <v>55.734598905056103</v>
      </c>
      <c r="CF97" s="7">
        <v>120.167001188906</v>
      </c>
      <c r="CG97" s="7">
        <v>156.21253650466201</v>
      </c>
      <c r="CH97" s="7">
        <v>120.167001188906</v>
      </c>
      <c r="CI97" s="7">
        <v>717877.66075713001</v>
      </c>
      <c r="CJ97" s="7">
        <v>50.929581789406498</v>
      </c>
      <c r="CK97" s="7">
        <f t="shared" si="125"/>
        <v>396.54653888247401</v>
      </c>
      <c r="CM97" s="28">
        <v>35</v>
      </c>
      <c r="CN97" s="26">
        <v>5.0000000000000002E-5</v>
      </c>
      <c r="CO97" s="28">
        <v>1</v>
      </c>
      <c r="CP97" s="28">
        <v>200</v>
      </c>
      <c r="CQ97" s="26">
        <v>4.9999999999999998E-8</v>
      </c>
      <c r="CR97" s="26">
        <f t="shared" si="126"/>
        <v>4.9999999999999998E-8</v>
      </c>
      <c r="CS97" s="26">
        <f t="shared" si="127"/>
        <v>1.9999999999999996E-3</v>
      </c>
      <c r="CT97" s="7">
        <v>55.937679454403003</v>
      </c>
      <c r="CU97" s="7">
        <v>119.779274796552</v>
      </c>
      <c r="CV97" s="7">
        <v>155.521045898078</v>
      </c>
      <c r="CW97" s="7">
        <v>119.779274796552</v>
      </c>
      <c r="CX97" s="7">
        <v>358938.83037856501</v>
      </c>
      <c r="CY97" s="7">
        <v>50.929581789406498</v>
      </c>
      <c r="CZ97" s="7">
        <f t="shared" si="128"/>
        <v>395.07959549118198</v>
      </c>
      <c r="DB97" s="28">
        <v>35</v>
      </c>
      <c r="DC97" s="26">
        <v>5.0000000000000002E-5</v>
      </c>
      <c r="DD97" s="28">
        <v>2</v>
      </c>
      <c r="DE97" s="28">
        <v>200</v>
      </c>
      <c r="DF97" s="26">
        <v>4.9999999999999998E-8</v>
      </c>
      <c r="DG97" s="26">
        <f t="shared" si="129"/>
        <v>9.9999999999999995E-8</v>
      </c>
      <c r="DH97" s="26">
        <f t="shared" si="130"/>
        <v>3.9999999999999992E-3</v>
      </c>
      <c r="DI97" s="7">
        <v>56.342774886872199</v>
      </c>
      <c r="DJ97" s="7">
        <v>119.01223137089301</v>
      </c>
      <c r="DK97" s="7">
        <v>154.156369850555</v>
      </c>
      <c r="DL97" s="7">
        <v>119.01223137089301</v>
      </c>
      <c r="DM97" s="7">
        <v>179469.41518928201</v>
      </c>
      <c r="DN97" s="7">
        <v>50.929581789406498</v>
      </c>
      <c r="DO97" s="7">
        <f t="shared" si="131"/>
        <v>392.18083259234101</v>
      </c>
      <c r="DQ97" s="28">
        <v>35</v>
      </c>
      <c r="DR97" s="26">
        <v>5.0000000000000002E-5</v>
      </c>
      <c r="DS97" s="28">
        <v>15</v>
      </c>
      <c r="DT97" s="28">
        <v>300</v>
      </c>
      <c r="DU97" s="26">
        <v>2.4999999999999999E-8</v>
      </c>
      <c r="DV97" s="26">
        <f t="shared" si="132"/>
        <v>3.7500000000000001E-7</v>
      </c>
      <c r="DW97" s="26">
        <f t="shared" si="133"/>
        <v>1.4999999999999999E-2</v>
      </c>
      <c r="DX97" s="7">
        <v>91.2435110299744</v>
      </c>
      <c r="DY97" s="7">
        <v>75.5008244304708</v>
      </c>
      <c r="DZ97" s="7">
        <v>96.032312732024195</v>
      </c>
      <c r="EA97" s="7">
        <v>75.5008244304708</v>
      </c>
      <c r="EB97" s="7">
        <v>23929.255358571001</v>
      </c>
      <c r="EC97" s="7">
        <v>30.557749073643901</v>
      </c>
      <c r="ED97" s="7">
        <f t="shared" si="134"/>
        <v>247.0339615929658</v>
      </c>
    </row>
    <row r="98" spans="1:134" x14ac:dyDescent="0.4">
      <c r="A98" s="28">
        <v>40</v>
      </c>
      <c r="B98" s="26">
        <v>1.0000000000000001E-5</v>
      </c>
      <c r="C98" s="28">
        <v>0.2</v>
      </c>
      <c r="D98" s="28">
        <v>30</v>
      </c>
      <c r="E98" s="26">
        <v>4.9999999999999998E-8</v>
      </c>
      <c r="F98" s="26">
        <f t="shared" si="108"/>
        <v>1E-8</v>
      </c>
      <c r="G98" s="26">
        <f t="shared" si="109"/>
        <v>2E-3</v>
      </c>
      <c r="H98" s="7">
        <v>9.9660988119192897</v>
      </c>
      <c r="I98" s="7">
        <v>3352.9677929484601</v>
      </c>
      <c r="J98" s="7">
        <v>5323.5334580216904</v>
      </c>
      <c r="K98" s="7">
        <v>3352.9677929484601</v>
      </c>
      <c r="L98" s="7">
        <v>13908939.478979601</v>
      </c>
      <c r="M98" s="7">
        <v>1273.2395447351601</v>
      </c>
      <c r="N98" s="7">
        <f t="shared" si="110"/>
        <v>12029.469043918611</v>
      </c>
      <c r="P98" s="28">
        <v>40</v>
      </c>
      <c r="Q98" s="26">
        <v>3.0000000000000001E-5</v>
      </c>
      <c r="R98" s="28">
        <v>0.2</v>
      </c>
      <c r="S98" s="28">
        <v>30</v>
      </c>
      <c r="T98" s="26">
        <v>4.9999999999999998E-8</v>
      </c>
      <c r="U98" s="26">
        <f t="shared" si="111"/>
        <v>1E-8</v>
      </c>
      <c r="V98" s="26">
        <f t="shared" si="112"/>
        <v>6.6666666666666664E-4</v>
      </c>
      <c r="W98" s="7">
        <v>11.278482362324601</v>
      </c>
      <c r="X98" s="7">
        <v>1117.6559309715101</v>
      </c>
      <c r="Y98" s="7">
        <v>1774.5111526738999</v>
      </c>
      <c r="Z98" s="7">
        <v>1117.6559309715101</v>
      </c>
      <c r="AA98" s="7">
        <v>4636313.1689486196</v>
      </c>
      <c r="AB98" s="7">
        <v>141.47106052612901</v>
      </c>
      <c r="AC98" s="7">
        <f t="shared" si="113"/>
        <v>4009.8230146169199</v>
      </c>
      <c r="AE98" s="28">
        <v>40</v>
      </c>
      <c r="AF98" s="26">
        <v>5.0000000000000002E-5</v>
      </c>
      <c r="AG98" s="28">
        <v>0.2</v>
      </c>
      <c r="AH98" s="28">
        <v>30</v>
      </c>
      <c r="AI98" s="26">
        <v>4.9999999999999998E-8</v>
      </c>
      <c r="AJ98" s="26">
        <f t="shared" si="114"/>
        <v>1E-8</v>
      </c>
      <c r="AK98" s="26">
        <f t="shared" si="115"/>
        <v>3.9999999999999996E-4</v>
      </c>
      <c r="AL98" s="7">
        <v>11.583603876431701</v>
      </c>
      <c r="AM98" s="7">
        <v>670.59355848720395</v>
      </c>
      <c r="AN98" s="7">
        <v>1064.70669160434</v>
      </c>
      <c r="AO98" s="7">
        <v>670.59355848720395</v>
      </c>
      <c r="AP98" s="7">
        <v>2781787.9800138599</v>
      </c>
      <c r="AQ98" s="7">
        <v>50.929581789406498</v>
      </c>
      <c r="AR98" s="7">
        <f t="shared" si="116"/>
        <v>2405.8938085787481</v>
      </c>
      <c r="AT98" s="28">
        <v>40</v>
      </c>
      <c r="AU98" s="26">
        <v>1.0000000000000001E-5</v>
      </c>
      <c r="AV98" s="28">
        <v>0.2</v>
      </c>
      <c r="AW98" s="28">
        <v>200</v>
      </c>
      <c r="AX98" s="26">
        <v>4.9999999999999998E-8</v>
      </c>
      <c r="AY98" s="26">
        <f t="shared" si="117"/>
        <v>1E-8</v>
      </c>
      <c r="AZ98" s="26">
        <f t="shared" si="118"/>
        <v>2E-3</v>
      </c>
      <c r="BA98" s="7">
        <v>33.2656031930062</v>
      </c>
      <c r="BB98" s="7">
        <v>506.171357939058</v>
      </c>
      <c r="BC98" s="7">
        <v>804.808472591532</v>
      </c>
      <c r="BD98" s="7">
        <v>506.171357939058</v>
      </c>
      <c r="BE98" s="7">
        <v>13908939.478979601</v>
      </c>
      <c r="BF98" s="7">
        <v>1273.2395447351601</v>
      </c>
      <c r="BG98" s="7">
        <f t="shared" si="119"/>
        <v>1817.1511884696479</v>
      </c>
      <c r="BI98" s="28">
        <v>40</v>
      </c>
      <c r="BJ98" s="26">
        <v>1.0000000000000001E-5</v>
      </c>
      <c r="BK98" s="28">
        <v>0.5</v>
      </c>
      <c r="BL98" s="28">
        <v>200</v>
      </c>
      <c r="BM98" s="26">
        <v>4.9999999999999998E-8</v>
      </c>
      <c r="BN98" s="26">
        <f t="shared" si="120"/>
        <v>2.4999999999999999E-8</v>
      </c>
      <c r="BO98" s="26">
        <f t="shared" si="121"/>
        <v>4.9999999999999992E-3</v>
      </c>
      <c r="BP98" s="7">
        <v>33.307095944333902</v>
      </c>
      <c r="BQ98" s="7">
        <v>505.31296257696903</v>
      </c>
      <c r="BR98" s="7">
        <v>803.13685140779603</v>
      </c>
      <c r="BS98" s="7">
        <v>505.31296257696903</v>
      </c>
      <c r="BT98" s="7">
        <v>5563575.7915918296</v>
      </c>
      <c r="BU98" s="7">
        <v>1273.2395447351601</v>
      </c>
      <c r="BV98" s="7">
        <f t="shared" si="122"/>
        <v>1813.7627765617342</v>
      </c>
      <c r="BX98" s="28">
        <v>40</v>
      </c>
      <c r="BY98" s="26">
        <v>5.0000000000000002E-5</v>
      </c>
      <c r="BZ98" s="28">
        <v>0.5</v>
      </c>
      <c r="CA98" s="28">
        <v>200</v>
      </c>
      <c r="CB98" s="26">
        <v>4.9999999999999998E-8</v>
      </c>
      <c r="CC98" s="26">
        <f t="shared" si="123"/>
        <v>2.4999999999999999E-8</v>
      </c>
      <c r="CD98" s="26">
        <f t="shared" si="124"/>
        <v>9.999999999999998E-4</v>
      </c>
      <c r="CE98" s="7">
        <v>62.492551505777001</v>
      </c>
      <c r="CF98" s="7">
        <v>101.06259250957299</v>
      </c>
      <c r="CG98" s="7">
        <v>160.627370281559</v>
      </c>
      <c r="CH98" s="7">
        <v>101.06259250957299</v>
      </c>
      <c r="CI98" s="7">
        <v>1112715.19200554</v>
      </c>
      <c r="CJ98" s="7">
        <v>50.929581789406498</v>
      </c>
      <c r="CK98" s="7">
        <f t="shared" si="125"/>
        <v>362.75255530070496</v>
      </c>
      <c r="CM98" s="28">
        <v>40</v>
      </c>
      <c r="CN98" s="26">
        <v>5.0000000000000002E-5</v>
      </c>
      <c r="CO98" s="28">
        <v>1</v>
      </c>
      <c r="CP98" s="28">
        <v>200</v>
      </c>
      <c r="CQ98" s="26">
        <v>4.9999999999999998E-8</v>
      </c>
      <c r="CR98" s="26">
        <f t="shared" si="126"/>
        <v>4.9999999999999998E-8</v>
      </c>
      <c r="CS98" s="26">
        <f t="shared" si="127"/>
        <v>1.9999999999999996E-3</v>
      </c>
      <c r="CT98" s="7">
        <v>62.670059210835902</v>
      </c>
      <c r="CU98" s="7">
        <v>100.77787314708399</v>
      </c>
      <c r="CV98" s="7">
        <v>160.073267279547</v>
      </c>
      <c r="CW98" s="7">
        <v>100.77787314708399</v>
      </c>
      <c r="CX98" s="7">
        <v>556357.59600277198</v>
      </c>
      <c r="CY98" s="7">
        <v>50.929581789406498</v>
      </c>
      <c r="CZ98" s="7">
        <f t="shared" si="128"/>
        <v>361.62901357371499</v>
      </c>
      <c r="DB98" s="28">
        <v>40</v>
      </c>
      <c r="DC98" s="26">
        <v>5.0000000000000002E-5</v>
      </c>
      <c r="DD98" s="28">
        <v>2</v>
      </c>
      <c r="DE98" s="28">
        <v>200</v>
      </c>
      <c r="DF98" s="26">
        <v>4.9999999999999998E-8</v>
      </c>
      <c r="DG98" s="26">
        <f t="shared" si="129"/>
        <v>9.9999999999999995E-8</v>
      </c>
      <c r="DH98" s="26">
        <f t="shared" si="130"/>
        <v>3.9999999999999992E-3</v>
      </c>
      <c r="DI98" s="7">
        <v>63.024291804252996</v>
      </c>
      <c r="DJ98" s="7">
        <v>100.213668542356</v>
      </c>
      <c r="DK98" s="7">
        <v>158.97655523681999</v>
      </c>
      <c r="DL98" s="7">
        <v>100.213668542356</v>
      </c>
      <c r="DM98" s="7">
        <v>278178.79800138599</v>
      </c>
      <c r="DN98" s="7">
        <v>50.929581789406498</v>
      </c>
      <c r="DO98" s="7">
        <f t="shared" si="131"/>
        <v>359.403892321532</v>
      </c>
      <c r="DQ98" s="28">
        <v>40</v>
      </c>
      <c r="DR98" s="26">
        <v>5.0000000000000002E-5</v>
      </c>
      <c r="DS98" s="28">
        <v>15</v>
      </c>
      <c r="DT98" s="28">
        <v>300</v>
      </c>
      <c r="DU98" s="26">
        <v>2.4999999999999999E-8</v>
      </c>
      <c r="DV98" s="26">
        <f t="shared" si="132"/>
        <v>3.7500000000000001E-7</v>
      </c>
      <c r="DW98" s="26">
        <f t="shared" si="133"/>
        <v>1.4999999999999999E-2</v>
      </c>
      <c r="DX98" s="7">
        <v>101.029732156824</v>
      </c>
      <c r="DY98" s="7">
        <v>63.957630951740299</v>
      </c>
      <c r="DZ98" s="7">
        <v>100.479958515748</v>
      </c>
      <c r="EA98" s="7">
        <v>63.957630951740299</v>
      </c>
      <c r="EB98" s="7">
        <v>37090.5064001848</v>
      </c>
      <c r="EC98" s="7">
        <v>30.557749073643901</v>
      </c>
      <c r="ED98" s="7">
        <f t="shared" si="134"/>
        <v>228.39522041922859</v>
      </c>
    </row>
    <row r="99" spans="1:134" x14ac:dyDescent="0.4">
      <c r="A99" s="28">
        <v>45</v>
      </c>
      <c r="B99" s="26">
        <v>1.0000000000000001E-5</v>
      </c>
      <c r="C99" s="28">
        <v>0.2</v>
      </c>
      <c r="D99" s="28">
        <v>30</v>
      </c>
      <c r="E99" s="26">
        <v>4.9999999999999998E-8</v>
      </c>
      <c r="F99" s="26">
        <f t="shared" si="108"/>
        <v>1E-8</v>
      </c>
      <c r="G99" s="26">
        <f t="shared" si="109"/>
        <v>2E-3</v>
      </c>
      <c r="H99" s="7">
        <v>11.026105131956101</v>
      </c>
      <c r="I99" s="7">
        <v>2844.9728255004802</v>
      </c>
      <c r="J99" s="7">
        <v>5459.8455675855203</v>
      </c>
      <c r="K99" s="7">
        <v>2844.9728255004802</v>
      </c>
      <c r="L99" s="7">
        <v>22314016.336053099</v>
      </c>
      <c r="M99" s="7">
        <v>1273.2395447351601</v>
      </c>
      <c r="N99" s="7">
        <f t="shared" si="110"/>
        <v>11149.791218586481</v>
      </c>
      <c r="P99" s="28">
        <v>45</v>
      </c>
      <c r="Q99" s="26">
        <v>3.0000000000000001E-5</v>
      </c>
      <c r="R99" s="28">
        <v>0.2</v>
      </c>
      <c r="S99" s="28">
        <v>30</v>
      </c>
      <c r="T99" s="26">
        <v>4.9999999999999998E-8</v>
      </c>
      <c r="U99" s="26">
        <f t="shared" si="111"/>
        <v>1E-8</v>
      </c>
      <c r="V99" s="26">
        <f t="shared" si="112"/>
        <v>6.6666666666666664E-4</v>
      </c>
      <c r="W99" s="7">
        <v>12.585202670170901</v>
      </c>
      <c r="X99" s="7">
        <v>948.32427515736799</v>
      </c>
      <c r="Y99" s="7">
        <v>1819.94852252851</v>
      </c>
      <c r="Z99" s="7">
        <v>948.32427515736799</v>
      </c>
      <c r="AA99" s="7">
        <v>7438005.4604388904</v>
      </c>
      <c r="AB99" s="7">
        <v>141.47106052612901</v>
      </c>
      <c r="AC99" s="7">
        <f t="shared" si="113"/>
        <v>3716.5970728432458</v>
      </c>
      <c r="AE99" s="28">
        <v>45</v>
      </c>
      <c r="AF99" s="26">
        <v>5.0000000000000002E-5</v>
      </c>
      <c r="AG99" s="28">
        <v>0.2</v>
      </c>
      <c r="AH99" s="28">
        <v>30</v>
      </c>
      <c r="AI99" s="26">
        <v>4.9999999999999998E-8</v>
      </c>
      <c r="AJ99" s="26">
        <f t="shared" si="114"/>
        <v>1E-8</v>
      </c>
      <c r="AK99" s="26">
        <f t="shared" si="115"/>
        <v>3.9999999999999996E-4</v>
      </c>
      <c r="AL99" s="7">
        <v>12.9515061602009</v>
      </c>
      <c r="AM99" s="7">
        <v>568.99456501435202</v>
      </c>
      <c r="AN99" s="7">
        <v>1091.9691135170999</v>
      </c>
      <c r="AO99" s="7">
        <v>568.99456501435202</v>
      </c>
      <c r="AP99" s="7">
        <v>4462803.4040061999</v>
      </c>
      <c r="AQ99" s="7">
        <v>50.929581789406498</v>
      </c>
      <c r="AR99" s="7">
        <f t="shared" si="116"/>
        <v>2229.9582435458042</v>
      </c>
      <c r="AT99" s="28">
        <v>45</v>
      </c>
      <c r="AU99" s="26">
        <v>1.0000000000000001E-5</v>
      </c>
      <c r="AV99" s="28">
        <v>0.2</v>
      </c>
      <c r="AW99" s="28">
        <v>200</v>
      </c>
      <c r="AX99" s="26">
        <v>4.9999999999999998E-8</v>
      </c>
      <c r="AY99" s="26">
        <f t="shared" si="117"/>
        <v>1E-8</v>
      </c>
      <c r="AZ99" s="26">
        <f t="shared" si="118"/>
        <v>2E-3</v>
      </c>
      <c r="BA99" s="7">
        <v>35.6950031482274</v>
      </c>
      <c r="BB99" s="7">
        <v>429.182314820393</v>
      </c>
      <c r="BC99" s="7">
        <v>824.10906225483302</v>
      </c>
      <c r="BD99" s="7">
        <v>429.182314820393</v>
      </c>
      <c r="BE99" s="7">
        <v>22314016.336053099</v>
      </c>
      <c r="BF99" s="7">
        <v>1273.2395447351601</v>
      </c>
      <c r="BG99" s="7">
        <f t="shared" si="119"/>
        <v>1682.4736918956191</v>
      </c>
      <c r="BI99" s="28">
        <v>45</v>
      </c>
      <c r="BJ99" s="26">
        <v>1.0000000000000001E-5</v>
      </c>
      <c r="BK99" s="28">
        <v>0.5</v>
      </c>
      <c r="BL99" s="28">
        <v>200</v>
      </c>
      <c r="BM99" s="26">
        <v>4.9999999999999998E-8</v>
      </c>
      <c r="BN99" s="26">
        <f t="shared" si="120"/>
        <v>2.4999999999999999E-8</v>
      </c>
      <c r="BO99" s="26">
        <f t="shared" si="121"/>
        <v>4.9999999999999992E-3</v>
      </c>
      <c r="BP99" s="7">
        <v>35.727614773766</v>
      </c>
      <c r="BQ99" s="7">
        <v>428.53449983983199</v>
      </c>
      <c r="BR99" s="7">
        <v>822.74419088845502</v>
      </c>
      <c r="BS99" s="7">
        <v>428.53449983983199</v>
      </c>
      <c r="BT99" s="7">
        <v>8925606.5344212595</v>
      </c>
      <c r="BU99" s="7">
        <v>1273.2395447351601</v>
      </c>
      <c r="BV99" s="7">
        <f t="shared" si="122"/>
        <v>1679.8131905681191</v>
      </c>
      <c r="BX99" s="28">
        <v>45</v>
      </c>
      <c r="BY99" s="26">
        <v>5.0000000000000002E-5</v>
      </c>
      <c r="BZ99" s="28">
        <v>0.5</v>
      </c>
      <c r="CA99" s="28">
        <v>200</v>
      </c>
      <c r="CB99" s="26">
        <v>4.9999999999999998E-8</v>
      </c>
      <c r="CC99" s="26">
        <f t="shared" si="123"/>
        <v>2.4999999999999999E-8</v>
      </c>
      <c r="CD99" s="26">
        <f t="shared" si="124"/>
        <v>9.999999999999998E-4</v>
      </c>
      <c r="CE99" s="7">
        <v>68.959971845600506</v>
      </c>
      <c r="CF99" s="7">
        <v>85.706899963102501</v>
      </c>
      <c r="CG99" s="7">
        <v>164.54883817769101</v>
      </c>
      <c r="CH99" s="7">
        <v>85.706899963102501</v>
      </c>
      <c r="CI99" s="7">
        <v>1785121.3616024801</v>
      </c>
      <c r="CJ99" s="7">
        <v>50.929581789406498</v>
      </c>
      <c r="CK99" s="7">
        <f t="shared" si="125"/>
        <v>335.96263810389598</v>
      </c>
      <c r="CM99" s="28">
        <v>45</v>
      </c>
      <c r="CN99" s="26">
        <v>5.0000000000000002E-5</v>
      </c>
      <c r="CO99" s="28">
        <v>1</v>
      </c>
      <c r="CP99" s="28">
        <v>200</v>
      </c>
      <c r="CQ99" s="26">
        <v>4.9999999999999998E-8</v>
      </c>
      <c r="CR99" s="26">
        <f t="shared" si="126"/>
        <v>4.9999999999999998E-8</v>
      </c>
      <c r="CS99" s="26">
        <f t="shared" si="127"/>
        <v>1.9999999999999996E-3</v>
      </c>
      <c r="CT99" s="7">
        <v>69.116198415835001</v>
      </c>
      <c r="CU99" s="7">
        <v>85.491887514072303</v>
      </c>
      <c r="CV99" s="7">
        <v>164.095913900619</v>
      </c>
      <c r="CW99" s="7">
        <v>85.491887514072303</v>
      </c>
      <c r="CX99" s="7">
        <v>892560.68080124003</v>
      </c>
      <c r="CY99" s="7">
        <v>50.929581789406498</v>
      </c>
      <c r="CZ99" s="7">
        <f t="shared" si="128"/>
        <v>335.07968892876357</v>
      </c>
      <c r="DB99" s="28">
        <v>45</v>
      </c>
      <c r="DC99" s="26">
        <v>5.0000000000000002E-5</v>
      </c>
      <c r="DD99" s="28">
        <v>2</v>
      </c>
      <c r="DE99" s="28">
        <v>200</v>
      </c>
      <c r="DF99" s="26">
        <v>4.9999999999999998E-8</v>
      </c>
      <c r="DG99" s="26">
        <f t="shared" si="129"/>
        <v>9.9999999999999995E-8</v>
      </c>
      <c r="DH99" s="26">
        <f t="shared" si="130"/>
        <v>3.9999999999999992E-3</v>
      </c>
      <c r="DI99" s="7">
        <v>69.428049257860806</v>
      </c>
      <c r="DJ99" s="7">
        <v>85.065299620820397</v>
      </c>
      <c r="DK99" s="7">
        <v>163.197611169178</v>
      </c>
      <c r="DL99" s="7">
        <v>85.065299620820397</v>
      </c>
      <c r="DM99" s="7">
        <v>446280.34040062001</v>
      </c>
      <c r="DN99" s="7">
        <v>50.929581789406498</v>
      </c>
      <c r="DO99" s="7">
        <f t="shared" si="131"/>
        <v>333.32821041081877</v>
      </c>
      <c r="DQ99" s="28">
        <v>45</v>
      </c>
      <c r="DR99" s="26">
        <v>5.0000000000000002E-5</v>
      </c>
      <c r="DS99" s="28">
        <v>15</v>
      </c>
      <c r="DT99" s="28">
        <v>300</v>
      </c>
      <c r="DU99" s="26">
        <v>2.4999999999999999E-8</v>
      </c>
      <c r="DV99" s="26">
        <f t="shared" si="132"/>
        <v>3.7500000000000001E-7</v>
      </c>
      <c r="DW99" s="26">
        <f t="shared" si="133"/>
        <v>1.4999999999999999E-2</v>
      </c>
      <c r="DX99" s="7">
        <v>110.49768951578901</v>
      </c>
      <c r="DY99" s="7">
        <v>54.539450656433999</v>
      </c>
      <c r="DZ99" s="7">
        <v>104.236562937325</v>
      </c>
      <c r="EA99" s="7">
        <v>54.539450656433999</v>
      </c>
      <c r="EB99" s="7">
        <v>59504.045386749298</v>
      </c>
      <c r="EC99" s="7">
        <v>30.557749073643901</v>
      </c>
      <c r="ED99" s="7">
        <f t="shared" si="134"/>
        <v>213.31546425019297</v>
      </c>
    </row>
    <row r="100" spans="1:134" x14ac:dyDescent="0.4">
      <c r="A100" s="28">
        <v>50</v>
      </c>
      <c r="B100" s="26">
        <v>1.0000000000000001E-5</v>
      </c>
      <c r="C100" s="28">
        <v>0.2</v>
      </c>
      <c r="D100" s="28">
        <v>30</v>
      </c>
      <c r="E100" s="26">
        <v>4.9999999999999998E-8</v>
      </c>
      <c r="F100" s="26">
        <f t="shared" si="108"/>
        <v>1E-8</v>
      </c>
      <c r="G100" s="26">
        <f t="shared" si="109"/>
        <v>2E-3</v>
      </c>
      <c r="H100" s="7">
        <v>12.053996469127901</v>
      </c>
      <c r="I100" s="7">
        <v>2422.0764785389101</v>
      </c>
      <c r="J100" s="7">
        <v>5581.9822447758097</v>
      </c>
      <c r="K100" s="7">
        <v>2422.0764785389101</v>
      </c>
      <c r="L100" s="7">
        <v>38032949.861855596</v>
      </c>
      <c r="M100" s="7">
        <v>1273.2395447351601</v>
      </c>
      <c r="N100" s="7">
        <f t="shared" si="110"/>
        <v>10426.135201853631</v>
      </c>
      <c r="P100" s="28">
        <v>50</v>
      </c>
      <c r="Q100" s="26">
        <v>3.0000000000000001E-5</v>
      </c>
      <c r="R100" s="28">
        <v>0.2</v>
      </c>
      <c r="S100" s="28">
        <v>30</v>
      </c>
      <c r="T100" s="26">
        <v>4.9999999999999998E-8</v>
      </c>
      <c r="U100" s="26">
        <f t="shared" si="111"/>
        <v>1E-8</v>
      </c>
      <c r="V100" s="26">
        <f t="shared" si="112"/>
        <v>6.6666666666666664E-4</v>
      </c>
      <c r="W100" s="7">
        <v>13.868328372623701</v>
      </c>
      <c r="X100" s="7">
        <v>807.35882617166396</v>
      </c>
      <c r="Y100" s="7">
        <v>1860.6607482586001</v>
      </c>
      <c r="Z100" s="7">
        <v>807.35882617166396</v>
      </c>
      <c r="AA100" s="7">
        <v>12677649.9784535</v>
      </c>
      <c r="AB100" s="7">
        <v>141.47106052612901</v>
      </c>
      <c r="AC100" s="7">
        <f t="shared" si="113"/>
        <v>3475.3784006019282</v>
      </c>
      <c r="AE100" s="28">
        <v>50</v>
      </c>
      <c r="AF100" s="26">
        <v>5.0000000000000002E-5</v>
      </c>
      <c r="AG100" s="28">
        <v>0.2</v>
      </c>
      <c r="AH100" s="28">
        <v>30</v>
      </c>
      <c r="AI100" s="26">
        <v>4.9999999999999998E-8</v>
      </c>
      <c r="AJ100" s="26">
        <f t="shared" si="114"/>
        <v>1E-8</v>
      </c>
      <c r="AK100" s="26">
        <f t="shared" si="115"/>
        <v>3.9999999999999996E-4</v>
      </c>
      <c r="AL100" s="7">
        <v>14.298793856419399</v>
      </c>
      <c r="AM100" s="7">
        <v>484.41529563550102</v>
      </c>
      <c r="AN100" s="7">
        <v>1116.3964489551599</v>
      </c>
      <c r="AO100" s="7">
        <v>484.41529563550102</v>
      </c>
      <c r="AP100" s="7">
        <v>7606590.1945190197</v>
      </c>
      <c r="AQ100" s="7">
        <v>50.929581789406498</v>
      </c>
      <c r="AR100" s="7">
        <f t="shared" si="116"/>
        <v>2085.227040226162</v>
      </c>
      <c r="AT100" s="28">
        <v>50</v>
      </c>
      <c r="AU100" s="26">
        <v>1.0000000000000001E-5</v>
      </c>
      <c r="AV100" s="28">
        <v>0.2</v>
      </c>
      <c r="AW100" s="28">
        <v>200</v>
      </c>
      <c r="AX100" s="26">
        <v>4.9999999999999998E-8</v>
      </c>
      <c r="AY100" s="26">
        <f t="shared" si="117"/>
        <v>1E-8</v>
      </c>
      <c r="AZ100" s="26">
        <f t="shared" si="118"/>
        <v>2E-3</v>
      </c>
      <c r="BA100" s="7">
        <v>37.960446911112903</v>
      </c>
      <c r="BB100" s="7">
        <v>365.18105956717</v>
      </c>
      <c r="BC100" s="7">
        <v>841.53641728653497</v>
      </c>
      <c r="BD100" s="7">
        <v>365.18105956717</v>
      </c>
      <c r="BE100" s="7">
        <v>38032949.861855596</v>
      </c>
      <c r="BF100" s="7">
        <v>1273.2395447351601</v>
      </c>
      <c r="BG100" s="7">
        <f t="shared" si="119"/>
        <v>1571.898536420875</v>
      </c>
      <c r="BI100" s="28">
        <v>50</v>
      </c>
      <c r="BJ100" s="26">
        <v>1.0000000000000001E-5</v>
      </c>
      <c r="BK100" s="28">
        <v>0.5</v>
      </c>
      <c r="BL100" s="28">
        <v>200</v>
      </c>
      <c r="BM100" s="26">
        <v>4.9999999999999998E-8</v>
      </c>
      <c r="BN100" s="26">
        <f t="shared" si="120"/>
        <v>2.4999999999999999E-8</v>
      </c>
      <c r="BO100" s="26">
        <f t="shared" si="121"/>
        <v>4.9999999999999992E-3</v>
      </c>
      <c r="BP100" s="7">
        <v>37.9861613853409</v>
      </c>
      <c r="BQ100" s="7">
        <v>364.68421056947602</v>
      </c>
      <c r="BR100" s="7">
        <v>840.41004328064798</v>
      </c>
      <c r="BS100" s="7">
        <v>364.68421056947602</v>
      </c>
      <c r="BT100" s="7">
        <v>15213179.944742201</v>
      </c>
      <c r="BU100" s="7">
        <v>1273.2395447351601</v>
      </c>
      <c r="BV100" s="7">
        <f t="shared" si="122"/>
        <v>1569.7784644195999</v>
      </c>
      <c r="BX100" s="28">
        <v>50</v>
      </c>
      <c r="BY100" s="26">
        <v>5.0000000000000002E-5</v>
      </c>
      <c r="BZ100" s="28">
        <v>0.5</v>
      </c>
      <c r="CA100" s="28">
        <v>200</v>
      </c>
      <c r="CB100" s="26">
        <v>4.9999999999999998E-8</v>
      </c>
      <c r="CC100" s="26">
        <f t="shared" si="123"/>
        <v>2.4999999999999999E-8</v>
      </c>
      <c r="CD100" s="26">
        <f t="shared" si="124"/>
        <v>9.999999999999998E-4</v>
      </c>
      <c r="CE100" s="7">
        <v>75.1968761310156</v>
      </c>
      <c r="CF100" s="7">
        <v>72.936842109798505</v>
      </c>
      <c r="CG100" s="7">
        <v>168.08200865613</v>
      </c>
      <c r="CH100" s="7">
        <v>72.936842109798505</v>
      </c>
      <c r="CI100" s="7">
        <v>3042636.0778076099</v>
      </c>
      <c r="CJ100" s="7">
        <v>50.929581789406498</v>
      </c>
      <c r="CK100" s="7">
        <f t="shared" si="125"/>
        <v>313.95569287572698</v>
      </c>
      <c r="CM100" s="28">
        <v>50</v>
      </c>
      <c r="CN100" s="26">
        <v>5.0000000000000002E-5</v>
      </c>
      <c r="CO100" s="28">
        <v>1</v>
      </c>
      <c r="CP100" s="28">
        <v>200</v>
      </c>
      <c r="CQ100" s="26">
        <v>4.9999999999999998E-8</v>
      </c>
      <c r="CR100" s="26">
        <f t="shared" si="126"/>
        <v>4.9999999999999998E-8</v>
      </c>
      <c r="CS100" s="26">
        <f t="shared" si="127"/>
        <v>1.9999999999999996E-3</v>
      </c>
      <c r="CT100" s="7">
        <v>75.334675198718699</v>
      </c>
      <c r="CU100" s="7">
        <v>72.771853396363895</v>
      </c>
      <c r="CV100" s="7">
        <v>167.707917393011</v>
      </c>
      <c r="CW100" s="7">
        <v>72.771853396363895</v>
      </c>
      <c r="CX100" s="7">
        <v>1521318.0389038101</v>
      </c>
      <c r="CY100" s="7">
        <v>50.929581789406498</v>
      </c>
      <c r="CZ100" s="7">
        <f t="shared" si="128"/>
        <v>313.25162418573882</v>
      </c>
      <c r="DB100" s="28">
        <v>50</v>
      </c>
      <c r="DC100" s="26">
        <v>5.0000000000000002E-5</v>
      </c>
      <c r="DD100" s="28">
        <v>2</v>
      </c>
      <c r="DE100" s="28">
        <v>200</v>
      </c>
      <c r="DF100" s="26">
        <v>4.9999999999999998E-8</v>
      </c>
      <c r="DG100" s="26">
        <f t="shared" si="129"/>
        <v>9.9999999999999995E-8</v>
      </c>
      <c r="DH100" s="26">
        <f t="shared" si="130"/>
        <v>3.9999999999999992E-3</v>
      </c>
      <c r="DI100" s="7">
        <v>75.609794851195304</v>
      </c>
      <c r="DJ100" s="7">
        <v>72.444208829560395</v>
      </c>
      <c r="DK100" s="7">
        <v>166.964817403171</v>
      </c>
      <c r="DL100" s="7">
        <v>72.444208829560395</v>
      </c>
      <c r="DM100" s="7">
        <v>760659.01945190295</v>
      </c>
      <c r="DN100" s="7">
        <v>50.929581789406498</v>
      </c>
      <c r="DO100" s="7">
        <f t="shared" si="131"/>
        <v>311.85323506229179</v>
      </c>
      <c r="DQ100" s="28">
        <v>50</v>
      </c>
      <c r="DR100" s="26">
        <v>5.0000000000000002E-5</v>
      </c>
      <c r="DS100" s="28">
        <v>15</v>
      </c>
      <c r="DT100" s="28">
        <v>300</v>
      </c>
      <c r="DU100" s="26">
        <v>2.4999999999999999E-8</v>
      </c>
      <c r="DV100" s="26">
        <f t="shared" si="132"/>
        <v>3.7500000000000001E-7</v>
      </c>
      <c r="DW100" s="26">
        <f t="shared" si="133"/>
        <v>1.4999999999999999E-2</v>
      </c>
      <c r="DX100" s="7">
        <v>119.700103868067</v>
      </c>
      <c r="DY100" s="7">
        <v>46.620018473906597</v>
      </c>
      <c r="DZ100" s="7">
        <v>107.50242472112301</v>
      </c>
      <c r="EA100" s="7">
        <v>46.620018473906597</v>
      </c>
      <c r="EB100" s="7">
        <v>101421.202593587</v>
      </c>
      <c r="EC100" s="7">
        <v>30.557749073643901</v>
      </c>
      <c r="ED100" s="7">
        <f t="shared" si="134"/>
        <v>200.74246166893619</v>
      </c>
    </row>
    <row r="101" spans="1:134" x14ac:dyDescent="0.4">
      <c r="A101" s="28">
        <v>55.000000000000007</v>
      </c>
      <c r="B101" s="26">
        <v>1.0000000000000001E-5</v>
      </c>
      <c r="C101" s="28">
        <v>0.2</v>
      </c>
      <c r="D101" s="28">
        <v>30</v>
      </c>
      <c r="E101" s="26">
        <v>4.9999999999999998E-8</v>
      </c>
      <c r="F101" s="26">
        <f t="shared" si="108"/>
        <v>1E-8</v>
      </c>
      <c r="G101" s="26">
        <f t="shared" si="109"/>
        <v>2E-3</v>
      </c>
      <c r="H101" s="7">
        <v>13.0557765981589</v>
      </c>
      <c r="I101" s="7">
        <v>2061.2283400943002</v>
      </c>
      <c r="J101" s="7">
        <v>5692.8014386926097</v>
      </c>
      <c r="K101" s="7">
        <v>2061.2283400943002</v>
      </c>
      <c r="L101" s="7">
        <v>72349793.874809399</v>
      </c>
      <c r="M101" s="7">
        <v>1273.2395447351601</v>
      </c>
      <c r="N101" s="7">
        <f t="shared" si="110"/>
        <v>9815.2581188812092</v>
      </c>
      <c r="P101" s="28">
        <v>55.000000000000007</v>
      </c>
      <c r="Q101" s="26">
        <v>3.0000000000000001E-5</v>
      </c>
      <c r="R101" s="28">
        <v>0.2</v>
      </c>
      <c r="S101" s="28">
        <v>30</v>
      </c>
      <c r="T101" s="26">
        <v>4.9999999999999998E-8</v>
      </c>
      <c r="U101" s="26">
        <f t="shared" si="111"/>
        <v>1E-8</v>
      </c>
      <c r="V101" s="26">
        <f t="shared" si="112"/>
        <v>6.6666666666666664E-4</v>
      </c>
      <c r="W101" s="7">
        <v>15.1338160617612</v>
      </c>
      <c r="X101" s="7">
        <v>687.07611335802699</v>
      </c>
      <c r="Y101" s="7">
        <v>1897.6004795642</v>
      </c>
      <c r="Z101" s="7">
        <v>687.07611335802699</v>
      </c>
      <c r="AA101" s="7">
        <v>24116597.9983452</v>
      </c>
      <c r="AB101" s="7">
        <v>141.47106052612901</v>
      </c>
      <c r="AC101" s="7">
        <f t="shared" si="113"/>
        <v>3271.7527062802537</v>
      </c>
      <c r="AE101" s="28">
        <v>55.000000000000007</v>
      </c>
      <c r="AF101" s="26">
        <v>5.0000000000000002E-5</v>
      </c>
      <c r="AG101" s="28">
        <v>0.2</v>
      </c>
      <c r="AH101" s="28">
        <v>30</v>
      </c>
      <c r="AI101" s="26">
        <v>4.9999999999999998E-8</v>
      </c>
      <c r="AJ101" s="26">
        <f t="shared" si="114"/>
        <v>1E-8</v>
      </c>
      <c r="AK101" s="26">
        <f t="shared" si="115"/>
        <v>3.9999999999999996E-4</v>
      </c>
      <c r="AL101" s="7">
        <v>15.6314293815492</v>
      </c>
      <c r="AM101" s="7">
        <v>412.24566795777702</v>
      </c>
      <c r="AN101" s="7">
        <v>1138.5602877385199</v>
      </c>
      <c r="AO101" s="7">
        <v>412.24566795777702</v>
      </c>
      <c r="AP101" s="7">
        <v>14469959.1382923</v>
      </c>
      <c r="AQ101" s="7">
        <v>50.929581789406498</v>
      </c>
      <c r="AR101" s="7">
        <f t="shared" si="116"/>
        <v>1963.0516236540739</v>
      </c>
      <c r="AT101" s="28">
        <v>55.000000000000007</v>
      </c>
      <c r="AU101" s="26">
        <v>1.0000000000000001E-5</v>
      </c>
      <c r="AV101" s="28">
        <v>0.2</v>
      </c>
      <c r="AW101" s="28">
        <v>200</v>
      </c>
      <c r="AX101" s="26">
        <v>4.9999999999999998E-8</v>
      </c>
      <c r="AY101" s="26">
        <f t="shared" si="117"/>
        <v>1E-8</v>
      </c>
      <c r="AZ101" s="26">
        <f t="shared" si="118"/>
        <v>2E-3</v>
      </c>
      <c r="BA101" s="7">
        <v>40.091068185462198</v>
      </c>
      <c r="BB101" s="7">
        <v>310.62949089263498</v>
      </c>
      <c r="BC101" s="7">
        <v>857.43494866405695</v>
      </c>
      <c r="BD101" s="7">
        <v>310.62949089263498</v>
      </c>
      <c r="BE101" s="7">
        <v>72349793.874809399</v>
      </c>
      <c r="BF101" s="7">
        <v>1273.2395447351601</v>
      </c>
      <c r="BG101" s="7">
        <f t="shared" si="119"/>
        <v>1478.6939304493269</v>
      </c>
      <c r="BI101" s="28">
        <v>55.000000000000007</v>
      </c>
      <c r="BJ101" s="26">
        <v>1.0000000000000001E-5</v>
      </c>
      <c r="BK101" s="28">
        <v>0.5</v>
      </c>
      <c r="BL101" s="28">
        <v>200</v>
      </c>
      <c r="BM101" s="26">
        <v>4.9999999999999998E-8</v>
      </c>
      <c r="BN101" s="26">
        <f t="shared" si="120"/>
        <v>2.4999999999999999E-8</v>
      </c>
      <c r="BO101" s="26">
        <f t="shared" si="121"/>
        <v>4.9999999999999992E-3</v>
      </c>
      <c r="BP101" s="7">
        <v>40.1113631260449</v>
      </c>
      <c r="BQ101" s="7">
        <v>310.245574031601</v>
      </c>
      <c r="BR101" s="7">
        <v>856.50167124423206</v>
      </c>
      <c r="BS101" s="7">
        <v>310.245574031601</v>
      </c>
      <c r="BT101" s="7">
        <v>28939917.5499238</v>
      </c>
      <c r="BU101" s="7">
        <v>1273.2395447351601</v>
      </c>
      <c r="BV101" s="7">
        <f t="shared" si="122"/>
        <v>1476.9928193074338</v>
      </c>
      <c r="BX101" s="28">
        <v>55.000000000000007</v>
      </c>
      <c r="BY101" s="26">
        <v>5.0000000000000002E-5</v>
      </c>
      <c r="BZ101" s="28">
        <v>0.5</v>
      </c>
      <c r="CA101" s="28">
        <v>200</v>
      </c>
      <c r="CB101" s="26">
        <v>4.9999999999999998E-8</v>
      </c>
      <c r="CC101" s="26">
        <f t="shared" si="123"/>
        <v>2.4999999999999999E-8</v>
      </c>
      <c r="CD101" s="26">
        <f t="shared" si="124"/>
        <v>9.999999999999998E-4</v>
      </c>
      <c r="CE101" s="7">
        <v>81.244780200314906</v>
      </c>
      <c r="CF101" s="7">
        <v>62.049114802860501</v>
      </c>
      <c r="CG101" s="7">
        <v>171.30033424884601</v>
      </c>
      <c r="CH101" s="7">
        <v>62.049114802860501</v>
      </c>
      <c r="CI101" s="7">
        <v>5787983.6553169098</v>
      </c>
      <c r="CJ101" s="7">
        <v>50.929581789406498</v>
      </c>
      <c r="CK101" s="7">
        <f t="shared" si="125"/>
        <v>295.39856385456704</v>
      </c>
      <c r="CM101" s="28">
        <v>55.000000000000007</v>
      </c>
      <c r="CN101" s="26">
        <v>5.0000000000000002E-5</v>
      </c>
      <c r="CO101" s="28">
        <v>1</v>
      </c>
      <c r="CP101" s="28">
        <v>200</v>
      </c>
      <c r="CQ101" s="26">
        <v>4.9999999999999998E-8</v>
      </c>
      <c r="CR101" s="26">
        <f t="shared" si="126"/>
        <v>4.9999999999999998E-8</v>
      </c>
      <c r="CS101" s="26">
        <f t="shared" si="127"/>
        <v>1.9999999999999996E-3</v>
      </c>
      <c r="CT101" s="7">
        <v>81.366111963800705</v>
      </c>
      <c r="CU101" s="7">
        <v>61.921576216120698</v>
      </c>
      <c r="CV101" s="7">
        <v>170.99017320176</v>
      </c>
      <c r="CW101" s="7">
        <v>61.921576216120698</v>
      </c>
      <c r="CX101" s="7">
        <v>2893991.8276584502</v>
      </c>
      <c r="CY101" s="7">
        <v>50.929581789406498</v>
      </c>
      <c r="CZ101" s="7">
        <f t="shared" si="128"/>
        <v>294.83332563400137</v>
      </c>
      <c r="DB101" s="28">
        <v>55.000000000000007</v>
      </c>
      <c r="DC101" s="26">
        <v>5.0000000000000002E-5</v>
      </c>
      <c r="DD101" s="28">
        <v>2</v>
      </c>
      <c r="DE101" s="28">
        <v>200</v>
      </c>
      <c r="DF101" s="26">
        <v>4.9999999999999998E-8</v>
      </c>
      <c r="DG101" s="26">
        <f t="shared" si="129"/>
        <v>9.9999999999999995E-8</v>
      </c>
      <c r="DH101" s="26">
        <f t="shared" si="130"/>
        <v>3.9999999999999992E-3</v>
      </c>
      <c r="DI101" s="7">
        <v>81.608386860650896</v>
      </c>
      <c r="DJ101" s="7">
        <v>61.6681127663864</v>
      </c>
      <c r="DK101" s="7">
        <v>170.373319720317</v>
      </c>
      <c r="DL101" s="7">
        <v>61.6681127663864</v>
      </c>
      <c r="DM101" s="7">
        <v>1446995.91382923</v>
      </c>
      <c r="DN101" s="7">
        <v>50.929581789406498</v>
      </c>
      <c r="DO101" s="7">
        <f t="shared" si="131"/>
        <v>293.7095452530898</v>
      </c>
      <c r="DQ101" s="28">
        <v>55.000000000000007</v>
      </c>
      <c r="DR101" s="26">
        <v>5.0000000000000002E-5</v>
      </c>
      <c r="DS101" s="28">
        <v>15</v>
      </c>
      <c r="DT101" s="28">
        <v>300</v>
      </c>
      <c r="DU101" s="26">
        <v>2.4999999999999999E-8</v>
      </c>
      <c r="DV101" s="26">
        <f t="shared" si="132"/>
        <v>3.7500000000000001E-7</v>
      </c>
      <c r="DW101" s="26">
        <f t="shared" si="133"/>
        <v>1.4999999999999999E-2</v>
      </c>
      <c r="DX101" s="7">
        <v>128.67565841535799</v>
      </c>
      <c r="DY101" s="7">
        <v>39.809859656104699</v>
      </c>
      <c r="DZ101" s="7">
        <v>110.399385072318</v>
      </c>
      <c r="EA101" s="7">
        <v>39.809859656104699</v>
      </c>
      <c r="EB101" s="7">
        <v>192932.78851056399</v>
      </c>
      <c r="EC101" s="7">
        <v>30.557749073643901</v>
      </c>
      <c r="ED101" s="7">
        <f t="shared" si="134"/>
        <v>190.0191043845274</v>
      </c>
    </row>
    <row r="102" spans="1:134" x14ac:dyDescent="0.4">
      <c r="A102" s="28">
        <v>60</v>
      </c>
      <c r="B102" s="26">
        <v>1.0000000000000001E-5</v>
      </c>
      <c r="C102" s="28">
        <v>0.2</v>
      </c>
      <c r="D102" s="28">
        <v>30</v>
      </c>
      <c r="E102" s="26">
        <v>4.9999999999999998E-8</v>
      </c>
      <c r="F102" s="26">
        <f t="shared" si="108"/>
        <v>1E-8</v>
      </c>
      <c r="G102" s="26">
        <f t="shared" si="109"/>
        <v>2E-3</v>
      </c>
      <c r="H102" s="7">
        <v>14.0358504199816</v>
      </c>
      <c r="I102" s="7">
        <v>1747.4582681561301</v>
      </c>
      <c r="J102" s="7">
        <v>5794.3371345962596</v>
      </c>
      <c r="K102" s="7">
        <v>1747.4582681561301</v>
      </c>
      <c r="L102" s="7">
        <v>173207643.02618799</v>
      </c>
      <c r="M102" s="7">
        <v>1273.2395447351601</v>
      </c>
      <c r="N102" s="7">
        <f t="shared" si="110"/>
        <v>9289.2536709085198</v>
      </c>
      <c r="P102" s="28">
        <v>60</v>
      </c>
      <c r="Q102" s="26">
        <v>3.0000000000000001E-5</v>
      </c>
      <c r="R102" s="28">
        <v>0.2</v>
      </c>
      <c r="S102" s="28">
        <v>30</v>
      </c>
      <c r="T102" s="26">
        <v>4.9999999999999998E-8</v>
      </c>
      <c r="U102" s="26">
        <f t="shared" si="111"/>
        <v>1E-8</v>
      </c>
      <c r="V102" s="26">
        <f t="shared" si="112"/>
        <v>6.6666666666666664E-4</v>
      </c>
      <c r="W102" s="7">
        <v>16.386036207981299</v>
      </c>
      <c r="X102" s="7">
        <v>582.48608937969198</v>
      </c>
      <c r="Y102" s="7">
        <v>1931.4457115320899</v>
      </c>
      <c r="Z102" s="7">
        <v>582.48608937969198</v>
      </c>
      <c r="AA102" s="7">
        <v>57735881.0752545</v>
      </c>
      <c r="AB102" s="7">
        <v>141.47106052612901</v>
      </c>
      <c r="AC102" s="7">
        <f t="shared" si="113"/>
        <v>3096.4178902914737</v>
      </c>
      <c r="AE102" s="28">
        <v>60</v>
      </c>
      <c r="AF102" s="26">
        <v>5.0000000000000002E-5</v>
      </c>
      <c r="AG102" s="28">
        <v>0.2</v>
      </c>
      <c r="AH102" s="28">
        <v>30</v>
      </c>
      <c r="AI102" s="26">
        <v>4.9999999999999998E-8</v>
      </c>
      <c r="AJ102" s="26">
        <f t="shared" si="114"/>
        <v>1E-8</v>
      </c>
      <c r="AK102" s="26">
        <f t="shared" si="115"/>
        <v>3.9999999999999996E-4</v>
      </c>
      <c r="AL102" s="7">
        <v>16.953797201490701</v>
      </c>
      <c r="AM102" s="7">
        <v>349.491653579706</v>
      </c>
      <c r="AN102" s="7">
        <v>1158.86742691925</v>
      </c>
      <c r="AO102" s="7">
        <v>349.491653579706</v>
      </c>
      <c r="AP102" s="7">
        <v>34641529.208382502</v>
      </c>
      <c r="AQ102" s="7">
        <v>50.929581789406498</v>
      </c>
      <c r="AR102" s="7">
        <f t="shared" si="116"/>
        <v>1857.8507340786621</v>
      </c>
      <c r="AT102" s="28">
        <v>60</v>
      </c>
      <c r="AU102" s="26">
        <v>1.0000000000000001E-5</v>
      </c>
      <c r="AV102" s="28">
        <v>0.2</v>
      </c>
      <c r="AW102" s="28">
        <v>200</v>
      </c>
      <c r="AX102" s="26">
        <v>4.9999999999999998E-8</v>
      </c>
      <c r="AY102" s="26">
        <f t="shared" si="117"/>
        <v>1E-8</v>
      </c>
      <c r="AZ102" s="26">
        <f t="shared" si="118"/>
        <v>2E-3</v>
      </c>
      <c r="BA102" s="7">
        <v>42.108120581330397</v>
      </c>
      <c r="BB102" s="7">
        <v>263.235986756096</v>
      </c>
      <c r="BC102" s="7">
        <v>872.060132412553</v>
      </c>
      <c r="BD102" s="7">
        <v>263.235986756096</v>
      </c>
      <c r="BE102" s="7">
        <v>173207643.02618799</v>
      </c>
      <c r="BF102" s="7">
        <v>1273.2395447351601</v>
      </c>
      <c r="BG102" s="7">
        <f t="shared" si="119"/>
        <v>1398.5321059247451</v>
      </c>
      <c r="BI102" s="28">
        <v>60</v>
      </c>
      <c r="BJ102" s="26">
        <v>1.0000000000000001E-5</v>
      </c>
      <c r="BK102" s="28">
        <v>0.5</v>
      </c>
      <c r="BL102" s="28">
        <v>200</v>
      </c>
      <c r="BM102" s="26">
        <v>4.9999999999999998E-8</v>
      </c>
      <c r="BN102" s="26">
        <f t="shared" si="120"/>
        <v>2.4999999999999999E-8</v>
      </c>
      <c r="BO102" s="26">
        <f t="shared" si="121"/>
        <v>4.9999999999999992E-3</v>
      </c>
      <c r="BP102" s="7">
        <v>42.124139272697697</v>
      </c>
      <c r="BQ102" s="7">
        <v>262.93930247937197</v>
      </c>
      <c r="BR102" s="7">
        <v>871.287964463192</v>
      </c>
      <c r="BS102" s="7">
        <v>262.93930247937197</v>
      </c>
      <c r="BT102" s="7">
        <v>69283057.210475206</v>
      </c>
      <c r="BU102" s="7">
        <v>1273.2395447351601</v>
      </c>
      <c r="BV102" s="7">
        <f t="shared" si="122"/>
        <v>1397.1665694219359</v>
      </c>
      <c r="BX102" s="28">
        <v>60</v>
      </c>
      <c r="BY102" s="26">
        <v>5.0000000000000002E-5</v>
      </c>
      <c r="BZ102" s="28">
        <v>0.5</v>
      </c>
      <c r="CA102" s="28">
        <v>200</v>
      </c>
      <c r="CB102" s="26">
        <v>4.9999999999999998E-8</v>
      </c>
      <c r="CC102" s="26">
        <f t="shared" si="123"/>
        <v>2.4999999999999999E-8</v>
      </c>
      <c r="CD102" s="26">
        <f t="shared" si="124"/>
        <v>9.999999999999998E-4</v>
      </c>
      <c r="CE102" s="7">
        <v>87.134052960883196</v>
      </c>
      <c r="CF102" s="7">
        <v>52.5878604929581</v>
      </c>
      <c r="CG102" s="7">
        <v>174.257592892638</v>
      </c>
      <c r="CH102" s="7">
        <v>52.5878604929581</v>
      </c>
      <c r="CI102" s="7">
        <v>13856611.683352999</v>
      </c>
      <c r="CJ102" s="7">
        <v>50.929581789406498</v>
      </c>
      <c r="CK102" s="7">
        <f t="shared" si="125"/>
        <v>279.4333138785542</v>
      </c>
      <c r="CM102" s="28">
        <v>60</v>
      </c>
      <c r="CN102" s="26">
        <v>5.0000000000000002E-5</v>
      </c>
      <c r="CO102" s="28">
        <v>1</v>
      </c>
      <c r="CP102" s="28">
        <v>200</v>
      </c>
      <c r="CQ102" s="26">
        <v>4.9999999999999998E-8</v>
      </c>
      <c r="CR102" s="26">
        <f t="shared" si="126"/>
        <v>4.9999999999999998E-8</v>
      </c>
      <c r="CS102" s="26">
        <f t="shared" si="127"/>
        <v>1.9999999999999996E-3</v>
      </c>
      <c r="CT102" s="7">
        <v>87.240306438303904</v>
      </c>
      <c r="CU102" s="7">
        <v>52.489267736237203</v>
      </c>
      <c r="CV102" s="7">
        <v>174.00084097458901</v>
      </c>
      <c r="CW102" s="7">
        <v>52.489267736237203</v>
      </c>
      <c r="CX102" s="7">
        <v>6928305.8416764997</v>
      </c>
      <c r="CY102" s="7">
        <v>50.929581789406498</v>
      </c>
      <c r="CZ102" s="7">
        <f t="shared" si="128"/>
        <v>278.97937644706343</v>
      </c>
      <c r="DB102" s="28">
        <v>60</v>
      </c>
      <c r="DC102" s="26">
        <v>5.0000000000000002E-5</v>
      </c>
      <c r="DD102" s="28">
        <v>2</v>
      </c>
      <c r="DE102" s="28">
        <v>200</v>
      </c>
      <c r="DF102" s="26">
        <v>4.9999999999999998E-8</v>
      </c>
      <c r="DG102" s="26">
        <f t="shared" si="129"/>
        <v>9.9999999999999995E-8</v>
      </c>
      <c r="DH102" s="26">
        <f t="shared" si="130"/>
        <v>3.9999999999999992E-3</v>
      </c>
      <c r="DI102" s="7">
        <v>87.452493306235198</v>
      </c>
      <c r="DJ102" s="7">
        <v>52.293206867341603</v>
      </c>
      <c r="DK102" s="7">
        <v>173.489713442035</v>
      </c>
      <c r="DL102" s="7">
        <v>52.293206867341603</v>
      </c>
      <c r="DM102" s="7">
        <v>3464152.9208382498</v>
      </c>
      <c r="DN102" s="7">
        <v>50.929581789406498</v>
      </c>
      <c r="DO102" s="7">
        <f t="shared" si="131"/>
        <v>278.07612717671822</v>
      </c>
      <c r="DQ102" s="28">
        <v>60</v>
      </c>
      <c r="DR102" s="26">
        <v>5.0000000000000002E-5</v>
      </c>
      <c r="DS102" s="28">
        <v>15</v>
      </c>
      <c r="DT102" s="28">
        <v>300</v>
      </c>
      <c r="DU102" s="26">
        <v>2.4999999999999999E-8</v>
      </c>
      <c r="DV102" s="26">
        <f t="shared" si="132"/>
        <v>3.7500000000000001E-7</v>
      </c>
      <c r="DW102" s="26">
        <f t="shared" si="133"/>
        <v>1.4999999999999999E-2</v>
      </c>
      <c r="DX102" s="7">
        <v>137.45468508143099</v>
      </c>
      <c r="DY102" s="7">
        <v>33.851188115179603</v>
      </c>
      <c r="DZ102" s="7">
        <v>113.007558882322</v>
      </c>
      <c r="EA102" s="7">
        <v>33.851188115179603</v>
      </c>
      <c r="EB102" s="7">
        <v>461887.05611176701</v>
      </c>
      <c r="EC102" s="7">
        <v>30.557749073643901</v>
      </c>
      <c r="ED102" s="7">
        <f t="shared" si="134"/>
        <v>180.70993511268122</v>
      </c>
    </row>
    <row r="103" spans="1:134" x14ac:dyDescent="0.4">
      <c r="A103" s="28">
        <v>65</v>
      </c>
      <c r="B103" s="26">
        <v>1.0000000000000001E-5</v>
      </c>
      <c r="C103" s="28">
        <v>0.2</v>
      </c>
      <c r="D103" s="28">
        <v>30</v>
      </c>
      <c r="E103" s="26">
        <v>4.9999999999999998E-8</v>
      </c>
      <c r="F103" s="26">
        <f t="shared" si="108"/>
        <v>1E-8</v>
      </c>
      <c r="G103" s="26">
        <f t="shared" si="109"/>
        <v>2E-3</v>
      </c>
      <c r="H103" s="7">
        <v>14.997600127278099</v>
      </c>
      <c r="I103" s="7">
        <v>1470.52695643265</v>
      </c>
      <c r="J103" s="7">
        <v>5888.0994972997396</v>
      </c>
      <c r="K103" s="7">
        <v>1470.52695643265</v>
      </c>
      <c r="L103" s="7">
        <v>859463306.304919</v>
      </c>
      <c r="M103" s="7">
        <v>1273.2395447351601</v>
      </c>
      <c r="N103" s="7">
        <f t="shared" si="110"/>
        <v>8829.1534101650395</v>
      </c>
      <c r="P103" s="28">
        <v>65</v>
      </c>
      <c r="Q103" s="26">
        <v>3.0000000000000001E-5</v>
      </c>
      <c r="R103" s="28">
        <v>0.2</v>
      </c>
      <c r="S103" s="28">
        <v>30</v>
      </c>
      <c r="T103" s="26">
        <v>4.9999999999999998E-8</v>
      </c>
      <c r="U103" s="26">
        <f t="shared" si="111"/>
        <v>1E-8</v>
      </c>
      <c r="V103" s="26">
        <f t="shared" si="112"/>
        <v>6.6666666666666664E-4</v>
      </c>
      <c r="W103" s="7">
        <v>17.628353688880502</v>
      </c>
      <c r="X103" s="7">
        <v>490.175652139448</v>
      </c>
      <c r="Y103" s="7">
        <v>1962.6998324332501</v>
      </c>
      <c r="Z103" s="7">
        <v>490.175652139448</v>
      </c>
      <c r="AA103" s="7">
        <v>286487768.88169003</v>
      </c>
      <c r="AB103" s="7">
        <v>141.47106052612901</v>
      </c>
      <c r="AC103" s="7">
        <f t="shared" si="113"/>
        <v>2943.0511367121462</v>
      </c>
      <c r="AE103" s="28">
        <v>65</v>
      </c>
      <c r="AF103" s="26">
        <v>5.0000000000000002E-5</v>
      </c>
      <c r="AG103" s="28">
        <v>0.2</v>
      </c>
      <c r="AH103" s="28">
        <v>30</v>
      </c>
      <c r="AI103" s="26">
        <v>4.9999999999999998E-8</v>
      </c>
      <c r="AJ103" s="26">
        <f t="shared" si="114"/>
        <v>1E-8</v>
      </c>
      <c r="AK103" s="26">
        <f t="shared" si="115"/>
        <v>3.9999999999999996E-4</v>
      </c>
      <c r="AL103" s="7">
        <v>18.269284212127399</v>
      </c>
      <c r="AM103" s="7">
        <v>294.10539124333502</v>
      </c>
      <c r="AN103" s="7">
        <v>1177.6198994599499</v>
      </c>
      <c r="AO103" s="7">
        <v>294.10539124333502</v>
      </c>
      <c r="AP103" s="7">
        <v>171892662.28655201</v>
      </c>
      <c r="AQ103" s="7">
        <v>50.929581789406498</v>
      </c>
      <c r="AR103" s="7">
        <f t="shared" si="116"/>
        <v>1765.8306819466197</v>
      </c>
      <c r="AT103" s="28">
        <v>65</v>
      </c>
      <c r="AU103" s="26">
        <v>1.0000000000000001E-5</v>
      </c>
      <c r="AV103" s="28">
        <v>0.2</v>
      </c>
      <c r="AW103" s="28">
        <v>200</v>
      </c>
      <c r="AX103" s="26">
        <v>4.9999999999999998E-8</v>
      </c>
      <c r="AY103" s="26">
        <f t="shared" si="117"/>
        <v>1E-8</v>
      </c>
      <c r="AZ103" s="26">
        <f t="shared" si="118"/>
        <v>2E-3</v>
      </c>
      <c r="BA103" s="7">
        <v>44.027742084422698</v>
      </c>
      <c r="BB103" s="7">
        <v>221.436390808456</v>
      </c>
      <c r="BC103" s="7">
        <v>885.60719905590599</v>
      </c>
      <c r="BD103" s="7">
        <v>221.436390808456</v>
      </c>
      <c r="BE103" s="7">
        <v>859463306.304919</v>
      </c>
      <c r="BF103" s="7">
        <v>1273.2395447351601</v>
      </c>
      <c r="BG103" s="7">
        <f t="shared" si="119"/>
        <v>1328.4799806728181</v>
      </c>
      <c r="BI103" s="28">
        <v>65</v>
      </c>
      <c r="BJ103" s="26">
        <v>1.0000000000000001E-5</v>
      </c>
      <c r="BK103" s="28">
        <v>0.5</v>
      </c>
      <c r="BL103" s="28">
        <v>200</v>
      </c>
      <c r="BM103" s="26">
        <v>4.9999999999999998E-8</v>
      </c>
      <c r="BN103" s="26">
        <f t="shared" si="120"/>
        <v>2.4999999999999999E-8</v>
      </c>
      <c r="BO103" s="26">
        <f t="shared" si="121"/>
        <v>4.9999999999999992E-3</v>
      </c>
      <c r="BP103" s="7">
        <v>44.0404257476388</v>
      </c>
      <c r="BQ103" s="7">
        <v>221.20879187134</v>
      </c>
      <c r="BR103" s="7">
        <v>884.97259280428204</v>
      </c>
      <c r="BS103" s="7">
        <v>221.20879187134</v>
      </c>
      <c r="BT103" s="7">
        <v>343785322.52196801</v>
      </c>
      <c r="BU103" s="7">
        <v>1273.2395447351601</v>
      </c>
      <c r="BV103" s="7">
        <f t="shared" si="122"/>
        <v>1327.390176546962</v>
      </c>
      <c r="BX103" s="28">
        <v>65</v>
      </c>
      <c r="BY103" s="26">
        <v>5.0000000000000002E-5</v>
      </c>
      <c r="BZ103" s="28">
        <v>0.5</v>
      </c>
      <c r="CA103" s="28">
        <v>200</v>
      </c>
      <c r="CB103" s="26">
        <v>4.9999999999999998E-8</v>
      </c>
      <c r="CC103" s="26">
        <f t="shared" si="123"/>
        <v>2.4999999999999999E-8</v>
      </c>
      <c r="CD103" s="26">
        <f t="shared" si="124"/>
        <v>9.999999999999998E-4</v>
      </c>
      <c r="CE103" s="7">
        <v>92.887865059052999</v>
      </c>
      <c r="CF103" s="7">
        <v>44.241758371824098</v>
      </c>
      <c r="CG103" s="7">
        <v>176.99451856085599</v>
      </c>
      <c r="CH103" s="7">
        <v>44.241758371824098</v>
      </c>
      <c r="CI103" s="7">
        <v>68757064.914620593</v>
      </c>
      <c r="CJ103" s="7">
        <v>50.929581789406498</v>
      </c>
      <c r="CK103" s="7">
        <f t="shared" si="125"/>
        <v>265.4780353045042</v>
      </c>
      <c r="CM103" s="28">
        <v>65</v>
      </c>
      <c r="CN103" s="26">
        <v>5.0000000000000002E-5</v>
      </c>
      <c r="CO103" s="28">
        <v>1</v>
      </c>
      <c r="CP103" s="28">
        <v>200</v>
      </c>
      <c r="CQ103" s="26">
        <v>4.9999999999999998E-8</v>
      </c>
      <c r="CR103" s="26">
        <f t="shared" si="126"/>
        <v>4.9999999999999998E-8</v>
      </c>
      <c r="CS103" s="26">
        <f t="shared" si="127"/>
        <v>1.9999999999999996E-3</v>
      </c>
      <c r="CT103" s="7">
        <v>92.980094344955504</v>
      </c>
      <c r="CU103" s="7">
        <v>44.166101596649497</v>
      </c>
      <c r="CV103" s="7">
        <v>176.783417824277</v>
      </c>
      <c r="CW103" s="7">
        <v>44.166101596649497</v>
      </c>
      <c r="CX103" s="7">
        <v>34378532.457310297</v>
      </c>
      <c r="CY103" s="7">
        <v>50.929581789406498</v>
      </c>
      <c r="CZ103" s="7">
        <f t="shared" si="128"/>
        <v>265.11562101757602</v>
      </c>
      <c r="DB103" s="28">
        <v>65</v>
      </c>
      <c r="DC103" s="26">
        <v>5.0000000000000002E-5</v>
      </c>
      <c r="DD103" s="28">
        <v>2</v>
      </c>
      <c r="DE103" s="28">
        <v>200</v>
      </c>
      <c r="DF103" s="26">
        <v>4.9999999999999998E-8</v>
      </c>
      <c r="DG103" s="26">
        <f t="shared" si="129"/>
        <v>9.9999999999999995E-8</v>
      </c>
      <c r="DH103" s="26">
        <f t="shared" si="130"/>
        <v>3.9999999999999992E-3</v>
      </c>
      <c r="DI103" s="7">
        <v>93.164287715127799</v>
      </c>
      <c r="DJ103" s="7">
        <v>44.0155689113517</v>
      </c>
      <c r="DK103" s="7">
        <v>176.36283833637401</v>
      </c>
      <c r="DL103" s="7">
        <v>44.0155689113517</v>
      </c>
      <c r="DM103" s="7">
        <v>17189266.2286552</v>
      </c>
      <c r="DN103" s="7">
        <v>50.929581789406498</v>
      </c>
      <c r="DO103" s="7">
        <f t="shared" si="131"/>
        <v>264.3939761590774</v>
      </c>
      <c r="DQ103" s="28">
        <v>65</v>
      </c>
      <c r="DR103" s="26">
        <v>5.0000000000000002E-5</v>
      </c>
      <c r="DS103" s="28">
        <v>15</v>
      </c>
      <c r="DT103" s="28">
        <v>300</v>
      </c>
      <c r="DU103" s="26">
        <v>2.4999999999999999E-8</v>
      </c>
      <c r="DV103" s="26">
        <f t="shared" si="132"/>
        <v>3.7500000000000001E-7</v>
      </c>
      <c r="DW103" s="26">
        <f t="shared" si="133"/>
        <v>1.4999999999999999E-2</v>
      </c>
      <c r="DX103" s="7">
        <v>146.06304083835099</v>
      </c>
      <c r="DY103" s="7">
        <v>28.565057936355299</v>
      </c>
      <c r="DZ103" s="7">
        <v>115.382714159923</v>
      </c>
      <c r="EA103" s="7">
        <v>28.565057936355299</v>
      </c>
      <c r="EB103" s="7">
        <v>2291902.16382069</v>
      </c>
      <c r="EC103" s="7">
        <v>30.557749073643901</v>
      </c>
      <c r="ED103" s="7">
        <f t="shared" si="134"/>
        <v>172.51283003263359</v>
      </c>
    </row>
    <row r="104" spans="1:134" x14ac:dyDescent="0.4">
      <c r="A104" s="28">
        <v>70</v>
      </c>
      <c r="B104" s="26">
        <v>1.0000000000000001E-5</v>
      </c>
      <c r="C104" s="28">
        <v>0.2</v>
      </c>
      <c r="D104" s="28">
        <v>30</v>
      </c>
      <c r="E104" s="26">
        <v>4.9999999999999998E-8</v>
      </c>
      <c r="F104" s="26">
        <f t="shared" si="108"/>
        <v>1E-8</v>
      </c>
      <c r="G104" s="26">
        <f t="shared" si="109"/>
        <v>2E-3</v>
      </c>
      <c r="H104" s="7">
        <v>15.943808517548501</v>
      </c>
      <c r="I104" s="7">
        <v>1223.14114606982</v>
      </c>
      <c r="J104" s="7">
        <v>5975.2459753258199</v>
      </c>
      <c r="K104" s="7">
        <v>1223.14114606982</v>
      </c>
      <c r="L104" s="7" t="s">
        <v>94</v>
      </c>
      <c r="M104" s="7">
        <v>1273.2395447351601</v>
      </c>
      <c r="N104" s="7">
        <f t="shared" si="110"/>
        <v>8421.5282674654591</v>
      </c>
      <c r="P104" s="28">
        <v>70</v>
      </c>
      <c r="Q104" s="26">
        <v>3.0000000000000001E-5</v>
      </c>
      <c r="R104" s="28">
        <v>0.2</v>
      </c>
      <c r="S104" s="28">
        <v>30</v>
      </c>
      <c r="T104" s="26">
        <v>4.9999999999999998E-8</v>
      </c>
      <c r="U104" s="26">
        <f t="shared" si="111"/>
        <v>1E-8</v>
      </c>
      <c r="V104" s="26">
        <f t="shared" si="112"/>
        <v>6.6666666666666664E-4</v>
      </c>
      <c r="W104" s="7">
        <v>18.863551189384999</v>
      </c>
      <c r="X104" s="7">
        <v>407.71371535265399</v>
      </c>
      <c r="Y104" s="7">
        <v>1991.7486584419401</v>
      </c>
      <c r="Z104" s="7">
        <v>407.71371535265399</v>
      </c>
      <c r="AA104" s="7" t="s">
        <v>94</v>
      </c>
      <c r="AB104" s="7">
        <v>141.47106052612901</v>
      </c>
      <c r="AC104" s="7">
        <f t="shared" si="113"/>
        <v>2807.1760891472481</v>
      </c>
      <c r="AE104" s="28">
        <v>70</v>
      </c>
      <c r="AF104" s="26">
        <v>5.0000000000000002E-5</v>
      </c>
      <c r="AG104" s="28">
        <v>0.2</v>
      </c>
      <c r="AH104" s="28">
        <v>30</v>
      </c>
      <c r="AI104" s="26">
        <v>4.9999999999999998E-8</v>
      </c>
      <c r="AJ104" s="26">
        <f t="shared" si="114"/>
        <v>1E-8</v>
      </c>
      <c r="AK104" s="26">
        <f t="shared" si="115"/>
        <v>3.9999999999999996E-4</v>
      </c>
      <c r="AL104" s="7">
        <v>19.580702458548402</v>
      </c>
      <c r="AM104" s="7">
        <v>244.62822917813699</v>
      </c>
      <c r="AN104" s="7">
        <v>1195.0491950651599</v>
      </c>
      <c r="AO104" s="7">
        <v>244.62822917813699</v>
      </c>
      <c r="AP104" s="7" t="s">
        <v>94</v>
      </c>
      <c r="AQ104" s="7">
        <v>50.929581789406498</v>
      </c>
      <c r="AR104" s="7">
        <f t="shared" si="116"/>
        <v>1684.3056534214338</v>
      </c>
      <c r="AT104" s="28">
        <v>70</v>
      </c>
      <c r="AU104" s="26">
        <v>1.0000000000000001E-5</v>
      </c>
      <c r="AV104" s="28">
        <v>0.2</v>
      </c>
      <c r="AW104" s="28">
        <v>200</v>
      </c>
      <c r="AX104" s="26">
        <v>4.9999999999999998E-8</v>
      </c>
      <c r="AY104" s="26">
        <f t="shared" si="117"/>
        <v>1E-8</v>
      </c>
      <c r="AZ104" s="26">
        <f t="shared" si="118"/>
        <v>2E-3</v>
      </c>
      <c r="BA104" s="7">
        <v>45.862663250081802</v>
      </c>
      <c r="BB104" s="7">
        <v>184.11844341766201</v>
      </c>
      <c r="BC104" s="7">
        <v>898.22894938474894</v>
      </c>
      <c r="BD104" s="7">
        <v>184.11844341766201</v>
      </c>
      <c r="BE104" s="7" t="s">
        <v>94</v>
      </c>
      <c r="BF104" s="7">
        <v>1273.2395447351601</v>
      </c>
      <c r="BG104" s="7">
        <f t="shared" si="119"/>
        <v>1266.465836220073</v>
      </c>
      <c r="BI104" s="28">
        <v>70</v>
      </c>
      <c r="BJ104" s="26">
        <v>1.0000000000000001E-5</v>
      </c>
      <c r="BK104" s="28">
        <v>0.5</v>
      </c>
      <c r="BL104" s="28">
        <v>200</v>
      </c>
      <c r="BM104" s="26">
        <v>4.9999999999999998E-8</v>
      </c>
      <c r="BN104" s="26">
        <f t="shared" si="120"/>
        <v>2.4999999999999999E-8</v>
      </c>
      <c r="BO104" s="26">
        <f t="shared" si="121"/>
        <v>4.9999999999999992E-3</v>
      </c>
      <c r="BP104" s="7">
        <v>45.872992400222998</v>
      </c>
      <c r="BQ104" s="7">
        <v>183.946660682919</v>
      </c>
      <c r="BR104" s="7">
        <v>897.71395999315905</v>
      </c>
      <c r="BS104" s="7">
        <v>183.946660682919</v>
      </c>
      <c r="BT104" s="7" t="s">
        <v>94</v>
      </c>
      <c r="BU104" s="7">
        <v>1273.2395447351601</v>
      </c>
      <c r="BV104" s="7">
        <f t="shared" si="122"/>
        <v>1265.6072813589969</v>
      </c>
      <c r="BX104" s="28">
        <v>70</v>
      </c>
      <c r="BY104" s="26">
        <v>5.0000000000000002E-5</v>
      </c>
      <c r="BZ104" s="28">
        <v>0.5</v>
      </c>
      <c r="CA104" s="28">
        <v>200</v>
      </c>
      <c r="CB104" s="26">
        <v>4.9999999999999998E-8</v>
      </c>
      <c r="CC104" s="26">
        <f t="shared" si="123"/>
        <v>2.4999999999999999E-8</v>
      </c>
      <c r="CD104" s="26">
        <f t="shared" si="124"/>
        <v>9.999999999999998E-4</v>
      </c>
      <c r="CE104" s="7">
        <v>98.524707739613802</v>
      </c>
      <c r="CF104" s="7">
        <v>36.7893321345583</v>
      </c>
      <c r="CG104" s="7">
        <v>179.542791998632</v>
      </c>
      <c r="CH104" s="7">
        <v>36.7893321345583</v>
      </c>
      <c r="CI104" s="7" t="s">
        <v>94</v>
      </c>
      <c r="CJ104" s="7">
        <v>50.929581789406498</v>
      </c>
      <c r="CK104" s="7">
        <f t="shared" si="125"/>
        <v>253.12145626774858</v>
      </c>
      <c r="CM104" s="28">
        <v>70</v>
      </c>
      <c r="CN104" s="26">
        <v>5.0000000000000002E-5</v>
      </c>
      <c r="CO104" s="28">
        <v>1</v>
      </c>
      <c r="CP104" s="28">
        <v>200</v>
      </c>
      <c r="CQ104" s="26">
        <v>4.9999999999999998E-8</v>
      </c>
      <c r="CR104" s="26">
        <f t="shared" si="126"/>
        <v>4.9999999999999998E-8</v>
      </c>
      <c r="CS104" s="26">
        <f t="shared" si="127"/>
        <v>1.9999999999999996E-3</v>
      </c>
      <c r="CT104" s="7">
        <v>98.604041271959503</v>
      </c>
      <c r="CU104" s="7">
        <v>36.732214141098297</v>
      </c>
      <c r="CV104" s="7">
        <v>179.37142238436701</v>
      </c>
      <c r="CW104" s="7">
        <v>36.732214141098297</v>
      </c>
      <c r="CX104" s="7" t="s">
        <v>94</v>
      </c>
      <c r="CY104" s="7">
        <v>50.929581789406498</v>
      </c>
      <c r="CZ104" s="7">
        <f t="shared" si="128"/>
        <v>252.8358506665636</v>
      </c>
      <c r="DB104" s="28">
        <v>70</v>
      </c>
      <c r="DC104" s="26">
        <v>5.0000000000000002E-5</v>
      </c>
      <c r="DD104" s="28">
        <v>2</v>
      </c>
      <c r="DE104" s="28">
        <v>200</v>
      </c>
      <c r="DF104" s="26">
        <v>4.9999999999999998E-8</v>
      </c>
      <c r="DG104" s="26">
        <f t="shared" si="129"/>
        <v>9.9999999999999995E-8</v>
      </c>
      <c r="DH104" s="26">
        <f t="shared" si="130"/>
        <v>3.9999999999999992E-3</v>
      </c>
      <c r="DI104" s="7">
        <v>98.762489304200798</v>
      </c>
      <c r="DJ104" s="7">
        <v>36.618511090650998</v>
      </c>
      <c r="DK104" s="7">
        <v>179.02977916857401</v>
      </c>
      <c r="DL104" s="7">
        <v>36.618511090650998</v>
      </c>
      <c r="DM104" s="7" t="s">
        <v>94</v>
      </c>
      <c r="DN104" s="7">
        <v>50.929581789406498</v>
      </c>
      <c r="DO104" s="7">
        <f t="shared" si="131"/>
        <v>252.266801349876</v>
      </c>
      <c r="DQ104" s="28">
        <v>70</v>
      </c>
      <c r="DR104" s="26">
        <v>5.0000000000000002E-5</v>
      </c>
      <c r="DS104" s="28">
        <v>15</v>
      </c>
      <c r="DT104" s="28">
        <v>300</v>
      </c>
      <c r="DU104" s="26">
        <v>2.4999999999999999E-8</v>
      </c>
      <c r="DV104" s="26">
        <f t="shared" si="132"/>
        <v>3.7500000000000001E-7</v>
      </c>
      <c r="DW104" s="26">
        <f t="shared" si="133"/>
        <v>1.4999999999999999E-2</v>
      </c>
      <c r="DX104" s="7">
        <v>154.53100230374801</v>
      </c>
      <c r="DY104" s="7">
        <v>23.8224846510956</v>
      </c>
      <c r="DZ104" s="7">
        <v>117.565391453988</v>
      </c>
      <c r="EA104" s="7">
        <v>23.8224846510956</v>
      </c>
      <c r="EB104" s="7" t="s">
        <v>94</v>
      </c>
      <c r="EC104" s="7">
        <v>30.557749073643901</v>
      </c>
      <c r="ED104" s="7">
        <f t="shared" si="134"/>
        <v>165.2103607561792</v>
      </c>
    </row>
    <row r="105" spans="1:134" x14ac:dyDescent="0.4">
      <c r="B105" s="26"/>
      <c r="E105" s="26"/>
      <c r="F105" s="26"/>
      <c r="G105" s="26"/>
      <c r="Q105" s="26"/>
      <c r="T105" s="26"/>
      <c r="U105" s="26"/>
      <c r="V105" s="26"/>
      <c r="AF105" s="26"/>
      <c r="AI105" s="26"/>
      <c r="AJ105" s="26"/>
      <c r="AK105" s="26"/>
      <c r="AU105" s="26"/>
      <c r="AX105" s="26"/>
      <c r="AY105" s="26"/>
      <c r="AZ105" s="26"/>
      <c r="BJ105" s="26"/>
      <c r="BM105" s="26"/>
      <c r="BN105" s="26"/>
      <c r="BO105" s="26"/>
      <c r="BY105" s="26"/>
      <c r="CB105" s="26"/>
      <c r="CC105" s="26"/>
      <c r="CD105" s="26"/>
      <c r="CN105" s="26"/>
      <c r="CQ105" s="26"/>
      <c r="CR105" s="26"/>
      <c r="CS105" s="26"/>
      <c r="DC105" s="26"/>
      <c r="DF105" s="26"/>
      <c r="DG105" s="26"/>
      <c r="DH105" s="26"/>
      <c r="DR105" s="26"/>
      <c r="DU105" s="26"/>
      <c r="DV105" s="26"/>
      <c r="DW105" s="26"/>
    </row>
    <row r="106" spans="1:134" s="36" customFormat="1" ht="47.25" x14ac:dyDescent="0.4">
      <c r="A106" s="53" t="s">
        <v>69</v>
      </c>
      <c r="B106" s="54" t="s">
        <v>93</v>
      </c>
      <c r="C106" s="39" t="s">
        <v>73</v>
      </c>
      <c r="D106" s="39" t="s">
        <v>98</v>
      </c>
      <c r="E106" s="39" t="s">
        <v>97</v>
      </c>
      <c r="F106" s="39" t="s">
        <v>99</v>
      </c>
      <c r="G106" s="39" t="s">
        <v>96</v>
      </c>
      <c r="H106" s="37" t="s">
        <v>60</v>
      </c>
      <c r="I106" s="37" t="s">
        <v>100</v>
      </c>
      <c r="J106" s="37" t="s">
        <v>101</v>
      </c>
      <c r="K106" s="37" t="s">
        <v>102</v>
      </c>
      <c r="L106" s="37" t="s">
        <v>103</v>
      </c>
      <c r="M106" s="37" t="s">
        <v>65</v>
      </c>
      <c r="N106" s="37" t="s">
        <v>68</v>
      </c>
      <c r="O106" s="55"/>
      <c r="P106" s="53" t="s">
        <v>69</v>
      </c>
      <c r="Q106" s="54" t="s">
        <v>93</v>
      </c>
      <c r="R106" s="39" t="s">
        <v>73</v>
      </c>
      <c r="S106" s="39" t="s">
        <v>98</v>
      </c>
      <c r="T106" s="39" t="s">
        <v>97</v>
      </c>
      <c r="U106" s="39" t="s">
        <v>99</v>
      </c>
      <c r="V106" s="39" t="s">
        <v>96</v>
      </c>
      <c r="W106" s="37" t="s">
        <v>60</v>
      </c>
      <c r="X106" s="37" t="s">
        <v>100</v>
      </c>
      <c r="Y106" s="37" t="s">
        <v>101</v>
      </c>
      <c r="Z106" s="37" t="s">
        <v>102</v>
      </c>
      <c r="AA106" s="37" t="s">
        <v>103</v>
      </c>
      <c r="AB106" s="37" t="s">
        <v>65</v>
      </c>
      <c r="AC106" s="37" t="s">
        <v>68</v>
      </c>
      <c r="AD106" s="55"/>
      <c r="AE106" s="53" t="s">
        <v>69</v>
      </c>
      <c r="AF106" s="54" t="s">
        <v>93</v>
      </c>
      <c r="AG106" s="39" t="s">
        <v>73</v>
      </c>
      <c r="AH106" s="39" t="s">
        <v>98</v>
      </c>
      <c r="AI106" s="39" t="s">
        <v>97</v>
      </c>
      <c r="AJ106" s="39" t="s">
        <v>99</v>
      </c>
      <c r="AK106" s="39" t="s">
        <v>96</v>
      </c>
      <c r="AL106" s="37" t="s">
        <v>60</v>
      </c>
      <c r="AM106" s="37" t="s">
        <v>100</v>
      </c>
      <c r="AN106" s="37" t="s">
        <v>101</v>
      </c>
      <c r="AO106" s="37" t="s">
        <v>102</v>
      </c>
      <c r="AP106" s="37" t="s">
        <v>103</v>
      </c>
      <c r="AQ106" s="37" t="s">
        <v>65</v>
      </c>
      <c r="AR106" s="37" t="s">
        <v>68</v>
      </c>
      <c r="AS106" s="55"/>
      <c r="AT106" s="53" t="s">
        <v>69</v>
      </c>
      <c r="AU106" s="54" t="s">
        <v>93</v>
      </c>
      <c r="AV106" s="39" t="s">
        <v>73</v>
      </c>
      <c r="AW106" s="39" t="s">
        <v>98</v>
      </c>
      <c r="AX106" s="39" t="s">
        <v>97</v>
      </c>
      <c r="AY106" s="39" t="s">
        <v>99</v>
      </c>
      <c r="AZ106" s="39" t="s">
        <v>96</v>
      </c>
      <c r="BA106" s="37" t="s">
        <v>60</v>
      </c>
      <c r="BB106" s="37" t="s">
        <v>100</v>
      </c>
      <c r="BC106" s="37" t="s">
        <v>101</v>
      </c>
      <c r="BD106" s="37" t="s">
        <v>102</v>
      </c>
      <c r="BE106" s="37" t="s">
        <v>103</v>
      </c>
      <c r="BF106" s="37" t="s">
        <v>65</v>
      </c>
      <c r="BG106" s="37" t="s">
        <v>68</v>
      </c>
      <c r="BH106" s="55"/>
      <c r="BI106" s="53" t="s">
        <v>69</v>
      </c>
      <c r="BJ106" s="54" t="s">
        <v>93</v>
      </c>
      <c r="BK106" s="39" t="s">
        <v>73</v>
      </c>
      <c r="BL106" s="39" t="s">
        <v>98</v>
      </c>
      <c r="BM106" s="39" t="s">
        <v>97</v>
      </c>
      <c r="BN106" s="39" t="s">
        <v>99</v>
      </c>
      <c r="BO106" s="39" t="s">
        <v>96</v>
      </c>
      <c r="BP106" s="37" t="s">
        <v>60</v>
      </c>
      <c r="BQ106" s="37" t="s">
        <v>100</v>
      </c>
      <c r="BR106" s="37" t="s">
        <v>101</v>
      </c>
      <c r="BS106" s="37" t="s">
        <v>102</v>
      </c>
      <c r="BT106" s="37" t="s">
        <v>103</v>
      </c>
      <c r="BU106" s="37" t="s">
        <v>65</v>
      </c>
      <c r="BV106" s="37" t="s">
        <v>68</v>
      </c>
      <c r="BW106" s="55"/>
      <c r="BX106" s="53" t="s">
        <v>69</v>
      </c>
      <c r="BY106" s="54" t="s">
        <v>93</v>
      </c>
      <c r="BZ106" s="39" t="s">
        <v>73</v>
      </c>
      <c r="CA106" s="39" t="s">
        <v>98</v>
      </c>
      <c r="CB106" s="39" t="s">
        <v>97</v>
      </c>
      <c r="CC106" s="39" t="s">
        <v>99</v>
      </c>
      <c r="CD106" s="39" t="s">
        <v>96</v>
      </c>
      <c r="CE106" s="37" t="s">
        <v>60</v>
      </c>
      <c r="CF106" s="37" t="s">
        <v>100</v>
      </c>
      <c r="CG106" s="37" t="s">
        <v>101</v>
      </c>
      <c r="CH106" s="37" t="s">
        <v>102</v>
      </c>
      <c r="CI106" s="37" t="s">
        <v>103</v>
      </c>
      <c r="CJ106" s="37" t="s">
        <v>65</v>
      </c>
      <c r="CK106" s="37" t="s">
        <v>68</v>
      </c>
      <c r="CL106" s="55"/>
      <c r="CM106" s="53" t="s">
        <v>69</v>
      </c>
      <c r="CN106" s="54" t="s">
        <v>93</v>
      </c>
      <c r="CO106" s="39" t="s">
        <v>73</v>
      </c>
      <c r="CP106" s="39" t="s">
        <v>98</v>
      </c>
      <c r="CQ106" s="39" t="s">
        <v>97</v>
      </c>
      <c r="CR106" s="39" t="s">
        <v>99</v>
      </c>
      <c r="CS106" s="39" t="s">
        <v>96</v>
      </c>
      <c r="CT106" s="37" t="s">
        <v>60</v>
      </c>
      <c r="CU106" s="37" t="s">
        <v>100</v>
      </c>
      <c r="CV106" s="37" t="s">
        <v>101</v>
      </c>
      <c r="CW106" s="37" t="s">
        <v>102</v>
      </c>
      <c r="CX106" s="37" t="s">
        <v>103</v>
      </c>
      <c r="CY106" s="37" t="s">
        <v>65</v>
      </c>
      <c r="CZ106" s="37" t="s">
        <v>68</v>
      </c>
      <c r="DA106" s="55"/>
      <c r="DB106" s="53" t="s">
        <v>69</v>
      </c>
      <c r="DC106" s="54" t="s">
        <v>93</v>
      </c>
      <c r="DD106" s="39" t="s">
        <v>73</v>
      </c>
      <c r="DE106" s="39" t="s">
        <v>98</v>
      </c>
      <c r="DF106" s="39" t="s">
        <v>97</v>
      </c>
      <c r="DG106" s="39" t="s">
        <v>99</v>
      </c>
      <c r="DH106" s="39" t="s">
        <v>96</v>
      </c>
      <c r="DI106" s="37" t="s">
        <v>60</v>
      </c>
      <c r="DJ106" s="37" t="s">
        <v>100</v>
      </c>
      <c r="DK106" s="37" t="s">
        <v>101</v>
      </c>
      <c r="DL106" s="37" t="s">
        <v>102</v>
      </c>
      <c r="DM106" s="37" t="s">
        <v>103</v>
      </c>
      <c r="DN106" s="37" t="s">
        <v>65</v>
      </c>
      <c r="DO106" s="37" t="s">
        <v>68</v>
      </c>
      <c r="DP106" s="55"/>
      <c r="DQ106" s="53" t="s">
        <v>69</v>
      </c>
      <c r="DR106" s="54" t="s">
        <v>93</v>
      </c>
      <c r="DS106" s="39" t="s">
        <v>73</v>
      </c>
      <c r="DT106" s="39" t="s">
        <v>98</v>
      </c>
      <c r="DU106" s="39" t="s">
        <v>97</v>
      </c>
      <c r="DV106" s="39" t="s">
        <v>99</v>
      </c>
      <c r="DW106" s="39" t="s">
        <v>96</v>
      </c>
      <c r="DX106" s="37" t="s">
        <v>60</v>
      </c>
      <c r="DY106" s="37" t="s">
        <v>100</v>
      </c>
      <c r="DZ106" s="37" t="s">
        <v>101</v>
      </c>
      <c r="EA106" s="37" t="s">
        <v>102</v>
      </c>
      <c r="EB106" s="37" t="s">
        <v>103</v>
      </c>
      <c r="EC106" s="37" t="s">
        <v>65</v>
      </c>
      <c r="ED106" s="37" t="s">
        <v>68</v>
      </c>
    </row>
    <row r="107" spans="1:134" x14ac:dyDescent="0.4">
      <c r="A107" s="28">
        <v>1</v>
      </c>
      <c r="B107" s="26">
        <v>1.0000000000000001E-5</v>
      </c>
      <c r="C107" s="28">
        <v>0.2</v>
      </c>
      <c r="D107" s="28">
        <v>30</v>
      </c>
      <c r="E107" s="26">
        <v>7.4999999999999997E-8</v>
      </c>
      <c r="F107" s="26">
        <f t="shared" ref="F107:F125" si="135">C107*E107</f>
        <v>1.4999999999999999E-8</v>
      </c>
      <c r="G107" s="26">
        <f t="shared" ref="G107:G125" si="136">F107/(B107/2)</f>
        <v>2.9999999999999996E-3</v>
      </c>
      <c r="H107" s="7">
        <v>0.22546717334197899</v>
      </c>
      <c r="I107" s="7">
        <v>20967.675665585699</v>
      </c>
      <c r="J107" s="7">
        <v>750067.42850576504</v>
      </c>
      <c r="K107" s="7">
        <v>20967.675665585699</v>
      </c>
      <c r="L107" s="7">
        <v>246455.34799285</v>
      </c>
      <c r="M107" s="7">
        <v>2037.18327157626</v>
      </c>
      <c r="N107" s="7">
        <f t="shared" ref="N107:N125" si="137">I107+J107+K107</f>
        <v>792002.77983693639</v>
      </c>
      <c r="P107" s="28">
        <v>1</v>
      </c>
      <c r="Q107" s="26">
        <v>3.0000000000000001E-5</v>
      </c>
      <c r="R107" s="28">
        <v>0.2</v>
      </c>
      <c r="S107" s="28">
        <v>30</v>
      </c>
      <c r="T107" s="26">
        <v>7.4999999999999997E-8</v>
      </c>
      <c r="U107" s="26">
        <f t="shared" ref="U107:U125" si="138">R107*T107</f>
        <v>1.4999999999999999E-8</v>
      </c>
      <c r="V107" s="26">
        <f t="shared" ref="V107:V125" si="139">U107/(Q107/2)</f>
        <v>9.999999999999998E-4</v>
      </c>
      <c r="W107" s="7">
        <v>0.225649659533257</v>
      </c>
      <c r="X107" s="7">
        <v>6989.2252213633501</v>
      </c>
      <c r="Y107" s="7">
        <v>250022.476149864</v>
      </c>
      <c r="Z107" s="7">
        <v>6989.2252213633501</v>
      </c>
      <c r="AA107" s="7">
        <v>82151.782666878105</v>
      </c>
      <c r="AB107" s="7">
        <v>226.35369684180699</v>
      </c>
      <c r="AC107" s="7">
        <f t="shared" ref="AC107:AC125" si="140">X107+Y107+Z107</f>
        <v>264000.92659259069</v>
      </c>
      <c r="AE107" s="28">
        <v>1</v>
      </c>
      <c r="AF107" s="26">
        <v>5.0000000000000002E-5</v>
      </c>
      <c r="AG107" s="28">
        <v>0.2</v>
      </c>
      <c r="AH107" s="28">
        <v>30</v>
      </c>
      <c r="AI107" s="26">
        <v>7.4999999999999997E-8</v>
      </c>
      <c r="AJ107" s="26">
        <f t="shared" ref="AJ107:AJ125" si="141">AG107*AI107</f>
        <v>1.4999999999999999E-8</v>
      </c>
      <c r="AK107" s="26">
        <f t="shared" ref="AK107:AK125" si="142">AJ107/(AF107/2)</f>
        <v>5.9999999999999995E-4</v>
      </c>
      <c r="AL107" s="7">
        <v>0.22568630680170099</v>
      </c>
      <c r="AM107" s="7">
        <v>4193.5351285970401</v>
      </c>
      <c r="AN107" s="7">
        <v>150013.48553139099</v>
      </c>
      <c r="AO107" s="7">
        <v>4193.5351285970401</v>
      </c>
      <c r="AP107" s="7">
        <v>49291.069622095303</v>
      </c>
      <c r="AQ107" s="7">
        <v>81.487330863050403</v>
      </c>
      <c r="AR107" s="7">
        <f t="shared" ref="AR107:AR125" si="143">AM107+AN107+AO107</f>
        <v>158400.5557885851</v>
      </c>
      <c r="AT107" s="28">
        <v>1</v>
      </c>
      <c r="AU107" s="26">
        <v>1.0000000000000001E-5</v>
      </c>
      <c r="AV107" s="28">
        <v>0.2</v>
      </c>
      <c r="AW107" s="28">
        <v>200</v>
      </c>
      <c r="AX107" s="26">
        <v>7.4999999999999997E-8</v>
      </c>
      <c r="AY107" s="26">
        <f t="shared" ref="AY107:AY125" si="144">AV107*AX107</f>
        <v>1.4999999999999999E-8</v>
      </c>
      <c r="AZ107" s="26">
        <f t="shared" ref="AZ107:AZ125" si="145">AY107/(AU107/2)</f>
        <v>2.9999999999999996E-3</v>
      </c>
      <c r="BA107" s="7">
        <v>0.22779003972126699</v>
      </c>
      <c r="BB107" s="7">
        <v>4345.3623253436699</v>
      </c>
      <c r="BC107" s="7">
        <v>750067.42850576504</v>
      </c>
      <c r="BD107" s="7">
        <v>4345.3623253436699</v>
      </c>
      <c r="BE107" s="7">
        <v>246455.34799285</v>
      </c>
      <c r="BF107" s="7">
        <v>2037.18327157626</v>
      </c>
      <c r="BG107" s="7">
        <f t="shared" ref="BG107:BG125" si="146">BB107+BC107+BD107</f>
        <v>758758.15315645235</v>
      </c>
      <c r="BI107" s="28">
        <v>1</v>
      </c>
      <c r="BJ107" s="26">
        <v>1.0000000000000001E-5</v>
      </c>
      <c r="BK107" s="28">
        <v>0.5</v>
      </c>
      <c r="BL107" s="28">
        <v>200</v>
      </c>
      <c r="BM107" s="26">
        <v>7.4999999999999997E-8</v>
      </c>
      <c r="BN107" s="26">
        <f t="shared" ref="BN107:BN125" si="147">BK107*BM107</f>
        <v>3.7499999999999998E-8</v>
      </c>
      <c r="BO107" s="26">
        <f t="shared" ref="BO107:BO125" si="148">BN107/(BJ107/2)</f>
        <v>7.4999999999999989E-3</v>
      </c>
      <c r="BP107" s="7">
        <v>0.56657612728509399</v>
      </c>
      <c r="BQ107" s="7">
        <v>3764.12485338133</v>
      </c>
      <c r="BR107" s="7">
        <v>300026.97140230599</v>
      </c>
      <c r="BS107" s="7">
        <v>3764.12485338133</v>
      </c>
      <c r="BT107" s="7">
        <v>98582.139197140001</v>
      </c>
      <c r="BU107" s="7">
        <v>2037.18327157626</v>
      </c>
      <c r="BV107" s="7">
        <f t="shared" ref="BV107:BV125" si="149">BQ107+BR107+BS107</f>
        <v>307555.2211090686</v>
      </c>
      <c r="BX107" s="28">
        <v>1</v>
      </c>
      <c r="BY107" s="26">
        <v>5.0000000000000002E-5</v>
      </c>
      <c r="BZ107" s="28">
        <v>0.5</v>
      </c>
      <c r="CA107" s="28">
        <v>200</v>
      </c>
      <c r="CB107" s="26">
        <v>7.4999999999999997E-8</v>
      </c>
      <c r="CC107" s="26">
        <f t="shared" ref="CC107:CC125" si="150">BZ107*CB107</f>
        <v>3.7499999999999998E-8</v>
      </c>
      <c r="CD107" s="26">
        <f t="shared" ref="CD107:CD125" si="151">CC107/(BY107/2)</f>
        <v>1.4999999999999998E-3</v>
      </c>
      <c r="CE107" s="7">
        <v>0.56801534419411404</v>
      </c>
      <c r="CF107" s="7">
        <v>752.82497001808497</v>
      </c>
      <c r="CG107" s="7">
        <v>60005.394212556603</v>
      </c>
      <c r="CH107" s="7">
        <v>752.82497001808497</v>
      </c>
      <c r="CI107" s="7">
        <v>19716.427848838099</v>
      </c>
      <c r="CJ107" s="7">
        <v>81.487330863050403</v>
      </c>
      <c r="CK107" s="7">
        <f t="shared" ref="CK107:CK125" si="152">CF107+CG107+CH107</f>
        <v>61511.044152592767</v>
      </c>
      <c r="CM107" s="28">
        <v>1</v>
      </c>
      <c r="CN107" s="26">
        <v>5.0000000000000002E-5</v>
      </c>
      <c r="CO107" s="28">
        <v>1</v>
      </c>
      <c r="CP107" s="28">
        <v>200</v>
      </c>
      <c r="CQ107" s="26">
        <v>7.4999999999999997E-8</v>
      </c>
      <c r="CR107" s="26">
        <f t="shared" ref="CR107:CR125" si="153">CO107*CQ107</f>
        <v>7.4999999999999997E-8</v>
      </c>
      <c r="CS107" s="26">
        <f t="shared" ref="CS107:CS125" si="154">CR107/(CN107/2)</f>
        <v>2.9999999999999996E-3</v>
      </c>
      <c r="CT107" s="7">
        <v>1.13027154743331</v>
      </c>
      <c r="CU107" s="7">
        <v>665.23311259709499</v>
      </c>
      <c r="CV107" s="7">
        <v>30002.697106278301</v>
      </c>
      <c r="CW107" s="7">
        <v>665.23311259709499</v>
      </c>
      <c r="CX107" s="7">
        <v>9858.2139244190694</v>
      </c>
      <c r="CY107" s="7">
        <v>81.487330863050403</v>
      </c>
      <c r="CZ107" s="7">
        <f t="shared" ref="CZ107:CZ125" si="155">CU107+CV107+CW107</f>
        <v>31333.163331472493</v>
      </c>
      <c r="DB107" s="28">
        <v>1</v>
      </c>
      <c r="DC107" s="26">
        <v>5.0000000000000002E-5</v>
      </c>
      <c r="DD107" s="28">
        <v>2</v>
      </c>
      <c r="DE107" s="28">
        <v>200</v>
      </c>
      <c r="DF107" s="26">
        <v>7.4999999999999997E-8</v>
      </c>
      <c r="DG107" s="26">
        <f t="shared" ref="DG107:DG125" si="156">DD107*DF107</f>
        <v>1.4999999999999999E-7</v>
      </c>
      <c r="DH107" s="26">
        <f t="shared" ref="DH107:DH125" si="157">DG107/(DC107/2)</f>
        <v>5.9999999999999993E-3</v>
      </c>
      <c r="DI107" s="7">
        <v>2.2416333188908402</v>
      </c>
      <c r="DJ107" s="7">
        <v>578.22973015081095</v>
      </c>
      <c r="DK107" s="7">
        <v>15001.3485531391</v>
      </c>
      <c r="DL107" s="7">
        <v>578.22973015081095</v>
      </c>
      <c r="DM107" s="7">
        <v>4929.1069622095301</v>
      </c>
      <c r="DN107" s="7">
        <v>81.487330863050403</v>
      </c>
      <c r="DO107" s="7">
        <f t="shared" ref="DO107:DO125" si="158">DJ107+DK107+DL107</f>
        <v>16157.808013440723</v>
      </c>
      <c r="DQ107" s="28">
        <v>1</v>
      </c>
      <c r="DR107" s="26">
        <v>5.0000000000000002E-5</v>
      </c>
      <c r="DS107" s="28">
        <v>15</v>
      </c>
      <c r="DT107" s="28">
        <v>300</v>
      </c>
      <c r="DU107" s="26">
        <v>4.9999999999999998E-8</v>
      </c>
      <c r="DV107" s="26">
        <f t="shared" ref="DV107:DV125" si="159">DS107*DU107</f>
        <v>7.5000000000000002E-7</v>
      </c>
      <c r="DW107" s="26">
        <f t="shared" ref="DW107:DW125" si="160">DV107/(DR107/2)</f>
        <v>0.03</v>
      </c>
      <c r="DX107" s="7">
        <v>16.162549233578702</v>
      </c>
      <c r="DY107" s="7">
        <v>254.539230510376</v>
      </c>
      <c r="DZ107" s="7">
        <v>2000.1798070852201</v>
      </c>
      <c r="EA107" s="7">
        <v>254.539230510376</v>
      </c>
      <c r="EB107" s="7">
        <v>657.21426162793796</v>
      </c>
      <c r="EC107" s="7">
        <v>50.929581789406498</v>
      </c>
      <c r="ED107" s="7">
        <f t="shared" ref="ED107:ED125" si="161">DY107+DZ107+EA107</f>
        <v>2509.2582681059721</v>
      </c>
    </row>
    <row r="108" spans="1:134" x14ac:dyDescent="0.4">
      <c r="A108" s="28">
        <v>2</v>
      </c>
      <c r="B108" s="26">
        <v>1.0000000000000001E-5</v>
      </c>
      <c r="C108" s="28">
        <v>0.2</v>
      </c>
      <c r="D108" s="28">
        <v>30</v>
      </c>
      <c r="E108" s="26">
        <v>7.4999999999999997E-8</v>
      </c>
      <c r="F108" s="26">
        <f t="shared" si="135"/>
        <v>1.4999999999999999E-8</v>
      </c>
      <c r="G108" s="26">
        <f t="shared" si="136"/>
        <v>2.9999999999999996E-3</v>
      </c>
      <c r="H108" s="7">
        <v>0.25879415170296899</v>
      </c>
      <c r="I108" s="7">
        <v>20967.675665585699</v>
      </c>
      <c r="J108" s="7">
        <v>482013.76177816797</v>
      </c>
      <c r="K108" s="7">
        <v>20967.675665585699</v>
      </c>
      <c r="L108" s="7">
        <v>339325.67523914197</v>
      </c>
      <c r="M108" s="7">
        <v>2037.18327157626</v>
      </c>
      <c r="N108" s="7">
        <f t="shared" si="137"/>
        <v>523949.11310933932</v>
      </c>
      <c r="P108" s="28">
        <v>2</v>
      </c>
      <c r="Q108" s="26">
        <v>3.0000000000000001E-5</v>
      </c>
      <c r="R108" s="28">
        <v>0.2</v>
      </c>
      <c r="S108" s="28">
        <v>30</v>
      </c>
      <c r="T108" s="26">
        <v>7.4999999999999997E-8</v>
      </c>
      <c r="U108" s="26">
        <f t="shared" si="138"/>
        <v>1.4999999999999999E-8</v>
      </c>
      <c r="V108" s="26">
        <f t="shared" si="139"/>
        <v>9.999999999999998E-4</v>
      </c>
      <c r="W108" s="7">
        <v>0.25931767097770198</v>
      </c>
      <c r="X108" s="7">
        <v>6989.2252213633501</v>
      </c>
      <c r="Y108" s="7">
        <v>160671.25390733199</v>
      </c>
      <c r="Z108" s="7">
        <v>6989.2252213633501</v>
      </c>
      <c r="AA108" s="7">
        <v>113108.558420806</v>
      </c>
      <c r="AB108" s="7">
        <v>226.35369684180699</v>
      </c>
      <c r="AC108" s="7">
        <f t="shared" si="140"/>
        <v>174649.70435005872</v>
      </c>
      <c r="AE108" s="28">
        <v>2</v>
      </c>
      <c r="AF108" s="26">
        <v>5.0000000000000002E-5</v>
      </c>
      <c r="AG108" s="28">
        <v>0.2</v>
      </c>
      <c r="AH108" s="28">
        <v>30</v>
      </c>
      <c r="AI108" s="26">
        <v>7.4999999999999997E-8</v>
      </c>
      <c r="AJ108" s="26">
        <f t="shared" si="141"/>
        <v>1.4999999999999999E-8</v>
      </c>
      <c r="AK108" s="26">
        <f t="shared" si="142"/>
        <v>5.9999999999999995E-4</v>
      </c>
      <c r="AL108" s="7">
        <v>0.259423025194503</v>
      </c>
      <c r="AM108" s="7">
        <v>4193.5351285970401</v>
      </c>
      <c r="AN108" s="7">
        <v>96402.752185872101</v>
      </c>
      <c r="AO108" s="7">
        <v>4193.5351285970401</v>
      </c>
      <c r="AP108" s="7">
        <v>67865.135118168895</v>
      </c>
      <c r="AQ108" s="7">
        <v>81.487330863050403</v>
      </c>
      <c r="AR108" s="7">
        <f t="shared" si="143"/>
        <v>104789.82244306618</v>
      </c>
      <c r="AT108" s="28">
        <v>2</v>
      </c>
      <c r="AU108" s="26">
        <v>1.0000000000000001E-5</v>
      </c>
      <c r="AV108" s="28">
        <v>0.2</v>
      </c>
      <c r="AW108" s="28">
        <v>200</v>
      </c>
      <c r="AX108" s="26">
        <v>7.4999999999999997E-8</v>
      </c>
      <c r="AY108" s="26">
        <f t="shared" si="144"/>
        <v>1.4999999999999999E-8</v>
      </c>
      <c r="AZ108" s="26">
        <f t="shared" si="145"/>
        <v>2.9999999999999996E-3</v>
      </c>
      <c r="BA108" s="7">
        <v>0.26559694932299499</v>
      </c>
      <c r="BB108" s="7">
        <v>4345.3623253436699</v>
      </c>
      <c r="BC108" s="7">
        <v>482013.76177816797</v>
      </c>
      <c r="BD108" s="7">
        <v>4345.3623253436699</v>
      </c>
      <c r="BE108" s="7">
        <v>339325.67523914197</v>
      </c>
      <c r="BF108" s="7">
        <v>2037.18327157626</v>
      </c>
      <c r="BG108" s="7">
        <f t="shared" si="146"/>
        <v>490704.48642885528</v>
      </c>
      <c r="BI108" s="28">
        <v>2</v>
      </c>
      <c r="BJ108" s="26">
        <v>1.0000000000000001E-5</v>
      </c>
      <c r="BK108" s="28">
        <v>0.5</v>
      </c>
      <c r="BL108" s="28">
        <v>200</v>
      </c>
      <c r="BM108" s="26">
        <v>7.4999999999999997E-8</v>
      </c>
      <c r="BN108" s="26">
        <f t="shared" si="147"/>
        <v>3.7499999999999998E-8</v>
      </c>
      <c r="BO108" s="26">
        <f t="shared" si="148"/>
        <v>7.4999999999999989E-3</v>
      </c>
      <c r="BP108" s="7">
        <v>0.65540726133777405</v>
      </c>
      <c r="BQ108" s="7">
        <v>3764.12485338133</v>
      </c>
      <c r="BR108" s="7">
        <v>192805.50471126701</v>
      </c>
      <c r="BS108" s="7">
        <v>3764.12485338133</v>
      </c>
      <c r="BT108" s="7">
        <v>135730.270095657</v>
      </c>
      <c r="BU108" s="7">
        <v>2037.18327157626</v>
      </c>
      <c r="BV108" s="7">
        <f t="shared" si="149"/>
        <v>200333.75441802968</v>
      </c>
      <c r="BX108" s="28">
        <v>2</v>
      </c>
      <c r="BY108" s="26">
        <v>5.0000000000000002E-5</v>
      </c>
      <c r="BZ108" s="28">
        <v>0.5</v>
      </c>
      <c r="CA108" s="28">
        <v>200</v>
      </c>
      <c r="CB108" s="26">
        <v>7.4999999999999997E-8</v>
      </c>
      <c r="CC108" s="26">
        <f t="shared" si="150"/>
        <v>3.7499999999999998E-8</v>
      </c>
      <c r="CD108" s="26">
        <f t="shared" si="151"/>
        <v>1.4999999999999998E-3</v>
      </c>
      <c r="CE108" s="7">
        <v>0.65964530399621502</v>
      </c>
      <c r="CF108" s="7">
        <v>752.82497001808497</v>
      </c>
      <c r="CG108" s="7">
        <v>38561.1008743489</v>
      </c>
      <c r="CH108" s="7">
        <v>752.82497001808497</v>
      </c>
      <c r="CI108" s="7">
        <v>27146.0540472676</v>
      </c>
      <c r="CJ108" s="7">
        <v>81.487330863050403</v>
      </c>
      <c r="CK108" s="7">
        <f t="shared" si="152"/>
        <v>40066.750814385065</v>
      </c>
      <c r="CM108" s="28">
        <v>2</v>
      </c>
      <c r="CN108" s="26">
        <v>5.0000000000000002E-5</v>
      </c>
      <c r="CO108" s="28">
        <v>1</v>
      </c>
      <c r="CP108" s="28">
        <v>200</v>
      </c>
      <c r="CQ108" s="26">
        <v>7.4999999999999997E-8</v>
      </c>
      <c r="CR108" s="26">
        <f t="shared" si="153"/>
        <v>7.4999999999999997E-8</v>
      </c>
      <c r="CS108" s="26">
        <f t="shared" si="154"/>
        <v>2.9999999999999996E-3</v>
      </c>
      <c r="CT108" s="7">
        <v>1.3024253271122701</v>
      </c>
      <c r="CU108" s="7">
        <v>665.23311259709499</v>
      </c>
      <c r="CV108" s="7">
        <v>19280.550437174399</v>
      </c>
      <c r="CW108" s="7">
        <v>665.23311259709499</v>
      </c>
      <c r="CX108" s="7">
        <v>13573.0270236338</v>
      </c>
      <c r="CY108" s="7">
        <v>81.487330863050403</v>
      </c>
      <c r="CZ108" s="7">
        <f t="shared" si="155"/>
        <v>20611.016662368591</v>
      </c>
      <c r="DB108" s="28">
        <v>2</v>
      </c>
      <c r="DC108" s="26">
        <v>5.0000000000000002E-5</v>
      </c>
      <c r="DD108" s="28">
        <v>2</v>
      </c>
      <c r="DE108" s="28">
        <v>200</v>
      </c>
      <c r="DF108" s="26">
        <v>7.4999999999999997E-8</v>
      </c>
      <c r="DG108" s="26">
        <f t="shared" si="156"/>
        <v>1.4999999999999999E-7</v>
      </c>
      <c r="DH108" s="26">
        <f t="shared" si="157"/>
        <v>5.9999999999999993E-3</v>
      </c>
      <c r="DI108" s="7">
        <v>2.5510597283475902</v>
      </c>
      <c r="DJ108" s="7">
        <v>578.22973015081095</v>
      </c>
      <c r="DK108" s="7">
        <v>9640.2752185872196</v>
      </c>
      <c r="DL108" s="7">
        <v>578.22973015081095</v>
      </c>
      <c r="DM108" s="7">
        <v>6786.5135118168901</v>
      </c>
      <c r="DN108" s="7">
        <v>81.487330863050403</v>
      </c>
      <c r="DO108" s="7">
        <f t="shared" si="158"/>
        <v>10796.734678888843</v>
      </c>
      <c r="DQ108" s="28">
        <v>2</v>
      </c>
      <c r="DR108" s="26">
        <v>5.0000000000000002E-5</v>
      </c>
      <c r="DS108" s="28">
        <v>15</v>
      </c>
      <c r="DT108" s="28">
        <v>300</v>
      </c>
      <c r="DU108" s="26">
        <v>4.9999999999999998E-8</v>
      </c>
      <c r="DV108" s="26">
        <f t="shared" si="159"/>
        <v>7.5000000000000002E-7</v>
      </c>
      <c r="DW108" s="26">
        <f t="shared" si="160"/>
        <v>0.03</v>
      </c>
      <c r="DX108" s="7">
        <v>17.454467887943402</v>
      </c>
      <c r="DY108" s="7">
        <v>254.539230510376</v>
      </c>
      <c r="DZ108" s="7">
        <v>1285.37002914496</v>
      </c>
      <c r="EA108" s="7">
        <v>254.539230510376</v>
      </c>
      <c r="EB108" s="7">
        <v>904.86846824225199</v>
      </c>
      <c r="EC108" s="7">
        <v>50.929581789406498</v>
      </c>
      <c r="ED108" s="7">
        <f t="shared" si="161"/>
        <v>1794.448490165712</v>
      </c>
    </row>
    <row r="109" spans="1:134" x14ac:dyDescent="0.4">
      <c r="A109" s="28">
        <v>4</v>
      </c>
      <c r="B109" s="26">
        <v>1.0000000000000001E-5</v>
      </c>
      <c r="C109" s="28">
        <v>0.2</v>
      </c>
      <c r="D109" s="28">
        <v>30</v>
      </c>
      <c r="E109" s="26">
        <v>7.4999999999999997E-8</v>
      </c>
      <c r="F109" s="26">
        <f t="shared" si="135"/>
        <v>1.4999999999999999E-8</v>
      </c>
      <c r="G109" s="26">
        <f t="shared" si="136"/>
        <v>2.9999999999999996E-3</v>
      </c>
      <c r="H109" s="7">
        <v>0.34938603433184801</v>
      </c>
      <c r="I109" s="7">
        <v>20967.675665585699</v>
      </c>
      <c r="J109" s="7">
        <v>269259.42550450901</v>
      </c>
      <c r="K109" s="7">
        <v>20967.675665585699</v>
      </c>
      <c r="L109" s="7">
        <v>496205.96663466899</v>
      </c>
      <c r="M109" s="7">
        <v>2037.18327157626</v>
      </c>
      <c r="N109" s="7">
        <f t="shared" si="137"/>
        <v>311194.77683568036</v>
      </c>
      <c r="P109" s="28">
        <v>4</v>
      </c>
      <c r="Q109" s="26">
        <v>3.0000000000000001E-5</v>
      </c>
      <c r="R109" s="28">
        <v>0.2</v>
      </c>
      <c r="S109" s="28">
        <v>30</v>
      </c>
      <c r="T109" s="26">
        <v>7.4999999999999997E-8</v>
      </c>
      <c r="U109" s="26">
        <f t="shared" si="138"/>
        <v>1.4999999999999999E-8</v>
      </c>
      <c r="V109" s="26">
        <f t="shared" si="139"/>
        <v>9.999999999999998E-4</v>
      </c>
      <c r="W109" s="7">
        <v>0.35124271677555902</v>
      </c>
      <c r="X109" s="7">
        <v>6989.2252213633501</v>
      </c>
      <c r="Y109" s="7">
        <v>89753.141816112096</v>
      </c>
      <c r="Z109" s="7">
        <v>6989.2252213633501</v>
      </c>
      <c r="AA109" s="7">
        <v>165401.98890513901</v>
      </c>
      <c r="AB109" s="7">
        <v>226.35369684180699</v>
      </c>
      <c r="AC109" s="7">
        <f t="shared" si="140"/>
        <v>103731.59225883879</v>
      </c>
      <c r="AE109" s="28">
        <v>4</v>
      </c>
      <c r="AF109" s="26">
        <v>5.0000000000000002E-5</v>
      </c>
      <c r="AG109" s="28">
        <v>0.2</v>
      </c>
      <c r="AH109" s="28">
        <v>30</v>
      </c>
      <c r="AI109" s="26">
        <v>7.4999999999999997E-8</v>
      </c>
      <c r="AJ109" s="26">
        <f t="shared" si="141"/>
        <v>1.4999999999999999E-8</v>
      </c>
      <c r="AK109" s="26">
        <f t="shared" si="142"/>
        <v>5.9999999999999995E-4</v>
      </c>
      <c r="AL109" s="7">
        <v>0.35161793279369602</v>
      </c>
      <c r="AM109" s="7">
        <v>4193.5351285970401</v>
      </c>
      <c r="AN109" s="7">
        <v>53851.884931140201</v>
      </c>
      <c r="AO109" s="7">
        <v>4193.5351285970401</v>
      </c>
      <c r="AP109" s="7">
        <v>99241.193570966701</v>
      </c>
      <c r="AQ109" s="7">
        <v>81.487330863050403</v>
      </c>
      <c r="AR109" s="7">
        <f t="shared" si="143"/>
        <v>62238.955188334279</v>
      </c>
      <c r="AT109" s="28">
        <v>4</v>
      </c>
      <c r="AU109" s="26">
        <v>1.0000000000000001E-5</v>
      </c>
      <c r="AV109" s="28">
        <v>0.2</v>
      </c>
      <c r="AW109" s="28">
        <v>200</v>
      </c>
      <c r="AX109" s="26">
        <v>7.4999999999999997E-8</v>
      </c>
      <c r="AY109" s="26">
        <f t="shared" si="144"/>
        <v>1.4999999999999999E-8</v>
      </c>
      <c r="AZ109" s="26">
        <f t="shared" si="145"/>
        <v>2.9999999999999996E-3</v>
      </c>
      <c r="BA109" s="7">
        <v>0.37457016226225298</v>
      </c>
      <c r="BB109" s="7">
        <v>4345.3623253436699</v>
      </c>
      <c r="BC109" s="7">
        <v>269259.42550450901</v>
      </c>
      <c r="BD109" s="7">
        <v>4345.3623253436699</v>
      </c>
      <c r="BE109" s="7">
        <v>496205.96663466899</v>
      </c>
      <c r="BF109" s="7">
        <v>2037.18327157626</v>
      </c>
      <c r="BG109" s="7">
        <f t="shared" si="146"/>
        <v>277950.15015519632</v>
      </c>
      <c r="BI109" s="28">
        <v>4</v>
      </c>
      <c r="BJ109" s="26">
        <v>1.0000000000000001E-5</v>
      </c>
      <c r="BK109" s="28">
        <v>0.5</v>
      </c>
      <c r="BL109" s="28">
        <v>200</v>
      </c>
      <c r="BM109" s="26">
        <v>7.4999999999999997E-8</v>
      </c>
      <c r="BN109" s="26">
        <f t="shared" si="147"/>
        <v>3.7499999999999998E-8</v>
      </c>
      <c r="BO109" s="26">
        <f t="shared" si="148"/>
        <v>7.4999999999999989E-3</v>
      </c>
      <c r="BP109" s="7">
        <v>0.90391308157004102</v>
      </c>
      <c r="BQ109" s="7">
        <v>3764.12485338133</v>
      </c>
      <c r="BR109" s="7">
        <v>107703.770201803</v>
      </c>
      <c r="BS109" s="7">
        <v>3764.12485338133</v>
      </c>
      <c r="BT109" s="7">
        <v>198482.38665386799</v>
      </c>
      <c r="BU109" s="7">
        <v>2037.18327157626</v>
      </c>
      <c r="BV109" s="7">
        <f t="shared" si="149"/>
        <v>115232.01990856566</v>
      </c>
      <c r="BX109" s="28">
        <v>4</v>
      </c>
      <c r="BY109" s="26">
        <v>5.0000000000000002E-5</v>
      </c>
      <c r="BZ109" s="28">
        <v>0.5</v>
      </c>
      <c r="CA109" s="28">
        <v>200</v>
      </c>
      <c r="CB109" s="26">
        <v>7.4999999999999997E-8</v>
      </c>
      <c r="CC109" s="26">
        <f t="shared" si="150"/>
        <v>3.7499999999999998E-8</v>
      </c>
      <c r="CD109" s="26">
        <f t="shared" si="151"/>
        <v>1.4999999999999998E-3</v>
      </c>
      <c r="CE109" s="7">
        <v>0.91977028819248696</v>
      </c>
      <c r="CF109" s="7">
        <v>752.82497001808497</v>
      </c>
      <c r="CG109" s="7">
        <v>21540.753972456099</v>
      </c>
      <c r="CH109" s="7">
        <v>752.82497001808497</v>
      </c>
      <c r="CI109" s="7">
        <v>39696.477428386701</v>
      </c>
      <c r="CJ109" s="7">
        <v>81.487330863050403</v>
      </c>
      <c r="CK109" s="7">
        <f t="shared" si="152"/>
        <v>23046.403912492271</v>
      </c>
      <c r="CM109" s="28">
        <v>4</v>
      </c>
      <c r="CN109" s="26">
        <v>5.0000000000000002E-5</v>
      </c>
      <c r="CO109" s="28">
        <v>1</v>
      </c>
      <c r="CP109" s="28">
        <v>200</v>
      </c>
      <c r="CQ109" s="26">
        <v>7.4999999999999997E-8</v>
      </c>
      <c r="CR109" s="26">
        <f t="shared" si="153"/>
        <v>7.4999999999999997E-8</v>
      </c>
      <c r="CS109" s="26">
        <f t="shared" si="154"/>
        <v>2.9999999999999996E-3</v>
      </c>
      <c r="CT109" s="7">
        <v>1.77715061447394</v>
      </c>
      <c r="CU109" s="7">
        <v>665.23311259709499</v>
      </c>
      <c r="CV109" s="7">
        <v>10770.376986228001</v>
      </c>
      <c r="CW109" s="7">
        <v>665.23311259709499</v>
      </c>
      <c r="CX109" s="7">
        <v>19848.2387141933</v>
      </c>
      <c r="CY109" s="7">
        <v>81.487330863050403</v>
      </c>
      <c r="CZ109" s="7">
        <f t="shared" si="155"/>
        <v>12100.843211422191</v>
      </c>
      <c r="DB109" s="28">
        <v>4</v>
      </c>
      <c r="DC109" s="26">
        <v>5.0000000000000002E-5</v>
      </c>
      <c r="DD109" s="28">
        <v>2</v>
      </c>
      <c r="DE109" s="28">
        <v>200</v>
      </c>
      <c r="DF109" s="26">
        <v>7.4999999999999997E-8</v>
      </c>
      <c r="DG109" s="26">
        <f t="shared" si="156"/>
        <v>1.4999999999999999E-7</v>
      </c>
      <c r="DH109" s="26">
        <f t="shared" si="157"/>
        <v>5.9999999999999993E-3</v>
      </c>
      <c r="DI109" s="7">
        <v>3.36664140523441</v>
      </c>
      <c r="DJ109" s="7">
        <v>578.22973015081095</v>
      </c>
      <c r="DK109" s="7">
        <v>5385.1884931140203</v>
      </c>
      <c r="DL109" s="7">
        <v>578.22973015081095</v>
      </c>
      <c r="DM109" s="7">
        <v>9924.1193570966698</v>
      </c>
      <c r="DN109" s="7">
        <v>81.487330863050403</v>
      </c>
      <c r="DO109" s="7">
        <f t="shared" si="158"/>
        <v>6541.6479534156415</v>
      </c>
      <c r="DQ109" s="28">
        <v>4</v>
      </c>
      <c r="DR109" s="26">
        <v>5.0000000000000002E-5</v>
      </c>
      <c r="DS109" s="28">
        <v>15</v>
      </c>
      <c r="DT109" s="28">
        <v>300</v>
      </c>
      <c r="DU109" s="26">
        <v>4.9999999999999998E-8</v>
      </c>
      <c r="DV109" s="26">
        <f t="shared" si="159"/>
        <v>7.5000000000000002E-7</v>
      </c>
      <c r="DW109" s="26">
        <f t="shared" si="160"/>
        <v>0.03</v>
      </c>
      <c r="DX109" s="7">
        <v>20.317161589829201</v>
      </c>
      <c r="DY109" s="7">
        <v>254.539230510376</v>
      </c>
      <c r="DZ109" s="7">
        <v>718.02513241520205</v>
      </c>
      <c r="EA109" s="7">
        <v>254.539230510376</v>
      </c>
      <c r="EB109" s="7">
        <v>1323.2159142795599</v>
      </c>
      <c r="EC109" s="7">
        <v>50.929581789406498</v>
      </c>
      <c r="ED109" s="7">
        <f t="shared" si="161"/>
        <v>1227.1035934359541</v>
      </c>
    </row>
    <row r="110" spans="1:134" x14ac:dyDescent="0.4">
      <c r="A110" s="28">
        <v>6</v>
      </c>
      <c r="B110" s="26">
        <v>1.0000000000000001E-5</v>
      </c>
      <c r="C110" s="28">
        <v>0.2</v>
      </c>
      <c r="D110" s="28">
        <v>30</v>
      </c>
      <c r="E110" s="26">
        <v>7.4999999999999997E-8</v>
      </c>
      <c r="F110" s="26">
        <f t="shared" si="135"/>
        <v>1.4999999999999999E-8</v>
      </c>
      <c r="G110" s="26">
        <f t="shared" si="136"/>
        <v>2.9999999999999996E-3</v>
      </c>
      <c r="H110" s="7">
        <v>0.48240607171279698</v>
      </c>
      <c r="I110" s="7">
        <v>20967.675665585699</v>
      </c>
      <c r="J110" s="7">
        <v>165780.67944707401</v>
      </c>
      <c r="K110" s="7">
        <v>20967.675665585699</v>
      </c>
      <c r="L110" s="7">
        <v>651465.34785778704</v>
      </c>
      <c r="M110" s="7">
        <v>2037.18327157626</v>
      </c>
      <c r="N110" s="7">
        <f t="shared" si="137"/>
        <v>207716.03077824542</v>
      </c>
      <c r="P110" s="28">
        <v>6</v>
      </c>
      <c r="Q110" s="26">
        <v>3.0000000000000001E-5</v>
      </c>
      <c r="R110" s="28">
        <v>0.2</v>
      </c>
      <c r="S110" s="28">
        <v>30</v>
      </c>
      <c r="T110" s="26">
        <v>7.4999999999999997E-8</v>
      </c>
      <c r="U110" s="26">
        <f t="shared" si="138"/>
        <v>1.4999999999999999E-8</v>
      </c>
      <c r="V110" s="26">
        <f t="shared" si="139"/>
        <v>9.999999999999998E-4</v>
      </c>
      <c r="W110" s="7">
        <v>0.48713576639336997</v>
      </c>
      <c r="X110" s="7">
        <v>6989.2252213633501</v>
      </c>
      <c r="Y110" s="7">
        <v>55260.226463633997</v>
      </c>
      <c r="Z110" s="7">
        <v>6989.2252213633501</v>
      </c>
      <c r="AA110" s="7">
        <v>217155.11601730101</v>
      </c>
      <c r="AB110" s="7">
        <v>226.35369684180699</v>
      </c>
      <c r="AC110" s="7">
        <f t="shared" si="140"/>
        <v>69238.676906360692</v>
      </c>
      <c r="AE110" s="28">
        <v>6</v>
      </c>
      <c r="AF110" s="26">
        <v>5.0000000000000002E-5</v>
      </c>
      <c r="AG110" s="28">
        <v>0.2</v>
      </c>
      <c r="AH110" s="28">
        <v>30</v>
      </c>
      <c r="AI110" s="26">
        <v>7.4999999999999997E-8</v>
      </c>
      <c r="AJ110" s="26">
        <f t="shared" si="141"/>
        <v>1.4999999999999999E-8</v>
      </c>
      <c r="AK110" s="26">
        <f t="shared" si="142"/>
        <v>5.9999999999999995E-4</v>
      </c>
      <c r="AL110" s="7">
        <v>0.48809649202823702</v>
      </c>
      <c r="AM110" s="7">
        <v>4193.5351285970401</v>
      </c>
      <c r="AN110" s="7">
        <v>33156.135719653299</v>
      </c>
      <c r="AO110" s="7">
        <v>4193.5351285970401</v>
      </c>
      <c r="AP110" s="7">
        <v>130293.0701582</v>
      </c>
      <c r="AQ110" s="7">
        <v>81.487330863050403</v>
      </c>
      <c r="AR110" s="7">
        <f t="shared" si="143"/>
        <v>41543.205976847377</v>
      </c>
      <c r="AT110" s="28">
        <v>6</v>
      </c>
      <c r="AU110" s="26">
        <v>1.0000000000000001E-5</v>
      </c>
      <c r="AV110" s="28">
        <v>0.2</v>
      </c>
      <c r="AW110" s="28">
        <v>200</v>
      </c>
      <c r="AX110" s="26">
        <v>7.4999999999999997E-8</v>
      </c>
      <c r="AY110" s="26">
        <f t="shared" si="144"/>
        <v>1.4999999999999999E-8</v>
      </c>
      <c r="AZ110" s="26">
        <f t="shared" si="145"/>
        <v>2.9999999999999996E-3</v>
      </c>
      <c r="BA110" s="7">
        <v>0.55019152448961794</v>
      </c>
      <c r="BB110" s="7">
        <v>4345.3623253436699</v>
      </c>
      <c r="BC110" s="7">
        <v>165780.67944707401</v>
      </c>
      <c r="BD110" s="7">
        <v>4345.3623253436699</v>
      </c>
      <c r="BE110" s="7">
        <v>651465.34785778704</v>
      </c>
      <c r="BF110" s="7">
        <v>2037.18327157626</v>
      </c>
      <c r="BG110" s="7">
        <f t="shared" si="146"/>
        <v>174471.40409776138</v>
      </c>
      <c r="BI110" s="28">
        <v>6</v>
      </c>
      <c r="BJ110" s="26">
        <v>1.0000000000000001E-5</v>
      </c>
      <c r="BK110" s="28">
        <v>0.5</v>
      </c>
      <c r="BL110" s="28">
        <v>200</v>
      </c>
      <c r="BM110" s="26">
        <v>7.4999999999999997E-8</v>
      </c>
      <c r="BN110" s="26">
        <f t="shared" si="147"/>
        <v>3.7499999999999998E-8</v>
      </c>
      <c r="BO110" s="26">
        <f t="shared" si="148"/>
        <v>7.4999999999999989E-3</v>
      </c>
      <c r="BP110" s="7">
        <v>1.2854615823449</v>
      </c>
      <c r="BQ110" s="7">
        <v>3764.12485338133</v>
      </c>
      <c r="BR110" s="7">
        <v>66312.271778829701</v>
      </c>
      <c r="BS110" s="7">
        <v>3764.12485338133</v>
      </c>
      <c r="BT110" s="7">
        <v>260586.139143115</v>
      </c>
      <c r="BU110" s="7">
        <v>2037.18327157626</v>
      </c>
      <c r="BV110" s="7">
        <f t="shared" si="149"/>
        <v>73840.52148559237</v>
      </c>
      <c r="BX110" s="28">
        <v>6</v>
      </c>
      <c r="BY110" s="26">
        <v>5.0000000000000002E-5</v>
      </c>
      <c r="BZ110" s="28">
        <v>0.5</v>
      </c>
      <c r="CA110" s="28">
        <v>200</v>
      </c>
      <c r="CB110" s="26">
        <v>7.4999999999999997E-8</v>
      </c>
      <c r="CC110" s="26">
        <f t="shared" si="150"/>
        <v>3.7499999999999998E-8</v>
      </c>
      <c r="CD110" s="26">
        <f t="shared" si="151"/>
        <v>1.4999999999999998E-3</v>
      </c>
      <c r="CE110" s="7">
        <v>1.32866711309229</v>
      </c>
      <c r="CF110" s="7">
        <v>752.82497001808497</v>
      </c>
      <c r="CG110" s="7">
        <v>13262.454287861299</v>
      </c>
      <c r="CH110" s="7">
        <v>752.82497001808497</v>
      </c>
      <c r="CI110" s="7">
        <v>52117.228063280199</v>
      </c>
      <c r="CJ110" s="7">
        <v>81.487330863050403</v>
      </c>
      <c r="CK110" s="7">
        <f t="shared" si="152"/>
        <v>14768.104227897471</v>
      </c>
      <c r="CM110" s="28">
        <v>6</v>
      </c>
      <c r="CN110" s="26">
        <v>5.0000000000000002E-5</v>
      </c>
      <c r="CO110" s="28">
        <v>1</v>
      </c>
      <c r="CP110" s="28">
        <v>200</v>
      </c>
      <c r="CQ110" s="26">
        <v>7.4999999999999997E-8</v>
      </c>
      <c r="CR110" s="26">
        <f t="shared" si="153"/>
        <v>7.4999999999999997E-8</v>
      </c>
      <c r="CS110" s="26">
        <f t="shared" si="154"/>
        <v>2.9999999999999996E-3</v>
      </c>
      <c r="CT110" s="7">
        <v>2.48976116762337</v>
      </c>
      <c r="CU110" s="7">
        <v>665.23311259709499</v>
      </c>
      <c r="CV110" s="7">
        <v>6631.2271439306596</v>
      </c>
      <c r="CW110" s="7">
        <v>665.23311259709499</v>
      </c>
      <c r="CX110" s="7">
        <v>26058.6140316401</v>
      </c>
      <c r="CY110" s="7">
        <v>81.487330863050403</v>
      </c>
      <c r="CZ110" s="7">
        <f t="shared" si="155"/>
        <v>7961.6933691248496</v>
      </c>
      <c r="DB110" s="28">
        <v>6</v>
      </c>
      <c r="DC110" s="26">
        <v>5.0000000000000002E-5</v>
      </c>
      <c r="DD110" s="28">
        <v>2</v>
      </c>
      <c r="DE110" s="28">
        <v>200</v>
      </c>
      <c r="DF110" s="26">
        <v>7.4999999999999997E-8</v>
      </c>
      <c r="DG110" s="26">
        <f t="shared" si="156"/>
        <v>1.4999999999999999E-7</v>
      </c>
      <c r="DH110" s="26">
        <f t="shared" si="157"/>
        <v>5.9999999999999993E-3</v>
      </c>
      <c r="DI110" s="7">
        <v>4.5104837319213598</v>
      </c>
      <c r="DJ110" s="7">
        <v>578.22973015081095</v>
      </c>
      <c r="DK110" s="7">
        <v>3315.6135719653298</v>
      </c>
      <c r="DL110" s="7">
        <v>578.22973015081095</v>
      </c>
      <c r="DM110" s="7">
        <v>13029.307015820101</v>
      </c>
      <c r="DN110" s="7">
        <v>81.487330863050403</v>
      </c>
      <c r="DO110" s="7">
        <f t="shared" si="158"/>
        <v>4472.0730322669515</v>
      </c>
      <c r="DQ110" s="28">
        <v>6</v>
      </c>
      <c r="DR110" s="26">
        <v>5.0000000000000002E-5</v>
      </c>
      <c r="DS110" s="28">
        <v>15</v>
      </c>
      <c r="DT110" s="28">
        <v>300</v>
      </c>
      <c r="DU110" s="26">
        <v>4.9999999999999998E-8</v>
      </c>
      <c r="DV110" s="26">
        <f t="shared" si="159"/>
        <v>7.5000000000000002E-7</v>
      </c>
      <c r="DW110" s="26">
        <f t="shared" si="160"/>
        <v>0.03</v>
      </c>
      <c r="DX110" s="7">
        <v>23.520641303240801</v>
      </c>
      <c r="DY110" s="7">
        <v>254.539230510376</v>
      </c>
      <c r="DZ110" s="7">
        <v>442.08180959537702</v>
      </c>
      <c r="EA110" s="7">
        <v>254.539230510376</v>
      </c>
      <c r="EB110" s="7">
        <v>1737.24093544267</v>
      </c>
      <c r="EC110" s="7">
        <v>50.929581789406498</v>
      </c>
      <c r="ED110" s="7">
        <f t="shared" si="161"/>
        <v>951.16027061612908</v>
      </c>
    </row>
    <row r="111" spans="1:134" x14ac:dyDescent="0.4">
      <c r="A111" s="28">
        <v>8</v>
      </c>
      <c r="B111" s="26">
        <v>1.0000000000000001E-5</v>
      </c>
      <c r="C111" s="28">
        <v>0.2</v>
      </c>
      <c r="D111" s="28">
        <v>30</v>
      </c>
      <c r="E111" s="26">
        <v>7.4999999999999997E-8</v>
      </c>
      <c r="F111" s="26">
        <f t="shared" si="135"/>
        <v>1.4999999999999999E-8</v>
      </c>
      <c r="G111" s="26">
        <f t="shared" si="136"/>
        <v>2.9999999999999996E-3</v>
      </c>
      <c r="H111" s="7">
        <v>0.68298581687897497</v>
      </c>
      <c r="I111" s="7">
        <v>20967.675665585699</v>
      </c>
      <c r="J111" s="7">
        <v>100396.196898707</v>
      </c>
      <c r="K111" s="7">
        <v>20967.675665585699</v>
      </c>
      <c r="L111" s="7">
        <v>821154.82400854595</v>
      </c>
      <c r="M111" s="7">
        <v>2037.18327157626</v>
      </c>
      <c r="N111" s="7">
        <f t="shared" si="137"/>
        <v>142331.54822987839</v>
      </c>
      <c r="P111" s="28">
        <v>8</v>
      </c>
      <c r="Q111" s="26">
        <v>3.0000000000000001E-5</v>
      </c>
      <c r="R111" s="28">
        <v>0.2</v>
      </c>
      <c r="S111" s="28">
        <v>30</v>
      </c>
      <c r="T111" s="26">
        <v>7.4999999999999997E-8</v>
      </c>
      <c r="U111" s="26">
        <f t="shared" si="138"/>
        <v>1.4999999999999999E-8</v>
      </c>
      <c r="V111" s="26">
        <f t="shared" si="139"/>
        <v>9.999999999999998E-4</v>
      </c>
      <c r="W111" s="7">
        <v>0.69394307249003695</v>
      </c>
      <c r="X111" s="7">
        <v>6989.2252213633501</v>
      </c>
      <c r="Y111" s="7">
        <v>33465.398947511501</v>
      </c>
      <c r="Z111" s="7">
        <v>6989.2252213633501</v>
      </c>
      <c r="AA111" s="7">
        <v>273718.27480960399</v>
      </c>
      <c r="AB111" s="7">
        <v>226.35369684180699</v>
      </c>
      <c r="AC111" s="7">
        <f t="shared" si="140"/>
        <v>47443.849390238196</v>
      </c>
      <c r="AE111" s="28">
        <v>8</v>
      </c>
      <c r="AF111" s="26">
        <v>5.0000000000000002E-5</v>
      </c>
      <c r="AG111" s="28">
        <v>0.2</v>
      </c>
      <c r="AH111" s="28">
        <v>30</v>
      </c>
      <c r="AI111" s="26">
        <v>7.4999999999999997E-8</v>
      </c>
      <c r="AJ111" s="26">
        <f t="shared" si="141"/>
        <v>1.4999999999999999E-8</v>
      </c>
      <c r="AK111" s="26">
        <f t="shared" si="142"/>
        <v>5.9999999999999995E-4</v>
      </c>
      <c r="AL111" s="7">
        <v>0.69618442638183298</v>
      </c>
      <c r="AM111" s="7">
        <v>4193.5351285970401</v>
      </c>
      <c r="AN111" s="7">
        <v>20079.239209979802</v>
      </c>
      <c r="AO111" s="7">
        <v>4193.5351285970401</v>
      </c>
      <c r="AP111" s="7">
        <v>164230.96607182099</v>
      </c>
      <c r="AQ111" s="7">
        <v>81.487330863050403</v>
      </c>
      <c r="AR111" s="7">
        <f t="shared" si="143"/>
        <v>28466.30946717388</v>
      </c>
      <c r="AT111" s="28">
        <v>8</v>
      </c>
      <c r="AU111" s="26">
        <v>1.0000000000000001E-5</v>
      </c>
      <c r="AV111" s="28">
        <v>0.2</v>
      </c>
      <c r="AW111" s="28">
        <v>200</v>
      </c>
      <c r="AX111" s="26">
        <v>7.4999999999999997E-8</v>
      </c>
      <c r="AY111" s="26">
        <f t="shared" si="144"/>
        <v>1.4999999999999999E-8</v>
      </c>
      <c r="AZ111" s="26">
        <f t="shared" si="145"/>
        <v>2.9999999999999996E-3</v>
      </c>
      <c r="BA111" s="7">
        <v>0.85327304423581996</v>
      </c>
      <c r="BB111" s="7">
        <v>4345.3623253436699</v>
      </c>
      <c r="BC111" s="7">
        <v>100396.196898707</v>
      </c>
      <c r="BD111" s="7">
        <v>4345.3623253436699</v>
      </c>
      <c r="BE111" s="7">
        <v>821154.82400854595</v>
      </c>
      <c r="BF111" s="7">
        <v>2037.18327157626</v>
      </c>
      <c r="BG111" s="7">
        <f t="shared" si="146"/>
        <v>109086.92154939433</v>
      </c>
      <c r="BI111" s="28">
        <v>8</v>
      </c>
      <c r="BJ111" s="26">
        <v>1.0000000000000001E-5</v>
      </c>
      <c r="BK111" s="28">
        <v>0.5</v>
      </c>
      <c r="BL111" s="28">
        <v>200</v>
      </c>
      <c r="BM111" s="26">
        <v>7.4999999999999997E-8</v>
      </c>
      <c r="BN111" s="26">
        <f t="shared" si="147"/>
        <v>3.7499999999999998E-8</v>
      </c>
      <c r="BO111" s="26">
        <f t="shared" si="148"/>
        <v>7.4999999999999989E-3</v>
      </c>
      <c r="BP111" s="7">
        <v>1.89787251225161</v>
      </c>
      <c r="BQ111" s="7">
        <v>3764.12485338133</v>
      </c>
      <c r="BR111" s="7">
        <v>40158.478759482699</v>
      </c>
      <c r="BS111" s="7">
        <v>3764.12485338133</v>
      </c>
      <c r="BT111" s="7">
        <v>328461.92960341799</v>
      </c>
      <c r="BU111" s="7">
        <v>2037.18327157626</v>
      </c>
      <c r="BV111" s="7">
        <f t="shared" si="149"/>
        <v>47686.728466245353</v>
      </c>
      <c r="BX111" s="28">
        <v>8</v>
      </c>
      <c r="BY111" s="26">
        <v>5.0000000000000002E-5</v>
      </c>
      <c r="BZ111" s="28">
        <v>0.5</v>
      </c>
      <c r="CA111" s="28">
        <v>200</v>
      </c>
      <c r="CB111" s="26">
        <v>7.4999999999999997E-8</v>
      </c>
      <c r="CC111" s="26">
        <f t="shared" si="150"/>
        <v>3.7499999999999998E-8</v>
      </c>
      <c r="CD111" s="26">
        <f t="shared" si="151"/>
        <v>1.4999999999999998E-3</v>
      </c>
      <c r="CE111" s="7">
        <v>2.0080537653104198</v>
      </c>
      <c r="CF111" s="7">
        <v>752.82497001808497</v>
      </c>
      <c r="CG111" s="7">
        <v>8031.6956839919103</v>
      </c>
      <c r="CH111" s="7">
        <v>752.82497001808497</v>
      </c>
      <c r="CI111" s="7">
        <v>65692.386428728598</v>
      </c>
      <c r="CJ111" s="7">
        <v>81.487330863050403</v>
      </c>
      <c r="CK111" s="7">
        <f t="shared" si="152"/>
        <v>9537.3456240280793</v>
      </c>
      <c r="CM111" s="28">
        <v>8</v>
      </c>
      <c r="CN111" s="26">
        <v>5.0000000000000002E-5</v>
      </c>
      <c r="CO111" s="28">
        <v>1</v>
      </c>
      <c r="CP111" s="28">
        <v>200</v>
      </c>
      <c r="CQ111" s="26">
        <v>7.4999999999999997E-8</v>
      </c>
      <c r="CR111" s="26">
        <f t="shared" si="153"/>
        <v>7.4999999999999997E-8</v>
      </c>
      <c r="CS111" s="26">
        <f t="shared" si="154"/>
        <v>2.9999999999999996E-3</v>
      </c>
      <c r="CT111" s="7">
        <v>3.59744350044758</v>
      </c>
      <c r="CU111" s="7">
        <v>665.23311259709499</v>
      </c>
      <c r="CV111" s="7">
        <v>4015.8478419959501</v>
      </c>
      <c r="CW111" s="7">
        <v>665.23311259709499</v>
      </c>
      <c r="CX111" s="7">
        <v>32846.193214364299</v>
      </c>
      <c r="CY111" s="7">
        <v>81.487330863050403</v>
      </c>
      <c r="CZ111" s="7">
        <f t="shared" si="155"/>
        <v>5346.3140671901401</v>
      </c>
      <c r="DB111" s="28">
        <v>8</v>
      </c>
      <c r="DC111" s="26">
        <v>5.0000000000000002E-5</v>
      </c>
      <c r="DD111" s="28">
        <v>2</v>
      </c>
      <c r="DE111" s="28">
        <v>200</v>
      </c>
      <c r="DF111" s="26">
        <v>7.4999999999999997E-8</v>
      </c>
      <c r="DG111" s="26">
        <f t="shared" si="156"/>
        <v>1.4999999999999999E-7</v>
      </c>
      <c r="DH111" s="26">
        <f t="shared" si="157"/>
        <v>5.9999999999999993E-3</v>
      </c>
      <c r="DI111" s="7">
        <v>6.1343652100584096</v>
      </c>
      <c r="DJ111" s="7">
        <v>578.22973015081095</v>
      </c>
      <c r="DK111" s="7">
        <v>2007.9239209979801</v>
      </c>
      <c r="DL111" s="7">
        <v>578.22973015081095</v>
      </c>
      <c r="DM111" s="7">
        <v>16423.096607182099</v>
      </c>
      <c r="DN111" s="7">
        <v>81.487330863050403</v>
      </c>
      <c r="DO111" s="7">
        <f t="shared" si="158"/>
        <v>3164.3833812996022</v>
      </c>
      <c r="DQ111" s="28">
        <v>8</v>
      </c>
      <c r="DR111" s="26">
        <v>5.0000000000000002E-5</v>
      </c>
      <c r="DS111" s="28">
        <v>15</v>
      </c>
      <c r="DT111" s="28">
        <v>300</v>
      </c>
      <c r="DU111" s="26">
        <v>4.9999999999999998E-8</v>
      </c>
      <c r="DV111" s="26">
        <f t="shared" si="159"/>
        <v>7.5000000000000002E-7</v>
      </c>
      <c r="DW111" s="26">
        <f t="shared" si="160"/>
        <v>0.03</v>
      </c>
      <c r="DX111" s="7">
        <v>27.0673064862704</v>
      </c>
      <c r="DY111" s="7">
        <v>254.539230510376</v>
      </c>
      <c r="DZ111" s="7">
        <v>267.723189466397</v>
      </c>
      <c r="EA111" s="7">
        <v>254.539230510376</v>
      </c>
      <c r="EB111" s="7">
        <v>2189.7462142909499</v>
      </c>
      <c r="EC111" s="7">
        <v>50.929581789406498</v>
      </c>
      <c r="ED111" s="7">
        <f t="shared" si="161"/>
        <v>776.801650487149</v>
      </c>
    </row>
    <row r="112" spans="1:134" x14ac:dyDescent="0.4">
      <c r="A112" s="28">
        <v>10</v>
      </c>
      <c r="B112" s="26">
        <v>1.0000000000000001E-5</v>
      </c>
      <c r="C112" s="28">
        <v>0.2</v>
      </c>
      <c r="D112" s="28">
        <v>30</v>
      </c>
      <c r="E112" s="26">
        <v>7.4999999999999997E-8</v>
      </c>
      <c r="F112" s="26">
        <f t="shared" si="135"/>
        <v>1.4999999999999999E-8</v>
      </c>
      <c r="G112" s="26">
        <f t="shared" si="136"/>
        <v>2.9999999999999996E-3</v>
      </c>
      <c r="H112" s="7">
        <v>1.0057444443258099</v>
      </c>
      <c r="I112" s="7">
        <v>20967.675665585699</v>
      </c>
      <c r="J112" s="7">
        <v>53826.312121005001</v>
      </c>
      <c r="K112" s="7">
        <v>20967.675665585699</v>
      </c>
      <c r="L112" s="7">
        <v>1014751.21705289</v>
      </c>
      <c r="M112" s="7">
        <v>2037.18327157626</v>
      </c>
      <c r="N112" s="7">
        <f t="shared" si="137"/>
        <v>95761.663452176406</v>
      </c>
      <c r="P112" s="28">
        <v>10</v>
      </c>
      <c r="Q112" s="26">
        <v>3.0000000000000001E-5</v>
      </c>
      <c r="R112" s="28">
        <v>0.2</v>
      </c>
      <c r="S112" s="28">
        <v>30</v>
      </c>
      <c r="T112" s="26">
        <v>7.4999999999999997E-8</v>
      </c>
      <c r="U112" s="26">
        <f t="shared" si="138"/>
        <v>1.4999999999999999E-8</v>
      </c>
      <c r="V112" s="26">
        <f t="shared" si="139"/>
        <v>9.999999999999998E-4</v>
      </c>
      <c r="W112" s="7">
        <v>1.0313535424729301</v>
      </c>
      <c r="X112" s="7">
        <v>6989.2252213633501</v>
      </c>
      <c r="Y112" s="7">
        <v>17942.1040216109</v>
      </c>
      <c r="Z112" s="7">
        <v>6989.2252213633501</v>
      </c>
      <c r="AA112" s="7">
        <v>338250.40599296999</v>
      </c>
      <c r="AB112" s="7">
        <v>226.35369684180699</v>
      </c>
      <c r="AC112" s="7">
        <f t="shared" si="140"/>
        <v>31920.554464337602</v>
      </c>
      <c r="AE112" s="28">
        <v>10</v>
      </c>
      <c r="AF112" s="26">
        <v>5.0000000000000002E-5</v>
      </c>
      <c r="AG112" s="28">
        <v>0.2</v>
      </c>
      <c r="AH112" s="28">
        <v>30</v>
      </c>
      <c r="AI112" s="26">
        <v>7.4999999999999997E-8</v>
      </c>
      <c r="AJ112" s="26">
        <f t="shared" si="141"/>
        <v>1.4999999999999999E-8</v>
      </c>
      <c r="AK112" s="26">
        <f t="shared" si="142"/>
        <v>5.9999999999999995E-4</v>
      </c>
      <c r="AL112" s="7">
        <v>1.03664823230465</v>
      </c>
      <c r="AM112" s="7">
        <v>4193.5351285970401</v>
      </c>
      <c r="AN112" s="7">
        <v>10765.2622544394</v>
      </c>
      <c r="AO112" s="7">
        <v>4193.5351285970401</v>
      </c>
      <c r="AP112" s="7">
        <v>202950.24620916101</v>
      </c>
      <c r="AQ112" s="7">
        <v>81.487330863050403</v>
      </c>
      <c r="AR112" s="7">
        <f t="shared" si="143"/>
        <v>19152.332511633478</v>
      </c>
      <c r="AT112" s="28">
        <v>10</v>
      </c>
      <c r="AU112" s="26">
        <v>1.0000000000000001E-5</v>
      </c>
      <c r="AV112" s="28">
        <v>0.2</v>
      </c>
      <c r="AW112" s="28">
        <v>200</v>
      </c>
      <c r="AX112" s="26">
        <v>7.4999999999999997E-8</v>
      </c>
      <c r="AY112" s="26">
        <f t="shared" si="144"/>
        <v>1.4999999999999999E-8</v>
      </c>
      <c r="AZ112" s="26">
        <f t="shared" si="145"/>
        <v>2.9999999999999996E-3</v>
      </c>
      <c r="BA112" s="7">
        <v>1.4628709952454599</v>
      </c>
      <c r="BB112" s="7">
        <v>4345.3623253436699</v>
      </c>
      <c r="BC112" s="7">
        <v>53826.312121005001</v>
      </c>
      <c r="BD112" s="7">
        <v>4345.3623253436699</v>
      </c>
      <c r="BE112" s="7">
        <v>1014751.21705289</v>
      </c>
      <c r="BF112" s="7">
        <v>2037.18327157626</v>
      </c>
      <c r="BG112" s="7">
        <f t="shared" si="146"/>
        <v>62517.036771692336</v>
      </c>
      <c r="BI112" s="28">
        <v>10</v>
      </c>
      <c r="BJ112" s="26">
        <v>1.0000000000000001E-5</v>
      </c>
      <c r="BK112" s="28">
        <v>0.5</v>
      </c>
      <c r="BL112" s="28">
        <v>200</v>
      </c>
      <c r="BM112" s="26">
        <v>7.4999999999999997E-8</v>
      </c>
      <c r="BN112" s="26">
        <f t="shared" si="147"/>
        <v>3.7499999999999998E-8</v>
      </c>
      <c r="BO112" s="26">
        <f t="shared" si="148"/>
        <v>7.4999999999999989E-3</v>
      </c>
      <c r="BP112" s="7">
        <v>2.9842558963834001</v>
      </c>
      <c r="BQ112" s="7">
        <v>3764.12485338133</v>
      </c>
      <c r="BR112" s="7">
        <v>21530.524848402001</v>
      </c>
      <c r="BS112" s="7">
        <v>3764.12485338133</v>
      </c>
      <c r="BT112" s="7">
        <v>405900.48682115501</v>
      </c>
      <c r="BU112" s="7">
        <v>2037.18327157626</v>
      </c>
      <c r="BV112" s="7">
        <f t="shared" si="149"/>
        <v>29058.774555164662</v>
      </c>
      <c r="BX112" s="28">
        <v>10</v>
      </c>
      <c r="BY112" s="26">
        <v>5.0000000000000002E-5</v>
      </c>
      <c r="BZ112" s="28">
        <v>0.5</v>
      </c>
      <c r="CA112" s="28">
        <v>200</v>
      </c>
      <c r="CB112" s="26">
        <v>7.4999999999999997E-8</v>
      </c>
      <c r="CC112" s="26">
        <f t="shared" si="150"/>
        <v>3.7499999999999998E-8</v>
      </c>
      <c r="CD112" s="26">
        <f t="shared" si="151"/>
        <v>1.4999999999999998E-3</v>
      </c>
      <c r="CE112" s="7">
        <v>3.2852927870116702</v>
      </c>
      <c r="CF112" s="7">
        <v>752.82497001808497</v>
      </c>
      <c r="CG112" s="7">
        <v>4306.1049017757796</v>
      </c>
      <c r="CH112" s="7">
        <v>752.82497001808497</v>
      </c>
      <c r="CI112" s="7">
        <v>81180.098483664406</v>
      </c>
      <c r="CJ112" s="7">
        <v>81.487330863050403</v>
      </c>
      <c r="CK112" s="7">
        <f t="shared" si="152"/>
        <v>5811.7548418119495</v>
      </c>
      <c r="CM112" s="28">
        <v>10</v>
      </c>
      <c r="CN112" s="26">
        <v>5.0000000000000002E-5</v>
      </c>
      <c r="CO112" s="28">
        <v>1</v>
      </c>
      <c r="CP112" s="28">
        <v>200</v>
      </c>
      <c r="CQ112" s="26">
        <v>7.4999999999999997E-8</v>
      </c>
      <c r="CR112" s="26">
        <f t="shared" si="153"/>
        <v>7.4999999999999997E-8</v>
      </c>
      <c r="CS112" s="26">
        <f t="shared" si="154"/>
        <v>2.9999999999999996E-3</v>
      </c>
      <c r="CT112" s="7">
        <v>5.4643263055796298</v>
      </c>
      <c r="CU112" s="7">
        <v>665.23311259709499</v>
      </c>
      <c r="CV112" s="7">
        <v>2153.0524508878898</v>
      </c>
      <c r="CW112" s="7">
        <v>665.23311259709499</v>
      </c>
      <c r="CX112" s="7">
        <v>40590.049241832203</v>
      </c>
      <c r="CY112" s="7">
        <v>81.487330863050403</v>
      </c>
      <c r="CZ112" s="7">
        <f t="shared" si="155"/>
        <v>3483.5186760820798</v>
      </c>
      <c r="DB112" s="28">
        <v>10</v>
      </c>
      <c r="DC112" s="26">
        <v>5.0000000000000002E-5</v>
      </c>
      <c r="DD112" s="28">
        <v>2</v>
      </c>
      <c r="DE112" s="28">
        <v>200</v>
      </c>
      <c r="DF112" s="26">
        <v>7.4999999999999997E-8</v>
      </c>
      <c r="DG112" s="26">
        <f t="shared" si="156"/>
        <v>1.4999999999999999E-7</v>
      </c>
      <c r="DH112" s="26">
        <f t="shared" si="157"/>
        <v>5.9999999999999993E-3</v>
      </c>
      <c r="DI112" s="7">
        <v>8.53168065613003</v>
      </c>
      <c r="DJ112" s="7">
        <v>578.22973015081095</v>
      </c>
      <c r="DK112" s="7">
        <v>1076.5262254439399</v>
      </c>
      <c r="DL112" s="7">
        <v>578.22973015081095</v>
      </c>
      <c r="DM112" s="7">
        <v>20295.024620916101</v>
      </c>
      <c r="DN112" s="7">
        <v>81.487330863050403</v>
      </c>
      <c r="DO112" s="7">
        <f t="shared" si="158"/>
        <v>2232.985685745562</v>
      </c>
      <c r="DQ112" s="28">
        <v>10</v>
      </c>
      <c r="DR112" s="26">
        <v>5.0000000000000002E-5</v>
      </c>
      <c r="DS112" s="28">
        <v>15</v>
      </c>
      <c r="DT112" s="28">
        <v>300</v>
      </c>
      <c r="DU112" s="26">
        <v>4.9999999999999998E-8</v>
      </c>
      <c r="DV112" s="26">
        <f t="shared" si="159"/>
        <v>7.5000000000000002E-7</v>
      </c>
      <c r="DW112" s="26">
        <f t="shared" si="160"/>
        <v>0.03</v>
      </c>
      <c r="DX112" s="7">
        <v>30.9894346016901</v>
      </c>
      <c r="DY112" s="7">
        <v>254.539230510376</v>
      </c>
      <c r="DZ112" s="7">
        <v>143.53683005919299</v>
      </c>
      <c r="EA112" s="7">
        <v>254.539230510376</v>
      </c>
      <c r="EB112" s="7">
        <v>2706.0032827888099</v>
      </c>
      <c r="EC112" s="7">
        <v>50.929581789406498</v>
      </c>
      <c r="ED112" s="7">
        <f t="shared" si="161"/>
        <v>652.615291079945</v>
      </c>
    </row>
    <row r="113" spans="1:134" x14ac:dyDescent="0.4">
      <c r="A113" s="28">
        <v>12</v>
      </c>
      <c r="B113" s="26">
        <v>1.0000000000000001E-5</v>
      </c>
      <c r="C113" s="28">
        <v>0.2</v>
      </c>
      <c r="D113" s="28">
        <v>30</v>
      </c>
      <c r="E113" s="26">
        <v>7.4999999999999997E-8</v>
      </c>
      <c r="F113" s="26">
        <f t="shared" si="135"/>
        <v>1.4999999999999999E-8</v>
      </c>
      <c r="G113" s="26">
        <f t="shared" si="136"/>
        <v>2.9999999999999996E-3</v>
      </c>
      <c r="H113" s="7">
        <v>1.59082140501591</v>
      </c>
      <c r="I113" s="7">
        <v>20967.675665585699</v>
      </c>
      <c r="J113" s="7">
        <v>18265.061724746</v>
      </c>
      <c r="K113" s="7">
        <v>20967.675665585699</v>
      </c>
      <c r="L113" s="7">
        <v>1222830.0672564299</v>
      </c>
      <c r="M113" s="7">
        <v>2037.18327157626</v>
      </c>
      <c r="N113" s="7">
        <f t="shared" si="137"/>
        <v>60200.413055917394</v>
      </c>
      <c r="P113" s="28">
        <v>12</v>
      </c>
      <c r="Q113" s="26">
        <v>3.0000000000000001E-5</v>
      </c>
      <c r="R113" s="28">
        <v>0.2</v>
      </c>
      <c r="S113" s="28">
        <v>30</v>
      </c>
      <c r="T113" s="26">
        <v>7.4999999999999997E-8</v>
      </c>
      <c r="U113" s="26">
        <f t="shared" si="138"/>
        <v>1.4999999999999999E-8</v>
      </c>
      <c r="V113" s="26">
        <f t="shared" si="139"/>
        <v>9.999999999999998E-4</v>
      </c>
      <c r="W113" s="7">
        <v>1.6575104008755099</v>
      </c>
      <c r="X113" s="7">
        <v>6989.2252213633501</v>
      </c>
      <c r="Y113" s="7">
        <v>6088.3538895246002</v>
      </c>
      <c r="Z113" s="7">
        <v>6989.2252213633501</v>
      </c>
      <c r="AA113" s="7">
        <v>407610.02322415198</v>
      </c>
      <c r="AB113" s="7">
        <v>226.35369684180699</v>
      </c>
      <c r="AC113" s="7">
        <f t="shared" si="140"/>
        <v>20066.8043322513</v>
      </c>
      <c r="AE113" s="28">
        <v>12</v>
      </c>
      <c r="AF113" s="26">
        <v>5.0000000000000002E-5</v>
      </c>
      <c r="AG113" s="28">
        <v>0.2</v>
      </c>
      <c r="AH113" s="28">
        <v>30</v>
      </c>
      <c r="AI113" s="26">
        <v>7.4999999999999997E-8</v>
      </c>
      <c r="AJ113" s="26">
        <f t="shared" si="141"/>
        <v>1.4999999999999999E-8</v>
      </c>
      <c r="AK113" s="26">
        <f t="shared" si="142"/>
        <v>5.9999999999999995E-4</v>
      </c>
      <c r="AL113" s="7">
        <v>1.6715607369700101</v>
      </c>
      <c r="AM113" s="7">
        <v>4193.5351285970401</v>
      </c>
      <c r="AN113" s="7">
        <v>3653.01217518762</v>
      </c>
      <c r="AO113" s="7">
        <v>4193.5351285970401</v>
      </c>
      <c r="AP113" s="7">
        <v>244566.02075291699</v>
      </c>
      <c r="AQ113" s="7">
        <v>81.487330863050403</v>
      </c>
      <c r="AR113" s="7">
        <f t="shared" si="143"/>
        <v>12040.0824323817</v>
      </c>
      <c r="AT113" s="28">
        <v>12</v>
      </c>
      <c r="AU113" s="26">
        <v>1.0000000000000001E-5</v>
      </c>
      <c r="AV113" s="28">
        <v>0.2</v>
      </c>
      <c r="AW113" s="28">
        <v>200</v>
      </c>
      <c r="AX113" s="26">
        <v>7.4999999999999997E-8</v>
      </c>
      <c r="AY113" s="26">
        <f t="shared" si="144"/>
        <v>1.4999999999999999E-8</v>
      </c>
      <c r="AZ113" s="26">
        <f t="shared" si="145"/>
        <v>2.9999999999999996E-3</v>
      </c>
      <c r="BA113" s="7">
        <v>3.2100611435414099</v>
      </c>
      <c r="BB113" s="7">
        <v>4345.3623253436699</v>
      </c>
      <c r="BC113" s="7">
        <v>18265.061724746</v>
      </c>
      <c r="BD113" s="7">
        <v>4345.3623253436699</v>
      </c>
      <c r="BE113" s="7">
        <v>1222830.0672564299</v>
      </c>
      <c r="BF113" s="7">
        <v>2037.18327157626</v>
      </c>
      <c r="BG113" s="7">
        <f t="shared" si="146"/>
        <v>26955.786375433341</v>
      </c>
      <c r="BI113" s="28">
        <v>12</v>
      </c>
      <c r="BJ113" s="26">
        <v>1.0000000000000001E-5</v>
      </c>
      <c r="BK113" s="28">
        <v>0.5</v>
      </c>
      <c r="BL113" s="28">
        <v>200</v>
      </c>
      <c r="BM113" s="26">
        <v>7.4999999999999997E-8</v>
      </c>
      <c r="BN113" s="26">
        <f t="shared" si="147"/>
        <v>3.7499999999999998E-8</v>
      </c>
      <c r="BO113" s="26">
        <f t="shared" si="148"/>
        <v>7.4999999999999989E-3</v>
      </c>
      <c r="BP113" s="7">
        <v>5.3361283632382701</v>
      </c>
      <c r="BQ113" s="7">
        <v>3764.12485338133</v>
      </c>
      <c r="BR113" s="7">
        <v>7306.0246898983996</v>
      </c>
      <c r="BS113" s="7">
        <v>3764.12485338133</v>
      </c>
      <c r="BT113" s="7">
        <v>489132.02690256998</v>
      </c>
      <c r="BU113" s="7">
        <v>2037.18327157626</v>
      </c>
      <c r="BV113" s="7">
        <f t="shared" si="149"/>
        <v>14834.27439666106</v>
      </c>
      <c r="BX113" s="28">
        <v>12</v>
      </c>
      <c r="BY113" s="26">
        <v>5.0000000000000002E-5</v>
      </c>
      <c r="BZ113" s="28">
        <v>0.5</v>
      </c>
      <c r="CA113" s="28">
        <v>200</v>
      </c>
      <c r="CB113" s="26">
        <v>7.4999999999999997E-8</v>
      </c>
      <c r="CC113" s="26">
        <f t="shared" si="150"/>
        <v>3.7499999999999998E-8</v>
      </c>
      <c r="CD113" s="26">
        <f t="shared" si="151"/>
        <v>1.4999999999999998E-3</v>
      </c>
      <c r="CE113" s="7">
        <v>6.40620119439986</v>
      </c>
      <c r="CF113" s="7">
        <v>752.82497001808497</v>
      </c>
      <c r="CG113" s="7">
        <v>1461.2048700750499</v>
      </c>
      <c r="CH113" s="7">
        <v>752.82497001808497</v>
      </c>
      <c r="CI113" s="7">
        <v>97826.408301166695</v>
      </c>
      <c r="CJ113" s="7">
        <v>81.487330863050403</v>
      </c>
      <c r="CK113" s="7">
        <f t="shared" si="152"/>
        <v>2966.8548101112201</v>
      </c>
      <c r="CM113" s="28">
        <v>12</v>
      </c>
      <c r="CN113" s="26">
        <v>5.0000000000000002E-5</v>
      </c>
      <c r="CO113" s="28">
        <v>1</v>
      </c>
      <c r="CP113" s="28">
        <v>200</v>
      </c>
      <c r="CQ113" s="26">
        <v>7.4999999999999997E-8</v>
      </c>
      <c r="CR113" s="26">
        <f t="shared" si="153"/>
        <v>7.4999999999999997E-8</v>
      </c>
      <c r="CS113" s="26">
        <f t="shared" si="154"/>
        <v>2.9999999999999996E-3</v>
      </c>
      <c r="CT113" s="7">
        <v>9.1329734040641704</v>
      </c>
      <c r="CU113" s="7">
        <v>665.23311259709499</v>
      </c>
      <c r="CV113" s="7">
        <v>730.60243503752497</v>
      </c>
      <c r="CW113" s="7">
        <v>665.23311259709499</v>
      </c>
      <c r="CX113" s="7">
        <v>48913.204150583399</v>
      </c>
      <c r="CY113" s="7">
        <v>81.487330863050403</v>
      </c>
      <c r="CZ113" s="7">
        <f t="shared" si="155"/>
        <v>2061.0686602317151</v>
      </c>
      <c r="DB113" s="28">
        <v>12</v>
      </c>
      <c r="DC113" s="26">
        <v>5.0000000000000002E-5</v>
      </c>
      <c r="DD113" s="28">
        <v>2</v>
      </c>
      <c r="DE113" s="28">
        <v>200</v>
      </c>
      <c r="DF113" s="26">
        <v>7.4999999999999997E-8</v>
      </c>
      <c r="DG113" s="26">
        <f t="shared" si="156"/>
        <v>1.4999999999999999E-7</v>
      </c>
      <c r="DH113" s="26">
        <f t="shared" si="157"/>
        <v>5.9999999999999993E-3</v>
      </c>
      <c r="DI113" s="7">
        <v>12.326625456672</v>
      </c>
      <c r="DJ113" s="7">
        <v>578.22973015081095</v>
      </c>
      <c r="DK113" s="7">
        <v>365.301217518763</v>
      </c>
      <c r="DL113" s="7">
        <v>578.22973015081095</v>
      </c>
      <c r="DM113" s="7">
        <v>24456.602075291699</v>
      </c>
      <c r="DN113" s="7">
        <v>81.487330863050403</v>
      </c>
      <c r="DO113" s="7">
        <f t="shared" si="158"/>
        <v>1521.7606778203849</v>
      </c>
      <c r="DQ113" s="28">
        <v>12</v>
      </c>
      <c r="DR113" s="26">
        <v>5.0000000000000002E-5</v>
      </c>
      <c r="DS113" s="28">
        <v>15</v>
      </c>
      <c r="DT113" s="28">
        <v>300</v>
      </c>
      <c r="DU113" s="26">
        <v>4.9999999999999998E-8</v>
      </c>
      <c r="DV113" s="26">
        <f t="shared" si="159"/>
        <v>7.5000000000000002E-7</v>
      </c>
      <c r="DW113" s="26">
        <f t="shared" si="160"/>
        <v>0.03</v>
      </c>
      <c r="DX113" s="7">
        <v>35.4114433929849</v>
      </c>
      <c r="DY113" s="7">
        <v>254.539230510376</v>
      </c>
      <c r="DZ113" s="7">
        <v>48.7068290025016</v>
      </c>
      <c r="EA113" s="7">
        <v>254.539230510376</v>
      </c>
      <c r="EB113" s="7">
        <v>3260.8802767055599</v>
      </c>
      <c r="EC113" s="7">
        <v>50.929581789406498</v>
      </c>
      <c r="ED113" s="7">
        <f t="shared" si="161"/>
        <v>557.78529002325354</v>
      </c>
    </row>
    <row r="114" spans="1:134" x14ac:dyDescent="0.4">
      <c r="A114" s="28">
        <v>15</v>
      </c>
      <c r="B114" s="26">
        <v>1.0000000000000001E-5</v>
      </c>
      <c r="C114" s="28">
        <v>0.2</v>
      </c>
      <c r="D114" s="28">
        <v>30</v>
      </c>
      <c r="E114" s="26">
        <v>7.4999999999999997E-8</v>
      </c>
      <c r="F114" s="26">
        <f t="shared" si="135"/>
        <v>1.4999999999999999E-8</v>
      </c>
      <c r="G114" s="26">
        <f t="shared" si="136"/>
        <v>2.9999999999999996E-3</v>
      </c>
      <c r="H114" s="7">
        <v>3.2477240027418701</v>
      </c>
      <c r="I114" s="7">
        <v>12481.634129420599</v>
      </c>
      <c r="J114" s="7">
        <v>3828.3041509332402</v>
      </c>
      <c r="K114" s="7">
        <v>12481.634129420599</v>
      </c>
      <c r="L114" s="7">
        <v>1641861.5249040499</v>
      </c>
      <c r="M114" s="7">
        <v>2037.18327157626</v>
      </c>
      <c r="N114" s="7">
        <f t="shared" si="137"/>
        <v>28791.572409774439</v>
      </c>
      <c r="P114" s="28">
        <v>15</v>
      </c>
      <c r="Q114" s="26">
        <v>3.0000000000000001E-5</v>
      </c>
      <c r="R114" s="28">
        <v>0.2</v>
      </c>
      <c r="S114" s="28">
        <v>30</v>
      </c>
      <c r="T114" s="26">
        <v>7.4999999999999997E-8</v>
      </c>
      <c r="U114" s="26">
        <f t="shared" si="138"/>
        <v>1.4999999999999999E-8</v>
      </c>
      <c r="V114" s="26">
        <f t="shared" si="139"/>
        <v>9.999999999999998E-4</v>
      </c>
      <c r="W114" s="7">
        <v>3.5345756968726398</v>
      </c>
      <c r="X114" s="7">
        <v>4160.5447097236602</v>
      </c>
      <c r="Y114" s="7">
        <v>1276.1013836444099</v>
      </c>
      <c r="Z114" s="7">
        <v>4160.5447097236602</v>
      </c>
      <c r="AA114" s="7">
        <v>547287.17553344101</v>
      </c>
      <c r="AB114" s="7">
        <v>226.35369684180699</v>
      </c>
      <c r="AC114" s="7">
        <f t="shared" si="140"/>
        <v>9597.1908030917293</v>
      </c>
      <c r="AE114" s="28">
        <v>15</v>
      </c>
      <c r="AF114" s="26">
        <v>5.0000000000000002E-5</v>
      </c>
      <c r="AG114" s="28">
        <v>0.2</v>
      </c>
      <c r="AH114" s="28">
        <v>30</v>
      </c>
      <c r="AI114" s="26">
        <v>7.4999999999999997E-8</v>
      </c>
      <c r="AJ114" s="26">
        <f t="shared" si="141"/>
        <v>1.4999999999999999E-8</v>
      </c>
      <c r="AK114" s="26">
        <f t="shared" si="142"/>
        <v>5.9999999999999995E-4</v>
      </c>
      <c r="AL114" s="7">
        <v>3.5982621680218601</v>
      </c>
      <c r="AM114" s="7">
        <v>2496.32682512977</v>
      </c>
      <c r="AN114" s="7">
        <v>765.66083018664904</v>
      </c>
      <c r="AO114" s="7">
        <v>2496.32682512977</v>
      </c>
      <c r="AP114" s="7">
        <v>328372.31010722602</v>
      </c>
      <c r="AQ114" s="7">
        <v>81.487330863050403</v>
      </c>
      <c r="AR114" s="7">
        <f t="shared" si="143"/>
        <v>5758.314480446189</v>
      </c>
      <c r="AT114" s="28">
        <v>15</v>
      </c>
      <c r="AU114" s="26">
        <v>1.0000000000000001E-5</v>
      </c>
      <c r="AV114" s="28">
        <v>0.2</v>
      </c>
      <c r="AW114" s="28">
        <v>200</v>
      </c>
      <c r="AX114" s="26">
        <v>7.4999999999999997E-8</v>
      </c>
      <c r="AY114" s="26">
        <f t="shared" si="144"/>
        <v>1.4999999999999999E-8</v>
      </c>
      <c r="AZ114" s="26">
        <f t="shared" si="145"/>
        <v>2.9999999999999996E-3</v>
      </c>
      <c r="BA114" s="7">
        <v>12.2335687521248</v>
      </c>
      <c r="BB114" s="7">
        <v>1941.00035424731</v>
      </c>
      <c r="BC114" s="7">
        <v>642.33504314082199</v>
      </c>
      <c r="BD114" s="7">
        <v>1941.00035424731</v>
      </c>
      <c r="BE114" s="7">
        <v>1641861.5249040499</v>
      </c>
      <c r="BF114" s="7">
        <v>2037.18327157626</v>
      </c>
      <c r="BG114" s="7">
        <f t="shared" si="146"/>
        <v>4524.3357516354426</v>
      </c>
      <c r="BI114" s="28">
        <v>15</v>
      </c>
      <c r="BJ114" s="26">
        <v>1.0000000000000001E-5</v>
      </c>
      <c r="BK114" s="28">
        <v>0.5</v>
      </c>
      <c r="BL114" s="28">
        <v>200</v>
      </c>
      <c r="BM114" s="26">
        <v>7.4999999999999997E-8</v>
      </c>
      <c r="BN114" s="26">
        <f t="shared" si="147"/>
        <v>3.7499999999999998E-8</v>
      </c>
      <c r="BO114" s="26">
        <f t="shared" si="148"/>
        <v>7.4999999999999989E-3</v>
      </c>
      <c r="BP114" s="7">
        <v>12.4112729837949</v>
      </c>
      <c r="BQ114" s="7">
        <v>1921.9637593119501</v>
      </c>
      <c r="BR114" s="7">
        <v>622.78773017584695</v>
      </c>
      <c r="BS114" s="7">
        <v>1921.9637593119501</v>
      </c>
      <c r="BT114" s="7">
        <v>656744.60996161995</v>
      </c>
      <c r="BU114" s="7">
        <v>2037.18327157626</v>
      </c>
      <c r="BV114" s="7">
        <f t="shared" si="149"/>
        <v>4466.7152487997464</v>
      </c>
      <c r="BX114" s="28">
        <v>15</v>
      </c>
      <c r="BY114" s="26">
        <v>5.0000000000000002E-5</v>
      </c>
      <c r="BZ114" s="28">
        <v>0.5</v>
      </c>
      <c r="CA114" s="28">
        <v>200</v>
      </c>
      <c r="CB114" s="26">
        <v>7.4999999999999997E-8</v>
      </c>
      <c r="CC114" s="26">
        <f t="shared" si="150"/>
        <v>3.7499999999999998E-8</v>
      </c>
      <c r="CD114" s="26">
        <f t="shared" si="151"/>
        <v>1.4999999999999998E-3</v>
      </c>
      <c r="CE114" s="7">
        <v>19.972463478155799</v>
      </c>
      <c r="CF114" s="7">
        <v>384.39275181655802</v>
      </c>
      <c r="CG114" s="7">
        <v>124.557546035169</v>
      </c>
      <c r="CH114" s="7">
        <v>384.39275181655802</v>
      </c>
      <c r="CI114" s="7">
        <v>131348.92404288999</v>
      </c>
      <c r="CJ114" s="7">
        <v>81.487330863050403</v>
      </c>
      <c r="CK114" s="7">
        <f t="shared" si="152"/>
        <v>893.34304966828495</v>
      </c>
      <c r="CM114" s="28">
        <v>15</v>
      </c>
      <c r="CN114" s="26">
        <v>5.0000000000000002E-5</v>
      </c>
      <c r="CO114" s="28">
        <v>1</v>
      </c>
      <c r="CP114" s="28">
        <v>200</v>
      </c>
      <c r="CQ114" s="26">
        <v>7.4999999999999997E-8</v>
      </c>
      <c r="CR114" s="26">
        <f t="shared" si="153"/>
        <v>7.4999999999999997E-8</v>
      </c>
      <c r="CS114" s="26">
        <f t="shared" si="154"/>
        <v>2.9999999999999996E-3</v>
      </c>
      <c r="CT114" s="7">
        <v>20.4783096360858</v>
      </c>
      <c r="CU114" s="7">
        <v>378.32091509688701</v>
      </c>
      <c r="CV114" s="7">
        <v>118.54503217394399</v>
      </c>
      <c r="CW114" s="7">
        <v>378.32091509688701</v>
      </c>
      <c r="CX114" s="7">
        <v>65674.462021445201</v>
      </c>
      <c r="CY114" s="7">
        <v>81.487330863050403</v>
      </c>
      <c r="CZ114" s="7">
        <f t="shared" si="155"/>
        <v>875.18686236771805</v>
      </c>
      <c r="DB114" s="28">
        <v>15</v>
      </c>
      <c r="DC114" s="26">
        <v>5.0000000000000002E-5</v>
      </c>
      <c r="DD114" s="28">
        <v>2</v>
      </c>
      <c r="DE114" s="28">
        <v>200</v>
      </c>
      <c r="DF114" s="26">
        <v>7.4999999999999997E-8</v>
      </c>
      <c r="DG114" s="26">
        <f t="shared" si="156"/>
        <v>1.4999999999999999E-7</v>
      </c>
      <c r="DH114" s="26">
        <f t="shared" si="157"/>
        <v>5.9999999999999993E-3</v>
      </c>
      <c r="DI114" s="7">
        <v>21.456803995149802</v>
      </c>
      <c r="DJ114" s="7">
        <v>367.08848561923799</v>
      </c>
      <c r="DK114" s="7">
        <v>108.10811969663401</v>
      </c>
      <c r="DL114" s="7">
        <v>367.08848561923799</v>
      </c>
      <c r="DM114" s="7">
        <v>32837.2310107226</v>
      </c>
      <c r="DN114" s="7">
        <v>81.487330863050403</v>
      </c>
      <c r="DO114" s="7">
        <f t="shared" si="158"/>
        <v>842.28509093511002</v>
      </c>
      <c r="DQ114" s="28">
        <v>15</v>
      </c>
      <c r="DR114" s="26">
        <v>5.0000000000000002E-5</v>
      </c>
      <c r="DS114" s="28">
        <v>15</v>
      </c>
      <c r="DT114" s="28">
        <v>300</v>
      </c>
      <c r="DU114" s="26">
        <v>4.9999999999999998E-8</v>
      </c>
      <c r="DV114" s="26">
        <f t="shared" si="159"/>
        <v>7.5000000000000002E-7</v>
      </c>
      <c r="DW114" s="26">
        <f t="shared" si="160"/>
        <v>0.03</v>
      </c>
      <c r="DX114" s="7">
        <v>42.843451254772702</v>
      </c>
      <c r="DY114" s="7">
        <v>202.84957985735099</v>
      </c>
      <c r="DZ114" s="7">
        <v>42.287816140325297</v>
      </c>
      <c r="EA114" s="7">
        <v>202.84957985735099</v>
      </c>
      <c r="EB114" s="7">
        <v>4378.2974680963498</v>
      </c>
      <c r="EC114" s="7">
        <v>50.929581789406498</v>
      </c>
      <c r="ED114" s="7">
        <f t="shared" si="161"/>
        <v>447.98697585502725</v>
      </c>
    </row>
    <row r="115" spans="1:134" x14ac:dyDescent="0.4">
      <c r="A115" s="28">
        <v>20</v>
      </c>
      <c r="B115" s="26">
        <v>1.0000000000000001E-5</v>
      </c>
      <c r="C115" s="28">
        <v>0.2</v>
      </c>
      <c r="D115" s="28">
        <v>30</v>
      </c>
      <c r="E115" s="26">
        <v>7.4999999999999997E-8</v>
      </c>
      <c r="F115" s="26">
        <f t="shared" si="135"/>
        <v>1.4999999999999999E-8</v>
      </c>
      <c r="G115" s="26">
        <f t="shared" si="136"/>
        <v>2.9999999999999996E-3</v>
      </c>
      <c r="H115" s="7">
        <v>4.7916868822150498</v>
      </c>
      <c r="I115" s="7">
        <v>7857.7524727739301</v>
      </c>
      <c r="J115" s="7">
        <v>4475.4086280782203</v>
      </c>
      <c r="K115" s="7">
        <v>7857.7524727739301</v>
      </c>
      <c r="L115" s="7">
        <v>2551974.2921694499</v>
      </c>
      <c r="M115" s="7">
        <v>2037.18327157626</v>
      </c>
      <c r="N115" s="7">
        <f t="shared" si="137"/>
        <v>20190.91357362608</v>
      </c>
      <c r="P115" s="28">
        <v>20</v>
      </c>
      <c r="Q115" s="26">
        <v>3.0000000000000001E-5</v>
      </c>
      <c r="R115" s="28">
        <v>0.2</v>
      </c>
      <c r="S115" s="28">
        <v>30</v>
      </c>
      <c r="T115" s="26">
        <v>7.4999999999999997E-8</v>
      </c>
      <c r="U115" s="26">
        <f t="shared" si="138"/>
        <v>1.4999999999999999E-8</v>
      </c>
      <c r="V115" s="26">
        <f t="shared" si="139"/>
        <v>9.999999999999998E-4</v>
      </c>
      <c r="W115" s="7">
        <v>5.3899875329896796</v>
      </c>
      <c r="X115" s="7">
        <v>2619.2508242245099</v>
      </c>
      <c r="Y115" s="7">
        <v>1491.80287602607</v>
      </c>
      <c r="Z115" s="7">
        <v>2619.2508242245099</v>
      </c>
      <c r="AA115" s="7">
        <v>850658.09849467594</v>
      </c>
      <c r="AB115" s="7">
        <v>226.35369684180699</v>
      </c>
      <c r="AC115" s="7">
        <f t="shared" si="140"/>
        <v>6730.3045244750901</v>
      </c>
      <c r="AE115" s="28">
        <v>20</v>
      </c>
      <c r="AF115" s="26">
        <v>5.0000000000000002E-5</v>
      </c>
      <c r="AG115" s="28">
        <v>0.2</v>
      </c>
      <c r="AH115" s="28">
        <v>30</v>
      </c>
      <c r="AI115" s="26">
        <v>7.4999999999999997E-8</v>
      </c>
      <c r="AJ115" s="26">
        <f t="shared" si="141"/>
        <v>1.4999999999999999E-8</v>
      </c>
      <c r="AK115" s="26">
        <f t="shared" si="142"/>
        <v>5.9999999999999995E-4</v>
      </c>
      <c r="AL115" s="7">
        <v>5.5282154694890497</v>
      </c>
      <c r="AM115" s="7">
        <v>1571.5504942513201</v>
      </c>
      <c r="AN115" s="7">
        <v>895.08172561564299</v>
      </c>
      <c r="AO115" s="7">
        <v>1571.5504942513201</v>
      </c>
      <c r="AP115" s="7">
        <v>510394.86845111102</v>
      </c>
      <c r="AQ115" s="7">
        <v>81.487330863050403</v>
      </c>
      <c r="AR115" s="7">
        <f t="shared" si="143"/>
        <v>4038.182714118283</v>
      </c>
      <c r="AT115" s="28">
        <v>20</v>
      </c>
      <c r="AU115" s="26">
        <v>1.0000000000000001E-5</v>
      </c>
      <c r="AV115" s="28">
        <v>0.2</v>
      </c>
      <c r="AW115" s="28">
        <v>200</v>
      </c>
      <c r="AX115" s="26">
        <v>7.4999999999999997E-8</v>
      </c>
      <c r="AY115" s="26">
        <f t="shared" si="144"/>
        <v>1.4999999999999999E-8</v>
      </c>
      <c r="AZ115" s="26">
        <f t="shared" si="145"/>
        <v>2.9999999999999996E-3</v>
      </c>
      <c r="BA115" s="7">
        <v>16.125814566139301</v>
      </c>
      <c r="BB115" s="7">
        <v>1196.98361424428</v>
      </c>
      <c r="BC115" s="7">
        <v>694.07852984949898</v>
      </c>
      <c r="BD115" s="7">
        <v>1196.98361424428</v>
      </c>
      <c r="BE115" s="7">
        <v>2551974.2921694499</v>
      </c>
      <c r="BF115" s="7">
        <v>2037.18327157626</v>
      </c>
      <c r="BG115" s="7">
        <f t="shared" si="146"/>
        <v>3088.0457583380589</v>
      </c>
      <c r="BI115" s="28">
        <v>20</v>
      </c>
      <c r="BJ115" s="26">
        <v>1.0000000000000001E-5</v>
      </c>
      <c r="BK115" s="28">
        <v>0.5</v>
      </c>
      <c r="BL115" s="28">
        <v>200</v>
      </c>
      <c r="BM115" s="26">
        <v>7.4999999999999997E-8</v>
      </c>
      <c r="BN115" s="26">
        <f t="shared" si="147"/>
        <v>3.7499999999999998E-8</v>
      </c>
      <c r="BO115" s="26">
        <f t="shared" si="148"/>
        <v>7.4999999999999989E-3</v>
      </c>
      <c r="BP115" s="7">
        <v>16.229573324833702</v>
      </c>
      <c r="BQ115" s="7">
        <v>1192.0586917390101</v>
      </c>
      <c r="BR115" s="7">
        <v>687.90288040570601</v>
      </c>
      <c r="BS115" s="7">
        <v>1192.0586917390101</v>
      </c>
      <c r="BT115" s="7">
        <v>1020789.71686778</v>
      </c>
      <c r="BU115" s="7">
        <v>2037.18327157626</v>
      </c>
      <c r="BV115" s="7">
        <f t="shared" si="149"/>
        <v>3072.0202638837263</v>
      </c>
      <c r="BX115" s="28">
        <v>20</v>
      </c>
      <c r="BY115" s="26">
        <v>5.0000000000000002E-5</v>
      </c>
      <c r="BZ115" s="28">
        <v>0.5</v>
      </c>
      <c r="CA115" s="28">
        <v>200</v>
      </c>
      <c r="CB115" s="26">
        <v>7.4999999999999997E-8</v>
      </c>
      <c r="CC115" s="26">
        <f t="shared" si="150"/>
        <v>3.7499999999999998E-8</v>
      </c>
      <c r="CD115" s="26">
        <f t="shared" si="151"/>
        <v>1.4999999999999998E-3</v>
      </c>
      <c r="CE115" s="7">
        <v>29.744842621259</v>
      </c>
      <c r="CF115" s="7">
        <v>238.41173833028401</v>
      </c>
      <c r="CG115" s="7">
        <v>137.580576081141</v>
      </c>
      <c r="CH115" s="7">
        <v>238.41173833028401</v>
      </c>
      <c r="CI115" s="7">
        <v>204157.947380445</v>
      </c>
      <c r="CJ115" s="7">
        <v>81.487330863050403</v>
      </c>
      <c r="CK115" s="7">
        <f t="shared" si="152"/>
        <v>614.40405274170905</v>
      </c>
      <c r="CM115" s="28">
        <v>20</v>
      </c>
      <c r="CN115" s="26">
        <v>5.0000000000000002E-5</v>
      </c>
      <c r="CO115" s="28">
        <v>1</v>
      </c>
      <c r="CP115" s="28">
        <v>200</v>
      </c>
      <c r="CQ115" s="26">
        <v>7.4999999999999997E-8</v>
      </c>
      <c r="CR115" s="26">
        <f t="shared" si="153"/>
        <v>7.4999999999999997E-8</v>
      </c>
      <c r="CS115" s="26">
        <f t="shared" si="154"/>
        <v>2.9999999999999996E-3</v>
      </c>
      <c r="CT115" s="7">
        <v>30.058964536285199</v>
      </c>
      <c r="CU115" s="7">
        <v>236.794372688691</v>
      </c>
      <c r="CV115" s="7">
        <v>135.57018035757301</v>
      </c>
      <c r="CW115" s="7">
        <v>236.794372688691</v>
      </c>
      <c r="CX115" s="7">
        <v>102078.973690222</v>
      </c>
      <c r="CY115" s="7">
        <v>81.487330863050403</v>
      </c>
      <c r="CZ115" s="7">
        <f t="shared" si="155"/>
        <v>609.15892573495501</v>
      </c>
      <c r="DB115" s="28">
        <v>20</v>
      </c>
      <c r="DC115" s="26">
        <v>5.0000000000000002E-5</v>
      </c>
      <c r="DD115" s="28">
        <v>2</v>
      </c>
      <c r="DE115" s="28">
        <v>200</v>
      </c>
      <c r="DF115" s="26">
        <v>7.4999999999999997E-8</v>
      </c>
      <c r="DG115" s="26">
        <f t="shared" si="156"/>
        <v>1.4999999999999999E-7</v>
      </c>
      <c r="DH115" s="26">
        <f t="shared" si="157"/>
        <v>5.9999999999999993E-3</v>
      </c>
      <c r="DI115" s="7">
        <v>30.6817752217082</v>
      </c>
      <c r="DJ115" s="7">
        <v>233.64718966736299</v>
      </c>
      <c r="DK115" s="7">
        <v>131.72072797829401</v>
      </c>
      <c r="DL115" s="7">
        <v>233.64718966736299</v>
      </c>
      <c r="DM115" s="7">
        <v>51039.486845111103</v>
      </c>
      <c r="DN115" s="7">
        <v>81.487330863050403</v>
      </c>
      <c r="DO115" s="7">
        <f t="shared" si="158"/>
        <v>599.01510731302005</v>
      </c>
      <c r="DQ115" s="28">
        <v>20</v>
      </c>
      <c r="DR115" s="26">
        <v>5.0000000000000002E-5</v>
      </c>
      <c r="DS115" s="28">
        <v>15</v>
      </c>
      <c r="DT115" s="28">
        <v>300</v>
      </c>
      <c r="DU115" s="26">
        <v>4.9999999999999998E-8</v>
      </c>
      <c r="DV115" s="26">
        <f t="shared" si="159"/>
        <v>7.5000000000000002E-7</v>
      </c>
      <c r="DW115" s="26">
        <f t="shared" si="160"/>
        <v>0.03</v>
      </c>
      <c r="DX115" s="7">
        <v>53.897712812082297</v>
      </c>
      <c r="DY115" s="7">
        <v>141.30482192536101</v>
      </c>
      <c r="DZ115" s="7">
        <v>71.560155029152398</v>
      </c>
      <c r="EA115" s="7">
        <v>141.30482192536101</v>
      </c>
      <c r="EB115" s="7">
        <v>6805.2649126814904</v>
      </c>
      <c r="EC115" s="7">
        <v>50.929581789406498</v>
      </c>
      <c r="ED115" s="7">
        <f t="shared" si="161"/>
        <v>354.16979887987441</v>
      </c>
    </row>
    <row r="116" spans="1:134" x14ac:dyDescent="0.4">
      <c r="A116" s="28">
        <v>25</v>
      </c>
      <c r="B116" s="26">
        <v>1.0000000000000001E-5</v>
      </c>
      <c r="C116" s="28">
        <v>0.2</v>
      </c>
      <c r="D116" s="28">
        <v>30</v>
      </c>
      <c r="E116" s="26">
        <v>7.4999999999999997E-8</v>
      </c>
      <c r="F116" s="26">
        <f t="shared" si="135"/>
        <v>1.4999999999999999E-8</v>
      </c>
      <c r="G116" s="26">
        <f t="shared" si="136"/>
        <v>2.9999999999999996E-3</v>
      </c>
      <c r="H116" s="7">
        <v>6.00272218500153</v>
      </c>
      <c r="I116" s="7">
        <v>5967.7070610572</v>
      </c>
      <c r="J116" s="7">
        <v>4769.5933204541298</v>
      </c>
      <c r="K116" s="7">
        <v>5967.7070610572</v>
      </c>
      <c r="L116" s="7">
        <v>3890230.9388607698</v>
      </c>
      <c r="M116" s="7">
        <v>2037.18327157626</v>
      </c>
      <c r="N116" s="7">
        <f t="shared" si="137"/>
        <v>16705.007442568531</v>
      </c>
      <c r="P116" s="28">
        <v>25</v>
      </c>
      <c r="Q116" s="26">
        <v>3.0000000000000001E-5</v>
      </c>
      <c r="R116" s="28">
        <v>0.2</v>
      </c>
      <c r="S116" s="28">
        <v>30</v>
      </c>
      <c r="T116" s="26">
        <v>7.4999999999999997E-8</v>
      </c>
      <c r="U116" s="26">
        <f t="shared" si="138"/>
        <v>1.4999999999999999E-8</v>
      </c>
      <c r="V116" s="26">
        <f t="shared" si="139"/>
        <v>9.999999999999998E-4</v>
      </c>
      <c r="W116" s="7">
        <v>6.9005860753116899</v>
      </c>
      <c r="X116" s="7">
        <v>1989.2356869965699</v>
      </c>
      <c r="Y116" s="7">
        <v>1589.86444015137</v>
      </c>
      <c r="Z116" s="7">
        <v>1989.2356869965699</v>
      </c>
      <c r="AA116" s="7">
        <v>1296743.6482743199</v>
      </c>
      <c r="AB116" s="7">
        <v>226.35369684180699</v>
      </c>
      <c r="AC116" s="7">
        <f t="shared" si="140"/>
        <v>5568.3358141445096</v>
      </c>
      <c r="AE116" s="28">
        <v>25</v>
      </c>
      <c r="AF116" s="26">
        <v>5.0000000000000002E-5</v>
      </c>
      <c r="AG116" s="28">
        <v>0.2</v>
      </c>
      <c r="AH116" s="28">
        <v>30</v>
      </c>
      <c r="AI116" s="26">
        <v>7.4999999999999997E-8</v>
      </c>
      <c r="AJ116" s="26">
        <f t="shared" si="141"/>
        <v>1.4999999999999999E-8</v>
      </c>
      <c r="AK116" s="26">
        <f t="shared" si="142"/>
        <v>5.9999999999999995E-4</v>
      </c>
      <c r="AL116" s="7">
        <v>7.1135675429052396</v>
      </c>
      <c r="AM116" s="7">
        <v>1193.54141200751</v>
      </c>
      <c r="AN116" s="7">
        <v>953.91866409082502</v>
      </c>
      <c r="AO116" s="7">
        <v>1193.54141200751</v>
      </c>
      <c r="AP116" s="7">
        <v>778046.205790887</v>
      </c>
      <c r="AQ116" s="7">
        <v>81.487330863050403</v>
      </c>
      <c r="AR116" s="7">
        <f t="shared" si="143"/>
        <v>3341.0014881058451</v>
      </c>
      <c r="AT116" s="28">
        <v>25</v>
      </c>
      <c r="AU116" s="26">
        <v>1.0000000000000001E-5</v>
      </c>
      <c r="AV116" s="28">
        <v>0.2</v>
      </c>
      <c r="AW116" s="28">
        <v>200</v>
      </c>
      <c r="AX116" s="26">
        <v>7.4999999999999997E-8</v>
      </c>
      <c r="AY116" s="26">
        <f t="shared" si="144"/>
        <v>1.4999999999999999E-8</v>
      </c>
      <c r="AZ116" s="26">
        <f t="shared" si="145"/>
        <v>2.9999999999999996E-3</v>
      </c>
      <c r="BA116" s="7">
        <v>18.791477014540799</v>
      </c>
      <c r="BB116" s="7">
        <v>904.92261526204402</v>
      </c>
      <c r="BC116" s="7">
        <v>729.47946385146201</v>
      </c>
      <c r="BD116" s="7">
        <v>904.92261526204402</v>
      </c>
      <c r="BE116" s="7">
        <v>3890230.9388607698</v>
      </c>
      <c r="BF116" s="7">
        <v>2037.18327157626</v>
      </c>
      <c r="BG116" s="7">
        <f t="shared" si="146"/>
        <v>2539.3246943755503</v>
      </c>
      <c r="BI116" s="28">
        <v>25</v>
      </c>
      <c r="BJ116" s="26">
        <v>1.0000000000000001E-5</v>
      </c>
      <c r="BK116" s="28">
        <v>0.5</v>
      </c>
      <c r="BL116" s="28">
        <v>200</v>
      </c>
      <c r="BM116" s="26">
        <v>7.4999999999999997E-8</v>
      </c>
      <c r="BN116" s="26">
        <f t="shared" si="147"/>
        <v>3.7499999999999998E-8</v>
      </c>
      <c r="BO116" s="26">
        <f t="shared" si="148"/>
        <v>7.4999999999999989E-3</v>
      </c>
      <c r="BP116" s="7">
        <v>18.864856648096801</v>
      </c>
      <c r="BQ116" s="7">
        <v>902.31159397251201</v>
      </c>
      <c r="BR116" s="7">
        <v>725.70943403112403</v>
      </c>
      <c r="BS116" s="7">
        <v>902.31159397251201</v>
      </c>
      <c r="BT116" s="7">
        <v>1556092.3755443101</v>
      </c>
      <c r="BU116" s="7">
        <v>2037.18327157626</v>
      </c>
      <c r="BV116" s="7">
        <f t="shared" si="149"/>
        <v>2530.3326219761479</v>
      </c>
      <c r="BX116" s="28">
        <v>25</v>
      </c>
      <c r="BY116" s="26">
        <v>5.0000000000000002E-5</v>
      </c>
      <c r="BZ116" s="28">
        <v>0.5</v>
      </c>
      <c r="CA116" s="28">
        <v>200</v>
      </c>
      <c r="CB116" s="26">
        <v>7.4999999999999997E-8</v>
      </c>
      <c r="CC116" s="26">
        <f t="shared" si="150"/>
        <v>3.7499999999999998E-8</v>
      </c>
      <c r="CD116" s="26">
        <f t="shared" si="151"/>
        <v>1.4999999999999998E-3</v>
      </c>
      <c r="CE116" s="7">
        <v>37.168658719233697</v>
      </c>
      <c r="CF116" s="7">
        <v>180.46231878283399</v>
      </c>
      <c r="CG116" s="7">
        <v>145.14188680622499</v>
      </c>
      <c r="CH116" s="7">
        <v>180.46231878283399</v>
      </c>
      <c r="CI116" s="7">
        <v>311218.48231635499</v>
      </c>
      <c r="CJ116" s="7">
        <v>81.487330863050403</v>
      </c>
      <c r="CK116" s="7">
        <f t="shared" si="152"/>
        <v>506.06652437189302</v>
      </c>
      <c r="CM116" s="28">
        <v>25</v>
      </c>
      <c r="CN116" s="26">
        <v>5.0000000000000002E-5</v>
      </c>
      <c r="CO116" s="28">
        <v>1</v>
      </c>
      <c r="CP116" s="28">
        <v>200</v>
      </c>
      <c r="CQ116" s="26">
        <v>7.4999999999999997E-8</v>
      </c>
      <c r="CR116" s="26">
        <f t="shared" si="153"/>
        <v>7.4999999999999997E-8</v>
      </c>
      <c r="CS116" s="26">
        <f t="shared" si="154"/>
        <v>2.9999999999999996E-3</v>
      </c>
      <c r="CT116" s="7">
        <v>37.413411579587297</v>
      </c>
      <c r="CU116" s="7">
        <v>179.60025764253999</v>
      </c>
      <c r="CV116" s="7">
        <v>143.90240734913101</v>
      </c>
      <c r="CW116" s="7">
        <v>179.60025764253999</v>
      </c>
      <c r="CX116" s="7">
        <v>155609.241158177</v>
      </c>
      <c r="CY116" s="7">
        <v>81.487330863050403</v>
      </c>
      <c r="CZ116" s="7">
        <f t="shared" si="155"/>
        <v>503.10292263421098</v>
      </c>
      <c r="DB116" s="28">
        <v>25</v>
      </c>
      <c r="DC116" s="26">
        <v>5.0000000000000002E-5</v>
      </c>
      <c r="DD116" s="28">
        <v>2</v>
      </c>
      <c r="DE116" s="28">
        <v>200</v>
      </c>
      <c r="DF116" s="26">
        <v>7.4999999999999997E-8</v>
      </c>
      <c r="DG116" s="26">
        <f t="shared" si="156"/>
        <v>1.4999999999999999E-7</v>
      </c>
      <c r="DH116" s="26">
        <f t="shared" si="157"/>
        <v>5.9999999999999993E-3</v>
      </c>
      <c r="DI116" s="7">
        <v>37.900352347541002</v>
      </c>
      <c r="DJ116" s="7">
        <v>177.90643586546901</v>
      </c>
      <c r="DK116" s="7">
        <v>141.48598257191699</v>
      </c>
      <c r="DL116" s="7">
        <v>177.90643586546901</v>
      </c>
      <c r="DM116" s="7">
        <v>77804.620579088703</v>
      </c>
      <c r="DN116" s="7">
        <v>81.487330863050403</v>
      </c>
      <c r="DO116" s="7">
        <f t="shared" si="158"/>
        <v>497.29885430285503</v>
      </c>
      <c r="DQ116" s="28">
        <v>25</v>
      </c>
      <c r="DR116" s="26">
        <v>5.0000000000000002E-5</v>
      </c>
      <c r="DS116" s="28">
        <v>15</v>
      </c>
      <c r="DT116" s="28">
        <v>300</v>
      </c>
      <c r="DU116" s="26">
        <v>4.9999999999999998E-8</v>
      </c>
      <c r="DV116" s="26">
        <f t="shared" si="159"/>
        <v>7.5000000000000002E-7</v>
      </c>
      <c r="DW116" s="26">
        <f t="shared" si="160"/>
        <v>0.03</v>
      </c>
      <c r="DX116" s="7">
        <v>63.529139314164397</v>
      </c>
      <c r="DY116" s="7">
        <v>110.42994925436599</v>
      </c>
      <c r="DZ116" s="7">
        <v>83.155364315094602</v>
      </c>
      <c r="EA116" s="7">
        <v>110.42994925436599</v>
      </c>
      <c r="EB116" s="7">
        <v>10373.949410545199</v>
      </c>
      <c r="EC116" s="7">
        <v>50.929581789406498</v>
      </c>
      <c r="ED116" s="7">
        <f t="shared" si="161"/>
        <v>304.01526282382656</v>
      </c>
    </row>
    <row r="117" spans="1:134" x14ac:dyDescent="0.4">
      <c r="A117" s="28">
        <v>30</v>
      </c>
      <c r="B117" s="26">
        <v>1.0000000000000001E-5</v>
      </c>
      <c r="C117" s="28">
        <v>0.2</v>
      </c>
      <c r="D117" s="28">
        <v>30</v>
      </c>
      <c r="E117" s="26">
        <v>7.4999999999999997E-8</v>
      </c>
      <c r="F117" s="26">
        <f t="shared" si="135"/>
        <v>1.4999999999999999E-8</v>
      </c>
      <c r="G117" s="26">
        <f t="shared" si="136"/>
        <v>2.9999999999999996E-3</v>
      </c>
      <c r="H117" s="7">
        <v>7.0813011543341799</v>
      </c>
      <c r="I117" s="7">
        <v>4807.3324198337996</v>
      </c>
      <c r="J117" s="7">
        <v>4988.6125859415297</v>
      </c>
      <c r="K117" s="7">
        <v>4807.3324198337996</v>
      </c>
      <c r="L117" s="7">
        <v>5893089.4851508904</v>
      </c>
      <c r="M117" s="7">
        <v>2037.18327157626</v>
      </c>
      <c r="N117" s="7">
        <f t="shared" si="137"/>
        <v>14603.277425609129</v>
      </c>
      <c r="P117" s="28">
        <v>30</v>
      </c>
      <c r="Q117" s="26">
        <v>3.0000000000000001E-5</v>
      </c>
      <c r="R117" s="28">
        <v>0.2</v>
      </c>
      <c r="S117" s="28">
        <v>30</v>
      </c>
      <c r="T117" s="26">
        <v>7.4999999999999997E-8</v>
      </c>
      <c r="U117" s="26">
        <f t="shared" si="138"/>
        <v>1.4999999999999999E-8</v>
      </c>
      <c r="V117" s="26">
        <f t="shared" si="139"/>
        <v>9.999999999999998E-4</v>
      </c>
      <c r="W117" s="7">
        <v>8.2825601396177397</v>
      </c>
      <c r="X117" s="7">
        <v>1602.4441399274999</v>
      </c>
      <c r="Y117" s="7">
        <v>1662.87086198051</v>
      </c>
      <c r="Z117" s="7">
        <v>1602.4441399274999</v>
      </c>
      <c r="AA117" s="7">
        <v>1964363.1651242101</v>
      </c>
      <c r="AB117" s="7">
        <v>226.35369684180699</v>
      </c>
      <c r="AC117" s="7">
        <f t="shared" si="140"/>
        <v>4867.7591418355096</v>
      </c>
      <c r="AE117" s="28">
        <v>30</v>
      </c>
      <c r="AF117" s="26">
        <v>5.0000000000000002E-5</v>
      </c>
      <c r="AG117" s="28">
        <v>0.2</v>
      </c>
      <c r="AH117" s="28">
        <v>30</v>
      </c>
      <c r="AI117" s="26">
        <v>7.4999999999999997E-8</v>
      </c>
      <c r="AJ117" s="26">
        <f t="shared" si="141"/>
        <v>1.4999999999999999E-8</v>
      </c>
      <c r="AK117" s="26">
        <f t="shared" si="142"/>
        <v>5.9999999999999995E-4</v>
      </c>
      <c r="AL117" s="7">
        <v>8.5736026653767201</v>
      </c>
      <c r="AM117" s="7">
        <v>961.46648381169098</v>
      </c>
      <c r="AN117" s="7">
        <v>997.72251718830603</v>
      </c>
      <c r="AO117" s="7">
        <v>961.46648381169098</v>
      </c>
      <c r="AP117" s="7">
        <v>1178617.9279219799</v>
      </c>
      <c r="AQ117" s="7">
        <v>81.487330863050403</v>
      </c>
      <c r="AR117" s="7">
        <f t="shared" si="143"/>
        <v>2920.655484811688</v>
      </c>
      <c r="AT117" s="28">
        <v>30</v>
      </c>
      <c r="AU117" s="26">
        <v>1.0000000000000001E-5</v>
      </c>
      <c r="AV117" s="28">
        <v>0.2</v>
      </c>
      <c r="AW117" s="28">
        <v>200</v>
      </c>
      <c r="AX117" s="26">
        <v>7.4999999999999997E-8</v>
      </c>
      <c r="AY117" s="26">
        <f t="shared" si="144"/>
        <v>1.4999999999999999E-8</v>
      </c>
      <c r="AZ117" s="26">
        <f t="shared" si="145"/>
        <v>2.9999999999999996E-3</v>
      </c>
      <c r="BA117" s="7">
        <v>20.991487243608098</v>
      </c>
      <c r="BB117" s="7">
        <v>727.37388968977803</v>
      </c>
      <c r="BC117" s="7">
        <v>758.42598130330396</v>
      </c>
      <c r="BD117" s="7">
        <v>727.37388968977803</v>
      </c>
      <c r="BE117" s="7">
        <v>5893089.4851508904</v>
      </c>
      <c r="BF117" s="7">
        <v>2037.18327157626</v>
      </c>
      <c r="BG117" s="7">
        <f t="shared" si="146"/>
        <v>2213.1737606828601</v>
      </c>
      <c r="BI117" s="28">
        <v>30</v>
      </c>
      <c r="BJ117" s="26">
        <v>1.0000000000000001E-5</v>
      </c>
      <c r="BK117" s="28">
        <v>0.5</v>
      </c>
      <c r="BL117" s="28">
        <v>200</v>
      </c>
      <c r="BM117" s="26">
        <v>7.4999999999999997E-8</v>
      </c>
      <c r="BN117" s="26">
        <f t="shared" si="147"/>
        <v>3.7499999999999998E-8</v>
      </c>
      <c r="BO117" s="26">
        <f t="shared" si="148"/>
        <v>7.4999999999999989E-3</v>
      </c>
      <c r="BP117" s="7">
        <v>21.045261817077801</v>
      </c>
      <c r="BQ117" s="7">
        <v>725.70064173773096</v>
      </c>
      <c r="BR117" s="7">
        <v>755.71672459466504</v>
      </c>
      <c r="BS117" s="7">
        <v>725.70064173773096</v>
      </c>
      <c r="BT117" s="7">
        <v>2357235.7940603602</v>
      </c>
      <c r="BU117" s="7">
        <v>2037.18327157626</v>
      </c>
      <c r="BV117" s="7">
        <f t="shared" si="149"/>
        <v>2207.118008070127</v>
      </c>
      <c r="BX117" s="28">
        <v>30</v>
      </c>
      <c r="BY117" s="26">
        <v>5.0000000000000002E-5</v>
      </c>
      <c r="BZ117" s="28">
        <v>0.5</v>
      </c>
      <c r="CA117" s="28">
        <v>200</v>
      </c>
      <c r="CB117" s="26">
        <v>7.4999999999999997E-8</v>
      </c>
      <c r="CC117" s="26">
        <f t="shared" si="150"/>
        <v>3.7499999999999998E-8</v>
      </c>
      <c r="CD117" s="26">
        <f t="shared" si="151"/>
        <v>1.4999999999999998E-3</v>
      </c>
      <c r="CE117" s="7">
        <v>43.684168556273001</v>
      </c>
      <c r="CF117" s="7">
        <v>145.140128338708</v>
      </c>
      <c r="CG117" s="7">
        <v>151.143344918933</v>
      </c>
      <c r="CH117" s="7">
        <v>145.140128338708</v>
      </c>
      <c r="CI117" s="7">
        <v>471447.17116879002</v>
      </c>
      <c r="CJ117" s="7">
        <v>81.487330863050403</v>
      </c>
      <c r="CK117" s="7">
        <f t="shared" si="152"/>
        <v>441.42360159634899</v>
      </c>
      <c r="CM117" s="28">
        <v>30</v>
      </c>
      <c r="CN117" s="26">
        <v>5.0000000000000002E-5</v>
      </c>
      <c r="CO117" s="28">
        <v>1</v>
      </c>
      <c r="CP117" s="28">
        <v>200</v>
      </c>
      <c r="CQ117" s="26">
        <v>7.4999999999999997E-8</v>
      </c>
      <c r="CR117" s="26">
        <f t="shared" si="153"/>
        <v>7.4999999999999997E-8</v>
      </c>
      <c r="CS117" s="26">
        <f t="shared" si="154"/>
        <v>2.9999999999999996E-3</v>
      </c>
      <c r="CT117" s="7">
        <v>43.885093618565001</v>
      </c>
      <c r="CU117" s="7">
        <v>144.58638467526899</v>
      </c>
      <c r="CV117" s="7">
        <v>150.24883810203599</v>
      </c>
      <c r="CW117" s="7">
        <v>144.58638467526899</v>
      </c>
      <c r="CX117" s="7">
        <v>235723.58558439501</v>
      </c>
      <c r="CY117" s="7">
        <v>81.487330863050403</v>
      </c>
      <c r="CZ117" s="7">
        <f t="shared" si="155"/>
        <v>439.42160745257399</v>
      </c>
      <c r="DB117" s="28">
        <v>30</v>
      </c>
      <c r="DC117" s="26">
        <v>5.0000000000000002E-5</v>
      </c>
      <c r="DD117" s="28">
        <v>2</v>
      </c>
      <c r="DE117" s="28">
        <v>200</v>
      </c>
      <c r="DF117" s="26">
        <v>7.4999999999999997E-8</v>
      </c>
      <c r="DG117" s="26">
        <f t="shared" si="156"/>
        <v>1.4999999999999999E-7</v>
      </c>
      <c r="DH117" s="26">
        <f t="shared" si="157"/>
        <v>5.9999999999999993E-3</v>
      </c>
      <c r="DI117" s="7">
        <v>44.285362902360603</v>
      </c>
      <c r="DJ117" s="7">
        <v>143.493651420682</v>
      </c>
      <c r="DK117" s="7">
        <v>148.49131311393799</v>
      </c>
      <c r="DL117" s="7">
        <v>143.493651420682</v>
      </c>
      <c r="DM117" s="7">
        <v>117861.792792198</v>
      </c>
      <c r="DN117" s="7">
        <v>81.487330863050403</v>
      </c>
      <c r="DO117" s="7">
        <f t="shared" si="158"/>
        <v>435.47861595530196</v>
      </c>
      <c r="DQ117" s="28">
        <v>30</v>
      </c>
      <c r="DR117" s="26">
        <v>5.0000000000000002E-5</v>
      </c>
      <c r="DS117" s="28">
        <v>15</v>
      </c>
      <c r="DT117" s="28">
        <v>300</v>
      </c>
      <c r="DU117" s="26">
        <v>4.9999999999999998E-8</v>
      </c>
      <c r="DV117" s="26">
        <f t="shared" si="159"/>
        <v>7.5000000000000002E-7</v>
      </c>
      <c r="DW117" s="26">
        <f t="shared" si="160"/>
        <v>0.03</v>
      </c>
      <c r="DX117" s="7">
        <v>72.387746262050797</v>
      </c>
      <c r="DY117" s="7">
        <v>90.265822408235607</v>
      </c>
      <c r="DZ117" s="7">
        <v>90.525422516156297</v>
      </c>
      <c r="EA117" s="7">
        <v>90.265822408235607</v>
      </c>
      <c r="EB117" s="7">
        <v>15714.905705626299</v>
      </c>
      <c r="EC117" s="7">
        <v>50.929581789406498</v>
      </c>
      <c r="ED117" s="7">
        <f t="shared" si="161"/>
        <v>271.05706733262753</v>
      </c>
    </row>
    <row r="118" spans="1:134" x14ac:dyDescent="0.4">
      <c r="A118" s="28">
        <v>35</v>
      </c>
      <c r="B118" s="26">
        <v>1.0000000000000001E-5</v>
      </c>
      <c r="C118" s="28">
        <v>0.2</v>
      </c>
      <c r="D118" s="28">
        <v>30</v>
      </c>
      <c r="E118" s="26">
        <v>7.4999999999999997E-8</v>
      </c>
      <c r="F118" s="26">
        <f t="shared" si="135"/>
        <v>1.4999999999999999E-8</v>
      </c>
      <c r="G118" s="26">
        <f t="shared" si="136"/>
        <v>2.9999999999999996E-3</v>
      </c>
      <c r="H118" s="7">
        <v>8.0796926608764501</v>
      </c>
      <c r="I118" s="7">
        <v>3984.07853527202</v>
      </c>
      <c r="J118" s="7">
        <v>5168.7820727017497</v>
      </c>
      <c r="K118" s="7">
        <v>3984.07853527202</v>
      </c>
      <c r="L118" s="7">
        <v>8973470.5022608098</v>
      </c>
      <c r="M118" s="7">
        <v>2037.18327157626</v>
      </c>
      <c r="N118" s="7">
        <f t="shared" si="137"/>
        <v>13136.939143245789</v>
      </c>
      <c r="P118" s="28">
        <v>35</v>
      </c>
      <c r="Q118" s="26">
        <v>3.0000000000000001E-5</v>
      </c>
      <c r="R118" s="28">
        <v>0.2</v>
      </c>
      <c r="S118" s="28">
        <v>30</v>
      </c>
      <c r="T118" s="26">
        <v>7.4999999999999997E-8</v>
      </c>
      <c r="U118" s="26">
        <f t="shared" si="138"/>
        <v>1.4999999999999999E-8</v>
      </c>
      <c r="V118" s="26">
        <f t="shared" si="139"/>
        <v>9.999999999999998E-4</v>
      </c>
      <c r="W118" s="7">
        <v>9.5908560864191408</v>
      </c>
      <c r="X118" s="7">
        <v>1328.02617841029</v>
      </c>
      <c r="Y118" s="7">
        <v>1722.9273575672501</v>
      </c>
      <c r="Z118" s="7">
        <v>1328.02617841029</v>
      </c>
      <c r="AA118" s="7">
        <v>2991156.8397606201</v>
      </c>
      <c r="AB118" s="7">
        <v>226.35369684180699</v>
      </c>
      <c r="AC118" s="7">
        <f t="shared" si="140"/>
        <v>4378.9797143878295</v>
      </c>
      <c r="AE118" s="28">
        <v>35</v>
      </c>
      <c r="AF118" s="26">
        <v>5.0000000000000002E-5</v>
      </c>
      <c r="AG118" s="28">
        <v>0.2</v>
      </c>
      <c r="AH118" s="28">
        <v>30</v>
      </c>
      <c r="AI118" s="26">
        <v>7.4999999999999997E-8</v>
      </c>
      <c r="AJ118" s="26">
        <f t="shared" si="141"/>
        <v>1.4999999999999999E-8</v>
      </c>
      <c r="AK118" s="26">
        <f t="shared" si="142"/>
        <v>5.9999999999999995E-4</v>
      </c>
      <c r="AL118" s="7">
        <v>9.9636979057538007</v>
      </c>
      <c r="AM118" s="7">
        <v>796.81570693005597</v>
      </c>
      <c r="AN118" s="7">
        <v>1033.7564145403501</v>
      </c>
      <c r="AO118" s="7">
        <v>796.81570693005597</v>
      </c>
      <c r="AP118" s="7">
        <v>1794694.1518928199</v>
      </c>
      <c r="AQ118" s="7">
        <v>81.487330863050403</v>
      </c>
      <c r="AR118" s="7">
        <f t="shared" si="143"/>
        <v>2627.3878284004622</v>
      </c>
      <c r="AT118" s="28">
        <v>35</v>
      </c>
      <c r="AU118" s="26">
        <v>1.0000000000000001E-5</v>
      </c>
      <c r="AV118" s="28">
        <v>0.2</v>
      </c>
      <c r="AW118" s="28">
        <v>200</v>
      </c>
      <c r="AX118" s="26">
        <v>7.4999999999999997E-8</v>
      </c>
      <c r="AY118" s="26">
        <f t="shared" si="144"/>
        <v>1.4999999999999999E-8</v>
      </c>
      <c r="AZ118" s="26">
        <f t="shared" si="145"/>
        <v>2.9999999999999996E-3</v>
      </c>
      <c r="BA118" s="7">
        <v>22.913296611346301</v>
      </c>
      <c r="BB118" s="7">
        <v>602.00500937137394</v>
      </c>
      <c r="BC118" s="7">
        <v>783.15203621901901</v>
      </c>
      <c r="BD118" s="7">
        <v>602.00500937137394</v>
      </c>
      <c r="BE118" s="7">
        <v>8973470.5022608098</v>
      </c>
      <c r="BF118" s="7">
        <v>2037.18327157626</v>
      </c>
      <c r="BG118" s="7">
        <f t="shared" si="146"/>
        <v>1987.1620549617669</v>
      </c>
      <c r="BI118" s="28">
        <v>35</v>
      </c>
      <c r="BJ118" s="26">
        <v>1.0000000000000001E-5</v>
      </c>
      <c r="BK118" s="28">
        <v>0.5</v>
      </c>
      <c r="BL118" s="28">
        <v>200</v>
      </c>
      <c r="BM118" s="26">
        <v>7.4999999999999997E-8</v>
      </c>
      <c r="BN118" s="26">
        <f t="shared" si="147"/>
        <v>3.7499999999999998E-8</v>
      </c>
      <c r="BO118" s="26">
        <f t="shared" si="148"/>
        <v>7.4999999999999989E-3</v>
      </c>
      <c r="BP118" s="7">
        <v>22.9532420835408</v>
      </c>
      <c r="BQ118" s="7">
        <v>600.83500597989303</v>
      </c>
      <c r="BR118" s="7">
        <v>781.06268252331097</v>
      </c>
      <c r="BS118" s="7">
        <v>600.83500597989303</v>
      </c>
      <c r="BT118" s="7">
        <v>3589388.20090432</v>
      </c>
      <c r="BU118" s="7">
        <v>2037.18327157626</v>
      </c>
      <c r="BV118" s="7">
        <f t="shared" si="149"/>
        <v>1982.732694483097</v>
      </c>
      <c r="BX118" s="28">
        <v>35</v>
      </c>
      <c r="BY118" s="26">
        <v>5.0000000000000002E-5</v>
      </c>
      <c r="BZ118" s="28">
        <v>0.5</v>
      </c>
      <c r="CA118" s="28">
        <v>200</v>
      </c>
      <c r="CB118" s="26">
        <v>7.4999999999999997E-8</v>
      </c>
      <c r="CC118" s="26">
        <f t="shared" si="150"/>
        <v>3.7499999999999998E-8</v>
      </c>
      <c r="CD118" s="26">
        <f t="shared" si="151"/>
        <v>1.4999999999999998E-3</v>
      </c>
      <c r="CE118" s="7">
        <v>49.651032214748099</v>
      </c>
      <c r="CF118" s="7">
        <v>120.167001188906</v>
      </c>
      <c r="CG118" s="7">
        <v>156.21253650466201</v>
      </c>
      <c r="CH118" s="7">
        <v>120.167001188906</v>
      </c>
      <c r="CI118" s="7">
        <v>717877.66075713001</v>
      </c>
      <c r="CJ118" s="7">
        <v>81.487330863050403</v>
      </c>
      <c r="CK118" s="7">
        <f t="shared" si="152"/>
        <v>396.54653888247401</v>
      </c>
      <c r="CM118" s="28">
        <v>35</v>
      </c>
      <c r="CN118" s="26">
        <v>5.0000000000000002E-5</v>
      </c>
      <c r="CO118" s="28">
        <v>1</v>
      </c>
      <c r="CP118" s="28">
        <v>200</v>
      </c>
      <c r="CQ118" s="26">
        <v>7.4999999999999997E-8</v>
      </c>
      <c r="CR118" s="26">
        <f t="shared" si="153"/>
        <v>7.4999999999999997E-8</v>
      </c>
      <c r="CS118" s="26">
        <f t="shared" si="154"/>
        <v>2.9999999999999996E-3</v>
      </c>
      <c r="CT118" s="7">
        <v>49.820115390066398</v>
      </c>
      <c r="CU118" s="7">
        <v>119.779274796552</v>
      </c>
      <c r="CV118" s="7">
        <v>155.521045898078</v>
      </c>
      <c r="CW118" s="7">
        <v>119.779274796552</v>
      </c>
      <c r="CX118" s="7">
        <v>358938.83037856501</v>
      </c>
      <c r="CY118" s="7">
        <v>81.487330863050403</v>
      </c>
      <c r="CZ118" s="7">
        <f t="shared" si="155"/>
        <v>395.07959549118198</v>
      </c>
      <c r="DB118" s="28">
        <v>35</v>
      </c>
      <c r="DC118" s="26">
        <v>5.0000000000000002E-5</v>
      </c>
      <c r="DD118" s="28">
        <v>2</v>
      </c>
      <c r="DE118" s="28">
        <v>200</v>
      </c>
      <c r="DF118" s="26">
        <v>7.4999999999999997E-8</v>
      </c>
      <c r="DG118" s="26">
        <f t="shared" si="156"/>
        <v>1.4999999999999999E-7</v>
      </c>
      <c r="DH118" s="26">
        <f t="shared" si="157"/>
        <v>5.9999999999999993E-3</v>
      </c>
      <c r="DI118" s="7">
        <v>50.157185733847101</v>
      </c>
      <c r="DJ118" s="7">
        <v>119.01223137089301</v>
      </c>
      <c r="DK118" s="7">
        <v>154.156369850555</v>
      </c>
      <c r="DL118" s="7">
        <v>119.01223137089301</v>
      </c>
      <c r="DM118" s="7">
        <v>179469.41518928201</v>
      </c>
      <c r="DN118" s="7">
        <v>81.487330863050403</v>
      </c>
      <c r="DO118" s="7">
        <f t="shared" si="158"/>
        <v>392.18083259234101</v>
      </c>
      <c r="DQ118" s="28">
        <v>35</v>
      </c>
      <c r="DR118" s="26">
        <v>5.0000000000000002E-5</v>
      </c>
      <c r="DS118" s="28">
        <v>15</v>
      </c>
      <c r="DT118" s="28">
        <v>300</v>
      </c>
      <c r="DU118" s="26">
        <v>4.9999999999999998E-8</v>
      </c>
      <c r="DV118" s="26">
        <f t="shared" si="159"/>
        <v>7.5000000000000002E-7</v>
      </c>
      <c r="DW118" s="26">
        <f t="shared" si="160"/>
        <v>0.03</v>
      </c>
      <c r="DX118" s="7">
        <v>80.723583665886395</v>
      </c>
      <c r="DY118" s="7">
        <v>75.5008244304708</v>
      </c>
      <c r="DZ118" s="7">
        <v>96.032312732024195</v>
      </c>
      <c r="EA118" s="7">
        <v>75.5008244304708</v>
      </c>
      <c r="EB118" s="7">
        <v>23929.255358571001</v>
      </c>
      <c r="EC118" s="7">
        <v>50.929581789406498</v>
      </c>
      <c r="ED118" s="7">
        <f t="shared" si="161"/>
        <v>247.0339615929658</v>
      </c>
    </row>
    <row r="119" spans="1:134" x14ac:dyDescent="0.4">
      <c r="A119" s="28">
        <v>40</v>
      </c>
      <c r="B119" s="26">
        <v>1.0000000000000001E-5</v>
      </c>
      <c r="C119" s="28">
        <v>0.2</v>
      </c>
      <c r="D119" s="28">
        <v>30</v>
      </c>
      <c r="E119" s="26">
        <v>7.4999999999999997E-8</v>
      </c>
      <c r="F119" s="26">
        <f t="shared" si="135"/>
        <v>1.4999999999999999E-8</v>
      </c>
      <c r="G119" s="26">
        <f t="shared" si="136"/>
        <v>2.9999999999999996E-3</v>
      </c>
      <c r="H119" s="7">
        <v>9.0215327387086894</v>
      </c>
      <c r="I119" s="7">
        <v>3352.9677929484601</v>
      </c>
      <c r="J119" s="7">
        <v>5323.5334580216904</v>
      </c>
      <c r="K119" s="7">
        <v>3352.9677929484601</v>
      </c>
      <c r="L119" s="7">
        <v>13908939.478979601</v>
      </c>
      <c r="M119" s="7">
        <v>2037.18327157626</v>
      </c>
      <c r="N119" s="7">
        <f t="shared" si="137"/>
        <v>12029.469043918611</v>
      </c>
      <c r="P119" s="28">
        <v>40</v>
      </c>
      <c r="Q119" s="26">
        <v>3.0000000000000001E-5</v>
      </c>
      <c r="R119" s="28">
        <v>0.2</v>
      </c>
      <c r="S119" s="28">
        <v>30</v>
      </c>
      <c r="T119" s="26">
        <v>7.4999999999999997E-8</v>
      </c>
      <c r="U119" s="26">
        <f t="shared" si="138"/>
        <v>1.4999999999999999E-8</v>
      </c>
      <c r="V119" s="26">
        <f t="shared" si="139"/>
        <v>9.999999999999998E-4</v>
      </c>
      <c r="W119" s="7">
        <v>10.849818962613501</v>
      </c>
      <c r="X119" s="7">
        <v>1117.6559309715101</v>
      </c>
      <c r="Y119" s="7">
        <v>1774.5111526738999</v>
      </c>
      <c r="Z119" s="7">
        <v>1117.6559309715101</v>
      </c>
      <c r="AA119" s="7">
        <v>4636313.1689486196</v>
      </c>
      <c r="AB119" s="7">
        <v>226.35369684180699</v>
      </c>
      <c r="AC119" s="7">
        <f t="shared" si="140"/>
        <v>4009.8230146169199</v>
      </c>
      <c r="AE119" s="28">
        <v>40</v>
      </c>
      <c r="AF119" s="26">
        <v>5.0000000000000002E-5</v>
      </c>
      <c r="AG119" s="28">
        <v>0.2</v>
      </c>
      <c r="AH119" s="28">
        <v>30</v>
      </c>
      <c r="AI119" s="26">
        <v>7.4999999999999997E-8</v>
      </c>
      <c r="AJ119" s="26">
        <f t="shared" si="141"/>
        <v>1.4999999999999999E-8</v>
      </c>
      <c r="AK119" s="26">
        <f t="shared" si="142"/>
        <v>5.9999999999999995E-4</v>
      </c>
      <c r="AL119" s="7">
        <v>11.308268604994799</v>
      </c>
      <c r="AM119" s="7">
        <v>670.59355848720395</v>
      </c>
      <c r="AN119" s="7">
        <v>1064.70669160434</v>
      </c>
      <c r="AO119" s="7">
        <v>670.59355848720395</v>
      </c>
      <c r="AP119" s="7">
        <v>2781787.9800138599</v>
      </c>
      <c r="AQ119" s="7">
        <v>81.487330863050403</v>
      </c>
      <c r="AR119" s="7">
        <f t="shared" si="143"/>
        <v>2405.8938085787481</v>
      </c>
      <c r="AT119" s="28">
        <v>40</v>
      </c>
      <c r="AU119" s="26">
        <v>1.0000000000000001E-5</v>
      </c>
      <c r="AV119" s="28">
        <v>0.2</v>
      </c>
      <c r="AW119" s="28">
        <v>200</v>
      </c>
      <c r="AX119" s="26">
        <v>7.4999999999999997E-8</v>
      </c>
      <c r="AY119" s="26">
        <f t="shared" si="144"/>
        <v>1.4999999999999999E-8</v>
      </c>
      <c r="AZ119" s="26">
        <f t="shared" si="145"/>
        <v>2.9999999999999996E-3</v>
      </c>
      <c r="BA119" s="7">
        <v>24.641313242682202</v>
      </c>
      <c r="BB119" s="7">
        <v>506.171357939058</v>
      </c>
      <c r="BC119" s="7">
        <v>804.808472591532</v>
      </c>
      <c r="BD119" s="7">
        <v>506.171357939058</v>
      </c>
      <c r="BE119" s="7">
        <v>13908939.478979601</v>
      </c>
      <c r="BF119" s="7">
        <v>2037.18327157626</v>
      </c>
      <c r="BG119" s="7">
        <f t="shared" si="146"/>
        <v>1817.1511884696479</v>
      </c>
      <c r="BI119" s="28">
        <v>40</v>
      </c>
      <c r="BJ119" s="26">
        <v>1.0000000000000001E-5</v>
      </c>
      <c r="BK119" s="28">
        <v>0.5</v>
      </c>
      <c r="BL119" s="28">
        <v>200</v>
      </c>
      <c r="BM119" s="26">
        <v>7.4999999999999997E-8</v>
      </c>
      <c r="BN119" s="26">
        <f t="shared" si="147"/>
        <v>3.7499999999999998E-8</v>
      </c>
      <c r="BO119" s="26">
        <f t="shared" si="148"/>
        <v>7.4999999999999989E-3</v>
      </c>
      <c r="BP119" s="7">
        <v>24.6711370906898</v>
      </c>
      <c r="BQ119" s="7">
        <v>505.31296257696903</v>
      </c>
      <c r="BR119" s="7">
        <v>803.13685140779603</v>
      </c>
      <c r="BS119" s="7">
        <v>505.31296257696903</v>
      </c>
      <c r="BT119" s="7">
        <v>5563575.7915918296</v>
      </c>
      <c r="BU119" s="7">
        <v>2037.18327157626</v>
      </c>
      <c r="BV119" s="7">
        <f t="shared" si="149"/>
        <v>1813.7627765617342</v>
      </c>
      <c r="BX119" s="28">
        <v>40</v>
      </c>
      <c r="BY119" s="26">
        <v>5.0000000000000002E-5</v>
      </c>
      <c r="BZ119" s="28">
        <v>0.5</v>
      </c>
      <c r="CA119" s="28">
        <v>200</v>
      </c>
      <c r="CB119" s="26">
        <v>7.4999999999999997E-8</v>
      </c>
      <c r="CC119" s="26">
        <f t="shared" si="150"/>
        <v>3.7499999999999998E-8</v>
      </c>
      <c r="CD119" s="26">
        <f t="shared" si="151"/>
        <v>1.4999999999999998E-3</v>
      </c>
      <c r="CE119" s="7">
        <v>55.230859067384202</v>
      </c>
      <c r="CF119" s="7">
        <v>101.06259250957299</v>
      </c>
      <c r="CG119" s="7">
        <v>160.627370281559</v>
      </c>
      <c r="CH119" s="7">
        <v>101.06259250957299</v>
      </c>
      <c r="CI119" s="7">
        <v>1112715.19200554</v>
      </c>
      <c r="CJ119" s="7">
        <v>81.487330863050403</v>
      </c>
      <c r="CK119" s="7">
        <f t="shared" si="152"/>
        <v>362.75255530070496</v>
      </c>
      <c r="CM119" s="28">
        <v>40</v>
      </c>
      <c r="CN119" s="26">
        <v>5.0000000000000002E-5</v>
      </c>
      <c r="CO119" s="28">
        <v>1</v>
      </c>
      <c r="CP119" s="28">
        <v>200</v>
      </c>
      <c r="CQ119" s="26">
        <v>7.4999999999999997E-8</v>
      </c>
      <c r="CR119" s="26">
        <f t="shared" si="153"/>
        <v>7.4999999999999997E-8</v>
      </c>
      <c r="CS119" s="26">
        <f t="shared" si="154"/>
        <v>2.9999999999999996E-3</v>
      </c>
      <c r="CT119" s="7">
        <v>55.375173663296202</v>
      </c>
      <c r="CU119" s="7">
        <v>100.77787314708399</v>
      </c>
      <c r="CV119" s="7">
        <v>160.073267279547</v>
      </c>
      <c r="CW119" s="7">
        <v>100.77787314708399</v>
      </c>
      <c r="CX119" s="7">
        <v>556357.59600277198</v>
      </c>
      <c r="CY119" s="7">
        <v>81.487330863050403</v>
      </c>
      <c r="CZ119" s="7">
        <f t="shared" si="155"/>
        <v>361.62901357371499</v>
      </c>
      <c r="DB119" s="28">
        <v>40</v>
      </c>
      <c r="DC119" s="26">
        <v>5.0000000000000002E-5</v>
      </c>
      <c r="DD119" s="28">
        <v>2</v>
      </c>
      <c r="DE119" s="28">
        <v>200</v>
      </c>
      <c r="DF119" s="26">
        <v>7.4999999999999997E-8</v>
      </c>
      <c r="DG119" s="26">
        <f t="shared" si="156"/>
        <v>1.4999999999999999E-7</v>
      </c>
      <c r="DH119" s="26">
        <f t="shared" si="157"/>
        <v>5.9999999999999993E-3</v>
      </c>
      <c r="DI119" s="7">
        <v>55.662992757264398</v>
      </c>
      <c r="DJ119" s="7">
        <v>100.213668542356</v>
      </c>
      <c r="DK119" s="7">
        <v>158.97655523681999</v>
      </c>
      <c r="DL119" s="7">
        <v>100.213668542356</v>
      </c>
      <c r="DM119" s="7">
        <v>278178.79800138599</v>
      </c>
      <c r="DN119" s="7">
        <v>81.487330863050403</v>
      </c>
      <c r="DO119" s="7">
        <f t="shared" si="158"/>
        <v>359.403892321532</v>
      </c>
      <c r="DQ119" s="28">
        <v>40</v>
      </c>
      <c r="DR119" s="26">
        <v>5.0000000000000002E-5</v>
      </c>
      <c r="DS119" s="28">
        <v>15</v>
      </c>
      <c r="DT119" s="28">
        <v>300</v>
      </c>
      <c r="DU119" s="26">
        <v>4.9999999999999998E-8</v>
      </c>
      <c r="DV119" s="26">
        <f t="shared" si="159"/>
        <v>7.5000000000000002E-7</v>
      </c>
      <c r="DW119" s="26">
        <f t="shared" si="160"/>
        <v>0.03</v>
      </c>
      <c r="DX119" s="7">
        <v>88.662173635438194</v>
      </c>
      <c r="DY119" s="7">
        <v>63.957630951740299</v>
      </c>
      <c r="DZ119" s="7">
        <v>100.479958515748</v>
      </c>
      <c r="EA119" s="7">
        <v>63.957630951740299</v>
      </c>
      <c r="EB119" s="7">
        <v>37090.5064001848</v>
      </c>
      <c r="EC119" s="7">
        <v>50.929581789406498</v>
      </c>
      <c r="ED119" s="7">
        <f t="shared" si="161"/>
        <v>228.39522041922859</v>
      </c>
    </row>
    <row r="120" spans="1:134" x14ac:dyDescent="0.4">
      <c r="A120" s="28">
        <v>45</v>
      </c>
      <c r="B120" s="26">
        <v>1.0000000000000001E-5</v>
      </c>
      <c r="C120" s="28">
        <v>0.2</v>
      </c>
      <c r="D120" s="28">
        <v>30</v>
      </c>
      <c r="E120" s="26">
        <v>7.4999999999999997E-8</v>
      </c>
      <c r="F120" s="26">
        <f t="shared" si="135"/>
        <v>1.4999999999999999E-8</v>
      </c>
      <c r="G120" s="26">
        <f t="shared" si="136"/>
        <v>2.9999999999999996E-3</v>
      </c>
      <c r="H120" s="7">
        <v>9.9202105476179998</v>
      </c>
      <c r="I120" s="7">
        <v>2844.9728255004802</v>
      </c>
      <c r="J120" s="7">
        <v>5459.8455675855203</v>
      </c>
      <c r="K120" s="7">
        <v>2844.9728255004802</v>
      </c>
      <c r="L120" s="7">
        <v>22314016.336053099</v>
      </c>
      <c r="M120" s="7">
        <v>2037.18327157626</v>
      </c>
      <c r="N120" s="7">
        <f t="shared" si="137"/>
        <v>11149.791218586481</v>
      </c>
      <c r="P120" s="28">
        <v>45</v>
      </c>
      <c r="Q120" s="26">
        <v>3.0000000000000001E-5</v>
      </c>
      <c r="R120" s="28">
        <v>0.2</v>
      </c>
      <c r="S120" s="28">
        <v>30</v>
      </c>
      <c r="T120" s="26">
        <v>7.4999999999999997E-8</v>
      </c>
      <c r="U120" s="26">
        <f t="shared" si="138"/>
        <v>1.4999999999999999E-8</v>
      </c>
      <c r="V120" s="26">
        <f t="shared" si="139"/>
        <v>9.999999999999998E-4</v>
      </c>
      <c r="W120" s="7">
        <v>12.073035197372301</v>
      </c>
      <c r="X120" s="7">
        <v>948.32427515736799</v>
      </c>
      <c r="Y120" s="7">
        <v>1819.94852252851</v>
      </c>
      <c r="Z120" s="7">
        <v>948.32427515736799</v>
      </c>
      <c r="AA120" s="7">
        <v>7438005.4604388904</v>
      </c>
      <c r="AB120" s="7">
        <v>226.35369684180699</v>
      </c>
      <c r="AC120" s="7">
        <f t="shared" si="140"/>
        <v>3716.5970728432458</v>
      </c>
      <c r="AE120" s="28">
        <v>45</v>
      </c>
      <c r="AF120" s="26">
        <v>5.0000000000000002E-5</v>
      </c>
      <c r="AG120" s="28">
        <v>0.2</v>
      </c>
      <c r="AH120" s="28">
        <v>30</v>
      </c>
      <c r="AI120" s="26">
        <v>7.4999999999999997E-8</v>
      </c>
      <c r="AJ120" s="26">
        <f t="shared" si="141"/>
        <v>1.4999999999999999E-8</v>
      </c>
      <c r="AK120" s="26">
        <f t="shared" si="142"/>
        <v>5.9999999999999995E-4</v>
      </c>
      <c r="AL120" s="7">
        <v>12.620897480769599</v>
      </c>
      <c r="AM120" s="7">
        <v>568.99456501435202</v>
      </c>
      <c r="AN120" s="7">
        <v>1091.9691135170999</v>
      </c>
      <c r="AO120" s="7">
        <v>568.99456501435202</v>
      </c>
      <c r="AP120" s="7">
        <v>4462803.4040061999</v>
      </c>
      <c r="AQ120" s="7">
        <v>81.487330863050403</v>
      </c>
      <c r="AR120" s="7">
        <f t="shared" si="143"/>
        <v>2229.9582435458042</v>
      </c>
      <c r="AT120" s="28">
        <v>45</v>
      </c>
      <c r="AU120" s="26">
        <v>1.0000000000000001E-5</v>
      </c>
      <c r="AV120" s="28">
        <v>0.2</v>
      </c>
      <c r="AW120" s="28">
        <v>200</v>
      </c>
      <c r="AX120" s="26">
        <v>7.4999999999999997E-8</v>
      </c>
      <c r="AY120" s="26">
        <f t="shared" si="144"/>
        <v>1.4999999999999999E-8</v>
      </c>
      <c r="AZ120" s="26">
        <f t="shared" si="145"/>
        <v>2.9999999999999996E-3</v>
      </c>
      <c r="BA120" s="7">
        <v>26.223207654742399</v>
      </c>
      <c r="BB120" s="7">
        <v>429.182314820393</v>
      </c>
      <c r="BC120" s="7">
        <v>824.10906225483302</v>
      </c>
      <c r="BD120" s="7">
        <v>429.182314820393</v>
      </c>
      <c r="BE120" s="7">
        <v>22314016.336053099</v>
      </c>
      <c r="BF120" s="7">
        <v>2037.18327157626</v>
      </c>
      <c r="BG120" s="7">
        <f t="shared" si="146"/>
        <v>1682.4736918956191</v>
      </c>
      <c r="BI120" s="28">
        <v>45</v>
      </c>
      <c r="BJ120" s="26">
        <v>1.0000000000000001E-5</v>
      </c>
      <c r="BK120" s="28">
        <v>0.5</v>
      </c>
      <c r="BL120" s="28">
        <v>200</v>
      </c>
      <c r="BM120" s="26">
        <v>7.4999999999999997E-8</v>
      </c>
      <c r="BN120" s="26">
        <f t="shared" si="147"/>
        <v>3.7499999999999998E-8</v>
      </c>
      <c r="BO120" s="26">
        <f t="shared" si="148"/>
        <v>7.4999999999999989E-3</v>
      </c>
      <c r="BP120" s="7">
        <v>26.2454745379682</v>
      </c>
      <c r="BQ120" s="7">
        <v>428.53449983983199</v>
      </c>
      <c r="BR120" s="7">
        <v>822.74419088845502</v>
      </c>
      <c r="BS120" s="7">
        <v>428.53449983983199</v>
      </c>
      <c r="BT120" s="7">
        <v>8925606.5344212595</v>
      </c>
      <c r="BU120" s="7">
        <v>2037.18327157626</v>
      </c>
      <c r="BV120" s="7">
        <f t="shared" si="149"/>
        <v>1679.8131905681191</v>
      </c>
      <c r="BX120" s="28">
        <v>45</v>
      </c>
      <c r="BY120" s="26">
        <v>5.0000000000000002E-5</v>
      </c>
      <c r="BZ120" s="28">
        <v>0.5</v>
      </c>
      <c r="CA120" s="28">
        <v>200</v>
      </c>
      <c r="CB120" s="26">
        <v>7.4999999999999997E-8</v>
      </c>
      <c r="CC120" s="26">
        <f t="shared" si="150"/>
        <v>3.7499999999999998E-8</v>
      </c>
      <c r="CD120" s="26">
        <f t="shared" si="151"/>
        <v>1.4999999999999998E-3</v>
      </c>
      <c r="CE120" s="7">
        <v>60.515043744201698</v>
      </c>
      <c r="CF120" s="7">
        <v>85.706899963102501</v>
      </c>
      <c r="CG120" s="7">
        <v>164.54883817769101</v>
      </c>
      <c r="CH120" s="7">
        <v>85.706899963102501</v>
      </c>
      <c r="CI120" s="7">
        <v>1785121.3616024801</v>
      </c>
      <c r="CJ120" s="7">
        <v>81.487330863050403</v>
      </c>
      <c r="CK120" s="7">
        <f t="shared" si="152"/>
        <v>335.96263810389598</v>
      </c>
      <c r="CM120" s="28">
        <v>45</v>
      </c>
      <c r="CN120" s="26">
        <v>5.0000000000000002E-5</v>
      </c>
      <c r="CO120" s="28">
        <v>1</v>
      </c>
      <c r="CP120" s="28">
        <v>200</v>
      </c>
      <c r="CQ120" s="26">
        <v>7.4999999999999997E-8</v>
      </c>
      <c r="CR120" s="26">
        <f t="shared" si="153"/>
        <v>7.4999999999999997E-8</v>
      </c>
      <c r="CS120" s="26">
        <f t="shared" si="154"/>
        <v>2.9999999999999996E-3</v>
      </c>
      <c r="CT120" s="7">
        <v>60.639203734659397</v>
      </c>
      <c r="CU120" s="7">
        <v>85.491887514072303</v>
      </c>
      <c r="CV120" s="7">
        <v>164.095913900619</v>
      </c>
      <c r="CW120" s="7">
        <v>85.491887514072303</v>
      </c>
      <c r="CX120" s="7">
        <v>892560.68080124003</v>
      </c>
      <c r="CY120" s="7">
        <v>81.487330863050403</v>
      </c>
      <c r="CZ120" s="7">
        <f t="shared" si="155"/>
        <v>335.07968892876357</v>
      </c>
      <c r="DB120" s="28">
        <v>45</v>
      </c>
      <c r="DC120" s="26">
        <v>5.0000000000000002E-5</v>
      </c>
      <c r="DD120" s="28">
        <v>2</v>
      </c>
      <c r="DE120" s="28">
        <v>200</v>
      </c>
      <c r="DF120" s="26">
        <v>7.4999999999999997E-8</v>
      </c>
      <c r="DG120" s="26">
        <f t="shared" si="156"/>
        <v>1.4999999999999999E-7</v>
      </c>
      <c r="DH120" s="26">
        <f t="shared" si="157"/>
        <v>5.9999999999999993E-3</v>
      </c>
      <c r="DI120" s="7">
        <v>60.886901454401396</v>
      </c>
      <c r="DJ120" s="7">
        <v>85.065299620820397</v>
      </c>
      <c r="DK120" s="7">
        <v>163.197611169178</v>
      </c>
      <c r="DL120" s="7">
        <v>85.065299620820397</v>
      </c>
      <c r="DM120" s="7">
        <v>446280.34040062001</v>
      </c>
      <c r="DN120" s="7">
        <v>81.487330863050403</v>
      </c>
      <c r="DO120" s="7">
        <f t="shared" si="158"/>
        <v>333.32821041081877</v>
      </c>
      <c r="DQ120" s="28">
        <v>45</v>
      </c>
      <c r="DR120" s="26">
        <v>5.0000000000000002E-5</v>
      </c>
      <c r="DS120" s="28">
        <v>15</v>
      </c>
      <c r="DT120" s="28">
        <v>300</v>
      </c>
      <c r="DU120" s="26">
        <v>4.9999999999999998E-8</v>
      </c>
      <c r="DV120" s="26">
        <f t="shared" si="159"/>
        <v>7.5000000000000002E-7</v>
      </c>
      <c r="DW120" s="26">
        <f t="shared" si="160"/>
        <v>0.03</v>
      </c>
      <c r="DX120" s="7">
        <v>96.278864937402403</v>
      </c>
      <c r="DY120" s="7">
        <v>54.539450656433999</v>
      </c>
      <c r="DZ120" s="7">
        <v>104.236562937325</v>
      </c>
      <c r="EA120" s="7">
        <v>54.539450656433999</v>
      </c>
      <c r="EB120" s="7">
        <v>59504.045386749298</v>
      </c>
      <c r="EC120" s="7">
        <v>50.929581789406498</v>
      </c>
      <c r="ED120" s="7">
        <f t="shared" si="161"/>
        <v>213.31546425019297</v>
      </c>
    </row>
    <row r="121" spans="1:134" x14ac:dyDescent="0.4">
      <c r="A121" s="28">
        <v>50</v>
      </c>
      <c r="B121" s="26">
        <v>1.0000000000000001E-5</v>
      </c>
      <c r="C121" s="28">
        <v>0.2</v>
      </c>
      <c r="D121" s="28">
        <v>30</v>
      </c>
      <c r="E121" s="26">
        <v>7.4999999999999997E-8</v>
      </c>
      <c r="F121" s="26">
        <f t="shared" si="135"/>
        <v>1.4999999999999999E-8</v>
      </c>
      <c r="G121" s="26">
        <f t="shared" si="136"/>
        <v>2.9999999999999996E-3</v>
      </c>
      <c r="H121" s="7">
        <v>10.7843252154347</v>
      </c>
      <c r="I121" s="7">
        <v>2422.0764785389101</v>
      </c>
      <c r="J121" s="7">
        <v>5581.9822447758097</v>
      </c>
      <c r="K121" s="7">
        <v>2422.0764785389101</v>
      </c>
      <c r="L121" s="7">
        <v>38032949.861855596</v>
      </c>
      <c r="M121" s="7">
        <v>2037.18327157626</v>
      </c>
      <c r="N121" s="7">
        <f t="shared" si="137"/>
        <v>10426.135201853631</v>
      </c>
      <c r="P121" s="28">
        <v>50</v>
      </c>
      <c r="Q121" s="26">
        <v>3.0000000000000001E-5</v>
      </c>
      <c r="R121" s="28">
        <v>0.2</v>
      </c>
      <c r="S121" s="28">
        <v>30</v>
      </c>
      <c r="T121" s="26">
        <v>7.4999999999999997E-8</v>
      </c>
      <c r="U121" s="26">
        <f t="shared" si="138"/>
        <v>1.4999999999999999E-8</v>
      </c>
      <c r="V121" s="26">
        <f t="shared" si="139"/>
        <v>9.999999999999998E-4</v>
      </c>
      <c r="W121" s="7">
        <v>13.2691401366087</v>
      </c>
      <c r="X121" s="7">
        <v>807.35882617166396</v>
      </c>
      <c r="Y121" s="7">
        <v>1860.6607482586001</v>
      </c>
      <c r="Z121" s="7">
        <v>807.35882617166396</v>
      </c>
      <c r="AA121" s="7">
        <v>12677649.9784535</v>
      </c>
      <c r="AB121" s="7">
        <v>226.35369684180699</v>
      </c>
      <c r="AC121" s="7">
        <f t="shared" si="140"/>
        <v>3475.3784006019282</v>
      </c>
      <c r="AE121" s="28">
        <v>50</v>
      </c>
      <c r="AF121" s="26">
        <v>5.0000000000000002E-5</v>
      </c>
      <c r="AG121" s="28">
        <v>0.2</v>
      </c>
      <c r="AH121" s="28">
        <v>30</v>
      </c>
      <c r="AI121" s="26">
        <v>7.4999999999999997E-8</v>
      </c>
      <c r="AJ121" s="26">
        <f t="shared" si="141"/>
        <v>1.4999999999999999E-8</v>
      </c>
      <c r="AK121" s="26">
        <f t="shared" si="142"/>
        <v>5.9999999999999995E-4</v>
      </c>
      <c r="AL121" s="7">
        <v>13.9102047369453</v>
      </c>
      <c r="AM121" s="7">
        <v>484.41529563550102</v>
      </c>
      <c r="AN121" s="7">
        <v>1116.3964489551599</v>
      </c>
      <c r="AO121" s="7">
        <v>484.41529563550102</v>
      </c>
      <c r="AP121" s="7">
        <v>7606590.1945190197</v>
      </c>
      <c r="AQ121" s="7">
        <v>81.487330863050403</v>
      </c>
      <c r="AR121" s="7">
        <f t="shared" si="143"/>
        <v>2085.227040226162</v>
      </c>
      <c r="AT121" s="28">
        <v>50</v>
      </c>
      <c r="AU121" s="26">
        <v>1.0000000000000001E-5</v>
      </c>
      <c r="AV121" s="28">
        <v>0.2</v>
      </c>
      <c r="AW121" s="28">
        <v>200</v>
      </c>
      <c r="AX121" s="26">
        <v>7.4999999999999997E-8</v>
      </c>
      <c r="AY121" s="26">
        <f t="shared" si="144"/>
        <v>1.4999999999999999E-8</v>
      </c>
      <c r="AZ121" s="26">
        <f t="shared" si="145"/>
        <v>2.9999999999999996E-3</v>
      </c>
      <c r="BA121" s="7">
        <v>27.6894075581585</v>
      </c>
      <c r="BB121" s="7">
        <v>365.18105956717</v>
      </c>
      <c r="BC121" s="7">
        <v>841.53641728653497</v>
      </c>
      <c r="BD121" s="7">
        <v>365.18105956717</v>
      </c>
      <c r="BE121" s="7">
        <v>38032949.861855596</v>
      </c>
      <c r="BF121" s="7">
        <v>2037.18327157626</v>
      </c>
      <c r="BG121" s="7">
        <f t="shared" si="146"/>
        <v>1571.898536420875</v>
      </c>
      <c r="BI121" s="28">
        <v>50</v>
      </c>
      <c r="BJ121" s="26">
        <v>1.0000000000000001E-5</v>
      </c>
      <c r="BK121" s="28">
        <v>0.5</v>
      </c>
      <c r="BL121" s="28">
        <v>200</v>
      </c>
      <c r="BM121" s="26">
        <v>7.4999999999999997E-8</v>
      </c>
      <c r="BN121" s="26">
        <f t="shared" si="147"/>
        <v>3.7499999999999998E-8</v>
      </c>
      <c r="BO121" s="26">
        <f t="shared" si="148"/>
        <v>7.4999999999999989E-3</v>
      </c>
      <c r="BP121" s="7">
        <v>27.705971921569699</v>
      </c>
      <c r="BQ121" s="7">
        <v>364.68421056947602</v>
      </c>
      <c r="BR121" s="7">
        <v>840.41004328064798</v>
      </c>
      <c r="BS121" s="7">
        <v>364.68421056947602</v>
      </c>
      <c r="BT121" s="7">
        <v>15213179.944742201</v>
      </c>
      <c r="BU121" s="7">
        <v>2037.18327157626</v>
      </c>
      <c r="BV121" s="7">
        <f t="shared" si="149"/>
        <v>1569.7784644195999</v>
      </c>
      <c r="BX121" s="28">
        <v>50</v>
      </c>
      <c r="BY121" s="26">
        <v>5.0000000000000002E-5</v>
      </c>
      <c r="BZ121" s="28">
        <v>0.5</v>
      </c>
      <c r="CA121" s="28">
        <v>200</v>
      </c>
      <c r="CB121" s="26">
        <v>7.4999999999999997E-8</v>
      </c>
      <c r="CC121" s="26">
        <f t="shared" si="150"/>
        <v>3.7499999999999998E-8</v>
      </c>
      <c r="CD121" s="26">
        <f t="shared" si="151"/>
        <v>1.4999999999999998E-3</v>
      </c>
      <c r="CE121" s="7">
        <v>65.562206151775698</v>
      </c>
      <c r="CF121" s="7">
        <v>72.936842109798505</v>
      </c>
      <c r="CG121" s="7">
        <v>168.08200865613</v>
      </c>
      <c r="CH121" s="7">
        <v>72.936842109798505</v>
      </c>
      <c r="CI121" s="7">
        <v>3042636.0778076099</v>
      </c>
      <c r="CJ121" s="7">
        <v>81.487330863050403</v>
      </c>
      <c r="CK121" s="7">
        <f t="shared" si="152"/>
        <v>313.95569287572698</v>
      </c>
      <c r="CM121" s="28">
        <v>50</v>
      </c>
      <c r="CN121" s="26">
        <v>5.0000000000000002E-5</v>
      </c>
      <c r="CO121" s="28">
        <v>1</v>
      </c>
      <c r="CP121" s="28">
        <v>200</v>
      </c>
      <c r="CQ121" s="26">
        <v>7.4999999999999997E-8</v>
      </c>
      <c r="CR121" s="26">
        <f t="shared" si="153"/>
        <v>7.4999999999999997E-8</v>
      </c>
      <c r="CS121" s="26">
        <f t="shared" si="154"/>
        <v>2.9999999999999996E-3</v>
      </c>
      <c r="CT121" s="7">
        <v>65.669395498065995</v>
      </c>
      <c r="CU121" s="7">
        <v>72.771853396363895</v>
      </c>
      <c r="CV121" s="7">
        <v>167.707917393011</v>
      </c>
      <c r="CW121" s="7">
        <v>72.771853396363895</v>
      </c>
      <c r="CX121" s="7">
        <v>1521318.0389038101</v>
      </c>
      <c r="CY121" s="7">
        <v>81.487330863050403</v>
      </c>
      <c r="CZ121" s="7">
        <f t="shared" si="155"/>
        <v>313.25162418573882</v>
      </c>
      <c r="DB121" s="28">
        <v>50</v>
      </c>
      <c r="DC121" s="26">
        <v>5.0000000000000002E-5</v>
      </c>
      <c r="DD121" s="28">
        <v>2</v>
      </c>
      <c r="DE121" s="28">
        <v>200</v>
      </c>
      <c r="DF121" s="26">
        <v>7.4999999999999997E-8</v>
      </c>
      <c r="DG121" s="26">
        <f t="shared" si="156"/>
        <v>1.4999999999999999E-7</v>
      </c>
      <c r="DH121" s="26">
        <f t="shared" si="157"/>
        <v>5.9999999999999993E-3</v>
      </c>
      <c r="DI121" s="7">
        <v>65.8832846532963</v>
      </c>
      <c r="DJ121" s="7">
        <v>72.444208829560395</v>
      </c>
      <c r="DK121" s="7">
        <v>166.964817403171</v>
      </c>
      <c r="DL121" s="7">
        <v>72.444208829560395</v>
      </c>
      <c r="DM121" s="7">
        <v>760659.01945190295</v>
      </c>
      <c r="DN121" s="7">
        <v>81.487330863050403</v>
      </c>
      <c r="DO121" s="7">
        <f t="shared" si="158"/>
        <v>311.85323506229179</v>
      </c>
      <c r="DQ121" s="28">
        <v>50</v>
      </c>
      <c r="DR121" s="26">
        <v>5.0000000000000002E-5</v>
      </c>
      <c r="DS121" s="28">
        <v>15</v>
      </c>
      <c r="DT121" s="28">
        <v>300</v>
      </c>
      <c r="DU121" s="26">
        <v>4.9999999999999998E-8</v>
      </c>
      <c r="DV121" s="26">
        <f t="shared" si="159"/>
        <v>7.5000000000000002E-7</v>
      </c>
      <c r="DW121" s="26">
        <f t="shared" si="160"/>
        <v>0.03</v>
      </c>
      <c r="DX121" s="7">
        <v>103.624639976531</v>
      </c>
      <c r="DY121" s="7">
        <v>46.620018473906597</v>
      </c>
      <c r="DZ121" s="7">
        <v>107.50242472112301</v>
      </c>
      <c r="EA121" s="7">
        <v>46.620018473906597</v>
      </c>
      <c r="EB121" s="7">
        <v>101421.202593587</v>
      </c>
      <c r="EC121" s="7">
        <v>50.929581789406498</v>
      </c>
      <c r="ED121" s="7">
        <f t="shared" si="161"/>
        <v>200.74246166893619</v>
      </c>
    </row>
    <row r="122" spans="1:134" x14ac:dyDescent="0.4">
      <c r="A122" s="28">
        <v>55.000000000000007</v>
      </c>
      <c r="B122" s="26">
        <v>1.0000000000000001E-5</v>
      </c>
      <c r="C122" s="28">
        <v>0.2</v>
      </c>
      <c r="D122" s="28">
        <v>30</v>
      </c>
      <c r="E122" s="26">
        <v>7.4999999999999997E-8</v>
      </c>
      <c r="F122" s="26">
        <f t="shared" si="135"/>
        <v>1.4999999999999999E-8</v>
      </c>
      <c r="G122" s="26">
        <f t="shared" si="136"/>
        <v>2.9999999999999996E-3</v>
      </c>
      <c r="H122" s="7">
        <v>11.6198594987445</v>
      </c>
      <c r="I122" s="7">
        <v>2061.2283400943002</v>
      </c>
      <c r="J122" s="7">
        <v>5692.8014386926097</v>
      </c>
      <c r="K122" s="7">
        <v>2061.2283400943002</v>
      </c>
      <c r="L122" s="7">
        <v>72349793.874809399</v>
      </c>
      <c r="M122" s="7">
        <v>2037.18327157626</v>
      </c>
      <c r="N122" s="7">
        <f t="shared" si="137"/>
        <v>9815.2581188812092</v>
      </c>
      <c r="P122" s="28">
        <v>55.000000000000007</v>
      </c>
      <c r="Q122" s="26">
        <v>3.0000000000000001E-5</v>
      </c>
      <c r="R122" s="28">
        <v>0.2</v>
      </c>
      <c r="S122" s="28">
        <v>30</v>
      </c>
      <c r="T122" s="26">
        <v>7.4999999999999997E-8</v>
      </c>
      <c r="U122" s="26">
        <f t="shared" si="138"/>
        <v>1.4999999999999999E-8</v>
      </c>
      <c r="V122" s="26">
        <f t="shared" si="139"/>
        <v>9.999999999999998E-4</v>
      </c>
      <c r="W122" s="7">
        <v>14.4441005844141</v>
      </c>
      <c r="X122" s="7">
        <v>687.07611335802699</v>
      </c>
      <c r="Y122" s="7">
        <v>1897.6004795642</v>
      </c>
      <c r="Z122" s="7">
        <v>687.07611335802699</v>
      </c>
      <c r="AA122" s="7">
        <v>24116597.9983452</v>
      </c>
      <c r="AB122" s="7">
        <v>226.35369684180699</v>
      </c>
      <c r="AC122" s="7">
        <f t="shared" si="140"/>
        <v>3271.7527062802537</v>
      </c>
      <c r="AE122" s="28">
        <v>55.000000000000007</v>
      </c>
      <c r="AF122" s="26">
        <v>5.0000000000000002E-5</v>
      </c>
      <c r="AG122" s="28">
        <v>0.2</v>
      </c>
      <c r="AH122" s="28">
        <v>30</v>
      </c>
      <c r="AI122" s="26">
        <v>7.4999999999999997E-8</v>
      </c>
      <c r="AJ122" s="26">
        <f t="shared" si="141"/>
        <v>1.4999999999999999E-8</v>
      </c>
      <c r="AK122" s="26">
        <f t="shared" si="142"/>
        <v>5.9999999999999995E-4</v>
      </c>
      <c r="AL122" s="7">
        <v>15.1821469377009</v>
      </c>
      <c r="AM122" s="7">
        <v>412.24566795777702</v>
      </c>
      <c r="AN122" s="7">
        <v>1138.5602877385199</v>
      </c>
      <c r="AO122" s="7">
        <v>412.24566795777702</v>
      </c>
      <c r="AP122" s="7">
        <v>14469959.1382923</v>
      </c>
      <c r="AQ122" s="7">
        <v>81.487330863050403</v>
      </c>
      <c r="AR122" s="7">
        <f t="shared" si="143"/>
        <v>1963.0516236540739</v>
      </c>
      <c r="AT122" s="28">
        <v>55.000000000000007</v>
      </c>
      <c r="AU122" s="26">
        <v>1.0000000000000001E-5</v>
      </c>
      <c r="AV122" s="28">
        <v>0.2</v>
      </c>
      <c r="AW122" s="28">
        <v>200</v>
      </c>
      <c r="AX122" s="26">
        <v>7.4999999999999997E-8</v>
      </c>
      <c r="AY122" s="26">
        <f t="shared" si="144"/>
        <v>1.4999999999999999E-8</v>
      </c>
      <c r="AZ122" s="26">
        <f t="shared" si="145"/>
        <v>2.9999999999999996E-3</v>
      </c>
      <c r="BA122" s="7">
        <v>29.060892542549698</v>
      </c>
      <c r="BB122" s="7">
        <v>310.62949089263498</v>
      </c>
      <c r="BC122" s="7">
        <v>857.43494866405695</v>
      </c>
      <c r="BD122" s="7">
        <v>310.62949089263498</v>
      </c>
      <c r="BE122" s="7">
        <v>72349793.874809399</v>
      </c>
      <c r="BF122" s="7">
        <v>2037.18327157626</v>
      </c>
      <c r="BG122" s="7">
        <f t="shared" si="146"/>
        <v>1478.6939304493269</v>
      </c>
      <c r="BI122" s="28">
        <v>55.000000000000007</v>
      </c>
      <c r="BJ122" s="26">
        <v>1.0000000000000001E-5</v>
      </c>
      <c r="BK122" s="28">
        <v>0.5</v>
      </c>
      <c r="BL122" s="28">
        <v>200</v>
      </c>
      <c r="BM122" s="26">
        <v>7.4999999999999997E-8</v>
      </c>
      <c r="BN122" s="26">
        <f t="shared" si="147"/>
        <v>3.7499999999999998E-8</v>
      </c>
      <c r="BO122" s="26">
        <f t="shared" si="148"/>
        <v>7.4999999999999989E-3</v>
      </c>
      <c r="BP122" s="7">
        <v>29.073142538057901</v>
      </c>
      <c r="BQ122" s="7">
        <v>310.245574031601</v>
      </c>
      <c r="BR122" s="7">
        <v>856.50167124423206</v>
      </c>
      <c r="BS122" s="7">
        <v>310.245574031601</v>
      </c>
      <c r="BT122" s="7">
        <v>28939917.5499238</v>
      </c>
      <c r="BU122" s="7">
        <v>2037.18327157626</v>
      </c>
      <c r="BV122" s="7">
        <f t="shared" si="149"/>
        <v>1476.9928193074338</v>
      </c>
      <c r="BX122" s="28">
        <v>55.000000000000007</v>
      </c>
      <c r="BY122" s="26">
        <v>5.0000000000000002E-5</v>
      </c>
      <c r="BZ122" s="28">
        <v>0.5</v>
      </c>
      <c r="CA122" s="28">
        <v>200</v>
      </c>
      <c r="CB122" s="26">
        <v>7.4999999999999997E-8</v>
      </c>
      <c r="CC122" s="26">
        <f t="shared" si="150"/>
        <v>3.7499999999999998E-8</v>
      </c>
      <c r="CD122" s="26">
        <f t="shared" si="151"/>
        <v>1.4999999999999998E-3</v>
      </c>
      <c r="CE122" s="7">
        <v>70.413051455788306</v>
      </c>
      <c r="CF122" s="7">
        <v>62.049114802860501</v>
      </c>
      <c r="CG122" s="7">
        <v>171.30033424884601</v>
      </c>
      <c r="CH122" s="7">
        <v>62.049114802860501</v>
      </c>
      <c r="CI122" s="7">
        <v>5787983.6553169098</v>
      </c>
      <c r="CJ122" s="7">
        <v>81.487330863050403</v>
      </c>
      <c r="CK122" s="7">
        <f t="shared" si="152"/>
        <v>295.39856385456704</v>
      </c>
      <c r="CM122" s="28">
        <v>55.000000000000007</v>
      </c>
      <c r="CN122" s="26">
        <v>5.0000000000000002E-5</v>
      </c>
      <c r="CO122" s="28">
        <v>1</v>
      </c>
      <c r="CP122" s="28">
        <v>200</v>
      </c>
      <c r="CQ122" s="26">
        <v>7.4999999999999997E-8</v>
      </c>
      <c r="CR122" s="26">
        <f t="shared" si="153"/>
        <v>7.4999999999999997E-8</v>
      </c>
      <c r="CS122" s="26">
        <f t="shared" si="154"/>
        <v>2.9999999999999996E-3</v>
      </c>
      <c r="CT122" s="7">
        <v>70.505556750434593</v>
      </c>
      <c r="CU122" s="7">
        <v>61.921576216120698</v>
      </c>
      <c r="CV122" s="7">
        <v>170.99017320176</v>
      </c>
      <c r="CW122" s="7">
        <v>61.921576216120698</v>
      </c>
      <c r="CX122" s="7">
        <v>2893991.8276584502</v>
      </c>
      <c r="CY122" s="7">
        <v>81.487330863050403</v>
      </c>
      <c r="CZ122" s="7">
        <f t="shared" si="155"/>
        <v>294.83332563400137</v>
      </c>
      <c r="DB122" s="28">
        <v>55.000000000000007</v>
      </c>
      <c r="DC122" s="26">
        <v>5.0000000000000002E-5</v>
      </c>
      <c r="DD122" s="28">
        <v>2</v>
      </c>
      <c r="DE122" s="28">
        <v>200</v>
      </c>
      <c r="DF122" s="26">
        <v>7.4999999999999997E-8</v>
      </c>
      <c r="DG122" s="26">
        <f t="shared" si="156"/>
        <v>1.4999999999999999E-7</v>
      </c>
      <c r="DH122" s="26">
        <f t="shared" si="157"/>
        <v>5.9999999999999993E-3</v>
      </c>
      <c r="DI122" s="7">
        <v>70.690176733121902</v>
      </c>
      <c r="DJ122" s="7">
        <v>61.6681127663864</v>
      </c>
      <c r="DK122" s="7">
        <v>170.373319720317</v>
      </c>
      <c r="DL122" s="7">
        <v>61.6681127663864</v>
      </c>
      <c r="DM122" s="7">
        <v>1446995.91382923</v>
      </c>
      <c r="DN122" s="7">
        <v>81.487330863050403</v>
      </c>
      <c r="DO122" s="7">
        <f t="shared" si="158"/>
        <v>293.7095452530898</v>
      </c>
      <c r="DQ122" s="28">
        <v>55.000000000000007</v>
      </c>
      <c r="DR122" s="26">
        <v>5.0000000000000002E-5</v>
      </c>
      <c r="DS122" s="28">
        <v>15</v>
      </c>
      <c r="DT122" s="28">
        <v>300</v>
      </c>
      <c r="DU122" s="26">
        <v>4.9999999999999998E-8</v>
      </c>
      <c r="DV122" s="26">
        <f t="shared" si="159"/>
        <v>7.5000000000000002E-7</v>
      </c>
      <c r="DW122" s="26">
        <f t="shared" si="160"/>
        <v>0.03</v>
      </c>
      <c r="DX122" s="7">
        <v>110.73700679569799</v>
      </c>
      <c r="DY122" s="7">
        <v>39.809859656104699</v>
      </c>
      <c r="DZ122" s="7">
        <v>110.399385072318</v>
      </c>
      <c r="EA122" s="7">
        <v>39.809859656104699</v>
      </c>
      <c r="EB122" s="7">
        <v>192932.78851056399</v>
      </c>
      <c r="EC122" s="7">
        <v>50.929581789406498</v>
      </c>
      <c r="ED122" s="7">
        <f t="shared" si="161"/>
        <v>190.0191043845274</v>
      </c>
    </row>
    <row r="123" spans="1:134" x14ac:dyDescent="0.4">
      <c r="A123" s="28">
        <v>60</v>
      </c>
      <c r="B123" s="26">
        <v>1.0000000000000001E-5</v>
      </c>
      <c r="C123" s="28">
        <v>0.2</v>
      </c>
      <c r="D123" s="28">
        <v>30</v>
      </c>
      <c r="E123" s="26">
        <v>7.4999999999999997E-8</v>
      </c>
      <c r="F123" s="26">
        <f t="shared" si="135"/>
        <v>1.4999999999999999E-8</v>
      </c>
      <c r="G123" s="26">
        <f t="shared" si="136"/>
        <v>2.9999999999999996E-3</v>
      </c>
      <c r="H123" s="7">
        <v>12.431215290554499</v>
      </c>
      <c r="I123" s="7">
        <v>1747.4582681561301</v>
      </c>
      <c r="J123" s="7">
        <v>5794.3371345962596</v>
      </c>
      <c r="K123" s="7">
        <v>1747.4582681561301</v>
      </c>
      <c r="L123" s="7">
        <v>173207643.02618799</v>
      </c>
      <c r="M123" s="7">
        <v>2037.18327157626</v>
      </c>
      <c r="N123" s="7">
        <f t="shared" si="137"/>
        <v>9289.2536709085198</v>
      </c>
      <c r="P123" s="28">
        <v>60</v>
      </c>
      <c r="Q123" s="26">
        <v>3.0000000000000001E-5</v>
      </c>
      <c r="R123" s="28">
        <v>0.2</v>
      </c>
      <c r="S123" s="28">
        <v>30</v>
      </c>
      <c r="T123" s="26">
        <v>7.4999999999999997E-8</v>
      </c>
      <c r="U123" s="26">
        <f t="shared" si="138"/>
        <v>1.4999999999999999E-8</v>
      </c>
      <c r="V123" s="26">
        <f t="shared" si="139"/>
        <v>9.999999999999998E-4</v>
      </c>
      <c r="W123" s="7">
        <v>15.602288983022699</v>
      </c>
      <c r="X123" s="7">
        <v>582.48608937969198</v>
      </c>
      <c r="Y123" s="7">
        <v>1931.4457115320899</v>
      </c>
      <c r="Z123" s="7">
        <v>582.48608937969198</v>
      </c>
      <c r="AA123" s="7">
        <v>57735881.0752545</v>
      </c>
      <c r="AB123" s="7">
        <v>226.35369684180699</v>
      </c>
      <c r="AC123" s="7">
        <f t="shared" si="140"/>
        <v>3096.4178902914737</v>
      </c>
      <c r="AE123" s="28">
        <v>60</v>
      </c>
      <c r="AF123" s="26">
        <v>5.0000000000000002E-5</v>
      </c>
      <c r="AG123" s="28">
        <v>0.2</v>
      </c>
      <c r="AH123" s="28">
        <v>30</v>
      </c>
      <c r="AI123" s="26">
        <v>7.4999999999999997E-8</v>
      </c>
      <c r="AJ123" s="26">
        <f t="shared" si="141"/>
        <v>1.4999999999999999E-8</v>
      </c>
      <c r="AK123" s="26">
        <f t="shared" si="142"/>
        <v>5.9999999999999995E-4</v>
      </c>
      <c r="AL123" s="7">
        <v>16.441095237558901</v>
      </c>
      <c r="AM123" s="7">
        <v>349.491653579706</v>
      </c>
      <c r="AN123" s="7">
        <v>1158.86742691925</v>
      </c>
      <c r="AO123" s="7">
        <v>349.491653579706</v>
      </c>
      <c r="AP123" s="7">
        <v>34641529.208382502</v>
      </c>
      <c r="AQ123" s="7">
        <v>81.487330863050403</v>
      </c>
      <c r="AR123" s="7">
        <f t="shared" si="143"/>
        <v>1857.8507340786621</v>
      </c>
      <c r="AT123" s="28">
        <v>60</v>
      </c>
      <c r="AU123" s="26">
        <v>1.0000000000000001E-5</v>
      </c>
      <c r="AV123" s="28">
        <v>0.2</v>
      </c>
      <c r="AW123" s="28">
        <v>200</v>
      </c>
      <c r="AX123" s="26">
        <v>7.4999999999999997E-8</v>
      </c>
      <c r="AY123" s="26">
        <f t="shared" si="144"/>
        <v>1.4999999999999999E-8</v>
      </c>
      <c r="AZ123" s="26">
        <f t="shared" si="145"/>
        <v>2.9999999999999996E-3</v>
      </c>
      <c r="BA123" s="7">
        <v>30.3529232073478</v>
      </c>
      <c r="BB123" s="7">
        <v>263.235986756096</v>
      </c>
      <c r="BC123" s="7">
        <v>872.060132412553</v>
      </c>
      <c r="BD123" s="7">
        <v>263.235986756096</v>
      </c>
      <c r="BE123" s="7">
        <v>173207643.02618799</v>
      </c>
      <c r="BF123" s="7">
        <v>2037.18327157626</v>
      </c>
      <c r="BG123" s="7">
        <f t="shared" si="146"/>
        <v>1398.5321059247451</v>
      </c>
      <c r="BI123" s="28">
        <v>60</v>
      </c>
      <c r="BJ123" s="26">
        <v>1.0000000000000001E-5</v>
      </c>
      <c r="BK123" s="28">
        <v>0.5</v>
      </c>
      <c r="BL123" s="28">
        <v>200</v>
      </c>
      <c r="BM123" s="26">
        <v>7.4999999999999997E-8</v>
      </c>
      <c r="BN123" s="26">
        <f t="shared" si="147"/>
        <v>3.7499999999999998E-8</v>
      </c>
      <c r="BO123" s="26">
        <f t="shared" si="148"/>
        <v>7.4999999999999989E-3</v>
      </c>
      <c r="BP123" s="7">
        <v>30.3619367416741</v>
      </c>
      <c r="BQ123" s="7">
        <v>262.93930247937197</v>
      </c>
      <c r="BR123" s="7">
        <v>871.287964463192</v>
      </c>
      <c r="BS123" s="7">
        <v>262.93930247937197</v>
      </c>
      <c r="BT123" s="7">
        <v>69283057.210475206</v>
      </c>
      <c r="BU123" s="7">
        <v>2037.18327157626</v>
      </c>
      <c r="BV123" s="7">
        <f t="shared" si="149"/>
        <v>1397.1665694219359</v>
      </c>
      <c r="BX123" s="28">
        <v>60</v>
      </c>
      <c r="BY123" s="26">
        <v>5.0000000000000002E-5</v>
      </c>
      <c r="BZ123" s="28">
        <v>0.5</v>
      </c>
      <c r="CA123" s="28">
        <v>200</v>
      </c>
      <c r="CB123" s="26">
        <v>7.4999999999999997E-8</v>
      </c>
      <c r="CC123" s="26">
        <f t="shared" si="150"/>
        <v>3.7499999999999998E-8</v>
      </c>
      <c r="CD123" s="26">
        <f t="shared" si="151"/>
        <v>1.4999999999999998E-3</v>
      </c>
      <c r="CE123" s="7">
        <v>75.097437856111299</v>
      </c>
      <c r="CF123" s="7">
        <v>52.5878604929581</v>
      </c>
      <c r="CG123" s="7">
        <v>174.257592892638</v>
      </c>
      <c r="CH123" s="7">
        <v>52.5878604929581</v>
      </c>
      <c r="CI123" s="7">
        <v>13856611.683352999</v>
      </c>
      <c r="CJ123" s="7">
        <v>81.487330863050403</v>
      </c>
      <c r="CK123" s="7">
        <f t="shared" si="152"/>
        <v>279.4333138785542</v>
      </c>
      <c r="CM123" s="28">
        <v>60</v>
      </c>
      <c r="CN123" s="26">
        <v>5.0000000000000002E-5</v>
      </c>
      <c r="CO123" s="28">
        <v>1</v>
      </c>
      <c r="CP123" s="28">
        <v>200</v>
      </c>
      <c r="CQ123" s="26">
        <v>7.4999999999999997E-8</v>
      </c>
      <c r="CR123" s="26">
        <f t="shared" si="153"/>
        <v>7.4999999999999997E-8</v>
      </c>
      <c r="CS123" s="26">
        <f t="shared" si="154"/>
        <v>2.9999999999999996E-3</v>
      </c>
      <c r="CT123" s="7">
        <v>75.176966668375002</v>
      </c>
      <c r="CU123" s="7">
        <v>52.489267736237203</v>
      </c>
      <c r="CV123" s="7">
        <v>174.00084097458901</v>
      </c>
      <c r="CW123" s="7">
        <v>52.489267736237203</v>
      </c>
      <c r="CX123" s="7">
        <v>6928305.8416764997</v>
      </c>
      <c r="CY123" s="7">
        <v>81.487330863050403</v>
      </c>
      <c r="CZ123" s="7">
        <f t="shared" si="155"/>
        <v>278.97937644706343</v>
      </c>
      <c r="DB123" s="28">
        <v>60</v>
      </c>
      <c r="DC123" s="26">
        <v>5.0000000000000002E-5</v>
      </c>
      <c r="DD123" s="28">
        <v>2</v>
      </c>
      <c r="DE123" s="28">
        <v>200</v>
      </c>
      <c r="DF123" s="26">
        <v>7.4999999999999997E-8</v>
      </c>
      <c r="DG123" s="26">
        <f t="shared" si="156"/>
        <v>1.4999999999999999E-7</v>
      </c>
      <c r="DH123" s="26">
        <f t="shared" si="157"/>
        <v>5.9999999999999993E-3</v>
      </c>
      <c r="DI123" s="7">
        <v>75.335710603546303</v>
      </c>
      <c r="DJ123" s="7">
        <v>52.293206867341603</v>
      </c>
      <c r="DK123" s="7">
        <v>173.489713442035</v>
      </c>
      <c r="DL123" s="7">
        <v>52.293206867341603</v>
      </c>
      <c r="DM123" s="7">
        <v>3464152.9208382498</v>
      </c>
      <c r="DN123" s="7">
        <v>81.487330863050403</v>
      </c>
      <c r="DO123" s="7">
        <f t="shared" si="158"/>
        <v>278.07612717671822</v>
      </c>
      <c r="DQ123" s="28">
        <v>60</v>
      </c>
      <c r="DR123" s="26">
        <v>5.0000000000000002E-5</v>
      </c>
      <c r="DS123" s="28">
        <v>15</v>
      </c>
      <c r="DT123" s="28">
        <v>300</v>
      </c>
      <c r="DU123" s="26">
        <v>4.9999999999999998E-8</v>
      </c>
      <c r="DV123" s="26">
        <f t="shared" si="159"/>
        <v>7.5000000000000002E-7</v>
      </c>
      <c r="DW123" s="26">
        <f t="shared" si="160"/>
        <v>0.03</v>
      </c>
      <c r="DX123" s="7">
        <v>117.645452176509</v>
      </c>
      <c r="DY123" s="7">
        <v>33.851188115179603</v>
      </c>
      <c r="DZ123" s="7">
        <v>113.007558882322</v>
      </c>
      <c r="EA123" s="7">
        <v>33.851188115179603</v>
      </c>
      <c r="EB123" s="7">
        <v>461887.05611176701</v>
      </c>
      <c r="EC123" s="7">
        <v>50.929581789406498</v>
      </c>
      <c r="ED123" s="7">
        <f t="shared" si="161"/>
        <v>180.70993511268122</v>
      </c>
    </row>
    <row r="124" spans="1:134" x14ac:dyDescent="0.4">
      <c r="A124" s="28">
        <v>65</v>
      </c>
      <c r="B124" s="26">
        <v>1.0000000000000001E-5</v>
      </c>
      <c r="C124" s="28">
        <v>0.2</v>
      </c>
      <c r="D124" s="28">
        <v>30</v>
      </c>
      <c r="E124" s="26">
        <v>7.4999999999999997E-8</v>
      </c>
      <c r="F124" s="26">
        <f t="shared" si="135"/>
        <v>1.4999999999999999E-8</v>
      </c>
      <c r="G124" s="26">
        <f t="shared" si="136"/>
        <v>2.9999999999999996E-3</v>
      </c>
      <c r="H124" s="7">
        <v>13.2217791215022</v>
      </c>
      <c r="I124" s="7">
        <v>1470.52695643265</v>
      </c>
      <c r="J124" s="7">
        <v>5888.0994972997396</v>
      </c>
      <c r="K124" s="7">
        <v>1470.52695643265</v>
      </c>
      <c r="L124" s="7">
        <v>859463306.304919</v>
      </c>
      <c r="M124" s="7">
        <v>2037.18327157626</v>
      </c>
      <c r="N124" s="7">
        <f t="shared" si="137"/>
        <v>8829.1534101650395</v>
      </c>
      <c r="P124" s="28">
        <v>65</v>
      </c>
      <c r="Q124" s="26">
        <v>3.0000000000000001E-5</v>
      </c>
      <c r="R124" s="28">
        <v>0.2</v>
      </c>
      <c r="S124" s="28">
        <v>30</v>
      </c>
      <c r="T124" s="26">
        <v>7.4999999999999997E-8</v>
      </c>
      <c r="U124" s="26">
        <f t="shared" si="138"/>
        <v>1.4999999999999999E-8</v>
      </c>
      <c r="V124" s="26">
        <f t="shared" si="139"/>
        <v>9.999999999999998E-4</v>
      </c>
      <c r="W124" s="7">
        <v>16.747063531011001</v>
      </c>
      <c r="X124" s="7">
        <v>490.175652139448</v>
      </c>
      <c r="Y124" s="7">
        <v>1962.6998324332501</v>
      </c>
      <c r="Z124" s="7">
        <v>490.175652139448</v>
      </c>
      <c r="AA124" s="7">
        <v>286487768.88169003</v>
      </c>
      <c r="AB124" s="7">
        <v>226.35369684180699</v>
      </c>
      <c r="AC124" s="7">
        <f t="shared" si="140"/>
        <v>2943.0511367121462</v>
      </c>
      <c r="AE124" s="28">
        <v>65</v>
      </c>
      <c r="AF124" s="26">
        <v>5.0000000000000002E-5</v>
      </c>
      <c r="AG124" s="28">
        <v>0.2</v>
      </c>
      <c r="AH124" s="28">
        <v>30</v>
      </c>
      <c r="AI124" s="26">
        <v>7.4999999999999997E-8</v>
      </c>
      <c r="AJ124" s="26">
        <f t="shared" si="141"/>
        <v>1.4999999999999999E-8</v>
      </c>
      <c r="AK124" s="26">
        <f t="shared" si="142"/>
        <v>5.9999999999999995E-4</v>
      </c>
      <c r="AL124" s="7">
        <v>17.690415910278901</v>
      </c>
      <c r="AM124" s="7">
        <v>294.10539124333502</v>
      </c>
      <c r="AN124" s="7">
        <v>1177.6198994599499</v>
      </c>
      <c r="AO124" s="7">
        <v>294.10539124333502</v>
      </c>
      <c r="AP124" s="7">
        <v>171892662.28655201</v>
      </c>
      <c r="AQ124" s="7">
        <v>81.487330863050403</v>
      </c>
      <c r="AR124" s="7">
        <f t="shared" si="143"/>
        <v>1765.8306819466197</v>
      </c>
      <c r="AT124" s="28">
        <v>65</v>
      </c>
      <c r="AU124" s="26">
        <v>1.0000000000000001E-5</v>
      </c>
      <c r="AV124" s="28">
        <v>0.2</v>
      </c>
      <c r="AW124" s="28">
        <v>200</v>
      </c>
      <c r="AX124" s="26">
        <v>7.4999999999999997E-8</v>
      </c>
      <c r="AY124" s="26">
        <f t="shared" si="144"/>
        <v>1.4999999999999999E-8</v>
      </c>
      <c r="AZ124" s="26">
        <f t="shared" si="145"/>
        <v>2.9999999999999996E-3</v>
      </c>
      <c r="BA124" s="7">
        <v>31.577058697463102</v>
      </c>
      <c r="BB124" s="7">
        <v>221.436390808456</v>
      </c>
      <c r="BC124" s="7">
        <v>885.60719905590599</v>
      </c>
      <c r="BD124" s="7">
        <v>221.436390808456</v>
      </c>
      <c r="BE124" s="7">
        <v>859463306.304919</v>
      </c>
      <c r="BF124" s="7">
        <v>2037.18327157626</v>
      </c>
      <c r="BG124" s="7">
        <f t="shared" si="146"/>
        <v>1328.4799806728181</v>
      </c>
      <c r="BI124" s="28">
        <v>65</v>
      </c>
      <c r="BJ124" s="26">
        <v>1.0000000000000001E-5</v>
      </c>
      <c r="BK124" s="28">
        <v>0.5</v>
      </c>
      <c r="BL124" s="28">
        <v>200</v>
      </c>
      <c r="BM124" s="26">
        <v>7.4999999999999997E-8</v>
      </c>
      <c r="BN124" s="26">
        <f t="shared" si="147"/>
        <v>3.7499999999999998E-8</v>
      </c>
      <c r="BO124" s="26">
        <f t="shared" si="148"/>
        <v>7.4999999999999989E-3</v>
      </c>
      <c r="BP124" s="7">
        <v>31.5837270798521</v>
      </c>
      <c r="BQ124" s="7">
        <v>221.20879187134</v>
      </c>
      <c r="BR124" s="7">
        <v>884.97259280428204</v>
      </c>
      <c r="BS124" s="7">
        <v>221.20879187134</v>
      </c>
      <c r="BT124" s="7">
        <v>343785322.52196801</v>
      </c>
      <c r="BU124" s="7">
        <v>2037.18327157626</v>
      </c>
      <c r="BV124" s="7">
        <f t="shared" si="149"/>
        <v>1327.390176546962</v>
      </c>
      <c r="BX124" s="28">
        <v>65</v>
      </c>
      <c r="BY124" s="26">
        <v>5.0000000000000002E-5</v>
      </c>
      <c r="BZ124" s="28">
        <v>0.5</v>
      </c>
      <c r="CA124" s="28">
        <v>200</v>
      </c>
      <c r="CB124" s="26">
        <v>7.4999999999999997E-8</v>
      </c>
      <c r="CC124" s="26">
        <f t="shared" si="150"/>
        <v>3.7499999999999998E-8</v>
      </c>
      <c r="CD124" s="26">
        <f t="shared" si="151"/>
        <v>1.4999999999999998E-3</v>
      </c>
      <c r="CE124" s="7">
        <v>79.638192795487598</v>
      </c>
      <c r="CF124" s="7">
        <v>44.241758371824098</v>
      </c>
      <c r="CG124" s="7">
        <v>176.99451856085599</v>
      </c>
      <c r="CH124" s="7">
        <v>44.241758371824098</v>
      </c>
      <c r="CI124" s="7">
        <v>68757064.914620593</v>
      </c>
      <c r="CJ124" s="7">
        <v>81.487330863050403</v>
      </c>
      <c r="CK124" s="7">
        <f t="shared" si="152"/>
        <v>265.4780353045042</v>
      </c>
      <c r="CM124" s="28">
        <v>65</v>
      </c>
      <c r="CN124" s="26">
        <v>5.0000000000000002E-5</v>
      </c>
      <c r="CO124" s="28">
        <v>1</v>
      </c>
      <c r="CP124" s="28">
        <v>200</v>
      </c>
      <c r="CQ124" s="26">
        <v>7.4999999999999997E-8</v>
      </c>
      <c r="CR124" s="26">
        <f t="shared" si="153"/>
        <v>7.4999999999999997E-8</v>
      </c>
      <c r="CS124" s="26">
        <f t="shared" si="154"/>
        <v>2.9999999999999996E-3</v>
      </c>
      <c r="CT124" s="7">
        <v>79.706109031384401</v>
      </c>
      <c r="CU124" s="7">
        <v>44.166101596649497</v>
      </c>
      <c r="CV124" s="7">
        <v>176.783417824277</v>
      </c>
      <c r="CW124" s="7">
        <v>44.166101596649497</v>
      </c>
      <c r="CX124" s="7">
        <v>34378532.457310297</v>
      </c>
      <c r="CY124" s="7">
        <v>81.487330863050403</v>
      </c>
      <c r="CZ124" s="7">
        <f t="shared" si="155"/>
        <v>265.11562101757602</v>
      </c>
      <c r="DB124" s="28">
        <v>65</v>
      </c>
      <c r="DC124" s="26">
        <v>5.0000000000000002E-5</v>
      </c>
      <c r="DD124" s="28">
        <v>2</v>
      </c>
      <c r="DE124" s="28">
        <v>200</v>
      </c>
      <c r="DF124" s="26">
        <v>7.4999999999999997E-8</v>
      </c>
      <c r="DG124" s="26">
        <f t="shared" si="156"/>
        <v>1.4999999999999999E-7</v>
      </c>
      <c r="DH124" s="26">
        <f t="shared" si="157"/>
        <v>5.9999999999999993E-3</v>
      </c>
      <c r="DI124" s="7">
        <v>79.841689767560197</v>
      </c>
      <c r="DJ124" s="7">
        <v>44.0155689113517</v>
      </c>
      <c r="DK124" s="7">
        <v>176.36283833637401</v>
      </c>
      <c r="DL124" s="7">
        <v>44.0155689113517</v>
      </c>
      <c r="DM124" s="7">
        <v>17189266.2286552</v>
      </c>
      <c r="DN124" s="7">
        <v>81.487330863050403</v>
      </c>
      <c r="DO124" s="7">
        <f t="shared" si="158"/>
        <v>264.3939761590774</v>
      </c>
      <c r="DQ124" s="28">
        <v>65</v>
      </c>
      <c r="DR124" s="26">
        <v>5.0000000000000002E-5</v>
      </c>
      <c r="DS124" s="28">
        <v>15</v>
      </c>
      <c r="DT124" s="28">
        <v>300</v>
      </c>
      <c r="DU124" s="26">
        <v>4.9999999999999998E-8</v>
      </c>
      <c r="DV124" s="26">
        <f t="shared" si="159"/>
        <v>7.5000000000000002E-7</v>
      </c>
      <c r="DW124" s="26">
        <f t="shared" si="160"/>
        <v>0.03</v>
      </c>
      <c r="DX124" s="7">
        <v>124.37519648883401</v>
      </c>
      <c r="DY124" s="7">
        <v>28.565057936355299</v>
      </c>
      <c r="DZ124" s="7">
        <v>115.382714159923</v>
      </c>
      <c r="EA124" s="7">
        <v>28.565057936355299</v>
      </c>
      <c r="EB124" s="7">
        <v>2291902.16382069</v>
      </c>
      <c r="EC124" s="7">
        <v>50.929581789406498</v>
      </c>
      <c r="ED124" s="7">
        <f t="shared" si="161"/>
        <v>172.51283003263359</v>
      </c>
    </row>
    <row r="125" spans="1:134" x14ac:dyDescent="0.4">
      <c r="A125" s="28">
        <v>70</v>
      </c>
      <c r="B125" s="26">
        <v>1.0000000000000001E-5</v>
      </c>
      <c r="C125" s="28">
        <v>0.2</v>
      </c>
      <c r="D125" s="28">
        <v>30</v>
      </c>
      <c r="E125" s="26">
        <v>7.4999999999999997E-8</v>
      </c>
      <c r="F125" s="26">
        <f t="shared" si="135"/>
        <v>1.4999999999999999E-8</v>
      </c>
      <c r="G125" s="26">
        <f t="shared" si="136"/>
        <v>2.9999999999999996E-3</v>
      </c>
      <c r="H125" s="7">
        <v>13.9943406829462</v>
      </c>
      <c r="I125" s="7">
        <v>1223.14114606982</v>
      </c>
      <c r="J125" s="7">
        <v>5975.2459753258199</v>
      </c>
      <c r="K125" s="7">
        <v>1223.14114606982</v>
      </c>
      <c r="L125" s="7" t="s">
        <v>94</v>
      </c>
      <c r="M125" s="7">
        <v>2037.18327157626</v>
      </c>
      <c r="N125" s="7">
        <f t="shared" si="137"/>
        <v>8421.5282674654591</v>
      </c>
      <c r="P125" s="28">
        <v>70</v>
      </c>
      <c r="Q125" s="26">
        <v>3.0000000000000001E-5</v>
      </c>
      <c r="R125" s="28">
        <v>0.2</v>
      </c>
      <c r="S125" s="28">
        <v>30</v>
      </c>
      <c r="T125" s="26">
        <v>7.4999999999999997E-8</v>
      </c>
      <c r="U125" s="26">
        <f t="shared" si="138"/>
        <v>1.4999999999999999E-8</v>
      </c>
      <c r="V125" s="26">
        <f t="shared" si="139"/>
        <v>9.999999999999998E-4</v>
      </c>
      <c r="W125" s="7">
        <v>17.881192179522301</v>
      </c>
      <c r="X125" s="7">
        <v>407.71371535265399</v>
      </c>
      <c r="Y125" s="7">
        <v>1991.7486584419401</v>
      </c>
      <c r="Z125" s="7">
        <v>407.71371535265399</v>
      </c>
      <c r="AA125" s="7" t="s">
        <v>94</v>
      </c>
      <c r="AB125" s="7">
        <v>226.35369684180699</v>
      </c>
      <c r="AC125" s="7">
        <f t="shared" si="140"/>
        <v>2807.1760891472481</v>
      </c>
      <c r="AE125" s="28">
        <v>70</v>
      </c>
      <c r="AF125" s="26">
        <v>5.0000000000000002E-5</v>
      </c>
      <c r="AG125" s="28">
        <v>0.2</v>
      </c>
      <c r="AH125" s="28">
        <v>30</v>
      </c>
      <c r="AI125" s="26">
        <v>7.4999999999999997E-8</v>
      </c>
      <c r="AJ125" s="26">
        <f t="shared" si="141"/>
        <v>1.4999999999999999E-8</v>
      </c>
      <c r="AK125" s="26">
        <f t="shared" si="142"/>
        <v>5.9999999999999995E-4</v>
      </c>
      <c r="AL125" s="7">
        <v>18.9328936906991</v>
      </c>
      <c r="AM125" s="7">
        <v>244.62822917813699</v>
      </c>
      <c r="AN125" s="7">
        <v>1195.0491950651599</v>
      </c>
      <c r="AO125" s="7">
        <v>244.62822917813699</v>
      </c>
      <c r="AP125" s="7" t="s">
        <v>94</v>
      </c>
      <c r="AQ125" s="7">
        <v>81.487330863050403</v>
      </c>
      <c r="AR125" s="7">
        <f t="shared" si="143"/>
        <v>1684.3056534214338</v>
      </c>
      <c r="AT125" s="28">
        <v>70</v>
      </c>
      <c r="AU125" s="26">
        <v>1.0000000000000001E-5</v>
      </c>
      <c r="AV125" s="28">
        <v>0.2</v>
      </c>
      <c r="AW125" s="28">
        <v>200</v>
      </c>
      <c r="AX125" s="26">
        <v>7.4999999999999997E-8</v>
      </c>
      <c r="AY125" s="26">
        <f t="shared" si="144"/>
        <v>1.4999999999999999E-8</v>
      </c>
      <c r="AZ125" s="26">
        <f t="shared" si="145"/>
        <v>2.9999999999999996E-3</v>
      </c>
      <c r="BA125" s="7">
        <v>32.742426029590099</v>
      </c>
      <c r="BB125" s="7">
        <v>184.11844341766201</v>
      </c>
      <c r="BC125" s="7">
        <v>898.22894938474894</v>
      </c>
      <c r="BD125" s="7">
        <v>184.11844341766201</v>
      </c>
      <c r="BE125" s="7" t="s">
        <v>94</v>
      </c>
      <c r="BF125" s="7">
        <v>2037.18327157626</v>
      </c>
      <c r="BG125" s="7">
        <f t="shared" si="146"/>
        <v>1266.465836220073</v>
      </c>
      <c r="BI125" s="28">
        <v>70</v>
      </c>
      <c r="BJ125" s="26">
        <v>1.0000000000000001E-5</v>
      </c>
      <c r="BK125" s="28">
        <v>0.5</v>
      </c>
      <c r="BL125" s="28">
        <v>200</v>
      </c>
      <c r="BM125" s="26">
        <v>7.4999999999999997E-8</v>
      </c>
      <c r="BN125" s="26">
        <f t="shared" si="147"/>
        <v>3.7499999999999998E-8</v>
      </c>
      <c r="BO125" s="26">
        <f t="shared" si="148"/>
        <v>7.4999999999999989E-3</v>
      </c>
      <c r="BP125" s="7">
        <v>32.747690319257998</v>
      </c>
      <c r="BQ125" s="7">
        <v>183.946660682919</v>
      </c>
      <c r="BR125" s="7">
        <v>897.71395999315905</v>
      </c>
      <c r="BS125" s="7">
        <v>183.946660682919</v>
      </c>
      <c r="BT125" s="7" t="s">
        <v>94</v>
      </c>
      <c r="BU125" s="7">
        <v>2037.18327157626</v>
      </c>
      <c r="BV125" s="7">
        <f t="shared" si="149"/>
        <v>1265.6072813589969</v>
      </c>
      <c r="BX125" s="28">
        <v>70</v>
      </c>
      <c r="BY125" s="26">
        <v>5.0000000000000002E-5</v>
      </c>
      <c r="BZ125" s="28">
        <v>0.5</v>
      </c>
      <c r="CA125" s="28">
        <v>200</v>
      </c>
      <c r="CB125" s="26">
        <v>7.4999999999999997E-8</v>
      </c>
      <c r="CC125" s="26">
        <f t="shared" si="150"/>
        <v>3.7499999999999998E-8</v>
      </c>
      <c r="CD125" s="26">
        <f t="shared" si="151"/>
        <v>1.4999999999999998E-3</v>
      </c>
      <c r="CE125" s="7">
        <v>84.053564335648105</v>
      </c>
      <c r="CF125" s="7">
        <v>36.7893321345583</v>
      </c>
      <c r="CG125" s="7">
        <v>179.542791998632</v>
      </c>
      <c r="CH125" s="7">
        <v>36.7893321345583</v>
      </c>
      <c r="CI125" s="7" t="s">
        <v>94</v>
      </c>
      <c r="CJ125" s="7">
        <v>81.487330863050403</v>
      </c>
      <c r="CK125" s="7">
        <f t="shared" si="152"/>
        <v>253.12145626774858</v>
      </c>
      <c r="CM125" s="28">
        <v>70</v>
      </c>
      <c r="CN125" s="26">
        <v>5.0000000000000002E-5</v>
      </c>
      <c r="CO125" s="28">
        <v>1</v>
      </c>
      <c r="CP125" s="28">
        <v>200</v>
      </c>
      <c r="CQ125" s="26">
        <v>7.4999999999999997E-8</v>
      </c>
      <c r="CR125" s="26">
        <f t="shared" si="153"/>
        <v>7.4999999999999997E-8</v>
      </c>
      <c r="CS125" s="26">
        <f t="shared" si="154"/>
        <v>2.9999999999999996E-3</v>
      </c>
      <c r="CT125" s="7">
        <v>84.111297769648203</v>
      </c>
      <c r="CU125" s="7">
        <v>36.732214141098297</v>
      </c>
      <c r="CV125" s="7">
        <v>179.37142238436701</v>
      </c>
      <c r="CW125" s="7">
        <v>36.732214141098297</v>
      </c>
      <c r="CX125" s="7" t="s">
        <v>94</v>
      </c>
      <c r="CY125" s="7">
        <v>81.487330863050403</v>
      </c>
      <c r="CZ125" s="7">
        <f t="shared" si="155"/>
        <v>252.8358506665636</v>
      </c>
      <c r="DB125" s="28">
        <v>70</v>
      </c>
      <c r="DC125" s="26">
        <v>5.0000000000000002E-5</v>
      </c>
      <c r="DD125" s="28">
        <v>2</v>
      </c>
      <c r="DE125" s="28">
        <v>200</v>
      </c>
      <c r="DF125" s="26">
        <v>7.4999999999999997E-8</v>
      </c>
      <c r="DG125" s="26">
        <f t="shared" si="156"/>
        <v>1.4999999999999999E-7</v>
      </c>
      <c r="DH125" s="26">
        <f t="shared" si="157"/>
        <v>5.9999999999999993E-3</v>
      </c>
      <c r="DI125" s="7">
        <v>84.226564381433604</v>
      </c>
      <c r="DJ125" s="7">
        <v>36.618511090650998</v>
      </c>
      <c r="DK125" s="7">
        <v>179.02977916857401</v>
      </c>
      <c r="DL125" s="7">
        <v>36.618511090650998</v>
      </c>
      <c r="DM125" s="7" t="s">
        <v>94</v>
      </c>
      <c r="DN125" s="7">
        <v>81.487330863050403</v>
      </c>
      <c r="DO125" s="7">
        <f t="shared" si="158"/>
        <v>252.266801349876</v>
      </c>
      <c r="DQ125" s="28">
        <v>70</v>
      </c>
      <c r="DR125" s="26">
        <v>5.0000000000000002E-5</v>
      </c>
      <c r="DS125" s="28">
        <v>15</v>
      </c>
      <c r="DT125" s="28">
        <v>300</v>
      </c>
      <c r="DU125" s="26">
        <v>4.9999999999999998E-8</v>
      </c>
      <c r="DV125" s="26">
        <f t="shared" si="159"/>
        <v>7.5000000000000002E-7</v>
      </c>
      <c r="DW125" s="26">
        <f t="shared" si="160"/>
        <v>0.03</v>
      </c>
      <c r="DX125" s="7">
        <v>130.95601945109999</v>
      </c>
      <c r="DY125" s="7">
        <v>23.8224846510956</v>
      </c>
      <c r="DZ125" s="7">
        <v>117.565391453988</v>
      </c>
      <c r="EA125" s="7">
        <v>23.8224846510956</v>
      </c>
      <c r="EB125" s="7" t="s">
        <v>94</v>
      </c>
      <c r="EC125" s="7">
        <v>50.929581789406498</v>
      </c>
      <c r="ED125" s="7">
        <f t="shared" si="161"/>
        <v>165.2103607561792</v>
      </c>
    </row>
    <row r="126" spans="1:134" x14ac:dyDescent="0.4">
      <c r="B126" s="26"/>
      <c r="E126" s="26"/>
      <c r="F126" s="26"/>
      <c r="G126" s="26"/>
      <c r="Q126" s="26"/>
      <c r="T126" s="26"/>
      <c r="U126" s="26"/>
      <c r="V126" s="26"/>
      <c r="AF126" s="26"/>
      <c r="AI126" s="26"/>
      <c r="AJ126" s="26"/>
      <c r="AK126" s="26"/>
      <c r="AU126" s="26"/>
      <c r="AX126" s="26"/>
      <c r="AY126" s="26"/>
      <c r="AZ126" s="26"/>
      <c r="BJ126" s="26"/>
      <c r="BM126" s="26"/>
      <c r="BN126" s="26"/>
      <c r="BO126" s="26"/>
      <c r="BY126" s="26"/>
      <c r="CB126" s="26"/>
      <c r="CC126" s="26"/>
      <c r="CD126" s="26"/>
      <c r="CN126" s="26"/>
      <c r="CQ126" s="26"/>
      <c r="CR126" s="26"/>
      <c r="CS126" s="26"/>
      <c r="DC126" s="26"/>
      <c r="DF126" s="26"/>
      <c r="DG126" s="26"/>
      <c r="DH126" s="26"/>
      <c r="DR126" s="26"/>
      <c r="DU126" s="26"/>
      <c r="DV126" s="26"/>
      <c r="DW126" s="26"/>
    </row>
    <row r="127" spans="1:134" s="36" customFormat="1" ht="47.25" x14ac:dyDescent="0.4">
      <c r="A127" s="53" t="s">
        <v>69</v>
      </c>
      <c r="B127" s="54" t="s">
        <v>93</v>
      </c>
      <c r="C127" s="39" t="s">
        <v>73</v>
      </c>
      <c r="D127" s="39" t="s">
        <v>98</v>
      </c>
      <c r="E127" s="39" t="s">
        <v>97</v>
      </c>
      <c r="F127" s="39" t="s">
        <v>99</v>
      </c>
      <c r="G127" s="39" t="s">
        <v>96</v>
      </c>
      <c r="H127" s="37" t="s">
        <v>60</v>
      </c>
      <c r="I127" s="37" t="s">
        <v>100</v>
      </c>
      <c r="J127" s="37" t="s">
        <v>101</v>
      </c>
      <c r="K127" s="37" t="s">
        <v>102</v>
      </c>
      <c r="L127" s="37" t="s">
        <v>103</v>
      </c>
      <c r="M127" s="37" t="s">
        <v>65</v>
      </c>
      <c r="N127" s="37" t="s">
        <v>68</v>
      </c>
      <c r="O127" s="55"/>
      <c r="P127" s="53" t="s">
        <v>69</v>
      </c>
      <c r="Q127" s="54" t="s">
        <v>93</v>
      </c>
      <c r="R127" s="39" t="s">
        <v>73</v>
      </c>
      <c r="S127" s="39" t="s">
        <v>98</v>
      </c>
      <c r="T127" s="39" t="s">
        <v>97</v>
      </c>
      <c r="U127" s="39" t="s">
        <v>99</v>
      </c>
      <c r="V127" s="39" t="s">
        <v>96</v>
      </c>
      <c r="W127" s="37" t="s">
        <v>60</v>
      </c>
      <c r="X127" s="37" t="s">
        <v>100</v>
      </c>
      <c r="Y127" s="37" t="s">
        <v>101</v>
      </c>
      <c r="Z127" s="37" t="s">
        <v>102</v>
      </c>
      <c r="AA127" s="37" t="s">
        <v>103</v>
      </c>
      <c r="AB127" s="37" t="s">
        <v>65</v>
      </c>
      <c r="AC127" s="37" t="s">
        <v>68</v>
      </c>
      <c r="AD127" s="55"/>
      <c r="AE127" s="53" t="s">
        <v>69</v>
      </c>
      <c r="AF127" s="54" t="s">
        <v>93</v>
      </c>
      <c r="AG127" s="39" t="s">
        <v>73</v>
      </c>
      <c r="AH127" s="39" t="s">
        <v>98</v>
      </c>
      <c r="AI127" s="39" t="s">
        <v>97</v>
      </c>
      <c r="AJ127" s="39" t="s">
        <v>99</v>
      </c>
      <c r="AK127" s="39" t="s">
        <v>96</v>
      </c>
      <c r="AL127" s="37" t="s">
        <v>60</v>
      </c>
      <c r="AM127" s="37" t="s">
        <v>100</v>
      </c>
      <c r="AN127" s="37" t="s">
        <v>101</v>
      </c>
      <c r="AO127" s="37" t="s">
        <v>102</v>
      </c>
      <c r="AP127" s="37" t="s">
        <v>103</v>
      </c>
      <c r="AQ127" s="37" t="s">
        <v>65</v>
      </c>
      <c r="AR127" s="37" t="s">
        <v>68</v>
      </c>
      <c r="AS127" s="55"/>
      <c r="AT127" s="53" t="s">
        <v>69</v>
      </c>
      <c r="AU127" s="54" t="s">
        <v>93</v>
      </c>
      <c r="AV127" s="39" t="s">
        <v>73</v>
      </c>
      <c r="AW127" s="39" t="s">
        <v>98</v>
      </c>
      <c r="AX127" s="39" t="s">
        <v>97</v>
      </c>
      <c r="AY127" s="39" t="s">
        <v>99</v>
      </c>
      <c r="AZ127" s="39" t="s">
        <v>96</v>
      </c>
      <c r="BA127" s="37" t="s">
        <v>60</v>
      </c>
      <c r="BB127" s="37" t="s">
        <v>100</v>
      </c>
      <c r="BC127" s="37" t="s">
        <v>101</v>
      </c>
      <c r="BD127" s="37" t="s">
        <v>102</v>
      </c>
      <c r="BE127" s="37" t="s">
        <v>103</v>
      </c>
      <c r="BF127" s="37" t="s">
        <v>65</v>
      </c>
      <c r="BG127" s="37" t="s">
        <v>68</v>
      </c>
      <c r="BH127" s="55"/>
      <c r="BI127" s="53" t="s">
        <v>69</v>
      </c>
      <c r="BJ127" s="54" t="s">
        <v>93</v>
      </c>
      <c r="BK127" s="39" t="s">
        <v>73</v>
      </c>
      <c r="BL127" s="39" t="s">
        <v>98</v>
      </c>
      <c r="BM127" s="39" t="s">
        <v>97</v>
      </c>
      <c r="BN127" s="39" t="s">
        <v>99</v>
      </c>
      <c r="BO127" s="39" t="s">
        <v>96</v>
      </c>
      <c r="BP127" s="37" t="s">
        <v>60</v>
      </c>
      <c r="BQ127" s="37" t="s">
        <v>100</v>
      </c>
      <c r="BR127" s="37" t="s">
        <v>101</v>
      </c>
      <c r="BS127" s="37" t="s">
        <v>102</v>
      </c>
      <c r="BT127" s="37" t="s">
        <v>103</v>
      </c>
      <c r="BU127" s="37" t="s">
        <v>65</v>
      </c>
      <c r="BV127" s="37" t="s">
        <v>68</v>
      </c>
      <c r="BW127" s="55"/>
      <c r="BX127" s="53" t="s">
        <v>69</v>
      </c>
      <c r="BY127" s="54" t="s">
        <v>93</v>
      </c>
      <c r="BZ127" s="39" t="s">
        <v>73</v>
      </c>
      <c r="CA127" s="39" t="s">
        <v>98</v>
      </c>
      <c r="CB127" s="39" t="s">
        <v>97</v>
      </c>
      <c r="CC127" s="39" t="s">
        <v>99</v>
      </c>
      <c r="CD127" s="39" t="s">
        <v>96</v>
      </c>
      <c r="CE127" s="37" t="s">
        <v>60</v>
      </c>
      <c r="CF127" s="37" t="s">
        <v>100</v>
      </c>
      <c r="CG127" s="37" t="s">
        <v>101</v>
      </c>
      <c r="CH127" s="37" t="s">
        <v>102</v>
      </c>
      <c r="CI127" s="37" t="s">
        <v>103</v>
      </c>
      <c r="CJ127" s="37" t="s">
        <v>65</v>
      </c>
      <c r="CK127" s="37" t="s">
        <v>68</v>
      </c>
      <c r="CL127" s="55"/>
      <c r="CM127" s="53" t="s">
        <v>69</v>
      </c>
      <c r="CN127" s="54" t="s">
        <v>93</v>
      </c>
      <c r="CO127" s="39" t="s">
        <v>73</v>
      </c>
      <c r="CP127" s="39" t="s">
        <v>98</v>
      </c>
      <c r="CQ127" s="39" t="s">
        <v>97</v>
      </c>
      <c r="CR127" s="39" t="s">
        <v>99</v>
      </c>
      <c r="CS127" s="39" t="s">
        <v>96</v>
      </c>
      <c r="CT127" s="37" t="s">
        <v>60</v>
      </c>
      <c r="CU127" s="37" t="s">
        <v>100</v>
      </c>
      <c r="CV127" s="37" t="s">
        <v>101</v>
      </c>
      <c r="CW127" s="37" t="s">
        <v>102</v>
      </c>
      <c r="CX127" s="37" t="s">
        <v>103</v>
      </c>
      <c r="CY127" s="37" t="s">
        <v>65</v>
      </c>
      <c r="CZ127" s="37" t="s">
        <v>68</v>
      </c>
      <c r="DA127" s="55"/>
      <c r="DB127" s="53" t="s">
        <v>69</v>
      </c>
      <c r="DC127" s="54" t="s">
        <v>93</v>
      </c>
      <c r="DD127" s="39" t="s">
        <v>73</v>
      </c>
      <c r="DE127" s="39" t="s">
        <v>98</v>
      </c>
      <c r="DF127" s="39" t="s">
        <v>97</v>
      </c>
      <c r="DG127" s="39" t="s">
        <v>99</v>
      </c>
      <c r="DH127" s="39" t="s">
        <v>96</v>
      </c>
      <c r="DI127" s="37" t="s">
        <v>60</v>
      </c>
      <c r="DJ127" s="37" t="s">
        <v>100</v>
      </c>
      <c r="DK127" s="37" t="s">
        <v>101</v>
      </c>
      <c r="DL127" s="37" t="s">
        <v>102</v>
      </c>
      <c r="DM127" s="37" t="s">
        <v>103</v>
      </c>
      <c r="DN127" s="37" t="s">
        <v>65</v>
      </c>
      <c r="DO127" s="37" t="s">
        <v>68</v>
      </c>
      <c r="DP127" s="55"/>
      <c r="DQ127" s="53" t="s">
        <v>69</v>
      </c>
      <c r="DR127" s="54" t="s">
        <v>93</v>
      </c>
      <c r="DS127" s="39" t="s">
        <v>73</v>
      </c>
      <c r="DT127" s="39" t="s">
        <v>98</v>
      </c>
      <c r="DU127" s="39" t="s">
        <v>97</v>
      </c>
      <c r="DV127" s="39" t="s">
        <v>99</v>
      </c>
      <c r="DW127" s="39" t="s">
        <v>96</v>
      </c>
      <c r="DX127" s="37" t="s">
        <v>60</v>
      </c>
      <c r="DY127" s="37" t="s">
        <v>100</v>
      </c>
      <c r="DZ127" s="37" t="s">
        <v>101</v>
      </c>
      <c r="EA127" s="37" t="s">
        <v>102</v>
      </c>
      <c r="EB127" s="37" t="s">
        <v>103</v>
      </c>
      <c r="EC127" s="37" t="s">
        <v>65</v>
      </c>
      <c r="ED127" s="37" t="s">
        <v>68</v>
      </c>
    </row>
    <row r="128" spans="1:134" x14ac:dyDescent="0.4">
      <c r="A128" s="28">
        <v>1</v>
      </c>
      <c r="B128" s="26">
        <v>1.0000000000000001E-5</v>
      </c>
      <c r="C128" s="28">
        <v>0.2</v>
      </c>
      <c r="D128" s="28">
        <v>30</v>
      </c>
      <c r="E128" s="26">
        <v>9.9999999999999995E-8</v>
      </c>
      <c r="F128" s="26">
        <f t="shared" ref="F128:F146" si="162">C128*E128</f>
        <v>2E-8</v>
      </c>
      <c r="G128" s="26">
        <f t="shared" ref="G128:G146" si="163">F128/(B128/2)</f>
        <v>4.0000000000000001E-3</v>
      </c>
      <c r="H128" s="7">
        <v>0.22539906166312201</v>
      </c>
      <c r="I128" s="7">
        <v>20967.675665585699</v>
      </c>
      <c r="J128" s="7">
        <v>750067.42850576504</v>
      </c>
      <c r="K128" s="7">
        <v>20967.675665585699</v>
      </c>
      <c r="L128" s="7">
        <v>246455.34799285</v>
      </c>
      <c r="M128" s="7">
        <v>2546.4790894703301</v>
      </c>
      <c r="N128" s="7">
        <f t="shared" ref="N128:N146" si="164">I128+J128+K128</f>
        <v>792002.77983693639</v>
      </c>
      <c r="P128" s="28">
        <v>1</v>
      </c>
      <c r="Q128" s="26">
        <v>3.0000000000000001E-5</v>
      </c>
      <c r="R128" s="28">
        <v>0.2</v>
      </c>
      <c r="S128" s="28">
        <v>30</v>
      </c>
      <c r="T128" s="26">
        <v>9.9999999999999995E-8</v>
      </c>
      <c r="U128" s="26">
        <f t="shared" ref="U128:U146" si="165">R128*T128</f>
        <v>2E-8</v>
      </c>
      <c r="V128" s="26">
        <f t="shared" ref="V128:V146" si="166">U128/(Q128/2)</f>
        <v>1.3333333333333333E-3</v>
      </c>
      <c r="W128" s="7">
        <v>0.22562678045293599</v>
      </c>
      <c r="X128" s="7">
        <v>6989.2252213633501</v>
      </c>
      <c r="Y128" s="7">
        <v>250022.476149864</v>
      </c>
      <c r="Z128" s="7">
        <v>6989.2252213633501</v>
      </c>
      <c r="AA128" s="7">
        <v>82151.782666878105</v>
      </c>
      <c r="AB128" s="7">
        <v>282.94212105225802</v>
      </c>
      <c r="AC128" s="7">
        <f t="shared" ref="AC128:AC146" si="167">X128+Y128+Z128</f>
        <v>264000.92659259069</v>
      </c>
      <c r="AE128" s="28">
        <v>1</v>
      </c>
      <c r="AF128" s="26">
        <v>5.0000000000000002E-5</v>
      </c>
      <c r="AG128" s="28">
        <v>0.2</v>
      </c>
      <c r="AH128" s="28">
        <v>30</v>
      </c>
      <c r="AI128" s="26">
        <v>9.9999999999999995E-8</v>
      </c>
      <c r="AJ128" s="26">
        <f t="shared" ref="AJ128:AJ146" si="168">AG128*AI128</f>
        <v>2E-8</v>
      </c>
      <c r="AK128" s="26">
        <f t="shared" ref="AK128:AK146" si="169">AJ128/(AF128/2)</f>
        <v>7.9999999999999993E-4</v>
      </c>
      <c r="AL128" s="7">
        <v>0.22567255818443999</v>
      </c>
      <c r="AM128" s="7">
        <v>4193.5351285970401</v>
      </c>
      <c r="AN128" s="7">
        <v>150013.48553139099</v>
      </c>
      <c r="AO128" s="7">
        <v>4193.5351285970401</v>
      </c>
      <c r="AP128" s="7">
        <v>49291.069622095303</v>
      </c>
      <c r="AQ128" s="7">
        <v>101.859163578813</v>
      </c>
      <c r="AR128" s="7">
        <f t="shared" ref="AR128:AR146" si="170">AM128+AN128+AO128</f>
        <v>158400.5557885851</v>
      </c>
      <c r="AT128" s="28">
        <v>1</v>
      </c>
      <c r="AU128" s="26">
        <v>1.0000000000000001E-5</v>
      </c>
      <c r="AV128" s="28">
        <v>0.2</v>
      </c>
      <c r="AW128" s="28">
        <v>200</v>
      </c>
      <c r="AX128" s="26">
        <v>9.9999999999999995E-8</v>
      </c>
      <c r="AY128" s="26">
        <f t="shared" ref="AY128:AY146" si="171">AV128*AX128</f>
        <v>2E-8</v>
      </c>
      <c r="AZ128" s="26">
        <f t="shared" ref="AZ128:AZ146" si="172">AY128/(AU128/2)</f>
        <v>4.0000000000000001E-3</v>
      </c>
      <c r="BA128" s="7">
        <v>0.22771586612860001</v>
      </c>
      <c r="BB128" s="7">
        <v>4345.3623253436699</v>
      </c>
      <c r="BC128" s="7">
        <v>750067.42850576504</v>
      </c>
      <c r="BD128" s="7">
        <v>4345.3623253436699</v>
      </c>
      <c r="BE128" s="7">
        <v>246455.34799285</v>
      </c>
      <c r="BF128" s="7">
        <v>2546.4790894703301</v>
      </c>
      <c r="BG128" s="7">
        <f t="shared" ref="BG128:BG146" si="173">BB128+BC128+BD128</f>
        <v>758758.15315645235</v>
      </c>
      <c r="BI128" s="28">
        <v>1</v>
      </c>
      <c r="BJ128" s="26">
        <v>1.0000000000000001E-5</v>
      </c>
      <c r="BK128" s="28">
        <v>0.5</v>
      </c>
      <c r="BL128" s="28">
        <v>200</v>
      </c>
      <c r="BM128" s="26">
        <v>9.9999999999999995E-8</v>
      </c>
      <c r="BN128" s="26">
        <f t="shared" ref="BN128:BN146" si="174">BK128*BM128</f>
        <v>4.9999999999999998E-8</v>
      </c>
      <c r="BO128" s="26">
        <f t="shared" ref="BO128:BO146" si="175">BN128/(BJ128/2)</f>
        <v>9.9999999999999985E-3</v>
      </c>
      <c r="BP128" s="7">
        <v>0.56613252615924503</v>
      </c>
      <c r="BQ128" s="7">
        <v>3764.12485338133</v>
      </c>
      <c r="BR128" s="7">
        <v>300026.97140230599</v>
      </c>
      <c r="BS128" s="7">
        <v>3764.12485338133</v>
      </c>
      <c r="BT128" s="7">
        <v>98582.139197140001</v>
      </c>
      <c r="BU128" s="7">
        <v>2546.4790894703301</v>
      </c>
      <c r="BV128" s="7">
        <f t="shared" ref="BV128:BV146" si="176">BQ128+BR128+BS128</f>
        <v>307555.2211090686</v>
      </c>
      <c r="BX128" s="28">
        <v>1</v>
      </c>
      <c r="BY128" s="26">
        <v>5.0000000000000002E-5</v>
      </c>
      <c r="BZ128" s="28">
        <v>0.5</v>
      </c>
      <c r="CA128" s="28">
        <v>200</v>
      </c>
      <c r="CB128" s="26">
        <v>9.9999999999999995E-8</v>
      </c>
      <c r="CC128" s="26">
        <f t="shared" ref="CC128:CC146" si="177">BZ128*CB128</f>
        <v>4.9999999999999998E-8</v>
      </c>
      <c r="CD128" s="26">
        <f t="shared" ref="CD128:CD146" si="178">CC128/(BY128/2)</f>
        <v>1.9999999999999996E-3</v>
      </c>
      <c r="CE128" s="7">
        <v>0.56792450235776204</v>
      </c>
      <c r="CF128" s="7">
        <v>752.82497001808497</v>
      </c>
      <c r="CG128" s="7">
        <v>60005.394212556603</v>
      </c>
      <c r="CH128" s="7">
        <v>752.82497001808497</v>
      </c>
      <c r="CI128" s="7">
        <v>19716.427848838099</v>
      </c>
      <c r="CJ128" s="7">
        <v>101.859163578813</v>
      </c>
      <c r="CK128" s="7">
        <f t="shared" ref="CK128:CK146" si="179">CF128+CG128+CH128</f>
        <v>61511.044152592767</v>
      </c>
      <c r="CM128" s="28">
        <v>1</v>
      </c>
      <c r="CN128" s="26">
        <v>5.0000000000000002E-5</v>
      </c>
      <c r="CO128" s="28">
        <v>1</v>
      </c>
      <c r="CP128" s="28">
        <v>200</v>
      </c>
      <c r="CQ128" s="26">
        <v>9.9999999999999995E-8</v>
      </c>
      <c r="CR128" s="26">
        <f t="shared" ref="CR128:CR146" si="180">CO128*CQ128</f>
        <v>9.9999999999999995E-8</v>
      </c>
      <c r="CS128" s="26">
        <f t="shared" ref="CS128:CS146" si="181">CR128/(CN128/2)</f>
        <v>3.9999999999999992E-3</v>
      </c>
      <c r="CT128" s="7">
        <v>1.1299234497261901</v>
      </c>
      <c r="CU128" s="7">
        <v>665.23311259709499</v>
      </c>
      <c r="CV128" s="7">
        <v>30002.697106278301</v>
      </c>
      <c r="CW128" s="7">
        <v>665.23311259709499</v>
      </c>
      <c r="CX128" s="7">
        <v>9858.2139244190694</v>
      </c>
      <c r="CY128" s="7">
        <v>101.859163578813</v>
      </c>
      <c r="CZ128" s="7">
        <f t="shared" ref="CZ128:CZ146" si="182">CU128+CV128+CW128</f>
        <v>31333.163331472493</v>
      </c>
      <c r="DB128" s="28">
        <v>1</v>
      </c>
      <c r="DC128" s="26">
        <v>5.0000000000000002E-5</v>
      </c>
      <c r="DD128" s="28">
        <v>2</v>
      </c>
      <c r="DE128" s="28">
        <v>200</v>
      </c>
      <c r="DF128" s="26">
        <v>9.9999999999999995E-8</v>
      </c>
      <c r="DG128" s="26">
        <f t="shared" ref="DG128:DG146" si="183">DD128*DF128</f>
        <v>1.9999999999999999E-7</v>
      </c>
      <c r="DH128" s="26">
        <f t="shared" ref="DH128:DH146" si="184">DG128/(DC128/2)</f>
        <v>7.9999999999999984E-3</v>
      </c>
      <c r="DI128" s="7">
        <v>2.2403384898899601</v>
      </c>
      <c r="DJ128" s="7">
        <v>578.22973015081095</v>
      </c>
      <c r="DK128" s="7">
        <v>15001.3485531391</v>
      </c>
      <c r="DL128" s="7">
        <v>578.22973015081095</v>
      </c>
      <c r="DM128" s="7">
        <v>4929.1069622095301</v>
      </c>
      <c r="DN128" s="7">
        <v>101.859163578813</v>
      </c>
      <c r="DO128" s="7">
        <f t="shared" ref="DO128:DO146" si="185">DJ128+DK128+DL128</f>
        <v>16157.808013440723</v>
      </c>
      <c r="DQ128" s="28">
        <v>1</v>
      </c>
      <c r="DR128" s="26">
        <v>5.0000000000000002E-5</v>
      </c>
      <c r="DS128" s="28">
        <v>15</v>
      </c>
      <c r="DT128" s="28">
        <v>300</v>
      </c>
      <c r="DU128" s="26">
        <v>7.4999999999999997E-8</v>
      </c>
      <c r="DV128" s="26">
        <f t="shared" ref="DV128:DV146" si="186">DS128*DU128</f>
        <v>1.125E-6</v>
      </c>
      <c r="DW128" s="26">
        <f t="shared" ref="DW128:DW146" si="187">DV128/(DR128/2)</f>
        <v>4.4999999999999998E-2</v>
      </c>
      <c r="DX128" s="7">
        <v>16.0882186129333</v>
      </c>
      <c r="DY128" s="7">
        <v>254.539230510376</v>
      </c>
      <c r="DZ128" s="7">
        <v>2000.1798070852201</v>
      </c>
      <c r="EA128" s="7">
        <v>254.539230510376</v>
      </c>
      <c r="EB128" s="7">
        <v>657.21426162793796</v>
      </c>
      <c r="EC128" s="7">
        <v>81.487330863050403</v>
      </c>
      <c r="ED128" s="7">
        <f t="shared" ref="ED128:ED146" si="188">DY128+DZ128+EA128</f>
        <v>2509.2582681059721</v>
      </c>
    </row>
    <row r="129" spans="1:134" x14ac:dyDescent="0.4">
      <c r="A129" s="28">
        <v>2</v>
      </c>
      <c r="B129" s="26">
        <v>1.0000000000000001E-5</v>
      </c>
      <c r="C129" s="28">
        <v>0.2</v>
      </c>
      <c r="D129" s="28">
        <v>30</v>
      </c>
      <c r="E129" s="26">
        <v>9.9999999999999995E-8</v>
      </c>
      <c r="F129" s="26">
        <f t="shared" si="162"/>
        <v>2E-8</v>
      </c>
      <c r="G129" s="26">
        <f t="shared" si="163"/>
        <v>4.0000000000000001E-3</v>
      </c>
      <c r="H129" s="7">
        <v>0.25859921791787099</v>
      </c>
      <c r="I129" s="7">
        <v>20967.675665585699</v>
      </c>
      <c r="J129" s="7">
        <v>482013.76177816797</v>
      </c>
      <c r="K129" s="7">
        <v>20967.675665585699</v>
      </c>
      <c r="L129" s="7">
        <v>339325.67523914197</v>
      </c>
      <c r="M129" s="7">
        <v>2546.4790894703301</v>
      </c>
      <c r="N129" s="7">
        <f t="shared" si="164"/>
        <v>523949.11310933932</v>
      </c>
      <c r="P129" s="28">
        <v>2</v>
      </c>
      <c r="Q129" s="26">
        <v>3.0000000000000001E-5</v>
      </c>
      <c r="R129" s="28">
        <v>0.2</v>
      </c>
      <c r="S129" s="28">
        <v>30</v>
      </c>
      <c r="T129" s="26">
        <v>9.9999999999999995E-8</v>
      </c>
      <c r="U129" s="26">
        <f t="shared" si="165"/>
        <v>2E-8</v>
      </c>
      <c r="V129" s="26">
        <f t="shared" si="166"/>
        <v>1.3333333333333333E-3</v>
      </c>
      <c r="W129" s="7">
        <v>0.25925193518163298</v>
      </c>
      <c r="X129" s="7">
        <v>6989.2252213633501</v>
      </c>
      <c r="Y129" s="7">
        <v>160671.25390733199</v>
      </c>
      <c r="Z129" s="7">
        <v>6989.2252213633501</v>
      </c>
      <c r="AA129" s="7">
        <v>113108.558420806</v>
      </c>
      <c r="AB129" s="7">
        <v>282.94212105225802</v>
      </c>
      <c r="AC129" s="7">
        <f t="shared" si="167"/>
        <v>174649.70435005872</v>
      </c>
      <c r="AE129" s="28">
        <v>2</v>
      </c>
      <c r="AF129" s="26">
        <v>5.0000000000000002E-5</v>
      </c>
      <c r="AG129" s="28">
        <v>0.2</v>
      </c>
      <c r="AH129" s="28">
        <v>30</v>
      </c>
      <c r="AI129" s="26">
        <v>9.9999999999999995E-8</v>
      </c>
      <c r="AJ129" s="26">
        <f t="shared" si="168"/>
        <v>2E-8</v>
      </c>
      <c r="AK129" s="26">
        <f t="shared" si="169"/>
        <v>7.9999999999999993E-4</v>
      </c>
      <c r="AL129" s="7">
        <v>0.25938349181440501</v>
      </c>
      <c r="AM129" s="7">
        <v>4193.5351285970401</v>
      </c>
      <c r="AN129" s="7">
        <v>96402.752185872101</v>
      </c>
      <c r="AO129" s="7">
        <v>4193.5351285970401</v>
      </c>
      <c r="AP129" s="7">
        <v>67865.135118168895</v>
      </c>
      <c r="AQ129" s="7">
        <v>101.859163578813</v>
      </c>
      <c r="AR129" s="7">
        <f t="shared" si="170"/>
        <v>104789.82244306618</v>
      </c>
      <c r="AT129" s="28">
        <v>2</v>
      </c>
      <c r="AU129" s="26">
        <v>1.0000000000000001E-5</v>
      </c>
      <c r="AV129" s="28">
        <v>0.2</v>
      </c>
      <c r="AW129" s="28">
        <v>200</v>
      </c>
      <c r="AX129" s="26">
        <v>9.9999999999999995E-8</v>
      </c>
      <c r="AY129" s="26">
        <f t="shared" si="171"/>
        <v>2E-8</v>
      </c>
      <c r="AZ129" s="26">
        <f t="shared" si="172"/>
        <v>4.0000000000000001E-3</v>
      </c>
      <c r="BA129" s="7">
        <v>0.26537496865854199</v>
      </c>
      <c r="BB129" s="7">
        <v>4345.3623253436699</v>
      </c>
      <c r="BC129" s="7">
        <v>482013.76177816797</v>
      </c>
      <c r="BD129" s="7">
        <v>4345.3623253436699</v>
      </c>
      <c r="BE129" s="7">
        <v>339325.67523914197</v>
      </c>
      <c r="BF129" s="7">
        <v>2546.4790894703301</v>
      </c>
      <c r="BG129" s="7">
        <f t="shared" si="173"/>
        <v>490704.48642885528</v>
      </c>
      <c r="BI129" s="28">
        <v>2</v>
      </c>
      <c r="BJ129" s="26">
        <v>1.0000000000000001E-5</v>
      </c>
      <c r="BK129" s="28">
        <v>0.5</v>
      </c>
      <c r="BL129" s="28">
        <v>200</v>
      </c>
      <c r="BM129" s="26">
        <v>9.9999999999999995E-8</v>
      </c>
      <c r="BN129" s="26">
        <f t="shared" si="174"/>
        <v>4.9999999999999998E-8</v>
      </c>
      <c r="BO129" s="26">
        <f t="shared" si="175"/>
        <v>9.9999999999999985E-3</v>
      </c>
      <c r="BP129" s="7">
        <v>0.65411045388338696</v>
      </c>
      <c r="BQ129" s="7">
        <v>3764.12485338133</v>
      </c>
      <c r="BR129" s="7">
        <v>192805.50471126701</v>
      </c>
      <c r="BS129" s="7">
        <v>3764.12485338133</v>
      </c>
      <c r="BT129" s="7">
        <v>135730.270095657</v>
      </c>
      <c r="BU129" s="7">
        <v>2546.4790894703301</v>
      </c>
      <c r="BV129" s="7">
        <f t="shared" si="176"/>
        <v>200333.75441802968</v>
      </c>
      <c r="BX129" s="28">
        <v>2</v>
      </c>
      <c r="BY129" s="26">
        <v>5.0000000000000002E-5</v>
      </c>
      <c r="BZ129" s="28">
        <v>0.5</v>
      </c>
      <c r="CA129" s="28">
        <v>200</v>
      </c>
      <c r="CB129" s="26">
        <v>9.9999999999999995E-8</v>
      </c>
      <c r="CC129" s="26">
        <f t="shared" si="177"/>
        <v>4.9999999999999998E-8</v>
      </c>
      <c r="CD129" s="26">
        <f t="shared" si="178"/>
        <v>1.9999999999999996E-3</v>
      </c>
      <c r="CE129" s="7">
        <v>0.659376406480773</v>
      </c>
      <c r="CF129" s="7">
        <v>752.82497001808497</v>
      </c>
      <c r="CG129" s="7">
        <v>38561.1008743489</v>
      </c>
      <c r="CH129" s="7">
        <v>752.82497001808497</v>
      </c>
      <c r="CI129" s="7">
        <v>27146.0540472676</v>
      </c>
      <c r="CJ129" s="7">
        <v>101.859163578813</v>
      </c>
      <c r="CK129" s="7">
        <f t="shared" si="179"/>
        <v>40066.750814385065</v>
      </c>
      <c r="CM129" s="28">
        <v>2</v>
      </c>
      <c r="CN129" s="26">
        <v>5.0000000000000002E-5</v>
      </c>
      <c r="CO129" s="28">
        <v>1</v>
      </c>
      <c r="CP129" s="28">
        <v>200</v>
      </c>
      <c r="CQ129" s="26">
        <v>9.9999999999999995E-8</v>
      </c>
      <c r="CR129" s="26">
        <f t="shared" si="180"/>
        <v>9.9999999999999995E-8</v>
      </c>
      <c r="CS129" s="26">
        <f t="shared" si="181"/>
        <v>3.9999999999999992E-3</v>
      </c>
      <c r="CT129" s="7">
        <v>1.3014178626960999</v>
      </c>
      <c r="CU129" s="7">
        <v>665.23311259709499</v>
      </c>
      <c r="CV129" s="7">
        <v>19280.550437174399</v>
      </c>
      <c r="CW129" s="7">
        <v>665.23311259709499</v>
      </c>
      <c r="CX129" s="7">
        <v>13573.0270236338</v>
      </c>
      <c r="CY129" s="7">
        <v>101.859163578813</v>
      </c>
      <c r="CZ129" s="7">
        <f t="shared" si="182"/>
        <v>20611.016662368591</v>
      </c>
      <c r="DB129" s="28">
        <v>2</v>
      </c>
      <c r="DC129" s="26">
        <v>5.0000000000000002E-5</v>
      </c>
      <c r="DD129" s="28">
        <v>2</v>
      </c>
      <c r="DE129" s="28">
        <v>200</v>
      </c>
      <c r="DF129" s="26">
        <v>9.9999999999999995E-8</v>
      </c>
      <c r="DG129" s="26">
        <f t="shared" si="183"/>
        <v>1.9999999999999999E-7</v>
      </c>
      <c r="DH129" s="26">
        <f t="shared" si="184"/>
        <v>7.9999999999999984E-3</v>
      </c>
      <c r="DI129" s="7">
        <v>2.5474463707741202</v>
      </c>
      <c r="DJ129" s="7">
        <v>578.22973015081095</v>
      </c>
      <c r="DK129" s="7">
        <v>9640.2752185872196</v>
      </c>
      <c r="DL129" s="7">
        <v>578.22973015081095</v>
      </c>
      <c r="DM129" s="7">
        <v>6786.5135118168901</v>
      </c>
      <c r="DN129" s="7">
        <v>101.859163578813</v>
      </c>
      <c r="DO129" s="7">
        <f t="shared" si="185"/>
        <v>10796.734678888843</v>
      </c>
      <c r="DQ129" s="28">
        <v>2</v>
      </c>
      <c r="DR129" s="26">
        <v>5.0000000000000002E-5</v>
      </c>
      <c r="DS129" s="28">
        <v>15</v>
      </c>
      <c r="DT129" s="28">
        <v>300</v>
      </c>
      <c r="DU129" s="26">
        <v>7.4999999999999997E-8</v>
      </c>
      <c r="DV129" s="26">
        <f t="shared" si="186"/>
        <v>1.125E-6</v>
      </c>
      <c r="DW129" s="26">
        <f t="shared" si="187"/>
        <v>4.4999999999999998E-2</v>
      </c>
      <c r="DX129" s="7">
        <v>17.278425079667901</v>
      </c>
      <c r="DY129" s="7">
        <v>254.539230510376</v>
      </c>
      <c r="DZ129" s="7">
        <v>1285.37002914496</v>
      </c>
      <c r="EA129" s="7">
        <v>254.539230510376</v>
      </c>
      <c r="EB129" s="7">
        <v>904.86846824225199</v>
      </c>
      <c r="EC129" s="7">
        <v>81.487330863050403</v>
      </c>
      <c r="ED129" s="7">
        <f t="shared" si="188"/>
        <v>1794.448490165712</v>
      </c>
    </row>
    <row r="130" spans="1:134" x14ac:dyDescent="0.4">
      <c r="A130" s="28">
        <v>4</v>
      </c>
      <c r="B130" s="26">
        <v>1.0000000000000001E-5</v>
      </c>
      <c r="C130" s="28">
        <v>0.2</v>
      </c>
      <c r="D130" s="28">
        <v>30</v>
      </c>
      <c r="E130" s="26">
        <v>9.9999999999999995E-8</v>
      </c>
      <c r="F130" s="26">
        <f t="shared" si="162"/>
        <v>2E-8</v>
      </c>
      <c r="G130" s="26">
        <f t="shared" si="163"/>
        <v>4.0000000000000001E-3</v>
      </c>
      <c r="H130" s="7">
        <v>0.34869800005532597</v>
      </c>
      <c r="I130" s="7">
        <v>20967.675665585699</v>
      </c>
      <c r="J130" s="7">
        <v>269259.42550450901</v>
      </c>
      <c r="K130" s="7">
        <v>20967.675665585699</v>
      </c>
      <c r="L130" s="7">
        <v>496205.96663466899</v>
      </c>
      <c r="M130" s="7">
        <v>2546.4790894703301</v>
      </c>
      <c r="N130" s="7">
        <f t="shared" si="164"/>
        <v>311194.77683568036</v>
      </c>
      <c r="P130" s="28">
        <v>4</v>
      </c>
      <c r="Q130" s="26">
        <v>3.0000000000000001E-5</v>
      </c>
      <c r="R130" s="28">
        <v>0.2</v>
      </c>
      <c r="S130" s="28">
        <v>30</v>
      </c>
      <c r="T130" s="26">
        <v>9.9999999999999995E-8</v>
      </c>
      <c r="U130" s="26">
        <f t="shared" si="165"/>
        <v>2E-8</v>
      </c>
      <c r="V130" s="26">
        <f t="shared" si="166"/>
        <v>1.3333333333333333E-3</v>
      </c>
      <c r="W130" s="7">
        <v>0.35100886856504998</v>
      </c>
      <c r="X130" s="7">
        <v>6989.2252213633501</v>
      </c>
      <c r="Y130" s="7">
        <v>89753.141816112096</v>
      </c>
      <c r="Z130" s="7">
        <v>6989.2252213633501</v>
      </c>
      <c r="AA130" s="7">
        <v>165401.98890513901</v>
      </c>
      <c r="AB130" s="7">
        <v>282.94212105225802</v>
      </c>
      <c r="AC130" s="7">
        <f t="shared" si="167"/>
        <v>103731.59225883879</v>
      </c>
      <c r="AE130" s="28">
        <v>4</v>
      </c>
      <c r="AF130" s="26">
        <v>5.0000000000000002E-5</v>
      </c>
      <c r="AG130" s="28">
        <v>0.2</v>
      </c>
      <c r="AH130" s="28">
        <v>30</v>
      </c>
      <c r="AI130" s="26">
        <v>9.9999999999999995E-8</v>
      </c>
      <c r="AJ130" s="26">
        <f t="shared" si="168"/>
        <v>2E-8</v>
      </c>
      <c r="AK130" s="26">
        <f t="shared" si="169"/>
        <v>7.9999999999999993E-4</v>
      </c>
      <c r="AL130" s="7">
        <v>0.35147707386886201</v>
      </c>
      <c r="AM130" s="7">
        <v>4193.5351285970401</v>
      </c>
      <c r="AN130" s="7">
        <v>53851.884931140201</v>
      </c>
      <c r="AO130" s="7">
        <v>4193.5351285970401</v>
      </c>
      <c r="AP130" s="7">
        <v>99241.193570966701</v>
      </c>
      <c r="AQ130" s="7">
        <v>101.859163578813</v>
      </c>
      <c r="AR130" s="7">
        <f t="shared" si="170"/>
        <v>62238.955188334279</v>
      </c>
      <c r="AT130" s="28">
        <v>4</v>
      </c>
      <c r="AU130" s="26">
        <v>1.0000000000000001E-5</v>
      </c>
      <c r="AV130" s="28">
        <v>0.2</v>
      </c>
      <c r="AW130" s="28">
        <v>200</v>
      </c>
      <c r="AX130" s="26">
        <v>9.9999999999999995E-8</v>
      </c>
      <c r="AY130" s="26">
        <f t="shared" si="171"/>
        <v>2E-8</v>
      </c>
      <c r="AZ130" s="26">
        <f t="shared" si="172"/>
        <v>4.0000000000000001E-3</v>
      </c>
      <c r="BA130" s="7">
        <v>0.37371068489702097</v>
      </c>
      <c r="BB130" s="7">
        <v>4345.3623253436699</v>
      </c>
      <c r="BC130" s="7">
        <v>269259.42550450901</v>
      </c>
      <c r="BD130" s="7">
        <v>4345.3623253436699</v>
      </c>
      <c r="BE130" s="7">
        <v>496205.96663466899</v>
      </c>
      <c r="BF130" s="7">
        <v>2546.4790894703301</v>
      </c>
      <c r="BG130" s="7">
        <f t="shared" si="173"/>
        <v>277950.15015519632</v>
      </c>
      <c r="BI130" s="28">
        <v>4</v>
      </c>
      <c r="BJ130" s="26">
        <v>1.0000000000000001E-5</v>
      </c>
      <c r="BK130" s="28">
        <v>0.5</v>
      </c>
      <c r="BL130" s="28">
        <v>200</v>
      </c>
      <c r="BM130" s="26">
        <v>9.9999999999999995E-8</v>
      </c>
      <c r="BN130" s="26">
        <f t="shared" si="174"/>
        <v>4.9999999999999998E-8</v>
      </c>
      <c r="BO130" s="26">
        <f t="shared" si="175"/>
        <v>9.9999999999999985E-3</v>
      </c>
      <c r="BP130" s="7">
        <v>0.89913389033093205</v>
      </c>
      <c r="BQ130" s="7">
        <v>3764.12485338133</v>
      </c>
      <c r="BR130" s="7">
        <v>107703.770201803</v>
      </c>
      <c r="BS130" s="7">
        <v>3764.12485338133</v>
      </c>
      <c r="BT130" s="7">
        <v>198482.38665386799</v>
      </c>
      <c r="BU130" s="7">
        <v>2546.4790894703301</v>
      </c>
      <c r="BV130" s="7">
        <f t="shared" si="176"/>
        <v>115232.01990856566</v>
      </c>
      <c r="BX130" s="28">
        <v>4</v>
      </c>
      <c r="BY130" s="26">
        <v>5.0000000000000002E-5</v>
      </c>
      <c r="BZ130" s="28">
        <v>0.5</v>
      </c>
      <c r="CA130" s="28">
        <v>200</v>
      </c>
      <c r="CB130" s="26">
        <v>9.9999999999999995E-8</v>
      </c>
      <c r="CC130" s="26">
        <f t="shared" si="177"/>
        <v>4.9999999999999998E-8</v>
      </c>
      <c r="CD130" s="26">
        <f t="shared" si="178"/>
        <v>1.9999999999999996E-3</v>
      </c>
      <c r="CE130" s="7">
        <v>0.91875316132509199</v>
      </c>
      <c r="CF130" s="7">
        <v>752.82497001808497</v>
      </c>
      <c r="CG130" s="7">
        <v>21540.753972456099</v>
      </c>
      <c r="CH130" s="7">
        <v>752.82497001808497</v>
      </c>
      <c r="CI130" s="7">
        <v>39696.477428386701</v>
      </c>
      <c r="CJ130" s="7">
        <v>101.859163578813</v>
      </c>
      <c r="CK130" s="7">
        <f t="shared" si="179"/>
        <v>23046.403912492271</v>
      </c>
      <c r="CM130" s="28">
        <v>4</v>
      </c>
      <c r="CN130" s="26">
        <v>5.0000000000000002E-5</v>
      </c>
      <c r="CO130" s="28">
        <v>1</v>
      </c>
      <c r="CP130" s="28">
        <v>200</v>
      </c>
      <c r="CQ130" s="26">
        <v>9.9999999999999995E-8</v>
      </c>
      <c r="CR130" s="26">
        <f t="shared" si="180"/>
        <v>9.9999999999999995E-8</v>
      </c>
      <c r="CS130" s="26">
        <f t="shared" si="181"/>
        <v>3.9999999999999992E-3</v>
      </c>
      <c r="CT130" s="7">
        <v>1.7735133737542601</v>
      </c>
      <c r="CU130" s="7">
        <v>665.23311259709499</v>
      </c>
      <c r="CV130" s="7">
        <v>10770.376986228001</v>
      </c>
      <c r="CW130" s="7">
        <v>665.23311259709499</v>
      </c>
      <c r="CX130" s="7">
        <v>19848.2387141933</v>
      </c>
      <c r="CY130" s="7">
        <v>101.859163578813</v>
      </c>
      <c r="CZ130" s="7">
        <f t="shared" si="182"/>
        <v>12100.843211422191</v>
      </c>
      <c r="DB130" s="28">
        <v>4</v>
      </c>
      <c r="DC130" s="26">
        <v>5.0000000000000002E-5</v>
      </c>
      <c r="DD130" s="28">
        <v>2</v>
      </c>
      <c r="DE130" s="28">
        <v>200</v>
      </c>
      <c r="DF130" s="26">
        <v>9.9999999999999995E-8</v>
      </c>
      <c r="DG130" s="26">
        <f t="shared" si="183"/>
        <v>1.9999999999999999E-7</v>
      </c>
      <c r="DH130" s="26">
        <f t="shared" si="184"/>
        <v>7.9999999999999984E-3</v>
      </c>
      <c r="DI130" s="7">
        <v>3.3545051694757402</v>
      </c>
      <c r="DJ130" s="7">
        <v>578.22973015081095</v>
      </c>
      <c r="DK130" s="7">
        <v>5385.1884931140203</v>
      </c>
      <c r="DL130" s="7">
        <v>578.22973015081095</v>
      </c>
      <c r="DM130" s="7">
        <v>9924.1193570966698</v>
      </c>
      <c r="DN130" s="7">
        <v>101.859163578813</v>
      </c>
      <c r="DO130" s="7">
        <f t="shared" si="185"/>
        <v>6541.6479534156415</v>
      </c>
      <c r="DQ130" s="28">
        <v>4</v>
      </c>
      <c r="DR130" s="26">
        <v>5.0000000000000002E-5</v>
      </c>
      <c r="DS130" s="28">
        <v>15</v>
      </c>
      <c r="DT130" s="28">
        <v>300</v>
      </c>
      <c r="DU130" s="26">
        <v>7.4999999999999997E-8</v>
      </c>
      <c r="DV130" s="26">
        <f t="shared" si="186"/>
        <v>1.125E-6</v>
      </c>
      <c r="DW130" s="26">
        <f t="shared" si="187"/>
        <v>4.4999999999999998E-2</v>
      </c>
      <c r="DX130" s="7">
        <v>19.871502182605202</v>
      </c>
      <c r="DY130" s="7">
        <v>254.539230510376</v>
      </c>
      <c r="DZ130" s="7">
        <v>718.02513241520205</v>
      </c>
      <c r="EA130" s="7">
        <v>254.539230510376</v>
      </c>
      <c r="EB130" s="7">
        <v>1323.2159142795599</v>
      </c>
      <c r="EC130" s="7">
        <v>81.487330863050403</v>
      </c>
      <c r="ED130" s="7">
        <f t="shared" si="188"/>
        <v>1227.1035934359541</v>
      </c>
    </row>
    <row r="131" spans="1:134" x14ac:dyDescent="0.4">
      <c r="A131" s="28">
        <v>6</v>
      </c>
      <c r="B131" s="26">
        <v>1.0000000000000001E-5</v>
      </c>
      <c r="C131" s="28">
        <v>0.2</v>
      </c>
      <c r="D131" s="28">
        <v>30</v>
      </c>
      <c r="E131" s="26">
        <v>9.9999999999999995E-8</v>
      </c>
      <c r="F131" s="26">
        <f t="shared" si="162"/>
        <v>2E-8</v>
      </c>
      <c r="G131" s="26">
        <f t="shared" si="163"/>
        <v>4.0000000000000001E-3</v>
      </c>
      <c r="H131" s="7">
        <v>0.48066356385487502</v>
      </c>
      <c r="I131" s="7">
        <v>20967.675665585699</v>
      </c>
      <c r="J131" s="7">
        <v>165780.67944707401</v>
      </c>
      <c r="K131" s="7">
        <v>20967.675665585699</v>
      </c>
      <c r="L131" s="7">
        <v>651465.34785778704</v>
      </c>
      <c r="M131" s="7">
        <v>2546.4790894703301</v>
      </c>
      <c r="N131" s="7">
        <f t="shared" si="164"/>
        <v>207716.03077824542</v>
      </c>
      <c r="P131" s="28">
        <v>6</v>
      </c>
      <c r="Q131" s="26">
        <v>3.0000000000000001E-5</v>
      </c>
      <c r="R131" s="28">
        <v>0.2</v>
      </c>
      <c r="S131" s="28">
        <v>30</v>
      </c>
      <c r="T131" s="26">
        <v>9.9999999999999995E-8</v>
      </c>
      <c r="U131" s="26">
        <f t="shared" si="165"/>
        <v>2E-8</v>
      </c>
      <c r="V131" s="26">
        <f t="shared" si="166"/>
        <v>1.3333333333333333E-3</v>
      </c>
      <c r="W131" s="7">
        <v>0.48653784468358902</v>
      </c>
      <c r="X131" s="7">
        <v>6989.2252213633501</v>
      </c>
      <c r="Y131" s="7">
        <v>55260.226463633997</v>
      </c>
      <c r="Z131" s="7">
        <v>6989.2252213633501</v>
      </c>
      <c r="AA131" s="7">
        <v>217155.11601730101</v>
      </c>
      <c r="AB131" s="7">
        <v>282.94212105225802</v>
      </c>
      <c r="AC131" s="7">
        <f t="shared" si="167"/>
        <v>69238.676906360692</v>
      </c>
      <c r="AE131" s="28">
        <v>6</v>
      </c>
      <c r="AF131" s="26">
        <v>5.0000000000000002E-5</v>
      </c>
      <c r="AG131" s="28">
        <v>0.2</v>
      </c>
      <c r="AH131" s="28">
        <v>30</v>
      </c>
      <c r="AI131" s="26">
        <v>9.9999999999999995E-8</v>
      </c>
      <c r="AJ131" s="26">
        <f t="shared" si="168"/>
        <v>2E-8</v>
      </c>
      <c r="AK131" s="26">
        <f t="shared" si="169"/>
        <v>7.9999999999999993E-4</v>
      </c>
      <c r="AL131" s="7">
        <v>0.48773563425789501</v>
      </c>
      <c r="AM131" s="7">
        <v>4193.5351285970401</v>
      </c>
      <c r="AN131" s="7">
        <v>33156.135719653299</v>
      </c>
      <c r="AO131" s="7">
        <v>4193.5351285970401</v>
      </c>
      <c r="AP131" s="7">
        <v>130293.0701582</v>
      </c>
      <c r="AQ131" s="7">
        <v>101.859163578813</v>
      </c>
      <c r="AR131" s="7">
        <f t="shared" si="170"/>
        <v>41543.205976847377</v>
      </c>
      <c r="AT131" s="28">
        <v>6</v>
      </c>
      <c r="AU131" s="26">
        <v>1.0000000000000001E-5</v>
      </c>
      <c r="AV131" s="28">
        <v>0.2</v>
      </c>
      <c r="AW131" s="28">
        <v>200</v>
      </c>
      <c r="AX131" s="26">
        <v>9.9999999999999995E-8</v>
      </c>
      <c r="AY131" s="26">
        <f t="shared" si="171"/>
        <v>2E-8</v>
      </c>
      <c r="AZ131" s="26">
        <f t="shared" si="172"/>
        <v>4.0000000000000001E-3</v>
      </c>
      <c r="BA131" s="7">
        <v>0.54774189013487196</v>
      </c>
      <c r="BB131" s="7">
        <v>4345.3623253436699</v>
      </c>
      <c r="BC131" s="7">
        <v>165780.67944707401</v>
      </c>
      <c r="BD131" s="7">
        <v>4345.3623253436699</v>
      </c>
      <c r="BE131" s="7">
        <v>651465.34785778704</v>
      </c>
      <c r="BF131" s="7">
        <v>2546.4790894703301</v>
      </c>
      <c r="BG131" s="7">
        <f t="shared" si="173"/>
        <v>174471.40409776138</v>
      </c>
      <c r="BI131" s="28">
        <v>6</v>
      </c>
      <c r="BJ131" s="26">
        <v>1.0000000000000001E-5</v>
      </c>
      <c r="BK131" s="28">
        <v>0.5</v>
      </c>
      <c r="BL131" s="28">
        <v>200</v>
      </c>
      <c r="BM131" s="26">
        <v>9.9999999999999995E-8</v>
      </c>
      <c r="BN131" s="26">
        <f t="shared" si="174"/>
        <v>4.9999999999999998E-8</v>
      </c>
      <c r="BO131" s="26">
        <f t="shared" si="175"/>
        <v>9.9999999999999985E-3</v>
      </c>
      <c r="BP131" s="7">
        <v>1.2726916299156701</v>
      </c>
      <c r="BQ131" s="7">
        <v>3764.12485338133</v>
      </c>
      <c r="BR131" s="7">
        <v>66312.271778829701</v>
      </c>
      <c r="BS131" s="7">
        <v>3764.12485338133</v>
      </c>
      <c r="BT131" s="7">
        <v>260586.139143115</v>
      </c>
      <c r="BU131" s="7">
        <v>2546.4790894703301</v>
      </c>
      <c r="BV131" s="7">
        <f t="shared" si="176"/>
        <v>73840.52148559237</v>
      </c>
      <c r="BX131" s="28">
        <v>6</v>
      </c>
      <c r="BY131" s="26">
        <v>5.0000000000000002E-5</v>
      </c>
      <c r="BZ131" s="28">
        <v>0.5</v>
      </c>
      <c r="CA131" s="28">
        <v>200</v>
      </c>
      <c r="CB131" s="26">
        <v>9.9999999999999995E-8</v>
      </c>
      <c r="CC131" s="26">
        <f t="shared" si="177"/>
        <v>4.9999999999999998E-8</v>
      </c>
      <c r="CD131" s="26">
        <f t="shared" si="178"/>
        <v>1.9999999999999996E-3</v>
      </c>
      <c r="CE131" s="7">
        <v>1.3258565385744101</v>
      </c>
      <c r="CF131" s="7">
        <v>752.82497001808497</v>
      </c>
      <c r="CG131" s="7">
        <v>13262.454287861299</v>
      </c>
      <c r="CH131" s="7">
        <v>752.82497001808497</v>
      </c>
      <c r="CI131" s="7">
        <v>52117.228063280199</v>
      </c>
      <c r="CJ131" s="7">
        <v>101.859163578813</v>
      </c>
      <c r="CK131" s="7">
        <f t="shared" si="179"/>
        <v>14768.104227897471</v>
      </c>
      <c r="CM131" s="28">
        <v>6</v>
      </c>
      <c r="CN131" s="26">
        <v>5.0000000000000002E-5</v>
      </c>
      <c r="CO131" s="28">
        <v>1</v>
      </c>
      <c r="CP131" s="28">
        <v>200</v>
      </c>
      <c r="CQ131" s="26">
        <v>9.9999999999999995E-8</v>
      </c>
      <c r="CR131" s="26">
        <f t="shared" si="180"/>
        <v>9.9999999999999995E-8</v>
      </c>
      <c r="CS131" s="26">
        <f t="shared" si="181"/>
        <v>3.9999999999999992E-3</v>
      </c>
      <c r="CT131" s="7">
        <v>2.48029057285585</v>
      </c>
      <c r="CU131" s="7">
        <v>665.23311259709499</v>
      </c>
      <c r="CV131" s="7">
        <v>6631.2271439306596</v>
      </c>
      <c r="CW131" s="7">
        <v>665.23311259709499</v>
      </c>
      <c r="CX131" s="7">
        <v>26058.6140316401</v>
      </c>
      <c r="CY131" s="7">
        <v>101.859163578813</v>
      </c>
      <c r="CZ131" s="7">
        <f t="shared" si="182"/>
        <v>7961.6933691248496</v>
      </c>
      <c r="DB131" s="28">
        <v>6</v>
      </c>
      <c r="DC131" s="26">
        <v>5.0000000000000002E-5</v>
      </c>
      <c r="DD131" s="28">
        <v>2</v>
      </c>
      <c r="DE131" s="28">
        <v>200</v>
      </c>
      <c r="DF131" s="26">
        <v>9.9999999999999995E-8</v>
      </c>
      <c r="DG131" s="26">
        <f t="shared" si="183"/>
        <v>1.9999999999999999E-7</v>
      </c>
      <c r="DH131" s="26">
        <f t="shared" si="184"/>
        <v>7.9999999999999984E-3</v>
      </c>
      <c r="DI131" s="7">
        <v>4.4814935036962797</v>
      </c>
      <c r="DJ131" s="7">
        <v>578.22973015081095</v>
      </c>
      <c r="DK131" s="7">
        <v>3315.6135719653298</v>
      </c>
      <c r="DL131" s="7">
        <v>578.22973015081095</v>
      </c>
      <c r="DM131" s="7">
        <v>13029.307015820101</v>
      </c>
      <c r="DN131" s="7">
        <v>101.859163578813</v>
      </c>
      <c r="DO131" s="7">
        <f t="shared" si="185"/>
        <v>4472.0730322669515</v>
      </c>
      <c r="DQ131" s="28">
        <v>6</v>
      </c>
      <c r="DR131" s="26">
        <v>5.0000000000000002E-5</v>
      </c>
      <c r="DS131" s="28">
        <v>15</v>
      </c>
      <c r="DT131" s="28">
        <v>300</v>
      </c>
      <c r="DU131" s="26">
        <v>7.4999999999999997E-8</v>
      </c>
      <c r="DV131" s="26">
        <f t="shared" si="186"/>
        <v>1.125E-6</v>
      </c>
      <c r="DW131" s="26">
        <f t="shared" si="187"/>
        <v>4.4999999999999998E-2</v>
      </c>
      <c r="DX131" s="7">
        <v>22.7173407850293</v>
      </c>
      <c r="DY131" s="7">
        <v>254.539230510376</v>
      </c>
      <c r="DZ131" s="7">
        <v>442.08180959537702</v>
      </c>
      <c r="EA131" s="7">
        <v>254.539230510376</v>
      </c>
      <c r="EB131" s="7">
        <v>1737.24093544267</v>
      </c>
      <c r="EC131" s="7">
        <v>81.487330863050403</v>
      </c>
      <c r="ED131" s="7">
        <f t="shared" si="188"/>
        <v>951.16027061612908</v>
      </c>
    </row>
    <row r="132" spans="1:134" x14ac:dyDescent="0.4">
      <c r="A132" s="28">
        <v>8</v>
      </c>
      <c r="B132" s="26">
        <v>1.0000000000000001E-5</v>
      </c>
      <c r="C132" s="28">
        <v>0.2</v>
      </c>
      <c r="D132" s="28">
        <v>30</v>
      </c>
      <c r="E132" s="26">
        <v>9.9999999999999995E-8</v>
      </c>
      <c r="F132" s="26">
        <f t="shared" si="162"/>
        <v>2E-8</v>
      </c>
      <c r="G132" s="26">
        <f t="shared" si="163"/>
        <v>4.0000000000000001E-3</v>
      </c>
      <c r="H132" s="7">
        <v>0.67898094230357597</v>
      </c>
      <c r="I132" s="7">
        <v>20967.675665585699</v>
      </c>
      <c r="J132" s="7">
        <v>100396.196898707</v>
      </c>
      <c r="K132" s="7">
        <v>20967.675665585699</v>
      </c>
      <c r="L132" s="7">
        <v>821154.82400854595</v>
      </c>
      <c r="M132" s="7">
        <v>2546.4790894703301</v>
      </c>
      <c r="N132" s="7">
        <f t="shared" si="164"/>
        <v>142331.54822987839</v>
      </c>
      <c r="P132" s="28">
        <v>8</v>
      </c>
      <c r="Q132" s="26">
        <v>3.0000000000000001E-5</v>
      </c>
      <c r="R132" s="28">
        <v>0.2</v>
      </c>
      <c r="S132" s="28">
        <v>30</v>
      </c>
      <c r="T132" s="26">
        <v>9.9999999999999995E-8</v>
      </c>
      <c r="U132" s="26">
        <f t="shared" si="165"/>
        <v>2E-8</v>
      </c>
      <c r="V132" s="26">
        <f t="shared" si="166"/>
        <v>1.3333333333333333E-3</v>
      </c>
      <c r="W132" s="7">
        <v>0.69255081401575702</v>
      </c>
      <c r="X132" s="7">
        <v>6989.2252213633501</v>
      </c>
      <c r="Y132" s="7">
        <v>33465.398947511501</v>
      </c>
      <c r="Z132" s="7">
        <v>6989.2252213633501</v>
      </c>
      <c r="AA132" s="7">
        <v>273718.27480960399</v>
      </c>
      <c r="AB132" s="7">
        <v>282.94212105225802</v>
      </c>
      <c r="AC132" s="7">
        <f t="shared" si="167"/>
        <v>47443.849390238196</v>
      </c>
      <c r="AE132" s="28">
        <v>8</v>
      </c>
      <c r="AF132" s="26">
        <v>5.0000000000000002E-5</v>
      </c>
      <c r="AG132" s="28">
        <v>0.2</v>
      </c>
      <c r="AH132" s="28">
        <v>30</v>
      </c>
      <c r="AI132" s="26">
        <v>9.9999999999999995E-8</v>
      </c>
      <c r="AJ132" s="26">
        <f t="shared" si="168"/>
        <v>2E-8</v>
      </c>
      <c r="AK132" s="26">
        <f t="shared" si="169"/>
        <v>7.9999999999999993E-4</v>
      </c>
      <c r="AL132" s="7">
        <v>0.69534192890551805</v>
      </c>
      <c r="AM132" s="7">
        <v>4193.5351285970401</v>
      </c>
      <c r="AN132" s="7">
        <v>20079.239209979802</v>
      </c>
      <c r="AO132" s="7">
        <v>4193.5351285970401</v>
      </c>
      <c r="AP132" s="7">
        <v>164230.96607182099</v>
      </c>
      <c r="AQ132" s="7">
        <v>101.859163578813</v>
      </c>
      <c r="AR132" s="7">
        <f t="shared" si="170"/>
        <v>28466.30946717388</v>
      </c>
      <c r="AT132" s="28">
        <v>8</v>
      </c>
      <c r="AU132" s="26">
        <v>1.0000000000000001E-5</v>
      </c>
      <c r="AV132" s="28">
        <v>0.2</v>
      </c>
      <c r="AW132" s="28">
        <v>200</v>
      </c>
      <c r="AX132" s="26">
        <v>9.9999999999999995E-8</v>
      </c>
      <c r="AY132" s="26">
        <f t="shared" si="171"/>
        <v>2E-8</v>
      </c>
      <c r="AZ132" s="26">
        <f t="shared" si="172"/>
        <v>4.0000000000000001E-3</v>
      </c>
      <c r="BA132" s="7">
        <v>0.84658298811742005</v>
      </c>
      <c r="BB132" s="7">
        <v>4345.3623253436699</v>
      </c>
      <c r="BC132" s="7">
        <v>100396.196898707</v>
      </c>
      <c r="BD132" s="7">
        <v>4345.3623253436699</v>
      </c>
      <c r="BE132" s="7">
        <v>821154.82400854595</v>
      </c>
      <c r="BF132" s="7">
        <v>2546.4790894703301</v>
      </c>
      <c r="BG132" s="7">
        <f t="shared" si="173"/>
        <v>109086.92154939433</v>
      </c>
      <c r="BI132" s="28">
        <v>8</v>
      </c>
      <c r="BJ132" s="26">
        <v>1.0000000000000001E-5</v>
      </c>
      <c r="BK132" s="28">
        <v>0.5</v>
      </c>
      <c r="BL132" s="28">
        <v>200</v>
      </c>
      <c r="BM132" s="26">
        <v>9.9999999999999995E-8</v>
      </c>
      <c r="BN132" s="26">
        <f t="shared" si="174"/>
        <v>4.9999999999999998E-8</v>
      </c>
      <c r="BO132" s="26">
        <f t="shared" si="175"/>
        <v>9.9999999999999985E-3</v>
      </c>
      <c r="BP132" s="7">
        <v>1.8662317482455599</v>
      </c>
      <c r="BQ132" s="7">
        <v>3764.12485338133</v>
      </c>
      <c r="BR132" s="7">
        <v>40158.478759482699</v>
      </c>
      <c r="BS132" s="7">
        <v>3764.12485338133</v>
      </c>
      <c r="BT132" s="7">
        <v>328461.92960341799</v>
      </c>
      <c r="BU132" s="7">
        <v>2546.4790894703301</v>
      </c>
      <c r="BV132" s="7">
        <f t="shared" si="176"/>
        <v>47686.728466245353</v>
      </c>
      <c r="BX132" s="28">
        <v>8</v>
      </c>
      <c r="BY132" s="26">
        <v>5.0000000000000002E-5</v>
      </c>
      <c r="BZ132" s="28">
        <v>0.5</v>
      </c>
      <c r="CA132" s="28">
        <v>200</v>
      </c>
      <c r="CB132" s="26">
        <v>9.9999999999999995E-8</v>
      </c>
      <c r="CC132" s="26">
        <f t="shared" si="177"/>
        <v>4.9999999999999998E-8</v>
      </c>
      <c r="CD132" s="26">
        <f t="shared" si="178"/>
        <v>1.9999999999999996E-3</v>
      </c>
      <c r="CE132" s="7">
        <v>2.0007353889063402</v>
      </c>
      <c r="CF132" s="7">
        <v>752.82497001808497</v>
      </c>
      <c r="CG132" s="7">
        <v>8031.6956839919103</v>
      </c>
      <c r="CH132" s="7">
        <v>752.82497001808497</v>
      </c>
      <c r="CI132" s="7">
        <v>65692.386428728598</v>
      </c>
      <c r="CJ132" s="7">
        <v>101.859163578813</v>
      </c>
      <c r="CK132" s="7">
        <f t="shared" si="179"/>
        <v>9537.3456240280793</v>
      </c>
      <c r="CM132" s="28">
        <v>8</v>
      </c>
      <c r="CN132" s="26">
        <v>5.0000000000000002E-5</v>
      </c>
      <c r="CO132" s="28">
        <v>1</v>
      </c>
      <c r="CP132" s="28">
        <v>200</v>
      </c>
      <c r="CQ132" s="26">
        <v>9.9999999999999995E-8</v>
      </c>
      <c r="CR132" s="26">
        <f t="shared" si="180"/>
        <v>9.9999999999999995E-8</v>
      </c>
      <c r="CS132" s="26">
        <f t="shared" si="181"/>
        <v>3.9999999999999992E-3</v>
      </c>
      <c r="CT132" s="7">
        <v>3.5748274814679002</v>
      </c>
      <c r="CU132" s="7">
        <v>665.23311259709499</v>
      </c>
      <c r="CV132" s="7">
        <v>4015.8478419959501</v>
      </c>
      <c r="CW132" s="7">
        <v>665.23311259709499</v>
      </c>
      <c r="CX132" s="7">
        <v>32846.193214364299</v>
      </c>
      <c r="CY132" s="7">
        <v>101.859163578813</v>
      </c>
      <c r="CZ132" s="7">
        <f t="shared" si="182"/>
        <v>5346.3140671901401</v>
      </c>
      <c r="DB132" s="28">
        <v>8</v>
      </c>
      <c r="DC132" s="26">
        <v>5.0000000000000002E-5</v>
      </c>
      <c r="DD132" s="28">
        <v>2</v>
      </c>
      <c r="DE132" s="28">
        <v>200</v>
      </c>
      <c r="DF132" s="26">
        <v>9.9999999999999995E-8</v>
      </c>
      <c r="DG132" s="26">
        <f t="shared" si="183"/>
        <v>1.9999999999999999E-7</v>
      </c>
      <c r="DH132" s="26">
        <f t="shared" si="184"/>
        <v>7.9999999999999984E-3</v>
      </c>
      <c r="DI132" s="7">
        <v>6.0726599087053499</v>
      </c>
      <c r="DJ132" s="7">
        <v>578.22973015081095</v>
      </c>
      <c r="DK132" s="7">
        <v>2007.9239209979801</v>
      </c>
      <c r="DL132" s="7">
        <v>578.22973015081095</v>
      </c>
      <c r="DM132" s="7">
        <v>16423.096607182099</v>
      </c>
      <c r="DN132" s="7">
        <v>101.859163578813</v>
      </c>
      <c r="DO132" s="7">
        <f t="shared" si="185"/>
        <v>3164.3833812996022</v>
      </c>
      <c r="DQ132" s="28">
        <v>8</v>
      </c>
      <c r="DR132" s="26">
        <v>5.0000000000000002E-5</v>
      </c>
      <c r="DS132" s="28">
        <v>15</v>
      </c>
      <c r="DT132" s="28">
        <v>300</v>
      </c>
      <c r="DU132" s="26">
        <v>7.4999999999999997E-8</v>
      </c>
      <c r="DV132" s="26">
        <f t="shared" si="186"/>
        <v>1.125E-6</v>
      </c>
      <c r="DW132" s="26">
        <f t="shared" si="187"/>
        <v>4.4999999999999998E-2</v>
      </c>
      <c r="DX132" s="7">
        <v>25.811124047362199</v>
      </c>
      <c r="DY132" s="7">
        <v>254.539230510376</v>
      </c>
      <c r="DZ132" s="7">
        <v>267.723189466397</v>
      </c>
      <c r="EA132" s="7">
        <v>254.539230510376</v>
      </c>
      <c r="EB132" s="7">
        <v>2189.7462142909499</v>
      </c>
      <c r="EC132" s="7">
        <v>81.487330863050403</v>
      </c>
      <c r="ED132" s="7">
        <f t="shared" si="188"/>
        <v>776.801650487149</v>
      </c>
    </row>
    <row r="133" spans="1:134" x14ac:dyDescent="0.4">
      <c r="A133" s="28">
        <v>10</v>
      </c>
      <c r="B133" s="26">
        <v>1.0000000000000001E-5</v>
      </c>
      <c r="C133" s="28">
        <v>0.2</v>
      </c>
      <c r="D133" s="28">
        <v>30</v>
      </c>
      <c r="E133" s="26">
        <v>9.9999999999999995E-8</v>
      </c>
      <c r="F133" s="26">
        <f t="shared" si="162"/>
        <v>2E-8</v>
      </c>
      <c r="G133" s="26">
        <f t="shared" si="163"/>
        <v>4.0000000000000001E-3</v>
      </c>
      <c r="H133" s="7">
        <v>0.99649666506798196</v>
      </c>
      <c r="I133" s="7">
        <v>20967.675665585699</v>
      </c>
      <c r="J133" s="7">
        <v>53826.312121005001</v>
      </c>
      <c r="K133" s="7">
        <v>20967.675665585699</v>
      </c>
      <c r="L133" s="7">
        <v>1014751.21705289</v>
      </c>
      <c r="M133" s="7">
        <v>2546.4790894703301</v>
      </c>
      <c r="N133" s="7">
        <f t="shared" si="164"/>
        <v>95761.663452176406</v>
      </c>
      <c r="P133" s="28">
        <v>10</v>
      </c>
      <c r="Q133" s="26">
        <v>3.0000000000000001E-5</v>
      </c>
      <c r="R133" s="28">
        <v>0.2</v>
      </c>
      <c r="S133" s="28">
        <v>30</v>
      </c>
      <c r="T133" s="26">
        <v>9.9999999999999995E-8</v>
      </c>
      <c r="U133" s="26">
        <f t="shared" si="165"/>
        <v>2E-8</v>
      </c>
      <c r="V133" s="26">
        <f t="shared" si="166"/>
        <v>1.3333333333333333E-3</v>
      </c>
      <c r="W133" s="7">
        <v>1.0280743400001799</v>
      </c>
      <c r="X133" s="7">
        <v>6989.2252213633501</v>
      </c>
      <c r="Y133" s="7">
        <v>17942.1040216109</v>
      </c>
      <c r="Z133" s="7">
        <v>6989.2252213633501</v>
      </c>
      <c r="AA133" s="7">
        <v>338250.40599296999</v>
      </c>
      <c r="AB133" s="7">
        <v>282.94212105225802</v>
      </c>
      <c r="AC133" s="7">
        <f t="shared" si="167"/>
        <v>31920.554464337602</v>
      </c>
      <c r="AE133" s="28">
        <v>10</v>
      </c>
      <c r="AF133" s="26">
        <v>5.0000000000000002E-5</v>
      </c>
      <c r="AG133" s="28">
        <v>0.2</v>
      </c>
      <c r="AH133" s="28">
        <v>30</v>
      </c>
      <c r="AI133" s="26">
        <v>9.9999999999999995E-8</v>
      </c>
      <c r="AJ133" s="26">
        <f t="shared" si="168"/>
        <v>2E-8</v>
      </c>
      <c r="AK133" s="26">
        <f t="shared" si="169"/>
        <v>7.9999999999999993E-4</v>
      </c>
      <c r="AL133" s="7">
        <v>1.03465576054019</v>
      </c>
      <c r="AM133" s="7">
        <v>4193.5351285970401</v>
      </c>
      <c r="AN133" s="7">
        <v>10765.2622544394</v>
      </c>
      <c r="AO133" s="7">
        <v>4193.5351285970401</v>
      </c>
      <c r="AP133" s="7">
        <v>202950.24620916101</v>
      </c>
      <c r="AQ133" s="7">
        <v>101.859163578813</v>
      </c>
      <c r="AR133" s="7">
        <f t="shared" si="170"/>
        <v>19152.332511633478</v>
      </c>
      <c r="AT133" s="28">
        <v>10</v>
      </c>
      <c r="AU133" s="26">
        <v>1.0000000000000001E-5</v>
      </c>
      <c r="AV133" s="28">
        <v>0.2</v>
      </c>
      <c r="AW133" s="28">
        <v>200</v>
      </c>
      <c r="AX133" s="26">
        <v>9.9999999999999995E-8</v>
      </c>
      <c r="AY133" s="26">
        <f t="shared" si="171"/>
        <v>2E-8</v>
      </c>
      <c r="AZ133" s="26">
        <f t="shared" si="172"/>
        <v>4.0000000000000001E-3</v>
      </c>
      <c r="BA133" s="7">
        <v>1.44218904488796</v>
      </c>
      <c r="BB133" s="7">
        <v>4345.3623253436699</v>
      </c>
      <c r="BC133" s="7">
        <v>53826.312121005001</v>
      </c>
      <c r="BD133" s="7">
        <v>4345.3623253436699</v>
      </c>
      <c r="BE133" s="7">
        <v>1014751.21705289</v>
      </c>
      <c r="BF133" s="7">
        <v>2546.4790894703301</v>
      </c>
      <c r="BG133" s="7">
        <f t="shared" si="173"/>
        <v>62517.036771692336</v>
      </c>
      <c r="BI133" s="28">
        <v>10</v>
      </c>
      <c r="BJ133" s="26">
        <v>1.0000000000000001E-5</v>
      </c>
      <c r="BK133" s="28">
        <v>0.5</v>
      </c>
      <c r="BL133" s="28">
        <v>200</v>
      </c>
      <c r="BM133" s="26">
        <v>9.9999999999999995E-8</v>
      </c>
      <c r="BN133" s="26">
        <f t="shared" si="174"/>
        <v>4.9999999999999998E-8</v>
      </c>
      <c r="BO133" s="26">
        <f t="shared" si="175"/>
        <v>9.9999999999999985E-3</v>
      </c>
      <c r="BP133" s="7">
        <v>2.9019662475652299</v>
      </c>
      <c r="BQ133" s="7">
        <v>3764.12485338133</v>
      </c>
      <c r="BR133" s="7">
        <v>21530.524848402001</v>
      </c>
      <c r="BS133" s="7">
        <v>3764.12485338133</v>
      </c>
      <c r="BT133" s="7">
        <v>405900.48682115501</v>
      </c>
      <c r="BU133" s="7">
        <v>2546.4790894703301</v>
      </c>
      <c r="BV133" s="7">
        <f t="shared" si="176"/>
        <v>29058.774555164662</v>
      </c>
      <c r="BX133" s="28">
        <v>10</v>
      </c>
      <c r="BY133" s="26">
        <v>5.0000000000000002E-5</v>
      </c>
      <c r="BZ133" s="28">
        <v>0.5</v>
      </c>
      <c r="CA133" s="28">
        <v>200</v>
      </c>
      <c r="CB133" s="26">
        <v>9.9999999999999995E-8</v>
      </c>
      <c r="CC133" s="26">
        <f t="shared" si="177"/>
        <v>4.9999999999999998E-8</v>
      </c>
      <c r="CD133" s="26">
        <f t="shared" si="178"/>
        <v>1.9999999999999996E-3</v>
      </c>
      <c r="CE133" s="7">
        <v>3.2645664523231801</v>
      </c>
      <c r="CF133" s="7">
        <v>752.82497001808497</v>
      </c>
      <c r="CG133" s="7">
        <v>4306.1049017757796</v>
      </c>
      <c r="CH133" s="7">
        <v>752.82497001808497</v>
      </c>
      <c r="CI133" s="7">
        <v>81180.098483664406</v>
      </c>
      <c r="CJ133" s="7">
        <v>101.859163578813</v>
      </c>
      <c r="CK133" s="7">
        <f t="shared" si="179"/>
        <v>5811.7548418119495</v>
      </c>
      <c r="CM133" s="28">
        <v>10</v>
      </c>
      <c r="CN133" s="26">
        <v>5.0000000000000002E-5</v>
      </c>
      <c r="CO133" s="28">
        <v>1</v>
      </c>
      <c r="CP133" s="28">
        <v>200</v>
      </c>
      <c r="CQ133" s="26">
        <v>9.9999999999999995E-8</v>
      </c>
      <c r="CR133" s="26">
        <f t="shared" si="180"/>
        <v>9.9999999999999995E-8</v>
      </c>
      <c r="CS133" s="26">
        <f t="shared" si="181"/>
        <v>3.9999999999999992E-3</v>
      </c>
      <c r="CT133" s="7">
        <v>5.4089232049039904</v>
      </c>
      <c r="CU133" s="7">
        <v>665.23311259709499</v>
      </c>
      <c r="CV133" s="7">
        <v>2153.0524508878898</v>
      </c>
      <c r="CW133" s="7">
        <v>665.23311259709499</v>
      </c>
      <c r="CX133" s="7">
        <v>40590.049241832203</v>
      </c>
      <c r="CY133" s="7">
        <v>101.859163578813</v>
      </c>
      <c r="CZ133" s="7">
        <f t="shared" si="182"/>
        <v>3483.5186760820798</v>
      </c>
      <c r="DB133" s="28">
        <v>10</v>
      </c>
      <c r="DC133" s="26">
        <v>5.0000000000000002E-5</v>
      </c>
      <c r="DD133" s="28">
        <v>2</v>
      </c>
      <c r="DE133" s="28">
        <v>200</v>
      </c>
      <c r="DF133" s="26">
        <v>9.9999999999999995E-8</v>
      </c>
      <c r="DG133" s="26">
        <f t="shared" si="183"/>
        <v>1.9999999999999999E-7</v>
      </c>
      <c r="DH133" s="26">
        <f t="shared" si="184"/>
        <v>7.9999999999999984E-3</v>
      </c>
      <c r="DI133" s="7">
        <v>8.4040872755716904</v>
      </c>
      <c r="DJ133" s="7">
        <v>578.22973015081095</v>
      </c>
      <c r="DK133" s="7">
        <v>1076.5262254439399</v>
      </c>
      <c r="DL133" s="7">
        <v>578.22973015081095</v>
      </c>
      <c r="DM133" s="7">
        <v>20295.024620916101</v>
      </c>
      <c r="DN133" s="7">
        <v>101.859163578813</v>
      </c>
      <c r="DO133" s="7">
        <f t="shared" si="185"/>
        <v>2232.985685745562</v>
      </c>
      <c r="DQ133" s="28">
        <v>10</v>
      </c>
      <c r="DR133" s="26">
        <v>5.0000000000000002E-5</v>
      </c>
      <c r="DS133" s="28">
        <v>15</v>
      </c>
      <c r="DT133" s="28">
        <v>300</v>
      </c>
      <c r="DU133" s="26">
        <v>7.4999999999999997E-8</v>
      </c>
      <c r="DV133" s="26">
        <f t="shared" si="186"/>
        <v>1.125E-6</v>
      </c>
      <c r="DW133" s="26">
        <f t="shared" si="187"/>
        <v>4.4999999999999998E-2</v>
      </c>
      <c r="DX133" s="7">
        <v>29.173561894835998</v>
      </c>
      <c r="DY133" s="7">
        <v>254.539230510376</v>
      </c>
      <c r="DZ133" s="7">
        <v>143.53683005919299</v>
      </c>
      <c r="EA133" s="7">
        <v>254.539230510376</v>
      </c>
      <c r="EB133" s="7">
        <v>2706.0032827888099</v>
      </c>
      <c r="EC133" s="7">
        <v>81.487330863050403</v>
      </c>
      <c r="ED133" s="7">
        <f t="shared" si="188"/>
        <v>652.615291079945</v>
      </c>
    </row>
    <row r="134" spans="1:134" x14ac:dyDescent="0.4">
      <c r="A134" s="28">
        <v>12</v>
      </c>
      <c r="B134" s="26">
        <v>1.0000000000000001E-5</v>
      </c>
      <c r="C134" s="28">
        <v>0.2</v>
      </c>
      <c r="D134" s="28">
        <v>30</v>
      </c>
      <c r="E134" s="26">
        <v>9.9999999999999995E-8</v>
      </c>
      <c r="F134" s="26">
        <f t="shared" si="162"/>
        <v>2E-8</v>
      </c>
      <c r="G134" s="26">
        <f t="shared" si="163"/>
        <v>4.0000000000000001E-3</v>
      </c>
      <c r="H134" s="7">
        <v>1.56724353213886</v>
      </c>
      <c r="I134" s="7">
        <v>20967.675665585699</v>
      </c>
      <c r="J134" s="7">
        <v>18265.061724746</v>
      </c>
      <c r="K134" s="7">
        <v>20967.675665585699</v>
      </c>
      <c r="L134" s="7">
        <v>1222830.0672564299</v>
      </c>
      <c r="M134" s="7">
        <v>2546.4790894703301</v>
      </c>
      <c r="N134" s="7">
        <f t="shared" si="164"/>
        <v>60200.413055917394</v>
      </c>
      <c r="P134" s="28">
        <v>12</v>
      </c>
      <c r="Q134" s="26">
        <v>3.0000000000000001E-5</v>
      </c>
      <c r="R134" s="28">
        <v>0.2</v>
      </c>
      <c r="S134" s="28">
        <v>30</v>
      </c>
      <c r="T134" s="26">
        <v>9.9999999999999995E-8</v>
      </c>
      <c r="U134" s="26">
        <f t="shared" si="165"/>
        <v>2E-8</v>
      </c>
      <c r="V134" s="26">
        <f t="shared" si="166"/>
        <v>1.3333333333333333E-3</v>
      </c>
      <c r="W134" s="7">
        <v>1.6488541925247</v>
      </c>
      <c r="X134" s="7">
        <v>6989.2252213633501</v>
      </c>
      <c r="Y134" s="7">
        <v>6088.3538895246002</v>
      </c>
      <c r="Z134" s="7">
        <v>6989.2252213633501</v>
      </c>
      <c r="AA134" s="7">
        <v>407610.02322415198</v>
      </c>
      <c r="AB134" s="7">
        <v>282.94212105225802</v>
      </c>
      <c r="AC134" s="7">
        <f t="shared" si="167"/>
        <v>20066.8043322513</v>
      </c>
      <c r="AE134" s="28">
        <v>12</v>
      </c>
      <c r="AF134" s="26">
        <v>5.0000000000000002E-5</v>
      </c>
      <c r="AG134" s="28">
        <v>0.2</v>
      </c>
      <c r="AH134" s="28">
        <v>30</v>
      </c>
      <c r="AI134" s="26">
        <v>9.9999999999999995E-8</v>
      </c>
      <c r="AJ134" s="26">
        <f t="shared" si="168"/>
        <v>2E-8</v>
      </c>
      <c r="AK134" s="26">
        <f t="shared" si="169"/>
        <v>7.9999999999999993E-4</v>
      </c>
      <c r="AL134" s="7">
        <v>1.6662626461266099</v>
      </c>
      <c r="AM134" s="7">
        <v>4193.5351285970401</v>
      </c>
      <c r="AN134" s="7">
        <v>3653.01217518762</v>
      </c>
      <c r="AO134" s="7">
        <v>4193.5351285970401</v>
      </c>
      <c r="AP134" s="7">
        <v>244566.02075291699</v>
      </c>
      <c r="AQ134" s="7">
        <v>101.859163578813</v>
      </c>
      <c r="AR134" s="7">
        <f t="shared" si="170"/>
        <v>12040.0824323817</v>
      </c>
      <c r="AT134" s="28">
        <v>12</v>
      </c>
      <c r="AU134" s="26">
        <v>1.0000000000000001E-5</v>
      </c>
      <c r="AV134" s="28">
        <v>0.2</v>
      </c>
      <c r="AW134" s="28">
        <v>200</v>
      </c>
      <c r="AX134" s="26">
        <v>9.9999999999999995E-8</v>
      </c>
      <c r="AY134" s="26">
        <f t="shared" si="171"/>
        <v>2E-8</v>
      </c>
      <c r="AZ134" s="26">
        <f t="shared" si="172"/>
        <v>4.0000000000000001E-3</v>
      </c>
      <c r="BA134" s="7">
        <v>3.1105619929498101</v>
      </c>
      <c r="BB134" s="7">
        <v>4345.3623253436699</v>
      </c>
      <c r="BC134" s="7">
        <v>18265.061724746</v>
      </c>
      <c r="BD134" s="7">
        <v>4345.3623253436699</v>
      </c>
      <c r="BE134" s="7">
        <v>1222830.0672564299</v>
      </c>
      <c r="BF134" s="7">
        <v>2546.4790894703301</v>
      </c>
      <c r="BG134" s="7">
        <f t="shared" si="173"/>
        <v>26955.786375433341</v>
      </c>
      <c r="BI134" s="28">
        <v>12</v>
      </c>
      <c r="BJ134" s="26">
        <v>1.0000000000000001E-5</v>
      </c>
      <c r="BK134" s="28">
        <v>0.5</v>
      </c>
      <c r="BL134" s="28">
        <v>200</v>
      </c>
      <c r="BM134" s="26">
        <v>9.9999999999999995E-8</v>
      </c>
      <c r="BN134" s="26">
        <f t="shared" si="174"/>
        <v>4.9999999999999998E-8</v>
      </c>
      <c r="BO134" s="26">
        <f t="shared" si="175"/>
        <v>9.9999999999999985E-3</v>
      </c>
      <c r="BP134" s="7">
        <v>5.0735209353276502</v>
      </c>
      <c r="BQ134" s="7">
        <v>3764.12485338133</v>
      </c>
      <c r="BR134" s="7">
        <v>7306.0246898983996</v>
      </c>
      <c r="BS134" s="7">
        <v>3764.12485338133</v>
      </c>
      <c r="BT134" s="7">
        <v>489132.02690256998</v>
      </c>
      <c r="BU134" s="7">
        <v>2546.4790894703301</v>
      </c>
      <c r="BV134" s="7">
        <f t="shared" si="176"/>
        <v>14834.27439666106</v>
      </c>
      <c r="BX134" s="28">
        <v>12</v>
      </c>
      <c r="BY134" s="26">
        <v>5.0000000000000002E-5</v>
      </c>
      <c r="BZ134" s="28">
        <v>0.5</v>
      </c>
      <c r="CA134" s="28">
        <v>200</v>
      </c>
      <c r="CB134" s="26">
        <v>9.9999999999999995E-8</v>
      </c>
      <c r="CC134" s="26">
        <f t="shared" si="177"/>
        <v>4.9999999999999998E-8</v>
      </c>
      <c r="CD134" s="26">
        <f t="shared" si="178"/>
        <v>1.9999999999999996E-3</v>
      </c>
      <c r="CE134" s="7">
        <v>6.3264300456535896</v>
      </c>
      <c r="CF134" s="7">
        <v>752.82497001808497</v>
      </c>
      <c r="CG134" s="7">
        <v>1461.2048700750499</v>
      </c>
      <c r="CH134" s="7">
        <v>752.82497001808497</v>
      </c>
      <c r="CI134" s="7">
        <v>97826.408301166695</v>
      </c>
      <c r="CJ134" s="7">
        <v>101.859163578813</v>
      </c>
      <c r="CK134" s="7">
        <f t="shared" si="179"/>
        <v>2966.8548101112201</v>
      </c>
      <c r="CM134" s="28">
        <v>12</v>
      </c>
      <c r="CN134" s="26">
        <v>5.0000000000000002E-5</v>
      </c>
      <c r="CO134" s="28">
        <v>1</v>
      </c>
      <c r="CP134" s="28">
        <v>200</v>
      </c>
      <c r="CQ134" s="26">
        <v>9.9999999999999995E-8</v>
      </c>
      <c r="CR134" s="26">
        <f t="shared" si="180"/>
        <v>9.9999999999999995E-8</v>
      </c>
      <c r="CS134" s="26">
        <f t="shared" si="181"/>
        <v>3.9999999999999992E-3</v>
      </c>
      <c r="CT134" s="7">
        <v>8.9758164170553396</v>
      </c>
      <c r="CU134" s="7">
        <v>665.23311259709499</v>
      </c>
      <c r="CV134" s="7">
        <v>730.60243503752497</v>
      </c>
      <c r="CW134" s="7">
        <v>665.23311259709499</v>
      </c>
      <c r="CX134" s="7">
        <v>48913.204150583399</v>
      </c>
      <c r="CY134" s="7">
        <v>101.859163578813</v>
      </c>
      <c r="CZ134" s="7">
        <f t="shared" si="182"/>
        <v>2061.0686602317151</v>
      </c>
      <c r="DB134" s="28">
        <v>12</v>
      </c>
      <c r="DC134" s="26">
        <v>5.0000000000000002E-5</v>
      </c>
      <c r="DD134" s="28">
        <v>2</v>
      </c>
      <c r="DE134" s="28">
        <v>200</v>
      </c>
      <c r="DF134" s="26">
        <v>9.9999999999999995E-8</v>
      </c>
      <c r="DG134" s="26">
        <f t="shared" si="183"/>
        <v>1.9999999999999999E-7</v>
      </c>
      <c r="DH134" s="26">
        <f t="shared" si="184"/>
        <v>7.9999999999999984E-3</v>
      </c>
      <c r="DI134" s="7">
        <v>12.0543158690617</v>
      </c>
      <c r="DJ134" s="7">
        <v>578.22973015081095</v>
      </c>
      <c r="DK134" s="7">
        <v>365.301217518763</v>
      </c>
      <c r="DL134" s="7">
        <v>578.22973015081095</v>
      </c>
      <c r="DM134" s="7">
        <v>24456.602075291699</v>
      </c>
      <c r="DN134" s="7">
        <v>101.859163578813</v>
      </c>
      <c r="DO134" s="7">
        <f t="shared" si="185"/>
        <v>1521.7606778203849</v>
      </c>
      <c r="DQ134" s="28">
        <v>12</v>
      </c>
      <c r="DR134" s="26">
        <v>5.0000000000000002E-5</v>
      </c>
      <c r="DS134" s="28">
        <v>15</v>
      </c>
      <c r="DT134" s="28">
        <v>300</v>
      </c>
      <c r="DU134" s="26">
        <v>7.4999999999999997E-8</v>
      </c>
      <c r="DV134" s="26">
        <f t="shared" si="186"/>
        <v>1.125E-6</v>
      </c>
      <c r="DW134" s="26">
        <f t="shared" si="187"/>
        <v>4.4999999999999998E-2</v>
      </c>
      <c r="DX134" s="7">
        <v>32.914003791403502</v>
      </c>
      <c r="DY134" s="7">
        <v>254.539230510376</v>
      </c>
      <c r="DZ134" s="7">
        <v>48.7068290025016</v>
      </c>
      <c r="EA134" s="7">
        <v>254.539230510376</v>
      </c>
      <c r="EB134" s="7">
        <v>3260.8802767055599</v>
      </c>
      <c r="EC134" s="7">
        <v>81.487330863050403</v>
      </c>
      <c r="ED134" s="7">
        <f t="shared" si="188"/>
        <v>557.78529002325354</v>
      </c>
    </row>
    <row r="135" spans="1:134" x14ac:dyDescent="0.4">
      <c r="A135" s="28">
        <v>15</v>
      </c>
      <c r="B135" s="26">
        <v>1.0000000000000001E-5</v>
      </c>
      <c r="C135" s="28">
        <v>0.2</v>
      </c>
      <c r="D135" s="28">
        <v>30</v>
      </c>
      <c r="E135" s="26">
        <v>9.9999999999999995E-8</v>
      </c>
      <c r="F135" s="26">
        <f t="shared" si="162"/>
        <v>2E-8</v>
      </c>
      <c r="G135" s="26">
        <f t="shared" si="163"/>
        <v>4.0000000000000001E-3</v>
      </c>
      <c r="H135" s="7">
        <v>3.15201117869396</v>
      </c>
      <c r="I135" s="7">
        <v>12481.634129420599</v>
      </c>
      <c r="J135" s="7">
        <v>3828.3041509332402</v>
      </c>
      <c r="K135" s="7">
        <v>12481.634129420599</v>
      </c>
      <c r="L135" s="7">
        <v>1641861.5249040499</v>
      </c>
      <c r="M135" s="7">
        <v>2546.4790894703301</v>
      </c>
      <c r="N135" s="7">
        <f t="shared" si="164"/>
        <v>28791.572409774439</v>
      </c>
      <c r="P135" s="28">
        <v>15</v>
      </c>
      <c r="Q135" s="26">
        <v>3.0000000000000001E-5</v>
      </c>
      <c r="R135" s="28">
        <v>0.2</v>
      </c>
      <c r="S135" s="28">
        <v>30</v>
      </c>
      <c r="T135" s="26">
        <v>9.9999999999999995E-8</v>
      </c>
      <c r="U135" s="26">
        <f t="shared" si="165"/>
        <v>2E-8</v>
      </c>
      <c r="V135" s="26">
        <f t="shared" si="166"/>
        <v>1.3333333333333333E-3</v>
      </c>
      <c r="W135" s="7">
        <v>3.4959241313345202</v>
      </c>
      <c r="X135" s="7">
        <v>4160.5447097236602</v>
      </c>
      <c r="Y135" s="7">
        <v>1276.1013836444099</v>
      </c>
      <c r="Z135" s="7">
        <v>4160.5447097236602</v>
      </c>
      <c r="AA135" s="7">
        <v>547287.17553344101</v>
      </c>
      <c r="AB135" s="7">
        <v>282.94212105225802</v>
      </c>
      <c r="AC135" s="7">
        <f t="shared" si="167"/>
        <v>9597.1908030917293</v>
      </c>
      <c r="AE135" s="28">
        <v>15</v>
      </c>
      <c r="AF135" s="26">
        <v>5.0000000000000002E-5</v>
      </c>
      <c r="AG135" s="28">
        <v>0.2</v>
      </c>
      <c r="AH135" s="28">
        <v>30</v>
      </c>
      <c r="AI135" s="26">
        <v>9.9999999999999995E-8</v>
      </c>
      <c r="AJ135" s="26">
        <f t="shared" si="168"/>
        <v>2E-8</v>
      </c>
      <c r="AK135" s="26">
        <f t="shared" si="169"/>
        <v>7.9999999999999993E-4</v>
      </c>
      <c r="AL135" s="7">
        <v>3.5741077262429801</v>
      </c>
      <c r="AM135" s="7">
        <v>2496.32682512977</v>
      </c>
      <c r="AN135" s="7">
        <v>765.66083018664904</v>
      </c>
      <c r="AO135" s="7">
        <v>2496.32682512977</v>
      </c>
      <c r="AP135" s="7">
        <v>328372.31010722602</v>
      </c>
      <c r="AQ135" s="7">
        <v>101.859163578813</v>
      </c>
      <c r="AR135" s="7">
        <f t="shared" si="170"/>
        <v>5758.314480446189</v>
      </c>
      <c r="AT135" s="28">
        <v>15</v>
      </c>
      <c r="AU135" s="26">
        <v>1.0000000000000001E-5</v>
      </c>
      <c r="AV135" s="28">
        <v>0.2</v>
      </c>
      <c r="AW135" s="28">
        <v>200</v>
      </c>
      <c r="AX135" s="26">
        <v>9.9999999999999995E-8</v>
      </c>
      <c r="AY135" s="26">
        <f t="shared" si="171"/>
        <v>2E-8</v>
      </c>
      <c r="AZ135" s="26">
        <f t="shared" si="172"/>
        <v>4.0000000000000001E-3</v>
      </c>
      <c r="BA135" s="7">
        <v>10.944631291558601</v>
      </c>
      <c r="BB135" s="7">
        <v>1941.00035424731</v>
      </c>
      <c r="BC135" s="7">
        <v>642.33504314082199</v>
      </c>
      <c r="BD135" s="7">
        <v>1941.00035424731</v>
      </c>
      <c r="BE135" s="7">
        <v>1641861.5249040499</v>
      </c>
      <c r="BF135" s="7">
        <v>2546.4790894703301</v>
      </c>
      <c r="BG135" s="7">
        <f t="shared" si="173"/>
        <v>4524.3357516354426</v>
      </c>
      <c r="BI135" s="28">
        <v>15</v>
      </c>
      <c r="BJ135" s="26">
        <v>1.0000000000000001E-5</v>
      </c>
      <c r="BK135" s="28">
        <v>0.5</v>
      </c>
      <c r="BL135" s="28">
        <v>200</v>
      </c>
      <c r="BM135" s="26">
        <v>9.9999999999999995E-8</v>
      </c>
      <c r="BN135" s="26">
        <f t="shared" si="174"/>
        <v>4.9999999999999998E-8</v>
      </c>
      <c r="BO135" s="26">
        <f t="shared" si="175"/>
        <v>9.9999999999999985E-3</v>
      </c>
      <c r="BP135" s="7">
        <v>11.105818569560499</v>
      </c>
      <c r="BQ135" s="7">
        <v>1921.9637593119501</v>
      </c>
      <c r="BR135" s="7">
        <v>622.78773017584695</v>
      </c>
      <c r="BS135" s="7">
        <v>1921.9637593119501</v>
      </c>
      <c r="BT135" s="7">
        <v>656744.60996161995</v>
      </c>
      <c r="BU135" s="7">
        <v>2546.4790894703301</v>
      </c>
      <c r="BV135" s="7">
        <f t="shared" si="176"/>
        <v>4466.7152487997464</v>
      </c>
      <c r="BX135" s="28">
        <v>15</v>
      </c>
      <c r="BY135" s="26">
        <v>5.0000000000000002E-5</v>
      </c>
      <c r="BZ135" s="28">
        <v>0.5</v>
      </c>
      <c r="CA135" s="28">
        <v>200</v>
      </c>
      <c r="CB135" s="26">
        <v>9.9999999999999995E-8</v>
      </c>
      <c r="CC135" s="26">
        <f t="shared" si="177"/>
        <v>4.9999999999999998E-8</v>
      </c>
      <c r="CD135" s="26">
        <f t="shared" si="178"/>
        <v>1.9999999999999996E-3</v>
      </c>
      <c r="CE135" s="7">
        <v>19.236625586206198</v>
      </c>
      <c r="CF135" s="7">
        <v>384.39275181655802</v>
      </c>
      <c r="CG135" s="7">
        <v>124.557546035169</v>
      </c>
      <c r="CH135" s="7">
        <v>384.39275181655802</v>
      </c>
      <c r="CI135" s="7">
        <v>131348.92404288999</v>
      </c>
      <c r="CJ135" s="7">
        <v>101.859163578813</v>
      </c>
      <c r="CK135" s="7">
        <f t="shared" si="179"/>
        <v>893.34304966828495</v>
      </c>
      <c r="CM135" s="28">
        <v>15</v>
      </c>
      <c r="CN135" s="26">
        <v>5.0000000000000002E-5</v>
      </c>
      <c r="CO135" s="28">
        <v>1</v>
      </c>
      <c r="CP135" s="28">
        <v>200</v>
      </c>
      <c r="CQ135" s="26">
        <v>9.9999999999999995E-8</v>
      </c>
      <c r="CR135" s="26">
        <f t="shared" si="180"/>
        <v>9.9999999999999995E-8</v>
      </c>
      <c r="CS135" s="26">
        <f t="shared" si="181"/>
        <v>3.9999999999999992E-3</v>
      </c>
      <c r="CT135" s="7">
        <v>19.717003335475201</v>
      </c>
      <c r="CU135" s="7">
        <v>378.32091509688701</v>
      </c>
      <c r="CV135" s="7">
        <v>118.54503217394399</v>
      </c>
      <c r="CW135" s="7">
        <v>378.32091509688701</v>
      </c>
      <c r="CX135" s="7">
        <v>65674.462021445201</v>
      </c>
      <c r="CY135" s="7">
        <v>101.859163578813</v>
      </c>
      <c r="CZ135" s="7">
        <f t="shared" si="182"/>
        <v>875.18686236771805</v>
      </c>
      <c r="DB135" s="28">
        <v>15</v>
      </c>
      <c r="DC135" s="26">
        <v>5.0000000000000002E-5</v>
      </c>
      <c r="DD135" s="28">
        <v>2</v>
      </c>
      <c r="DE135" s="28">
        <v>200</v>
      </c>
      <c r="DF135" s="26">
        <v>9.9999999999999995E-8</v>
      </c>
      <c r="DG135" s="26">
        <f t="shared" si="183"/>
        <v>1.9999999999999999E-7</v>
      </c>
      <c r="DH135" s="26">
        <f t="shared" si="184"/>
        <v>7.9999999999999984E-3</v>
      </c>
      <c r="DI135" s="7">
        <v>20.645849964983</v>
      </c>
      <c r="DJ135" s="7">
        <v>367.08848561923799</v>
      </c>
      <c r="DK135" s="7">
        <v>108.10811969663401</v>
      </c>
      <c r="DL135" s="7">
        <v>367.08848561923799</v>
      </c>
      <c r="DM135" s="7">
        <v>32837.2310107226</v>
      </c>
      <c r="DN135" s="7">
        <v>101.859163578813</v>
      </c>
      <c r="DO135" s="7">
        <f t="shared" si="185"/>
        <v>842.28509093511002</v>
      </c>
      <c r="DQ135" s="28">
        <v>15</v>
      </c>
      <c r="DR135" s="26">
        <v>5.0000000000000002E-5</v>
      </c>
      <c r="DS135" s="28">
        <v>15</v>
      </c>
      <c r="DT135" s="28">
        <v>300</v>
      </c>
      <c r="DU135" s="26">
        <v>7.4999999999999997E-8</v>
      </c>
      <c r="DV135" s="26">
        <f t="shared" si="186"/>
        <v>1.125E-6</v>
      </c>
      <c r="DW135" s="26">
        <f t="shared" si="187"/>
        <v>4.4999999999999998E-2</v>
      </c>
      <c r="DX135" s="7">
        <v>39.0359174087098</v>
      </c>
      <c r="DY135" s="7">
        <v>202.84957985735099</v>
      </c>
      <c r="DZ135" s="7">
        <v>42.287816140325297</v>
      </c>
      <c r="EA135" s="7">
        <v>202.84957985735099</v>
      </c>
      <c r="EB135" s="7">
        <v>4378.2974680963498</v>
      </c>
      <c r="EC135" s="7">
        <v>81.487330863050403</v>
      </c>
      <c r="ED135" s="7">
        <f t="shared" si="188"/>
        <v>447.98697585502725</v>
      </c>
    </row>
    <row r="136" spans="1:134" x14ac:dyDescent="0.4">
      <c r="A136" s="28">
        <v>20</v>
      </c>
      <c r="B136" s="26">
        <v>1.0000000000000001E-5</v>
      </c>
      <c r="C136" s="28">
        <v>0.2</v>
      </c>
      <c r="D136" s="28">
        <v>30</v>
      </c>
      <c r="E136" s="26">
        <v>9.9999999999999995E-8</v>
      </c>
      <c r="F136" s="26">
        <f t="shared" si="162"/>
        <v>2E-8</v>
      </c>
      <c r="G136" s="26">
        <f t="shared" si="163"/>
        <v>4.0000000000000001E-3</v>
      </c>
      <c r="H136" s="7">
        <v>4.6004661371989597</v>
      </c>
      <c r="I136" s="7">
        <v>7857.7524727739301</v>
      </c>
      <c r="J136" s="7">
        <v>4475.4086280782203</v>
      </c>
      <c r="K136" s="7">
        <v>7857.7524727739301</v>
      </c>
      <c r="L136" s="7">
        <v>2551974.2921694499</v>
      </c>
      <c r="M136" s="7">
        <v>2546.4790894703301</v>
      </c>
      <c r="N136" s="7">
        <f t="shared" si="164"/>
        <v>20190.91357362608</v>
      </c>
      <c r="P136" s="28">
        <v>20</v>
      </c>
      <c r="Q136" s="26">
        <v>3.0000000000000001E-5</v>
      </c>
      <c r="R136" s="28">
        <v>0.2</v>
      </c>
      <c r="S136" s="28">
        <v>30</v>
      </c>
      <c r="T136" s="26">
        <v>9.9999999999999995E-8</v>
      </c>
      <c r="U136" s="26">
        <f t="shared" si="165"/>
        <v>2E-8</v>
      </c>
      <c r="V136" s="26">
        <f t="shared" si="166"/>
        <v>1.3333333333333333E-3</v>
      </c>
      <c r="W136" s="7">
        <v>5.30707933398614</v>
      </c>
      <c r="X136" s="7">
        <v>2619.2508242245099</v>
      </c>
      <c r="Y136" s="7">
        <v>1491.80287602607</v>
      </c>
      <c r="Z136" s="7">
        <v>2619.2508242245099</v>
      </c>
      <c r="AA136" s="7">
        <v>850658.09849467594</v>
      </c>
      <c r="AB136" s="7">
        <v>282.94212105225802</v>
      </c>
      <c r="AC136" s="7">
        <f t="shared" si="167"/>
        <v>6730.3045244750901</v>
      </c>
      <c r="AE136" s="28">
        <v>20</v>
      </c>
      <c r="AF136" s="26">
        <v>5.0000000000000002E-5</v>
      </c>
      <c r="AG136" s="28">
        <v>0.2</v>
      </c>
      <c r="AH136" s="28">
        <v>30</v>
      </c>
      <c r="AI136" s="26">
        <v>9.9999999999999995E-8</v>
      </c>
      <c r="AJ136" s="26">
        <f t="shared" si="168"/>
        <v>2E-8</v>
      </c>
      <c r="AK136" s="26">
        <f t="shared" si="169"/>
        <v>7.9999999999999993E-4</v>
      </c>
      <c r="AL136" s="7">
        <v>5.4755501894790699</v>
      </c>
      <c r="AM136" s="7">
        <v>1571.5504942513201</v>
      </c>
      <c r="AN136" s="7">
        <v>895.08172561564299</v>
      </c>
      <c r="AO136" s="7">
        <v>1571.5504942513201</v>
      </c>
      <c r="AP136" s="7">
        <v>510394.86845111102</v>
      </c>
      <c r="AQ136" s="7">
        <v>101.859163578813</v>
      </c>
      <c r="AR136" s="7">
        <f t="shared" si="170"/>
        <v>4038.182714118283</v>
      </c>
      <c r="AT136" s="28">
        <v>20</v>
      </c>
      <c r="AU136" s="26">
        <v>1.0000000000000001E-5</v>
      </c>
      <c r="AV136" s="28">
        <v>0.2</v>
      </c>
      <c r="AW136" s="28">
        <v>200</v>
      </c>
      <c r="AX136" s="26">
        <v>9.9999999999999995E-8</v>
      </c>
      <c r="AY136" s="26">
        <f t="shared" si="171"/>
        <v>2E-8</v>
      </c>
      <c r="AZ136" s="26">
        <f t="shared" si="172"/>
        <v>4.0000000000000001E-3</v>
      </c>
      <c r="BA136" s="7">
        <v>14.123658281067801</v>
      </c>
      <c r="BB136" s="7">
        <v>1196.98361424428</v>
      </c>
      <c r="BC136" s="7">
        <v>694.07852984949898</v>
      </c>
      <c r="BD136" s="7">
        <v>1196.98361424428</v>
      </c>
      <c r="BE136" s="7">
        <v>2551974.2921694499</v>
      </c>
      <c r="BF136" s="7">
        <v>2546.4790894703301</v>
      </c>
      <c r="BG136" s="7">
        <f t="shared" si="173"/>
        <v>3088.0457583380589</v>
      </c>
      <c r="BI136" s="28">
        <v>20</v>
      </c>
      <c r="BJ136" s="26">
        <v>1.0000000000000001E-5</v>
      </c>
      <c r="BK136" s="28">
        <v>0.5</v>
      </c>
      <c r="BL136" s="28">
        <v>200</v>
      </c>
      <c r="BM136" s="26">
        <v>9.9999999999999995E-8</v>
      </c>
      <c r="BN136" s="26">
        <f t="shared" si="174"/>
        <v>4.9999999999999998E-8</v>
      </c>
      <c r="BO136" s="26">
        <f t="shared" si="175"/>
        <v>9.9999999999999985E-3</v>
      </c>
      <c r="BP136" s="7">
        <v>14.218988815549899</v>
      </c>
      <c r="BQ136" s="7">
        <v>1192.0586917390101</v>
      </c>
      <c r="BR136" s="7">
        <v>687.90288040570601</v>
      </c>
      <c r="BS136" s="7">
        <v>1192.0586917390101</v>
      </c>
      <c r="BT136" s="7">
        <v>1020789.71686778</v>
      </c>
      <c r="BU136" s="7">
        <v>2546.4790894703301</v>
      </c>
      <c r="BV136" s="7">
        <f t="shared" si="176"/>
        <v>3072.0202638837263</v>
      </c>
      <c r="BX136" s="28">
        <v>20</v>
      </c>
      <c r="BY136" s="26">
        <v>5.0000000000000002E-5</v>
      </c>
      <c r="BZ136" s="28">
        <v>0.5</v>
      </c>
      <c r="CA136" s="28">
        <v>200</v>
      </c>
      <c r="CB136" s="26">
        <v>9.9999999999999995E-8</v>
      </c>
      <c r="CC136" s="26">
        <f t="shared" si="177"/>
        <v>4.9999999999999998E-8</v>
      </c>
      <c r="CD136" s="26">
        <f t="shared" si="178"/>
        <v>1.9999999999999996E-3</v>
      </c>
      <c r="CE136" s="7">
        <v>28.269126020399799</v>
      </c>
      <c r="CF136" s="7">
        <v>238.41173833028401</v>
      </c>
      <c r="CG136" s="7">
        <v>137.580576081141</v>
      </c>
      <c r="CH136" s="7">
        <v>238.41173833028401</v>
      </c>
      <c r="CI136" s="7">
        <v>204157.947380445</v>
      </c>
      <c r="CJ136" s="7">
        <v>101.859163578813</v>
      </c>
      <c r="CK136" s="7">
        <f t="shared" si="179"/>
        <v>614.40405274170905</v>
      </c>
      <c r="CM136" s="28">
        <v>20</v>
      </c>
      <c r="CN136" s="26">
        <v>5.0000000000000002E-5</v>
      </c>
      <c r="CO136" s="28">
        <v>1</v>
      </c>
      <c r="CP136" s="28">
        <v>200</v>
      </c>
      <c r="CQ136" s="26">
        <v>9.9999999999999995E-8</v>
      </c>
      <c r="CR136" s="26">
        <f t="shared" si="180"/>
        <v>9.9999999999999995E-8</v>
      </c>
      <c r="CS136" s="26">
        <f t="shared" si="181"/>
        <v>3.9999999999999992E-3</v>
      </c>
      <c r="CT136" s="7">
        <v>28.563636535759901</v>
      </c>
      <c r="CU136" s="7">
        <v>236.794372688691</v>
      </c>
      <c r="CV136" s="7">
        <v>135.57018035757301</v>
      </c>
      <c r="CW136" s="7">
        <v>236.794372688691</v>
      </c>
      <c r="CX136" s="7">
        <v>102078.973690222</v>
      </c>
      <c r="CY136" s="7">
        <v>101.859163578813</v>
      </c>
      <c r="CZ136" s="7">
        <f t="shared" si="182"/>
        <v>609.15892573495501</v>
      </c>
      <c r="DB136" s="28">
        <v>20</v>
      </c>
      <c r="DC136" s="26">
        <v>5.0000000000000002E-5</v>
      </c>
      <c r="DD136" s="28">
        <v>2</v>
      </c>
      <c r="DE136" s="28">
        <v>200</v>
      </c>
      <c r="DF136" s="26">
        <v>9.9999999999999995E-8</v>
      </c>
      <c r="DG136" s="26">
        <f t="shared" si="183"/>
        <v>1.9999999999999999E-7</v>
      </c>
      <c r="DH136" s="26">
        <f t="shared" si="184"/>
        <v>7.9999999999999984E-3</v>
      </c>
      <c r="DI136" s="7">
        <v>29.1473935982462</v>
      </c>
      <c r="DJ136" s="7">
        <v>233.64718966736299</v>
      </c>
      <c r="DK136" s="7">
        <v>131.72072797829401</v>
      </c>
      <c r="DL136" s="7">
        <v>233.64718966736299</v>
      </c>
      <c r="DM136" s="7">
        <v>51039.486845111103</v>
      </c>
      <c r="DN136" s="7">
        <v>101.859163578813</v>
      </c>
      <c r="DO136" s="7">
        <f t="shared" si="185"/>
        <v>599.01510731302005</v>
      </c>
      <c r="DQ136" s="28">
        <v>20</v>
      </c>
      <c r="DR136" s="26">
        <v>5.0000000000000002E-5</v>
      </c>
      <c r="DS136" s="28">
        <v>15</v>
      </c>
      <c r="DT136" s="28">
        <v>300</v>
      </c>
      <c r="DU136" s="26">
        <v>7.4999999999999997E-8</v>
      </c>
      <c r="DV136" s="26">
        <f t="shared" si="186"/>
        <v>1.125E-6</v>
      </c>
      <c r="DW136" s="26">
        <f t="shared" si="187"/>
        <v>4.4999999999999998E-2</v>
      </c>
      <c r="DX136" s="7">
        <v>47.928173216899403</v>
      </c>
      <c r="DY136" s="7">
        <v>141.30482192536101</v>
      </c>
      <c r="DZ136" s="7">
        <v>71.560155029152398</v>
      </c>
      <c r="EA136" s="7">
        <v>141.30482192536101</v>
      </c>
      <c r="EB136" s="7">
        <v>6805.2649126814904</v>
      </c>
      <c r="EC136" s="7">
        <v>81.487330863050403</v>
      </c>
      <c r="ED136" s="7">
        <f t="shared" si="188"/>
        <v>354.16979887987441</v>
      </c>
    </row>
    <row r="137" spans="1:134" x14ac:dyDescent="0.4">
      <c r="A137" s="28">
        <v>25</v>
      </c>
      <c r="B137" s="26">
        <v>1.0000000000000001E-5</v>
      </c>
      <c r="C137" s="28">
        <v>0.2</v>
      </c>
      <c r="D137" s="28">
        <v>30</v>
      </c>
      <c r="E137" s="26">
        <v>9.9999999999999995E-8</v>
      </c>
      <c r="F137" s="26">
        <f t="shared" si="162"/>
        <v>2E-8</v>
      </c>
      <c r="G137" s="26">
        <f t="shared" si="163"/>
        <v>4.0000000000000001E-3</v>
      </c>
      <c r="H137" s="7">
        <v>5.7237128020285502</v>
      </c>
      <c r="I137" s="7">
        <v>5967.7070610572</v>
      </c>
      <c r="J137" s="7">
        <v>4769.5933204541298</v>
      </c>
      <c r="K137" s="7">
        <v>5967.7070610572</v>
      </c>
      <c r="L137" s="7">
        <v>3890230.9388607698</v>
      </c>
      <c r="M137" s="7">
        <v>2546.4790894703301</v>
      </c>
      <c r="N137" s="7">
        <f t="shared" si="164"/>
        <v>16705.007442568531</v>
      </c>
      <c r="P137" s="28">
        <v>25</v>
      </c>
      <c r="Q137" s="26">
        <v>3.0000000000000001E-5</v>
      </c>
      <c r="R137" s="28">
        <v>0.2</v>
      </c>
      <c r="S137" s="28">
        <v>30</v>
      </c>
      <c r="T137" s="26">
        <v>9.9999999999999995E-8</v>
      </c>
      <c r="U137" s="26">
        <f t="shared" si="165"/>
        <v>2E-8</v>
      </c>
      <c r="V137" s="26">
        <f t="shared" si="166"/>
        <v>1.3333333333333333E-3</v>
      </c>
      <c r="W137" s="7">
        <v>6.7738581362933799</v>
      </c>
      <c r="X137" s="7">
        <v>1989.2356869965699</v>
      </c>
      <c r="Y137" s="7">
        <v>1589.86444015137</v>
      </c>
      <c r="Z137" s="7">
        <v>1989.2356869965699</v>
      </c>
      <c r="AA137" s="7">
        <v>1296743.6482743199</v>
      </c>
      <c r="AB137" s="7">
        <v>282.94212105225802</v>
      </c>
      <c r="AC137" s="7">
        <f t="shared" si="167"/>
        <v>5568.3358141445096</v>
      </c>
      <c r="AE137" s="28">
        <v>25</v>
      </c>
      <c r="AF137" s="26">
        <v>5.0000000000000002E-5</v>
      </c>
      <c r="AG137" s="28">
        <v>0.2</v>
      </c>
      <c r="AH137" s="28">
        <v>30</v>
      </c>
      <c r="AI137" s="26">
        <v>9.9999999999999995E-8</v>
      </c>
      <c r="AJ137" s="26">
        <f t="shared" si="168"/>
        <v>2E-8</v>
      </c>
      <c r="AK137" s="26">
        <f t="shared" si="169"/>
        <v>7.9999999999999993E-4</v>
      </c>
      <c r="AL137" s="7">
        <v>7.0321694623231901</v>
      </c>
      <c r="AM137" s="7">
        <v>1193.54141200751</v>
      </c>
      <c r="AN137" s="7">
        <v>953.91866409082502</v>
      </c>
      <c r="AO137" s="7">
        <v>1193.54141200751</v>
      </c>
      <c r="AP137" s="7">
        <v>778046.205790887</v>
      </c>
      <c r="AQ137" s="7">
        <v>101.859163578813</v>
      </c>
      <c r="AR137" s="7">
        <f t="shared" si="170"/>
        <v>3341.0014881058451</v>
      </c>
      <c r="AT137" s="28">
        <v>25</v>
      </c>
      <c r="AU137" s="26">
        <v>1.0000000000000001E-5</v>
      </c>
      <c r="AV137" s="28">
        <v>0.2</v>
      </c>
      <c r="AW137" s="28">
        <v>200</v>
      </c>
      <c r="AX137" s="26">
        <v>9.9999999999999995E-8</v>
      </c>
      <c r="AY137" s="26">
        <f t="shared" si="171"/>
        <v>2E-8</v>
      </c>
      <c r="AZ137" s="26">
        <f t="shared" si="172"/>
        <v>4.0000000000000001E-3</v>
      </c>
      <c r="BA137" s="7">
        <v>16.287854447504699</v>
      </c>
      <c r="BB137" s="7">
        <v>904.92261526204402</v>
      </c>
      <c r="BC137" s="7">
        <v>729.47946385146201</v>
      </c>
      <c r="BD137" s="7">
        <v>904.92261526204402</v>
      </c>
      <c r="BE137" s="7">
        <v>3890230.9388607698</v>
      </c>
      <c r="BF137" s="7">
        <v>2546.4790894703301</v>
      </c>
      <c r="BG137" s="7">
        <f t="shared" si="173"/>
        <v>2539.3246943755503</v>
      </c>
      <c r="BI137" s="28">
        <v>25</v>
      </c>
      <c r="BJ137" s="26">
        <v>1.0000000000000001E-5</v>
      </c>
      <c r="BK137" s="28">
        <v>0.5</v>
      </c>
      <c r="BL137" s="28">
        <v>200</v>
      </c>
      <c r="BM137" s="26">
        <v>9.9999999999999995E-8</v>
      </c>
      <c r="BN137" s="26">
        <f t="shared" si="174"/>
        <v>4.9999999999999998E-8</v>
      </c>
      <c r="BO137" s="26">
        <f t="shared" si="175"/>
        <v>9.9999999999999985E-3</v>
      </c>
      <c r="BP137" s="7">
        <v>16.354868309321301</v>
      </c>
      <c r="BQ137" s="7">
        <v>902.31159397251201</v>
      </c>
      <c r="BR137" s="7">
        <v>725.70943403112403</v>
      </c>
      <c r="BS137" s="7">
        <v>902.31159397251201</v>
      </c>
      <c r="BT137" s="7">
        <v>1556092.3755443101</v>
      </c>
      <c r="BU137" s="7">
        <v>2546.4790894703301</v>
      </c>
      <c r="BV137" s="7">
        <f t="shared" si="176"/>
        <v>2530.3326219761479</v>
      </c>
      <c r="BX137" s="28">
        <v>25</v>
      </c>
      <c r="BY137" s="26">
        <v>5.0000000000000002E-5</v>
      </c>
      <c r="BZ137" s="28">
        <v>0.5</v>
      </c>
      <c r="CA137" s="28">
        <v>200</v>
      </c>
      <c r="CB137" s="26">
        <v>9.9999999999999995E-8</v>
      </c>
      <c r="CC137" s="26">
        <f t="shared" si="177"/>
        <v>4.9999999999999998E-8</v>
      </c>
      <c r="CD137" s="26">
        <f t="shared" si="178"/>
        <v>1.9999999999999996E-3</v>
      </c>
      <c r="CE137" s="7">
        <v>35.039649026978402</v>
      </c>
      <c r="CF137" s="7">
        <v>180.46231878283399</v>
      </c>
      <c r="CG137" s="7">
        <v>145.14188680622499</v>
      </c>
      <c r="CH137" s="7">
        <v>180.46231878283399</v>
      </c>
      <c r="CI137" s="7">
        <v>311218.48231635499</v>
      </c>
      <c r="CJ137" s="7">
        <v>101.859163578813</v>
      </c>
      <c r="CK137" s="7">
        <f t="shared" si="179"/>
        <v>506.06652437189302</v>
      </c>
      <c r="CM137" s="28">
        <v>25</v>
      </c>
      <c r="CN137" s="26">
        <v>5.0000000000000002E-5</v>
      </c>
      <c r="CO137" s="28">
        <v>1</v>
      </c>
      <c r="CP137" s="28">
        <v>200</v>
      </c>
      <c r="CQ137" s="26">
        <v>9.9999999999999995E-8</v>
      </c>
      <c r="CR137" s="26">
        <f t="shared" si="180"/>
        <v>9.9999999999999995E-8</v>
      </c>
      <c r="CS137" s="26">
        <f t="shared" si="181"/>
        <v>3.9999999999999992E-3</v>
      </c>
      <c r="CT137" s="7">
        <v>35.265962857081703</v>
      </c>
      <c r="CU137" s="7">
        <v>179.60025764253999</v>
      </c>
      <c r="CV137" s="7">
        <v>143.90240734913101</v>
      </c>
      <c r="CW137" s="7">
        <v>179.60025764253999</v>
      </c>
      <c r="CX137" s="7">
        <v>155609.241158177</v>
      </c>
      <c r="CY137" s="7">
        <v>101.859163578813</v>
      </c>
      <c r="CZ137" s="7">
        <f t="shared" si="182"/>
        <v>503.10292263421098</v>
      </c>
      <c r="DB137" s="28">
        <v>25</v>
      </c>
      <c r="DC137" s="26">
        <v>5.0000000000000002E-5</v>
      </c>
      <c r="DD137" s="28">
        <v>2</v>
      </c>
      <c r="DE137" s="28">
        <v>200</v>
      </c>
      <c r="DF137" s="26">
        <v>9.9999999999999995E-8</v>
      </c>
      <c r="DG137" s="26">
        <f t="shared" si="183"/>
        <v>1.9999999999999999E-7</v>
      </c>
      <c r="DH137" s="26">
        <f t="shared" si="184"/>
        <v>7.9999999999999984E-3</v>
      </c>
      <c r="DI137" s="7">
        <v>35.716090609042197</v>
      </c>
      <c r="DJ137" s="7">
        <v>177.90643586546901</v>
      </c>
      <c r="DK137" s="7">
        <v>141.48598257191699</v>
      </c>
      <c r="DL137" s="7">
        <v>177.90643586546901</v>
      </c>
      <c r="DM137" s="7">
        <v>77804.620579088703</v>
      </c>
      <c r="DN137" s="7">
        <v>101.859163578813</v>
      </c>
      <c r="DO137" s="7">
        <f t="shared" si="185"/>
        <v>497.29885430285503</v>
      </c>
      <c r="DQ137" s="28">
        <v>25</v>
      </c>
      <c r="DR137" s="26">
        <v>5.0000000000000002E-5</v>
      </c>
      <c r="DS137" s="28">
        <v>15</v>
      </c>
      <c r="DT137" s="28">
        <v>300</v>
      </c>
      <c r="DU137" s="26">
        <v>7.4999999999999997E-8</v>
      </c>
      <c r="DV137" s="26">
        <f t="shared" si="186"/>
        <v>1.125E-6</v>
      </c>
      <c r="DW137" s="26">
        <f t="shared" si="187"/>
        <v>4.4999999999999998E-2</v>
      </c>
      <c r="DX137" s="7">
        <v>55.528047039241102</v>
      </c>
      <c r="DY137" s="7">
        <v>110.42994925436599</v>
      </c>
      <c r="DZ137" s="7">
        <v>83.155364315094602</v>
      </c>
      <c r="EA137" s="7">
        <v>110.42994925436599</v>
      </c>
      <c r="EB137" s="7">
        <v>10373.949410545199</v>
      </c>
      <c r="EC137" s="7">
        <v>81.487330863050403</v>
      </c>
      <c r="ED137" s="7">
        <f t="shared" si="188"/>
        <v>304.01526282382656</v>
      </c>
    </row>
    <row r="138" spans="1:134" x14ac:dyDescent="0.4">
      <c r="A138" s="28">
        <v>30</v>
      </c>
      <c r="B138" s="26">
        <v>1.0000000000000001E-5</v>
      </c>
      <c r="C138" s="28">
        <v>0.2</v>
      </c>
      <c r="D138" s="28">
        <v>30</v>
      </c>
      <c r="E138" s="26">
        <v>9.9999999999999995E-8</v>
      </c>
      <c r="F138" s="26">
        <f t="shared" si="162"/>
        <v>2E-8</v>
      </c>
      <c r="G138" s="26">
        <f t="shared" si="163"/>
        <v>4.0000000000000001E-3</v>
      </c>
      <c r="H138" s="7">
        <v>6.7162483769926</v>
      </c>
      <c r="I138" s="7">
        <v>4807.3324198337996</v>
      </c>
      <c r="J138" s="7">
        <v>4988.6125859415297</v>
      </c>
      <c r="K138" s="7">
        <v>4807.3324198337996</v>
      </c>
      <c r="L138" s="7">
        <v>5893089.4851508904</v>
      </c>
      <c r="M138" s="7">
        <v>2546.4790894703301</v>
      </c>
      <c r="N138" s="7">
        <f t="shared" si="164"/>
        <v>14603.277425609129</v>
      </c>
      <c r="P138" s="28">
        <v>30</v>
      </c>
      <c r="Q138" s="26">
        <v>3.0000000000000001E-5</v>
      </c>
      <c r="R138" s="28">
        <v>0.2</v>
      </c>
      <c r="S138" s="28">
        <v>30</v>
      </c>
      <c r="T138" s="26">
        <v>9.9999999999999995E-8</v>
      </c>
      <c r="U138" s="26">
        <f t="shared" si="165"/>
        <v>2E-8</v>
      </c>
      <c r="V138" s="26">
        <f t="shared" si="166"/>
        <v>1.3333333333333333E-3</v>
      </c>
      <c r="W138" s="7">
        <v>8.1105094695615403</v>
      </c>
      <c r="X138" s="7">
        <v>1602.4441399274999</v>
      </c>
      <c r="Y138" s="7">
        <v>1662.87086198051</v>
      </c>
      <c r="Z138" s="7">
        <v>1602.4441399274999</v>
      </c>
      <c r="AA138" s="7">
        <v>1964363.1651242101</v>
      </c>
      <c r="AB138" s="7">
        <v>282.94212105225802</v>
      </c>
      <c r="AC138" s="7">
        <f t="shared" si="167"/>
        <v>4867.7591418355096</v>
      </c>
      <c r="AE138" s="28">
        <v>30</v>
      </c>
      <c r="AF138" s="26">
        <v>5.0000000000000002E-5</v>
      </c>
      <c r="AG138" s="28">
        <v>0.2</v>
      </c>
      <c r="AH138" s="28">
        <v>30</v>
      </c>
      <c r="AI138" s="26">
        <v>9.9999999999999995E-8</v>
      </c>
      <c r="AJ138" s="26">
        <f t="shared" si="168"/>
        <v>2E-8</v>
      </c>
      <c r="AK138" s="26">
        <f t="shared" si="169"/>
        <v>7.9999999999999993E-4</v>
      </c>
      <c r="AL138" s="7">
        <v>8.4620896151128093</v>
      </c>
      <c r="AM138" s="7">
        <v>961.46648381169098</v>
      </c>
      <c r="AN138" s="7">
        <v>997.72251718830603</v>
      </c>
      <c r="AO138" s="7">
        <v>961.46648381169098</v>
      </c>
      <c r="AP138" s="7">
        <v>1178617.9279219799</v>
      </c>
      <c r="AQ138" s="7">
        <v>101.859163578813</v>
      </c>
      <c r="AR138" s="7">
        <f t="shared" si="170"/>
        <v>2920.655484811688</v>
      </c>
      <c r="AT138" s="28">
        <v>30</v>
      </c>
      <c r="AU138" s="26">
        <v>1.0000000000000001E-5</v>
      </c>
      <c r="AV138" s="28">
        <v>0.2</v>
      </c>
      <c r="AW138" s="28">
        <v>200</v>
      </c>
      <c r="AX138" s="26">
        <v>9.9999999999999995E-8</v>
      </c>
      <c r="AY138" s="26">
        <f t="shared" si="171"/>
        <v>2E-8</v>
      </c>
      <c r="AZ138" s="26">
        <f t="shared" si="172"/>
        <v>4.0000000000000001E-3</v>
      </c>
      <c r="BA138" s="7">
        <v>18.068057323383201</v>
      </c>
      <c r="BB138" s="7">
        <v>727.37388968977803</v>
      </c>
      <c r="BC138" s="7">
        <v>758.42598130330396</v>
      </c>
      <c r="BD138" s="7">
        <v>727.37388968977803</v>
      </c>
      <c r="BE138" s="7">
        <v>5893089.4851508904</v>
      </c>
      <c r="BF138" s="7">
        <v>2546.4790894703301</v>
      </c>
      <c r="BG138" s="7">
        <f t="shared" si="173"/>
        <v>2213.1737606828601</v>
      </c>
      <c r="BI138" s="28">
        <v>30</v>
      </c>
      <c r="BJ138" s="26">
        <v>1.0000000000000001E-5</v>
      </c>
      <c r="BK138" s="28">
        <v>0.5</v>
      </c>
      <c r="BL138" s="28">
        <v>200</v>
      </c>
      <c r="BM138" s="26">
        <v>9.9999999999999995E-8</v>
      </c>
      <c r="BN138" s="26">
        <f t="shared" si="174"/>
        <v>4.9999999999999998E-8</v>
      </c>
      <c r="BO138" s="26">
        <f t="shared" si="175"/>
        <v>9.9999999999999985E-3</v>
      </c>
      <c r="BP138" s="7">
        <v>18.116586064532701</v>
      </c>
      <c r="BQ138" s="7">
        <v>725.70064173773096</v>
      </c>
      <c r="BR138" s="7">
        <v>755.71672459466504</v>
      </c>
      <c r="BS138" s="7">
        <v>725.70064173773096</v>
      </c>
      <c r="BT138" s="7">
        <v>2357235.7940603602</v>
      </c>
      <c r="BU138" s="7">
        <v>2546.4790894703301</v>
      </c>
      <c r="BV138" s="7">
        <f t="shared" si="176"/>
        <v>2207.118008070127</v>
      </c>
      <c r="BX138" s="28">
        <v>30</v>
      </c>
      <c r="BY138" s="26">
        <v>5.0000000000000002E-5</v>
      </c>
      <c r="BZ138" s="28">
        <v>0.5</v>
      </c>
      <c r="CA138" s="28">
        <v>200</v>
      </c>
      <c r="CB138" s="26">
        <v>9.9999999999999995E-8</v>
      </c>
      <c r="CC138" s="26">
        <f t="shared" si="177"/>
        <v>4.9999999999999998E-8</v>
      </c>
      <c r="CD138" s="26">
        <f t="shared" si="178"/>
        <v>1.9999999999999996E-3</v>
      </c>
      <c r="CE138" s="7">
        <v>40.9288457233028</v>
      </c>
      <c r="CF138" s="7">
        <v>145.140128338708</v>
      </c>
      <c r="CG138" s="7">
        <v>151.143344918933</v>
      </c>
      <c r="CH138" s="7">
        <v>145.140128338708</v>
      </c>
      <c r="CI138" s="7">
        <v>471447.17116879002</v>
      </c>
      <c r="CJ138" s="7">
        <v>101.859163578813</v>
      </c>
      <c r="CK138" s="7">
        <f t="shared" si="179"/>
        <v>441.42360159634899</v>
      </c>
      <c r="CM138" s="28">
        <v>30</v>
      </c>
      <c r="CN138" s="26">
        <v>5.0000000000000002E-5</v>
      </c>
      <c r="CO138" s="28">
        <v>1</v>
      </c>
      <c r="CP138" s="28">
        <v>200</v>
      </c>
      <c r="CQ138" s="26">
        <v>9.9999999999999995E-8</v>
      </c>
      <c r="CR138" s="26">
        <f t="shared" si="180"/>
        <v>9.9999999999999995E-8</v>
      </c>
      <c r="CS138" s="26">
        <f t="shared" si="181"/>
        <v>3.9999999999999992E-3</v>
      </c>
      <c r="CT138" s="7">
        <v>41.112008395845798</v>
      </c>
      <c r="CU138" s="7">
        <v>144.58638467526899</v>
      </c>
      <c r="CV138" s="7">
        <v>150.24883810203599</v>
      </c>
      <c r="CW138" s="7">
        <v>144.58638467526899</v>
      </c>
      <c r="CX138" s="7">
        <v>235723.58558439501</v>
      </c>
      <c r="CY138" s="7">
        <v>101.859163578813</v>
      </c>
      <c r="CZ138" s="7">
        <f t="shared" si="182"/>
        <v>439.42160745257399</v>
      </c>
      <c r="DB138" s="28">
        <v>30</v>
      </c>
      <c r="DC138" s="26">
        <v>5.0000000000000002E-5</v>
      </c>
      <c r="DD138" s="28">
        <v>2</v>
      </c>
      <c r="DE138" s="28">
        <v>200</v>
      </c>
      <c r="DF138" s="26">
        <v>9.9999999999999995E-8</v>
      </c>
      <c r="DG138" s="26">
        <f t="shared" si="183"/>
        <v>1.9999999999999999E-7</v>
      </c>
      <c r="DH138" s="26">
        <f t="shared" si="184"/>
        <v>7.9999999999999984E-3</v>
      </c>
      <c r="DI138" s="7">
        <v>41.476787888173497</v>
      </c>
      <c r="DJ138" s="7">
        <v>143.493651420682</v>
      </c>
      <c r="DK138" s="7">
        <v>148.49131311393799</v>
      </c>
      <c r="DL138" s="7">
        <v>143.493651420682</v>
      </c>
      <c r="DM138" s="7">
        <v>117861.792792198</v>
      </c>
      <c r="DN138" s="7">
        <v>101.859163578813</v>
      </c>
      <c r="DO138" s="7">
        <f t="shared" si="185"/>
        <v>435.47861595530196</v>
      </c>
      <c r="DQ138" s="28">
        <v>30</v>
      </c>
      <c r="DR138" s="26">
        <v>5.0000000000000002E-5</v>
      </c>
      <c r="DS138" s="28">
        <v>15</v>
      </c>
      <c r="DT138" s="28">
        <v>300</v>
      </c>
      <c r="DU138" s="26">
        <v>7.4999999999999997E-8</v>
      </c>
      <c r="DV138" s="26">
        <f t="shared" si="186"/>
        <v>1.125E-6</v>
      </c>
      <c r="DW138" s="26">
        <f t="shared" si="187"/>
        <v>4.4999999999999998E-2</v>
      </c>
      <c r="DX138" s="7">
        <v>62.431182915784099</v>
      </c>
      <c r="DY138" s="7">
        <v>90.265822408235607</v>
      </c>
      <c r="DZ138" s="7">
        <v>90.525422516156297</v>
      </c>
      <c r="EA138" s="7">
        <v>90.265822408235607</v>
      </c>
      <c r="EB138" s="7">
        <v>15714.905705626299</v>
      </c>
      <c r="EC138" s="7">
        <v>81.487330863050403</v>
      </c>
      <c r="ED138" s="7">
        <f t="shared" si="188"/>
        <v>271.05706733262753</v>
      </c>
    </row>
    <row r="139" spans="1:134" x14ac:dyDescent="0.4">
      <c r="A139" s="28">
        <v>35</v>
      </c>
      <c r="B139" s="26">
        <v>1.0000000000000001E-5</v>
      </c>
      <c r="C139" s="28">
        <v>0.2</v>
      </c>
      <c r="D139" s="28">
        <v>30</v>
      </c>
      <c r="E139" s="26">
        <v>9.9999999999999995E-8</v>
      </c>
      <c r="F139" s="26">
        <f t="shared" si="162"/>
        <v>2E-8</v>
      </c>
      <c r="G139" s="26">
        <f t="shared" si="163"/>
        <v>4.0000000000000001E-3</v>
      </c>
      <c r="H139" s="7">
        <v>7.62910578694654</v>
      </c>
      <c r="I139" s="7">
        <v>3984.07853527202</v>
      </c>
      <c r="J139" s="7">
        <v>5168.7820727017497</v>
      </c>
      <c r="K139" s="7">
        <v>3984.07853527202</v>
      </c>
      <c r="L139" s="7">
        <v>8973470.5022608098</v>
      </c>
      <c r="M139" s="7">
        <v>2546.4790894703301</v>
      </c>
      <c r="N139" s="7">
        <f t="shared" si="164"/>
        <v>13136.939143245789</v>
      </c>
      <c r="P139" s="28">
        <v>35</v>
      </c>
      <c r="Q139" s="26">
        <v>3.0000000000000001E-5</v>
      </c>
      <c r="R139" s="28">
        <v>0.2</v>
      </c>
      <c r="S139" s="28">
        <v>30</v>
      </c>
      <c r="T139" s="26">
        <v>9.9999999999999995E-8</v>
      </c>
      <c r="U139" s="26">
        <f t="shared" si="165"/>
        <v>2E-8</v>
      </c>
      <c r="V139" s="26">
        <f t="shared" si="166"/>
        <v>1.3333333333333333E-3</v>
      </c>
      <c r="W139" s="7">
        <v>9.3716969086028694</v>
      </c>
      <c r="X139" s="7">
        <v>1328.02617841029</v>
      </c>
      <c r="Y139" s="7">
        <v>1722.9273575672501</v>
      </c>
      <c r="Z139" s="7">
        <v>1328.02617841029</v>
      </c>
      <c r="AA139" s="7">
        <v>2991156.8397606201</v>
      </c>
      <c r="AB139" s="7">
        <v>282.94212105225802</v>
      </c>
      <c r="AC139" s="7">
        <f t="shared" si="167"/>
        <v>4378.9797143878295</v>
      </c>
      <c r="AE139" s="28">
        <v>35</v>
      </c>
      <c r="AF139" s="26">
        <v>5.0000000000000002E-5</v>
      </c>
      <c r="AG139" s="28">
        <v>0.2</v>
      </c>
      <c r="AH139" s="28">
        <v>30</v>
      </c>
      <c r="AI139" s="26">
        <v>9.9999999999999995E-8</v>
      </c>
      <c r="AJ139" s="26">
        <f t="shared" si="168"/>
        <v>2E-8</v>
      </c>
      <c r="AK139" s="26">
        <f t="shared" si="169"/>
        <v>7.9999999999999993E-4</v>
      </c>
      <c r="AL139" s="7">
        <v>9.8205286443506203</v>
      </c>
      <c r="AM139" s="7">
        <v>796.81570693005597</v>
      </c>
      <c r="AN139" s="7">
        <v>1033.7564145403501</v>
      </c>
      <c r="AO139" s="7">
        <v>796.81570693005597</v>
      </c>
      <c r="AP139" s="7">
        <v>1794694.1518928199</v>
      </c>
      <c r="AQ139" s="7">
        <v>101.859163578813</v>
      </c>
      <c r="AR139" s="7">
        <f t="shared" si="170"/>
        <v>2627.3878284004622</v>
      </c>
      <c r="AT139" s="28">
        <v>35</v>
      </c>
      <c r="AU139" s="26">
        <v>1.0000000000000001E-5</v>
      </c>
      <c r="AV139" s="28">
        <v>0.2</v>
      </c>
      <c r="AW139" s="28">
        <v>200</v>
      </c>
      <c r="AX139" s="26">
        <v>9.9999999999999995E-8</v>
      </c>
      <c r="AY139" s="26">
        <f t="shared" si="171"/>
        <v>2E-8</v>
      </c>
      <c r="AZ139" s="26">
        <f t="shared" si="172"/>
        <v>4.0000000000000001E-3</v>
      </c>
      <c r="BA139" s="7">
        <v>19.619067616854501</v>
      </c>
      <c r="BB139" s="7">
        <v>602.00500937137394</v>
      </c>
      <c r="BC139" s="7">
        <v>783.15203621901901</v>
      </c>
      <c r="BD139" s="7">
        <v>602.00500937137394</v>
      </c>
      <c r="BE139" s="7">
        <v>8973470.5022608098</v>
      </c>
      <c r="BF139" s="7">
        <v>2546.4790894703301</v>
      </c>
      <c r="BG139" s="7">
        <f t="shared" si="173"/>
        <v>1987.1620549617669</v>
      </c>
      <c r="BI139" s="28">
        <v>35</v>
      </c>
      <c r="BJ139" s="26">
        <v>1.0000000000000001E-5</v>
      </c>
      <c r="BK139" s="28">
        <v>0.5</v>
      </c>
      <c r="BL139" s="28">
        <v>200</v>
      </c>
      <c r="BM139" s="26">
        <v>9.9999999999999995E-8</v>
      </c>
      <c r="BN139" s="26">
        <f t="shared" si="174"/>
        <v>4.9999999999999998E-8</v>
      </c>
      <c r="BO139" s="26">
        <f t="shared" si="175"/>
        <v>9.9999999999999985E-3</v>
      </c>
      <c r="BP139" s="7">
        <v>19.654540440980199</v>
      </c>
      <c r="BQ139" s="7">
        <v>600.83500597989303</v>
      </c>
      <c r="BR139" s="7">
        <v>781.06268252331097</v>
      </c>
      <c r="BS139" s="7">
        <v>600.83500597989303</v>
      </c>
      <c r="BT139" s="7">
        <v>3589388.20090432</v>
      </c>
      <c r="BU139" s="7">
        <v>2546.4790894703301</v>
      </c>
      <c r="BV139" s="7">
        <f t="shared" si="176"/>
        <v>1982.732694483097</v>
      </c>
      <c r="BX139" s="28">
        <v>35</v>
      </c>
      <c r="BY139" s="26">
        <v>5.0000000000000002E-5</v>
      </c>
      <c r="BZ139" s="28">
        <v>0.5</v>
      </c>
      <c r="CA139" s="28">
        <v>200</v>
      </c>
      <c r="CB139" s="26">
        <v>9.9999999999999995E-8</v>
      </c>
      <c r="CC139" s="26">
        <f t="shared" si="177"/>
        <v>4.9999999999999998E-8</v>
      </c>
      <c r="CD139" s="26">
        <f t="shared" si="178"/>
        <v>1.9999999999999996E-3</v>
      </c>
      <c r="CE139" s="7">
        <v>46.283536185030997</v>
      </c>
      <c r="CF139" s="7">
        <v>120.167001188906</v>
      </c>
      <c r="CG139" s="7">
        <v>156.21253650466201</v>
      </c>
      <c r="CH139" s="7">
        <v>120.167001188906</v>
      </c>
      <c r="CI139" s="7">
        <v>717877.66075713001</v>
      </c>
      <c r="CJ139" s="7">
        <v>101.859163578813</v>
      </c>
      <c r="CK139" s="7">
        <f t="shared" si="179"/>
        <v>396.54653888247401</v>
      </c>
      <c r="CM139" s="28">
        <v>35</v>
      </c>
      <c r="CN139" s="26">
        <v>5.0000000000000002E-5</v>
      </c>
      <c r="CO139" s="28">
        <v>1</v>
      </c>
      <c r="CP139" s="28">
        <v>200</v>
      </c>
      <c r="CQ139" s="26">
        <v>9.9999999999999995E-8</v>
      </c>
      <c r="CR139" s="26">
        <f t="shared" si="180"/>
        <v>9.9999999999999995E-8</v>
      </c>
      <c r="CS139" s="26">
        <f t="shared" si="181"/>
        <v>3.9999999999999992E-3</v>
      </c>
      <c r="CT139" s="7">
        <v>46.435495883021503</v>
      </c>
      <c r="CU139" s="7">
        <v>119.779274796552</v>
      </c>
      <c r="CV139" s="7">
        <v>155.521045898078</v>
      </c>
      <c r="CW139" s="7">
        <v>119.779274796552</v>
      </c>
      <c r="CX139" s="7">
        <v>358938.83037856501</v>
      </c>
      <c r="CY139" s="7">
        <v>101.859163578813</v>
      </c>
      <c r="CZ139" s="7">
        <f t="shared" si="182"/>
        <v>395.07959549118198</v>
      </c>
      <c r="DB139" s="28">
        <v>35</v>
      </c>
      <c r="DC139" s="26">
        <v>5.0000000000000002E-5</v>
      </c>
      <c r="DD139" s="28">
        <v>2</v>
      </c>
      <c r="DE139" s="28">
        <v>200</v>
      </c>
      <c r="DF139" s="26">
        <v>9.9999999999999995E-8</v>
      </c>
      <c r="DG139" s="26">
        <f t="shared" si="183"/>
        <v>1.9999999999999999E-7</v>
      </c>
      <c r="DH139" s="26">
        <f t="shared" si="184"/>
        <v>7.9999999999999984E-3</v>
      </c>
      <c r="DI139" s="7">
        <v>46.738342806620899</v>
      </c>
      <c r="DJ139" s="7">
        <v>119.01223137089301</v>
      </c>
      <c r="DK139" s="7">
        <v>154.156369850555</v>
      </c>
      <c r="DL139" s="7">
        <v>119.01223137089301</v>
      </c>
      <c r="DM139" s="7">
        <v>179469.41518928201</v>
      </c>
      <c r="DN139" s="7">
        <v>101.859163578813</v>
      </c>
      <c r="DO139" s="7">
        <f t="shared" si="185"/>
        <v>392.18083259234101</v>
      </c>
      <c r="DQ139" s="28">
        <v>35</v>
      </c>
      <c r="DR139" s="26">
        <v>5.0000000000000002E-5</v>
      </c>
      <c r="DS139" s="28">
        <v>15</v>
      </c>
      <c r="DT139" s="28">
        <v>300</v>
      </c>
      <c r="DU139" s="26">
        <v>7.4999999999999997E-8</v>
      </c>
      <c r="DV139" s="26">
        <f t="shared" si="186"/>
        <v>1.125E-6</v>
      </c>
      <c r="DW139" s="26">
        <f t="shared" si="187"/>
        <v>4.4999999999999998E-2</v>
      </c>
      <c r="DX139" s="7">
        <v>68.863918712347996</v>
      </c>
      <c r="DY139" s="7">
        <v>75.5008244304708</v>
      </c>
      <c r="DZ139" s="7">
        <v>96.032312732024195</v>
      </c>
      <c r="EA139" s="7">
        <v>75.5008244304708</v>
      </c>
      <c r="EB139" s="7">
        <v>23929.255358571001</v>
      </c>
      <c r="EC139" s="7">
        <v>81.487330863050403</v>
      </c>
      <c r="ED139" s="7">
        <f t="shared" si="188"/>
        <v>247.0339615929658</v>
      </c>
    </row>
    <row r="140" spans="1:134" x14ac:dyDescent="0.4">
      <c r="A140" s="28">
        <v>40</v>
      </c>
      <c r="B140" s="26">
        <v>1.0000000000000001E-5</v>
      </c>
      <c r="C140" s="28">
        <v>0.2</v>
      </c>
      <c r="D140" s="28">
        <v>30</v>
      </c>
      <c r="E140" s="26">
        <v>9.9999999999999995E-8</v>
      </c>
      <c r="F140" s="26">
        <f t="shared" si="162"/>
        <v>2E-8</v>
      </c>
      <c r="G140" s="26">
        <f t="shared" si="163"/>
        <v>4.0000000000000001E-3</v>
      </c>
      <c r="H140" s="7">
        <v>8.4854737671435903</v>
      </c>
      <c r="I140" s="7">
        <v>3352.9677929484601</v>
      </c>
      <c r="J140" s="7">
        <v>5323.5334580216904</v>
      </c>
      <c r="K140" s="7">
        <v>3352.9677929484601</v>
      </c>
      <c r="L140" s="7">
        <v>13908939.478979601</v>
      </c>
      <c r="M140" s="7">
        <v>2546.4790894703301</v>
      </c>
      <c r="N140" s="7">
        <f t="shared" si="164"/>
        <v>12029.469043918611</v>
      </c>
      <c r="P140" s="28">
        <v>40</v>
      </c>
      <c r="Q140" s="26">
        <v>3.0000000000000001E-5</v>
      </c>
      <c r="R140" s="28">
        <v>0.2</v>
      </c>
      <c r="S140" s="28">
        <v>30</v>
      </c>
      <c r="T140" s="26">
        <v>9.9999999999999995E-8</v>
      </c>
      <c r="U140" s="26">
        <f t="shared" si="165"/>
        <v>2E-8</v>
      </c>
      <c r="V140" s="26">
        <f t="shared" si="166"/>
        <v>1.3333333333333333E-3</v>
      </c>
      <c r="W140" s="7">
        <v>10.581714500800301</v>
      </c>
      <c r="X140" s="7">
        <v>1117.6559309715101</v>
      </c>
      <c r="Y140" s="7">
        <v>1774.5111526738999</v>
      </c>
      <c r="Z140" s="7">
        <v>1117.6559309715101</v>
      </c>
      <c r="AA140" s="7">
        <v>4636313.1689486196</v>
      </c>
      <c r="AB140" s="7">
        <v>282.94212105225802</v>
      </c>
      <c r="AC140" s="7">
        <f t="shared" si="167"/>
        <v>4009.8230146169199</v>
      </c>
      <c r="AE140" s="28">
        <v>40</v>
      </c>
      <c r="AF140" s="26">
        <v>5.0000000000000002E-5</v>
      </c>
      <c r="AG140" s="28">
        <v>0.2</v>
      </c>
      <c r="AH140" s="28">
        <v>30</v>
      </c>
      <c r="AI140" s="26">
        <v>9.9999999999999995E-8</v>
      </c>
      <c r="AJ140" s="26">
        <f t="shared" si="168"/>
        <v>2E-8</v>
      </c>
      <c r="AK140" s="26">
        <f t="shared" si="169"/>
        <v>7.9999999999999993E-4</v>
      </c>
      <c r="AL140" s="7">
        <v>11.1318764033006</v>
      </c>
      <c r="AM140" s="7">
        <v>670.59355848720395</v>
      </c>
      <c r="AN140" s="7">
        <v>1064.70669160434</v>
      </c>
      <c r="AO140" s="7">
        <v>670.59355848720395</v>
      </c>
      <c r="AP140" s="7">
        <v>2781787.9800138599</v>
      </c>
      <c r="AQ140" s="7">
        <v>101.859163578813</v>
      </c>
      <c r="AR140" s="7">
        <f t="shared" si="170"/>
        <v>2405.8938085787481</v>
      </c>
      <c r="AT140" s="28">
        <v>40</v>
      </c>
      <c r="AU140" s="26">
        <v>1.0000000000000001E-5</v>
      </c>
      <c r="AV140" s="28">
        <v>0.2</v>
      </c>
      <c r="AW140" s="28">
        <v>200</v>
      </c>
      <c r="AX140" s="26">
        <v>9.9999999999999995E-8</v>
      </c>
      <c r="AY140" s="26">
        <f t="shared" si="171"/>
        <v>2E-8</v>
      </c>
      <c r="AZ140" s="26">
        <f t="shared" si="172"/>
        <v>4.0000000000000001E-3</v>
      </c>
      <c r="BA140" s="7">
        <v>21.010573529602802</v>
      </c>
      <c r="BB140" s="7">
        <v>506.171357939058</v>
      </c>
      <c r="BC140" s="7">
        <v>804.808472591532</v>
      </c>
      <c r="BD140" s="7">
        <v>506.171357939058</v>
      </c>
      <c r="BE140" s="7">
        <v>13908939.478979601</v>
      </c>
      <c r="BF140" s="7">
        <v>2546.4790894703301</v>
      </c>
      <c r="BG140" s="7">
        <f t="shared" si="173"/>
        <v>1817.1511884696479</v>
      </c>
      <c r="BI140" s="28">
        <v>40</v>
      </c>
      <c r="BJ140" s="26">
        <v>1.0000000000000001E-5</v>
      </c>
      <c r="BK140" s="28">
        <v>0.5</v>
      </c>
      <c r="BL140" s="28">
        <v>200</v>
      </c>
      <c r="BM140" s="26">
        <v>9.9999999999999995E-8</v>
      </c>
      <c r="BN140" s="26">
        <f t="shared" si="174"/>
        <v>4.9999999999999998E-8</v>
      </c>
      <c r="BO140" s="26">
        <f t="shared" si="175"/>
        <v>9.9999999999999985E-3</v>
      </c>
      <c r="BP140" s="7">
        <v>21.036525761658599</v>
      </c>
      <c r="BQ140" s="7">
        <v>505.31296257696903</v>
      </c>
      <c r="BR140" s="7">
        <v>803.13685140779603</v>
      </c>
      <c r="BS140" s="7">
        <v>505.31296257696903</v>
      </c>
      <c r="BT140" s="7">
        <v>5563575.7915918296</v>
      </c>
      <c r="BU140" s="7">
        <v>2546.4790894703301</v>
      </c>
      <c r="BV140" s="7">
        <f t="shared" si="176"/>
        <v>1813.7627765617342</v>
      </c>
      <c r="BX140" s="28">
        <v>40</v>
      </c>
      <c r="BY140" s="26">
        <v>5.0000000000000002E-5</v>
      </c>
      <c r="BZ140" s="28">
        <v>0.5</v>
      </c>
      <c r="CA140" s="28">
        <v>200</v>
      </c>
      <c r="CB140" s="26">
        <v>9.9999999999999995E-8</v>
      </c>
      <c r="CC140" s="26">
        <f t="shared" si="177"/>
        <v>4.9999999999999998E-8</v>
      </c>
      <c r="CD140" s="26">
        <f t="shared" si="178"/>
        <v>1.9999999999999996E-3</v>
      </c>
      <c r="CE140" s="7">
        <v>51.260231437905801</v>
      </c>
      <c r="CF140" s="7">
        <v>101.06259250957299</v>
      </c>
      <c r="CG140" s="7">
        <v>160.627370281559</v>
      </c>
      <c r="CH140" s="7">
        <v>101.06259250957299</v>
      </c>
      <c r="CI140" s="7">
        <v>1112715.19200554</v>
      </c>
      <c r="CJ140" s="7">
        <v>101.859163578813</v>
      </c>
      <c r="CK140" s="7">
        <f t="shared" si="179"/>
        <v>362.75255530070496</v>
      </c>
      <c r="CM140" s="28">
        <v>40</v>
      </c>
      <c r="CN140" s="26">
        <v>5.0000000000000002E-5</v>
      </c>
      <c r="CO140" s="28">
        <v>1</v>
      </c>
      <c r="CP140" s="28">
        <v>200</v>
      </c>
      <c r="CQ140" s="26">
        <v>9.9999999999999995E-8</v>
      </c>
      <c r="CR140" s="26">
        <f t="shared" si="180"/>
        <v>9.9999999999999995E-8</v>
      </c>
      <c r="CS140" s="26">
        <f t="shared" si="181"/>
        <v>3.9999999999999992E-3</v>
      </c>
      <c r="CT140" s="7">
        <v>51.388134237714397</v>
      </c>
      <c r="CU140" s="7">
        <v>100.77787314708399</v>
      </c>
      <c r="CV140" s="7">
        <v>160.073267279547</v>
      </c>
      <c r="CW140" s="7">
        <v>100.77787314708399</v>
      </c>
      <c r="CX140" s="7">
        <v>556357.59600277198</v>
      </c>
      <c r="CY140" s="7">
        <v>101.859163578813</v>
      </c>
      <c r="CZ140" s="7">
        <f t="shared" si="182"/>
        <v>361.62901357371499</v>
      </c>
      <c r="DB140" s="28">
        <v>40</v>
      </c>
      <c r="DC140" s="26">
        <v>5.0000000000000002E-5</v>
      </c>
      <c r="DD140" s="28">
        <v>2</v>
      </c>
      <c r="DE140" s="28">
        <v>200</v>
      </c>
      <c r="DF140" s="26">
        <v>9.9999999999999995E-8</v>
      </c>
      <c r="DG140" s="26">
        <f t="shared" si="183"/>
        <v>1.9999999999999999E-7</v>
      </c>
      <c r="DH140" s="26">
        <f t="shared" si="184"/>
        <v>7.9999999999999984E-3</v>
      </c>
      <c r="DI140" s="7">
        <v>51.643148661429301</v>
      </c>
      <c r="DJ140" s="7">
        <v>100.213668542356</v>
      </c>
      <c r="DK140" s="7">
        <v>158.97655523681999</v>
      </c>
      <c r="DL140" s="7">
        <v>100.213668542356</v>
      </c>
      <c r="DM140" s="7">
        <v>278178.79800138599</v>
      </c>
      <c r="DN140" s="7">
        <v>101.859163578813</v>
      </c>
      <c r="DO140" s="7">
        <f t="shared" si="185"/>
        <v>359.403892321532</v>
      </c>
      <c r="DQ140" s="28">
        <v>40</v>
      </c>
      <c r="DR140" s="26">
        <v>5.0000000000000002E-5</v>
      </c>
      <c r="DS140" s="28">
        <v>15</v>
      </c>
      <c r="DT140" s="28">
        <v>300</v>
      </c>
      <c r="DU140" s="26">
        <v>7.4999999999999997E-8</v>
      </c>
      <c r="DV140" s="26">
        <f t="shared" si="186"/>
        <v>1.125E-6</v>
      </c>
      <c r="DW140" s="26">
        <f t="shared" si="187"/>
        <v>4.4999999999999998E-2</v>
      </c>
      <c r="DX140" s="7">
        <v>74.939065709454695</v>
      </c>
      <c r="DY140" s="7">
        <v>63.957630951740299</v>
      </c>
      <c r="DZ140" s="7">
        <v>100.479958515748</v>
      </c>
      <c r="EA140" s="7">
        <v>63.957630951740299</v>
      </c>
      <c r="EB140" s="7">
        <v>37090.5064001848</v>
      </c>
      <c r="EC140" s="7">
        <v>81.487330863050403</v>
      </c>
      <c r="ED140" s="7">
        <f t="shared" si="188"/>
        <v>228.39522041922859</v>
      </c>
    </row>
    <row r="141" spans="1:134" x14ac:dyDescent="0.4">
      <c r="A141" s="28">
        <v>45</v>
      </c>
      <c r="B141" s="26">
        <v>1.0000000000000001E-5</v>
      </c>
      <c r="C141" s="28">
        <v>0.2</v>
      </c>
      <c r="D141" s="28">
        <v>30</v>
      </c>
      <c r="E141" s="26">
        <v>9.9999999999999995E-8</v>
      </c>
      <c r="F141" s="26">
        <f t="shared" si="162"/>
        <v>2E-8</v>
      </c>
      <c r="G141" s="26">
        <f t="shared" si="163"/>
        <v>4.0000000000000001E-3</v>
      </c>
      <c r="H141" s="7">
        <v>9.2985329080095198</v>
      </c>
      <c r="I141" s="7">
        <v>2844.9728255004802</v>
      </c>
      <c r="J141" s="7">
        <v>5459.8455675855203</v>
      </c>
      <c r="K141" s="7">
        <v>2844.9728255004802</v>
      </c>
      <c r="L141" s="7">
        <v>22314016.336053099</v>
      </c>
      <c r="M141" s="7">
        <v>2546.4790894703301</v>
      </c>
      <c r="N141" s="7">
        <f t="shared" si="164"/>
        <v>11149.791218586481</v>
      </c>
      <c r="P141" s="28">
        <v>45</v>
      </c>
      <c r="Q141" s="26">
        <v>3.0000000000000001E-5</v>
      </c>
      <c r="R141" s="28">
        <v>0.2</v>
      </c>
      <c r="S141" s="28">
        <v>30</v>
      </c>
      <c r="T141" s="26">
        <v>9.9999999999999995E-8</v>
      </c>
      <c r="U141" s="26">
        <f t="shared" si="165"/>
        <v>2E-8</v>
      </c>
      <c r="V141" s="26">
        <f t="shared" si="166"/>
        <v>1.3333333333333333E-3</v>
      </c>
      <c r="W141" s="7">
        <v>11.7541493722866</v>
      </c>
      <c r="X141" s="7">
        <v>948.32427515736799</v>
      </c>
      <c r="Y141" s="7">
        <v>1819.94852252851</v>
      </c>
      <c r="Z141" s="7">
        <v>948.32427515736799</v>
      </c>
      <c r="AA141" s="7">
        <v>7438005.4604388904</v>
      </c>
      <c r="AB141" s="7">
        <v>282.94212105225802</v>
      </c>
      <c r="AC141" s="7">
        <f t="shared" si="167"/>
        <v>3716.5970728432458</v>
      </c>
      <c r="AE141" s="28">
        <v>45</v>
      </c>
      <c r="AF141" s="26">
        <v>5.0000000000000002E-5</v>
      </c>
      <c r="AG141" s="28">
        <v>0.2</v>
      </c>
      <c r="AH141" s="28">
        <v>30</v>
      </c>
      <c r="AI141" s="26">
        <v>9.9999999999999995E-8</v>
      </c>
      <c r="AJ141" s="26">
        <f t="shared" si="168"/>
        <v>2E-8</v>
      </c>
      <c r="AK141" s="26">
        <f t="shared" si="169"/>
        <v>7.9999999999999993E-4</v>
      </c>
      <c r="AL141" s="7">
        <v>12.4097165640926</v>
      </c>
      <c r="AM141" s="7">
        <v>568.99456501435202</v>
      </c>
      <c r="AN141" s="7">
        <v>1091.9691135170999</v>
      </c>
      <c r="AO141" s="7">
        <v>568.99456501435202</v>
      </c>
      <c r="AP141" s="7">
        <v>4462803.4040061999</v>
      </c>
      <c r="AQ141" s="7">
        <v>101.859163578813</v>
      </c>
      <c r="AR141" s="7">
        <f t="shared" si="170"/>
        <v>2229.9582435458042</v>
      </c>
      <c r="AT141" s="28">
        <v>45</v>
      </c>
      <c r="AU141" s="26">
        <v>1.0000000000000001E-5</v>
      </c>
      <c r="AV141" s="28">
        <v>0.2</v>
      </c>
      <c r="AW141" s="28">
        <v>200</v>
      </c>
      <c r="AX141" s="26">
        <v>9.9999999999999995E-8</v>
      </c>
      <c r="AY141" s="26">
        <f t="shared" si="171"/>
        <v>2E-8</v>
      </c>
      <c r="AZ141" s="26">
        <f t="shared" si="172"/>
        <v>4.0000000000000001E-3</v>
      </c>
      <c r="BA141" s="7">
        <v>22.281931127006398</v>
      </c>
      <c r="BB141" s="7">
        <v>429.182314820393</v>
      </c>
      <c r="BC141" s="7">
        <v>824.10906225483302</v>
      </c>
      <c r="BD141" s="7">
        <v>429.182314820393</v>
      </c>
      <c r="BE141" s="7">
        <v>22314016.336053099</v>
      </c>
      <c r="BF141" s="7">
        <v>2546.4790894703301</v>
      </c>
      <c r="BG141" s="7">
        <f t="shared" si="173"/>
        <v>1682.4736918956191</v>
      </c>
      <c r="BI141" s="28">
        <v>45</v>
      </c>
      <c r="BJ141" s="26">
        <v>1.0000000000000001E-5</v>
      </c>
      <c r="BK141" s="28">
        <v>0.5</v>
      </c>
      <c r="BL141" s="28">
        <v>200</v>
      </c>
      <c r="BM141" s="26">
        <v>9.9999999999999995E-8</v>
      </c>
      <c r="BN141" s="26">
        <f t="shared" si="174"/>
        <v>4.9999999999999998E-8</v>
      </c>
      <c r="BO141" s="26">
        <f t="shared" si="175"/>
        <v>9.9999999999999985E-3</v>
      </c>
      <c r="BP141" s="7">
        <v>22.300826781983599</v>
      </c>
      <c r="BQ141" s="7">
        <v>428.53449983983199</v>
      </c>
      <c r="BR141" s="7">
        <v>822.74419088845502</v>
      </c>
      <c r="BS141" s="7">
        <v>428.53449983983199</v>
      </c>
      <c r="BT141" s="7">
        <v>8925606.5344212595</v>
      </c>
      <c r="BU141" s="7">
        <v>2546.4790894703301</v>
      </c>
      <c r="BV141" s="7">
        <f t="shared" si="176"/>
        <v>1679.8131905681191</v>
      </c>
      <c r="BX141" s="28">
        <v>45</v>
      </c>
      <c r="BY141" s="26">
        <v>5.0000000000000002E-5</v>
      </c>
      <c r="BZ141" s="28">
        <v>0.5</v>
      </c>
      <c r="CA141" s="28">
        <v>200</v>
      </c>
      <c r="CB141" s="26">
        <v>9.9999999999999995E-8</v>
      </c>
      <c r="CC141" s="26">
        <f t="shared" si="177"/>
        <v>4.9999999999999998E-8</v>
      </c>
      <c r="CD141" s="26">
        <f t="shared" si="178"/>
        <v>1.9999999999999996E-3</v>
      </c>
      <c r="CE141" s="7">
        <v>55.947686515975001</v>
      </c>
      <c r="CF141" s="7">
        <v>85.706899963102501</v>
      </c>
      <c r="CG141" s="7">
        <v>164.54883817769101</v>
      </c>
      <c r="CH141" s="7">
        <v>85.706899963102501</v>
      </c>
      <c r="CI141" s="7">
        <v>1785121.3616024801</v>
      </c>
      <c r="CJ141" s="7">
        <v>101.859163578813</v>
      </c>
      <c r="CK141" s="7">
        <f t="shared" si="179"/>
        <v>335.96263810389598</v>
      </c>
      <c r="CM141" s="28">
        <v>45</v>
      </c>
      <c r="CN141" s="26">
        <v>5.0000000000000002E-5</v>
      </c>
      <c r="CO141" s="28">
        <v>1</v>
      </c>
      <c r="CP141" s="28">
        <v>200</v>
      </c>
      <c r="CQ141" s="26">
        <v>9.9999999999999995E-8</v>
      </c>
      <c r="CR141" s="26">
        <f t="shared" si="180"/>
        <v>9.9999999999999995E-8</v>
      </c>
      <c r="CS141" s="26">
        <f t="shared" si="181"/>
        <v>3.9999999999999992E-3</v>
      </c>
      <c r="CT141" s="7">
        <v>56.056251535973999</v>
      </c>
      <c r="CU141" s="7">
        <v>85.491887514072303</v>
      </c>
      <c r="CV141" s="7">
        <v>164.095913900619</v>
      </c>
      <c r="CW141" s="7">
        <v>85.491887514072303</v>
      </c>
      <c r="CX141" s="7">
        <v>892560.68080124003</v>
      </c>
      <c r="CY141" s="7">
        <v>101.859163578813</v>
      </c>
      <c r="CZ141" s="7">
        <f t="shared" si="182"/>
        <v>335.07968892876357</v>
      </c>
      <c r="DB141" s="28">
        <v>45</v>
      </c>
      <c r="DC141" s="26">
        <v>5.0000000000000002E-5</v>
      </c>
      <c r="DD141" s="28">
        <v>2</v>
      </c>
      <c r="DE141" s="28">
        <v>200</v>
      </c>
      <c r="DF141" s="26">
        <v>9.9999999999999995E-8</v>
      </c>
      <c r="DG141" s="26">
        <f t="shared" si="183"/>
        <v>1.9999999999999999E-7</v>
      </c>
      <c r="DH141" s="26">
        <f t="shared" si="184"/>
        <v>7.9999999999999984E-3</v>
      </c>
      <c r="DI141" s="7">
        <v>56.272776577658497</v>
      </c>
      <c r="DJ141" s="7">
        <v>85.065299620820397</v>
      </c>
      <c r="DK141" s="7">
        <v>163.197611169178</v>
      </c>
      <c r="DL141" s="7">
        <v>85.065299620820397</v>
      </c>
      <c r="DM141" s="7">
        <v>446280.34040062001</v>
      </c>
      <c r="DN141" s="7">
        <v>101.859163578813</v>
      </c>
      <c r="DO141" s="7">
        <f t="shared" si="185"/>
        <v>333.32821041081877</v>
      </c>
      <c r="DQ141" s="28">
        <v>45</v>
      </c>
      <c r="DR141" s="26">
        <v>5.0000000000000002E-5</v>
      </c>
      <c r="DS141" s="28">
        <v>15</v>
      </c>
      <c r="DT141" s="28">
        <v>300</v>
      </c>
      <c r="DU141" s="26">
        <v>7.4999999999999997E-8</v>
      </c>
      <c r="DV141" s="26">
        <f t="shared" si="186"/>
        <v>1.125E-6</v>
      </c>
      <c r="DW141" s="26">
        <f t="shared" si="187"/>
        <v>4.4999999999999998E-2</v>
      </c>
      <c r="DX141" s="7">
        <v>80.724035921824395</v>
      </c>
      <c r="DY141" s="7">
        <v>54.539450656433999</v>
      </c>
      <c r="DZ141" s="7">
        <v>104.236562937325</v>
      </c>
      <c r="EA141" s="7">
        <v>54.539450656433999</v>
      </c>
      <c r="EB141" s="7">
        <v>59504.045386749298</v>
      </c>
      <c r="EC141" s="7">
        <v>81.487330863050403</v>
      </c>
      <c r="ED141" s="7">
        <f t="shared" si="188"/>
        <v>213.31546425019297</v>
      </c>
    </row>
    <row r="142" spans="1:134" x14ac:dyDescent="0.4">
      <c r="A142" s="28">
        <v>50</v>
      </c>
      <c r="B142" s="26">
        <v>1.0000000000000001E-5</v>
      </c>
      <c r="C142" s="28">
        <v>0.2</v>
      </c>
      <c r="D142" s="28">
        <v>30</v>
      </c>
      <c r="E142" s="26">
        <v>9.9999999999999995E-8</v>
      </c>
      <c r="F142" s="26">
        <f t="shared" si="162"/>
        <v>2E-8</v>
      </c>
      <c r="G142" s="26">
        <f t="shared" si="163"/>
        <v>4.0000000000000001E-3</v>
      </c>
      <c r="H142" s="7">
        <v>10.076768614165401</v>
      </c>
      <c r="I142" s="7">
        <v>2422.0764785389101</v>
      </c>
      <c r="J142" s="7">
        <v>5581.9822447758097</v>
      </c>
      <c r="K142" s="7">
        <v>2422.0764785389101</v>
      </c>
      <c r="L142" s="7">
        <v>38032949.861855596</v>
      </c>
      <c r="M142" s="7">
        <v>2546.4790894703301</v>
      </c>
      <c r="N142" s="7">
        <f t="shared" si="164"/>
        <v>10426.135201853631</v>
      </c>
      <c r="P142" s="28">
        <v>50</v>
      </c>
      <c r="Q142" s="26">
        <v>3.0000000000000001E-5</v>
      </c>
      <c r="R142" s="28">
        <v>0.2</v>
      </c>
      <c r="S142" s="28">
        <v>30</v>
      </c>
      <c r="T142" s="26">
        <v>9.9999999999999995E-8</v>
      </c>
      <c r="U142" s="26">
        <f t="shared" si="165"/>
        <v>2E-8</v>
      </c>
      <c r="V142" s="26">
        <f t="shared" si="166"/>
        <v>1.3333333333333333E-3</v>
      </c>
      <c r="W142" s="7">
        <v>12.897648741823501</v>
      </c>
      <c r="X142" s="7">
        <v>807.35882617166396</v>
      </c>
      <c r="Y142" s="7">
        <v>1860.6607482586001</v>
      </c>
      <c r="Z142" s="7">
        <v>807.35882617166396</v>
      </c>
      <c r="AA142" s="7">
        <v>12677649.9784535</v>
      </c>
      <c r="AB142" s="7">
        <v>282.94212105225802</v>
      </c>
      <c r="AC142" s="7">
        <f t="shared" si="167"/>
        <v>3475.3784006019282</v>
      </c>
      <c r="AE142" s="28">
        <v>50</v>
      </c>
      <c r="AF142" s="26">
        <v>5.0000000000000002E-5</v>
      </c>
      <c r="AG142" s="28">
        <v>0.2</v>
      </c>
      <c r="AH142" s="28">
        <v>30</v>
      </c>
      <c r="AI142" s="26">
        <v>9.9999999999999995E-8</v>
      </c>
      <c r="AJ142" s="26">
        <f t="shared" si="168"/>
        <v>2E-8</v>
      </c>
      <c r="AK142" s="26">
        <f t="shared" si="169"/>
        <v>7.9999999999999993E-4</v>
      </c>
      <c r="AL142" s="7">
        <v>13.6626735917402</v>
      </c>
      <c r="AM142" s="7">
        <v>484.41529563550102</v>
      </c>
      <c r="AN142" s="7">
        <v>1116.3964489551599</v>
      </c>
      <c r="AO142" s="7">
        <v>484.41529563550102</v>
      </c>
      <c r="AP142" s="7">
        <v>7606590.1945190197</v>
      </c>
      <c r="AQ142" s="7">
        <v>101.859163578813</v>
      </c>
      <c r="AR142" s="7">
        <f t="shared" si="170"/>
        <v>2085.227040226162</v>
      </c>
      <c r="AT142" s="28">
        <v>50</v>
      </c>
      <c r="AU142" s="26">
        <v>1.0000000000000001E-5</v>
      </c>
      <c r="AV142" s="28">
        <v>0.2</v>
      </c>
      <c r="AW142" s="28">
        <v>200</v>
      </c>
      <c r="AX142" s="26">
        <v>9.9999999999999995E-8</v>
      </c>
      <c r="AY142" s="26">
        <f t="shared" si="171"/>
        <v>2E-8</v>
      </c>
      <c r="AZ142" s="26">
        <f t="shared" si="172"/>
        <v>4.0000000000000001E-3</v>
      </c>
      <c r="BA142" s="7">
        <v>23.4582569650923</v>
      </c>
      <c r="BB142" s="7">
        <v>365.18105956717</v>
      </c>
      <c r="BC142" s="7">
        <v>841.53641728653497</v>
      </c>
      <c r="BD142" s="7">
        <v>365.18105956717</v>
      </c>
      <c r="BE142" s="7">
        <v>38032949.861855596</v>
      </c>
      <c r="BF142" s="7">
        <v>2546.4790894703301</v>
      </c>
      <c r="BG142" s="7">
        <f t="shared" si="173"/>
        <v>1571.898536420875</v>
      </c>
      <c r="BI142" s="28">
        <v>50</v>
      </c>
      <c r="BJ142" s="26">
        <v>1.0000000000000001E-5</v>
      </c>
      <c r="BK142" s="28">
        <v>0.5</v>
      </c>
      <c r="BL142" s="28">
        <v>200</v>
      </c>
      <c r="BM142" s="26">
        <v>9.9999999999999995E-8</v>
      </c>
      <c r="BN142" s="26">
        <f t="shared" si="174"/>
        <v>4.9999999999999998E-8</v>
      </c>
      <c r="BO142" s="26">
        <f t="shared" si="175"/>
        <v>9.9999999999999985E-3</v>
      </c>
      <c r="BP142" s="7">
        <v>23.471885159054199</v>
      </c>
      <c r="BQ142" s="7">
        <v>364.68421056947602</v>
      </c>
      <c r="BR142" s="7">
        <v>840.41004328064798</v>
      </c>
      <c r="BS142" s="7">
        <v>364.68421056947602</v>
      </c>
      <c r="BT142" s="7">
        <v>15213179.944742201</v>
      </c>
      <c r="BU142" s="7">
        <v>2546.4790894703301</v>
      </c>
      <c r="BV142" s="7">
        <f t="shared" si="176"/>
        <v>1569.7784644195999</v>
      </c>
      <c r="BX142" s="28">
        <v>50</v>
      </c>
      <c r="BY142" s="26">
        <v>5.0000000000000002E-5</v>
      </c>
      <c r="BZ142" s="28">
        <v>0.5</v>
      </c>
      <c r="CA142" s="28">
        <v>200</v>
      </c>
      <c r="CB142" s="26">
        <v>9.9999999999999995E-8</v>
      </c>
      <c r="CC142" s="26">
        <f t="shared" si="177"/>
        <v>4.9999999999999998E-8</v>
      </c>
      <c r="CD142" s="26">
        <f t="shared" si="178"/>
        <v>1.9999999999999996E-3</v>
      </c>
      <c r="CE142" s="7">
        <v>60.402924751553499</v>
      </c>
      <c r="CF142" s="7">
        <v>72.936842109798505</v>
      </c>
      <c r="CG142" s="7">
        <v>168.08200865613</v>
      </c>
      <c r="CH142" s="7">
        <v>72.936842109798505</v>
      </c>
      <c r="CI142" s="7">
        <v>3042636.0778076099</v>
      </c>
      <c r="CJ142" s="7">
        <v>101.859163578813</v>
      </c>
      <c r="CK142" s="7">
        <f t="shared" si="179"/>
        <v>313.95569287572698</v>
      </c>
      <c r="CM142" s="28">
        <v>50</v>
      </c>
      <c r="CN142" s="26">
        <v>5.0000000000000002E-5</v>
      </c>
      <c r="CO142" s="28">
        <v>1</v>
      </c>
      <c r="CP142" s="28">
        <v>200</v>
      </c>
      <c r="CQ142" s="26">
        <v>9.9999999999999995E-8</v>
      </c>
      <c r="CR142" s="26">
        <f t="shared" si="180"/>
        <v>9.9999999999999995E-8</v>
      </c>
      <c r="CS142" s="26">
        <f t="shared" si="181"/>
        <v>3.9999999999999992E-3</v>
      </c>
      <c r="CT142" s="7">
        <v>60.495449559071702</v>
      </c>
      <c r="CU142" s="7">
        <v>72.771853396363895</v>
      </c>
      <c r="CV142" s="7">
        <v>167.707917393011</v>
      </c>
      <c r="CW142" s="7">
        <v>72.771853396363895</v>
      </c>
      <c r="CX142" s="7">
        <v>1521318.0389038101</v>
      </c>
      <c r="CY142" s="7">
        <v>101.859163578813</v>
      </c>
      <c r="CZ142" s="7">
        <f t="shared" si="182"/>
        <v>313.25162418573882</v>
      </c>
      <c r="DB142" s="28">
        <v>50</v>
      </c>
      <c r="DC142" s="26">
        <v>5.0000000000000002E-5</v>
      </c>
      <c r="DD142" s="28">
        <v>2</v>
      </c>
      <c r="DE142" s="28">
        <v>200</v>
      </c>
      <c r="DF142" s="26">
        <v>9.9999999999999995E-8</v>
      </c>
      <c r="DG142" s="26">
        <f t="shared" si="183"/>
        <v>1.9999999999999999E-7</v>
      </c>
      <c r="DH142" s="26">
        <f t="shared" si="184"/>
        <v>7.9999999999999984E-3</v>
      </c>
      <c r="DI142" s="7">
        <v>60.680026548765099</v>
      </c>
      <c r="DJ142" s="7">
        <v>72.444208829560395</v>
      </c>
      <c r="DK142" s="7">
        <v>166.964817403171</v>
      </c>
      <c r="DL142" s="7">
        <v>72.444208829560395</v>
      </c>
      <c r="DM142" s="7">
        <v>760659.01945190295</v>
      </c>
      <c r="DN142" s="7">
        <v>101.859163578813</v>
      </c>
      <c r="DO142" s="7">
        <f t="shared" si="185"/>
        <v>311.85323506229179</v>
      </c>
      <c r="DQ142" s="28">
        <v>50</v>
      </c>
      <c r="DR142" s="26">
        <v>5.0000000000000002E-5</v>
      </c>
      <c r="DS142" s="28">
        <v>15</v>
      </c>
      <c r="DT142" s="28">
        <v>300</v>
      </c>
      <c r="DU142" s="26">
        <v>7.4999999999999997E-8</v>
      </c>
      <c r="DV142" s="26">
        <f t="shared" si="186"/>
        <v>1.125E-6</v>
      </c>
      <c r="DW142" s="26">
        <f t="shared" si="187"/>
        <v>4.4999999999999998E-2</v>
      </c>
      <c r="DX142" s="7">
        <v>86.264356777141103</v>
      </c>
      <c r="DY142" s="7">
        <v>46.620018473906597</v>
      </c>
      <c r="DZ142" s="7">
        <v>107.50242472112301</v>
      </c>
      <c r="EA142" s="7">
        <v>46.620018473906597</v>
      </c>
      <c r="EB142" s="7">
        <v>101421.202593587</v>
      </c>
      <c r="EC142" s="7">
        <v>81.487330863050403</v>
      </c>
      <c r="ED142" s="7">
        <f t="shared" si="188"/>
        <v>200.74246166893619</v>
      </c>
    </row>
    <row r="143" spans="1:134" x14ac:dyDescent="0.4">
      <c r="A143" s="28">
        <v>55.000000000000007</v>
      </c>
      <c r="B143" s="26">
        <v>1.0000000000000001E-5</v>
      </c>
      <c r="C143" s="28">
        <v>0.2</v>
      </c>
      <c r="D143" s="28">
        <v>30</v>
      </c>
      <c r="E143" s="26">
        <v>9.9999999999999995E-8</v>
      </c>
      <c r="F143" s="26">
        <f t="shared" si="162"/>
        <v>2E-8</v>
      </c>
      <c r="G143" s="26">
        <f t="shared" si="163"/>
        <v>4.0000000000000001E-3</v>
      </c>
      <c r="H143" s="7">
        <v>10.826094526850699</v>
      </c>
      <c r="I143" s="7">
        <v>2061.2283400943002</v>
      </c>
      <c r="J143" s="7">
        <v>5692.8014386926097</v>
      </c>
      <c r="K143" s="7">
        <v>2061.2283400943002</v>
      </c>
      <c r="L143" s="7">
        <v>72349793.874809399</v>
      </c>
      <c r="M143" s="7">
        <v>2546.4790894703301</v>
      </c>
      <c r="N143" s="7">
        <f t="shared" si="164"/>
        <v>9815.2581188812092</v>
      </c>
      <c r="P143" s="28">
        <v>55.000000000000007</v>
      </c>
      <c r="Q143" s="26">
        <v>3.0000000000000001E-5</v>
      </c>
      <c r="R143" s="28">
        <v>0.2</v>
      </c>
      <c r="S143" s="28">
        <v>30</v>
      </c>
      <c r="T143" s="26">
        <v>9.9999999999999995E-8</v>
      </c>
      <c r="U143" s="26">
        <f t="shared" si="165"/>
        <v>2E-8</v>
      </c>
      <c r="V143" s="26">
        <f t="shared" si="166"/>
        <v>1.3333333333333333E-3</v>
      </c>
      <c r="W143" s="7">
        <v>14.0181912600682</v>
      </c>
      <c r="X143" s="7">
        <v>687.07611335802699</v>
      </c>
      <c r="Y143" s="7">
        <v>1897.6004795642</v>
      </c>
      <c r="Z143" s="7">
        <v>687.07611335802699</v>
      </c>
      <c r="AA143" s="7">
        <v>24116597.9983452</v>
      </c>
      <c r="AB143" s="7">
        <v>282.94212105225802</v>
      </c>
      <c r="AC143" s="7">
        <f t="shared" si="167"/>
        <v>3271.7527062802537</v>
      </c>
      <c r="AE143" s="28">
        <v>55.000000000000007</v>
      </c>
      <c r="AF143" s="26">
        <v>5.0000000000000002E-5</v>
      </c>
      <c r="AG143" s="28">
        <v>0.2</v>
      </c>
      <c r="AH143" s="28">
        <v>30</v>
      </c>
      <c r="AI143" s="26">
        <v>9.9999999999999995E-8</v>
      </c>
      <c r="AJ143" s="26">
        <f t="shared" si="168"/>
        <v>2E-8</v>
      </c>
      <c r="AK143" s="26">
        <f t="shared" si="169"/>
        <v>7.9999999999999993E-4</v>
      </c>
      <c r="AL143" s="7">
        <v>14.896705724627299</v>
      </c>
      <c r="AM143" s="7">
        <v>412.24566795777702</v>
      </c>
      <c r="AN143" s="7">
        <v>1138.5602877385199</v>
      </c>
      <c r="AO143" s="7">
        <v>412.24566795777702</v>
      </c>
      <c r="AP143" s="7">
        <v>14469959.1382923</v>
      </c>
      <c r="AQ143" s="7">
        <v>101.859163578813</v>
      </c>
      <c r="AR143" s="7">
        <f t="shared" si="170"/>
        <v>1963.0516236540739</v>
      </c>
      <c r="AT143" s="28">
        <v>55.000000000000007</v>
      </c>
      <c r="AU143" s="26">
        <v>1.0000000000000001E-5</v>
      </c>
      <c r="AV143" s="28">
        <v>0.2</v>
      </c>
      <c r="AW143" s="28">
        <v>200</v>
      </c>
      <c r="AX143" s="26">
        <v>9.9999999999999995E-8</v>
      </c>
      <c r="AY143" s="26">
        <f t="shared" si="171"/>
        <v>2E-8</v>
      </c>
      <c r="AZ143" s="26">
        <f t="shared" si="172"/>
        <v>4.0000000000000001E-3</v>
      </c>
      <c r="BA143" s="7">
        <v>24.5568637571157</v>
      </c>
      <c r="BB143" s="7">
        <v>310.62949089263498</v>
      </c>
      <c r="BC143" s="7">
        <v>857.43494866405695</v>
      </c>
      <c r="BD143" s="7">
        <v>310.62949089263498</v>
      </c>
      <c r="BE143" s="7">
        <v>72349793.874809399</v>
      </c>
      <c r="BF143" s="7">
        <v>2546.4790894703301</v>
      </c>
      <c r="BG143" s="7">
        <f t="shared" si="173"/>
        <v>1478.6939304493269</v>
      </c>
      <c r="BI143" s="28">
        <v>55.000000000000007</v>
      </c>
      <c r="BJ143" s="26">
        <v>1.0000000000000001E-5</v>
      </c>
      <c r="BK143" s="28">
        <v>0.5</v>
      </c>
      <c r="BL143" s="28">
        <v>200</v>
      </c>
      <c r="BM143" s="26">
        <v>9.9999999999999995E-8</v>
      </c>
      <c r="BN143" s="26">
        <f t="shared" si="174"/>
        <v>4.9999999999999998E-8</v>
      </c>
      <c r="BO143" s="26">
        <f t="shared" si="175"/>
        <v>9.9999999999999985E-3</v>
      </c>
      <c r="BP143" s="7">
        <v>24.5665670227052</v>
      </c>
      <c r="BQ143" s="7">
        <v>310.245574031601</v>
      </c>
      <c r="BR143" s="7">
        <v>856.50167124423206</v>
      </c>
      <c r="BS143" s="7">
        <v>310.245574031601</v>
      </c>
      <c r="BT143" s="7">
        <v>28939917.5499238</v>
      </c>
      <c r="BU143" s="7">
        <v>2546.4790894703301</v>
      </c>
      <c r="BV143" s="7">
        <f t="shared" si="176"/>
        <v>1476.9928193074338</v>
      </c>
      <c r="BX143" s="28">
        <v>55.000000000000007</v>
      </c>
      <c r="BY143" s="26">
        <v>5.0000000000000002E-5</v>
      </c>
      <c r="BZ143" s="28">
        <v>0.5</v>
      </c>
      <c r="CA143" s="28">
        <v>200</v>
      </c>
      <c r="CB143" s="26">
        <v>9.9999999999999995E-8</v>
      </c>
      <c r="CC143" s="26">
        <f t="shared" si="177"/>
        <v>4.9999999999999998E-8</v>
      </c>
      <c r="CD143" s="26">
        <f t="shared" si="178"/>
        <v>1.9999999999999996E-3</v>
      </c>
      <c r="CE143" s="7">
        <v>64.665582913233493</v>
      </c>
      <c r="CF143" s="7">
        <v>62.049114802860501</v>
      </c>
      <c r="CG143" s="7">
        <v>171.30033424884601</v>
      </c>
      <c r="CH143" s="7">
        <v>62.049114802860501</v>
      </c>
      <c r="CI143" s="7">
        <v>5787983.6553169098</v>
      </c>
      <c r="CJ143" s="7">
        <v>101.859163578813</v>
      </c>
      <c r="CK143" s="7">
        <f t="shared" si="179"/>
        <v>295.39856385456704</v>
      </c>
      <c r="CM143" s="28">
        <v>55.000000000000007</v>
      </c>
      <c r="CN143" s="26">
        <v>5.0000000000000002E-5</v>
      </c>
      <c r="CO143" s="28">
        <v>1</v>
      </c>
      <c r="CP143" s="28">
        <v>200</v>
      </c>
      <c r="CQ143" s="26">
        <v>9.9999999999999995E-8</v>
      </c>
      <c r="CR143" s="26">
        <f t="shared" si="180"/>
        <v>9.9999999999999995E-8</v>
      </c>
      <c r="CS143" s="26">
        <f t="shared" si="181"/>
        <v>3.9999999999999992E-3</v>
      </c>
      <c r="CT143" s="7">
        <v>64.744467726927994</v>
      </c>
      <c r="CU143" s="7">
        <v>61.921576216120698</v>
      </c>
      <c r="CV143" s="7">
        <v>170.99017320176</v>
      </c>
      <c r="CW143" s="7">
        <v>61.921576216120698</v>
      </c>
      <c r="CX143" s="7">
        <v>2893991.8276584502</v>
      </c>
      <c r="CY143" s="7">
        <v>101.859163578813</v>
      </c>
      <c r="CZ143" s="7">
        <f t="shared" si="182"/>
        <v>294.83332563400137</v>
      </c>
      <c r="DB143" s="28">
        <v>55.000000000000007</v>
      </c>
      <c r="DC143" s="26">
        <v>5.0000000000000002E-5</v>
      </c>
      <c r="DD143" s="28">
        <v>2</v>
      </c>
      <c r="DE143" s="28">
        <v>200</v>
      </c>
      <c r="DF143" s="26">
        <v>9.9999999999999995E-8</v>
      </c>
      <c r="DG143" s="26">
        <f t="shared" si="183"/>
        <v>1.9999999999999999E-7</v>
      </c>
      <c r="DH143" s="26">
        <f t="shared" si="184"/>
        <v>7.9999999999999984E-3</v>
      </c>
      <c r="DI143" s="7">
        <v>64.901863797122999</v>
      </c>
      <c r="DJ143" s="7">
        <v>61.6681127663864</v>
      </c>
      <c r="DK143" s="7">
        <v>170.373319720317</v>
      </c>
      <c r="DL143" s="7">
        <v>61.6681127663864</v>
      </c>
      <c r="DM143" s="7">
        <v>1446995.91382923</v>
      </c>
      <c r="DN143" s="7">
        <v>101.859163578813</v>
      </c>
      <c r="DO143" s="7">
        <f t="shared" si="185"/>
        <v>293.7095452530898</v>
      </c>
      <c r="DQ143" s="28">
        <v>55.000000000000007</v>
      </c>
      <c r="DR143" s="26">
        <v>5.0000000000000002E-5</v>
      </c>
      <c r="DS143" s="28">
        <v>15</v>
      </c>
      <c r="DT143" s="28">
        <v>300</v>
      </c>
      <c r="DU143" s="26">
        <v>7.4999999999999997E-8</v>
      </c>
      <c r="DV143" s="26">
        <f t="shared" si="186"/>
        <v>1.125E-6</v>
      </c>
      <c r="DW143" s="26">
        <f t="shared" si="187"/>
        <v>4.4999999999999998E-2</v>
      </c>
      <c r="DX143" s="7">
        <v>91.593540634395296</v>
      </c>
      <c r="DY143" s="7">
        <v>39.809859656104699</v>
      </c>
      <c r="DZ143" s="7">
        <v>110.399385072318</v>
      </c>
      <c r="EA143" s="7">
        <v>39.809859656104699</v>
      </c>
      <c r="EB143" s="7">
        <v>192932.78851056399</v>
      </c>
      <c r="EC143" s="7">
        <v>81.487330863050403</v>
      </c>
      <c r="ED143" s="7">
        <f t="shared" si="188"/>
        <v>190.0191043845274</v>
      </c>
    </row>
    <row r="144" spans="1:134" x14ac:dyDescent="0.4">
      <c r="A144" s="28">
        <v>60</v>
      </c>
      <c r="B144" s="26">
        <v>1.0000000000000001E-5</v>
      </c>
      <c r="C144" s="28">
        <v>0.2</v>
      </c>
      <c r="D144" s="28">
        <v>30</v>
      </c>
      <c r="E144" s="26">
        <v>9.9999999999999995E-8</v>
      </c>
      <c r="F144" s="26">
        <f t="shared" si="162"/>
        <v>2E-8</v>
      </c>
      <c r="G144" s="26">
        <f t="shared" si="163"/>
        <v>4.0000000000000001E-3</v>
      </c>
      <c r="H144" s="7">
        <v>11.550867039622799</v>
      </c>
      <c r="I144" s="7">
        <v>1747.4582681561301</v>
      </c>
      <c r="J144" s="7">
        <v>5794.3371345962596</v>
      </c>
      <c r="K144" s="7">
        <v>1747.4582681561301</v>
      </c>
      <c r="L144" s="7">
        <v>173207643.02618799</v>
      </c>
      <c r="M144" s="7">
        <v>2546.4790894703301</v>
      </c>
      <c r="N144" s="7">
        <f t="shared" si="164"/>
        <v>9289.2536709085198</v>
      </c>
      <c r="P144" s="28">
        <v>60</v>
      </c>
      <c r="Q144" s="26">
        <v>3.0000000000000001E-5</v>
      </c>
      <c r="R144" s="28">
        <v>0.2</v>
      </c>
      <c r="S144" s="28">
        <v>30</v>
      </c>
      <c r="T144" s="26">
        <v>9.9999999999999995E-8</v>
      </c>
      <c r="U144" s="26">
        <f t="shared" si="165"/>
        <v>2E-8</v>
      </c>
      <c r="V144" s="26">
        <f t="shared" si="166"/>
        <v>1.3333333333333333E-3</v>
      </c>
      <c r="W144" s="7">
        <v>15.1201579926823</v>
      </c>
      <c r="X144" s="7">
        <v>582.48608937969198</v>
      </c>
      <c r="Y144" s="7">
        <v>1931.4457115320899</v>
      </c>
      <c r="Z144" s="7">
        <v>582.48608937969198</v>
      </c>
      <c r="AA144" s="7">
        <v>57735881.0752545</v>
      </c>
      <c r="AB144" s="7">
        <v>282.94212105225802</v>
      </c>
      <c r="AC144" s="7">
        <f t="shared" si="167"/>
        <v>3096.4178902914737</v>
      </c>
      <c r="AE144" s="28">
        <v>60</v>
      </c>
      <c r="AF144" s="26">
        <v>5.0000000000000002E-5</v>
      </c>
      <c r="AG144" s="28">
        <v>0.2</v>
      </c>
      <c r="AH144" s="28">
        <v>30</v>
      </c>
      <c r="AI144" s="26">
        <v>9.9999999999999995E-8</v>
      </c>
      <c r="AJ144" s="26">
        <f t="shared" si="168"/>
        <v>2E-8</v>
      </c>
      <c r="AK144" s="26">
        <f t="shared" si="169"/>
        <v>7.9999999999999993E-4</v>
      </c>
      <c r="AL144" s="7">
        <v>16.116181839585199</v>
      </c>
      <c r="AM144" s="7">
        <v>349.491653579706</v>
      </c>
      <c r="AN144" s="7">
        <v>1158.86742691925</v>
      </c>
      <c r="AO144" s="7">
        <v>349.491653579706</v>
      </c>
      <c r="AP144" s="7">
        <v>34641529.208382502</v>
      </c>
      <c r="AQ144" s="7">
        <v>101.859163578813</v>
      </c>
      <c r="AR144" s="7">
        <f t="shared" si="170"/>
        <v>1857.8507340786621</v>
      </c>
      <c r="AT144" s="28">
        <v>60</v>
      </c>
      <c r="AU144" s="26">
        <v>1.0000000000000001E-5</v>
      </c>
      <c r="AV144" s="28">
        <v>0.2</v>
      </c>
      <c r="AW144" s="28">
        <v>200</v>
      </c>
      <c r="AX144" s="26">
        <v>9.9999999999999995E-8</v>
      </c>
      <c r="AY144" s="26">
        <f t="shared" si="171"/>
        <v>2E-8</v>
      </c>
      <c r="AZ144" s="26">
        <f t="shared" si="172"/>
        <v>4.0000000000000001E-3</v>
      </c>
      <c r="BA144" s="7">
        <v>25.5903408922041</v>
      </c>
      <c r="BB144" s="7">
        <v>263.235986756096</v>
      </c>
      <c r="BC144" s="7">
        <v>872.060132412553</v>
      </c>
      <c r="BD144" s="7">
        <v>263.235986756096</v>
      </c>
      <c r="BE144" s="7">
        <v>173207643.02618799</v>
      </c>
      <c r="BF144" s="7">
        <v>2546.4790894703301</v>
      </c>
      <c r="BG144" s="7">
        <f t="shared" si="173"/>
        <v>1398.5321059247451</v>
      </c>
      <c r="BI144" s="28">
        <v>60</v>
      </c>
      <c r="BJ144" s="26">
        <v>1.0000000000000001E-5</v>
      </c>
      <c r="BK144" s="28">
        <v>0.5</v>
      </c>
      <c r="BL144" s="28">
        <v>200</v>
      </c>
      <c r="BM144" s="26">
        <v>9.9999999999999995E-8</v>
      </c>
      <c r="BN144" s="26">
        <f t="shared" si="174"/>
        <v>4.9999999999999998E-8</v>
      </c>
      <c r="BO144" s="26">
        <f t="shared" si="175"/>
        <v>9.9999999999999985E-3</v>
      </c>
      <c r="BP144" s="7">
        <v>25.597163515788498</v>
      </c>
      <c r="BQ144" s="7">
        <v>262.93930247937197</v>
      </c>
      <c r="BR144" s="7">
        <v>871.287964463192</v>
      </c>
      <c r="BS144" s="7">
        <v>262.93930247937197</v>
      </c>
      <c r="BT144" s="7">
        <v>69283057.210475206</v>
      </c>
      <c r="BU144" s="7">
        <v>2546.4790894703301</v>
      </c>
      <c r="BV144" s="7">
        <f t="shared" si="176"/>
        <v>1397.1665694219359</v>
      </c>
      <c r="BX144" s="28">
        <v>60</v>
      </c>
      <c r="BY144" s="26">
        <v>5.0000000000000002E-5</v>
      </c>
      <c r="BZ144" s="28">
        <v>0.5</v>
      </c>
      <c r="CA144" s="28">
        <v>200</v>
      </c>
      <c r="CB144" s="26">
        <v>9.9999999999999995E-8</v>
      </c>
      <c r="CC144" s="26">
        <f t="shared" si="177"/>
        <v>4.9999999999999998E-8</v>
      </c>
      <c r="CD144" s="26">
        <f t="shared" si="178"/>
        <v>1.9999999999999996E-3</v>
      </c>
      <c r="CE144" s="7">
        <v>68.764752761418606</v>
      </c>
      <c r="CF144" s="7">
        <v>52.5878604929581</v>
      </c>
      <c r="CG144" s="7">
        <v>174.257592892638</v>
      </c>
      <c r="CH144" s="7">
        <v>52.5878604929581</v>
      </c>
      <c r="CI144" s="7">
        <v>13856611.683352999</v>
      </c>
      <c r="CJ144" s="7">
        <v>101.859163578813</v>
      </c>
      <c r="CK144" s="7">
        <f t="shared" si="179"/>
        <v>279.4333138785542</v>
      </c>
      <c r="CM144" s="28">
        <v>60</v>
      </c>
      <c r="CN144" s="26">
        <v>5.0000000000000002E-5</v>
      </c>
      <c r="CO144" s="28">
        <v>1</v>
      </c>
      <c r="CP144" s="28">
        <v>200</v>
      </c>
      <c r="CQ144" s="26">
        <v>9.9999999999999995E-8</v>
      </c>
      <c r="CR144" s="26">
        <f t="shared" si="180"/>
        <v>9.9999999999999995E-8</v>
      </c>
      <c r="CS144" s="26">
        <f t="shared" si="181"/>
        <v>3.9999999999999992E-3</v>
      </c>
      <c r="CT144" s="7">
        <v>68.831815694991704</v>
      </c>
      <c r="CU144" s="7">
        <v>52.489267736237203</v>
      </c>
      <c r="CV144" s="7">
        <v>174.00084097458901</v>
      </c>
      <c r="CW144" s="7">
        <v>52.489267736237203</v>
      </c>
      <c r="CX144" s="7">
        <v>6928305.8416764997</v>
      </c>
      <c r="CY144" s="7">
        <v>101.859163578813</v>
      </c>
      <c r="CZ144" s="7">
        <f t="shared" si="182"/>
        <v>278.97937644706343</v>
      </c>
      <c r="DB144" s="28">
        <v>60</v>
      </c>
      <c r="DC144" s="26">
        <v>5.0000000000000002E-5</v>
      </c>
      <c r="DD144" s="28">
        <v>2</v>
      </c>
      <c r="DE144" s="28">
        <v>200</v>
      </c>
      <c r="DF144" s="26">
        <v>9.9999999999999995E-8</v>
      </c>
      <c r="DG144" s="26">
        <f t="shared" si="183"/>
        <v>1.9999999999999999E-7</v>
      </c>
      <c r="DH144" s="26">
        <f t="shared" si="184"/>
        <v>7.9999999999999984E-3</v>
      </c>
      <c r="DI144" s="7">
        <v>68.965645087359704</v>
      </c>
      <c r="DJ144" s="7">
        <v>52.293206867341603</v>
      </c>
      <c r="DK144" s="7">
        <v>173.489713442035</v>
      </c>
      <c r="DL144" s="7">
        <v>52.293206867341603</v>
      </c>
      <c r="DM144" s="7">
        <v>3464152.9208382498</v>
      </c>
      <c r="DN144" s="7">
        <v>101.859163578813</v>
      </c>
      <c r="DO144" s="7">
        <f t="shared" si="185"/>
        <v>278.07612717671822</v>
      </c>
      <c r="DQ144" s="28">
        <v>60</v>
      </c>
      <c r="DR144" s="26">
        <v>5.0000000000000002E-5</v>
      </c>
      <c r="DS144" s="28">
        <v>15</v>
      </c>
      <c r="DT144" s="28">
        <v>300</v>
      </c>
      <c r="DU144" s="26">
        <v>7.4999999999999997E-8</v>
      </c>
      <c r="DV144" s="26">
        <f t="shared" si="186"/>
        <v>1.125E-6</v>
      </c>
      <c r="DW144" s="26">
        <f t="shared" si="187"/>
        <v>4.4999999999999998E-2</v>
      </c>
      <c r="DX144" s="7">
        <v>96.738013900939706</v>
      </c>
      <c r="DY144" s="7">
        <v>33.851188115179603</v>
      </c>
      <c r="DZ144" s="7">
        <v>113.007558882322</v>
      </c>
      <c r="EA144" s="7">
        <v>33.851188115179603</v>
      </c>
      <c r="EB144" s="7">
        <v>461887.05611176701</v>
      </c>
      <c r="EC144" s="7">
        <v>81.487330863050403</v>
      </c>
      <c r="ED144" s="7">
        <f t="shared" si="188"/>
        <v>180.70993511268122</v>
      </c>
    </row>
    <row r="145" spans="1:134" x14ac:dyDescent="0.4">
      <c r="A145" s="28">
        <v>65</v>
      </c>
      <c r="B145" s="26">
        <v>1.0000000000000001E-5</v>
      </c>
      <c r="C145" s="28">
        <v>0.2</v>
      </c>
      <c r="D145" s="28">
        <v>30</v>
      </c>
      <c r="E145" s="26">
        <v>9.9999999999999995E-8</v>
      </c>
      <c r="F145" s="26">
        <f t="shared" si="162"/>
        <v>2E-8</v>
      </c>
      <c r="G145" s="26">
        <f t="shared" si="163"/>
        <v>4.0000000000000001E-3</v>
      </c>
      <c r="H145" s="7">
        <v>12.254440844903</v>
      </c>
      <c r="I145" s="7">
        <v>1470.52695643265</v>
      </c>
      <c r="J145" s="7">
        <v>5888.0994972997396</v>
      </c>
      <c r="K145" s="7">
        <v>1470.52695643265</v>
      </c>
      <c r="L145" s="7">
        <v>859463306.304919</v>
      </c>
      <c r="M145" s="7">
        <v>2546.4790894703301</v>
      </c>
      <c r="N145" s="7">
        <f t="shared" si="164"/>
        <v>8829.1534101650395</v>
      </c>
      <c r="P145" s="28">
        <v>65</v>
      </c>
      <c r="Q145" s="26">
        <v>3.0000000000000001E-5</v>
      </c>
      <c r="R145" s="28">
        <v>0.2</v>
      </c>
      <c r="S145" s="28">
        <v>30</v>
      </c>
      <c r="T145" s="26">
        <v>9.9999999999999995E-8</v>
      </c>
      <c r="U145" s="26">
        <f t="shared" si="165"/>
        <v>2E-8</v>
      </c>
      <c r="V145" s="26">
        <f t="shared" si="166"/>
        <v>1.3333333333333333E-3</v>
      </c>
      <c r="W145" s="7">
        <v>16.206911832467402</v>
      </c>
      <c r="X145" s="7">
        <v>490.175652139448</v>
      </c>
      <c r="Y145" s="7">
        <v>1962.6998324332501</v>
      </c>
      <c r="Z145" s="7">
        <v>490.175652139448</v>
      </c>
      <c r="AA145" s="7">
        <v>286487768.88169003</v>
      </c>
      <c r="AB145" s="7">
        <v>282.94212105225802</v>
      </c>
      <c r="AC145" s="7">
        <f t="shared" si="167"/>
        <v>2943.0511367121462</v>
      </c>
      <c r="AE145" s="28">
        <v>65</v>
      </c>
      <c r="AF145" s="26">
        <v>5.0000000000000002E-5</v>
      </c>
      <c r="AG145" s="28">
        <v>0.2</v>
      </c>
      <c r="AH145" s="28">
        <v>30</v>
      </c>
      <c r="AI145" s="26">
        <v>9.9999999999999995E-8</v>
      </c>
      <c r="AJ145" s="26">
        <f t="shared" si="168"/>
        <v>2E-8</v>
      </c>
      <c r="AK145" s="26">
        <f t="shared" si="169"/>
        <v>7.9999999999999993E-4</v>
      </c>
      <c r="AL145" s="7">
        <v>17.324461929862899</v>
      </c>
      <c r="AM145" s="7">
        <v>294.10539124333502</v>
      </c>
      <c r="AN145" s="7">
        <v>1177.6198994599499</v>
      </c>
      <c r="AO145" s="7">
        <v>294.10539124333502</v>
      </c>
      <c r="AP145" s="7">
        <v>171892662.28655201</v>
      </c>
      <c r="AQ145" s="7">
        <v>101.859163578813</v>
      </c>
      <c r="AR145" s="7">
        <f t="shared" si="170"/>
        <v>1765.8306819466197</v>
      </c>
      <c r="AT145" s="28">
        <v>65</v>
      </c>
      <c r="AU145" s="26">
        <v>1.0000000000000001E-5</v>
      </c>
      <c r="AV145" s="28">
        <v>0.2</v>
      </c>
      <c r="AW145" s="28">
        <v>200</v>
      </c>
      <c r="AX145" s="26">
        <v>9.9999999999999995E-8</v>
      </c>
      <c r="AY145" s="26">
        <f t="shared" si="171"/>
        <v>2E-8</v>
      </c>
      <c r="AZ145" s="26">
        <f t="shared" si="172"/>
        <v>4.0000000000000001E-3</v>
      </c>
      <c r="BA145" s="7">
        <v>26.568223467663199</v>
      </c>
      <c r="BB145" s="7">
        <v>221.436390808456</v>
      </c>
      <c r="BC145" s="7">
        <v>885.60719905590599</v>
      </c>
      <c r="BD145" s="7">
        <v>221.436390808456</v>
      </c>
      <c r="BE145" s="7">
        <v>859463306.304919</v>
      </c>
      <c r="BF145" s="7">
        <v>2546.4790894703301</v>
      </c>
      <c r="BG145" s="7">
        <f t="shared" si="173"/>
        <v>1328.4799806728181</v>
      </c>
      <c r="BI145" s="28">
        <v>65</v>
      </c>
      <c r="BJ145" s="26">
        <v>1.0000000000000001E-5</v>
      </c>
      <c r="BK145" s="28">
        <v>0.5</v>
      </c>
      <c r="BL145" s="28">
        <v>200</v>
      </c>
      <c r="BM145" s="26">
        <v>9.9999999999999995E-8</v>
      </c>
      <c r="BN145" s="26">
        <f t="shared" si="174"/>
        <v>4.9999999999999998E-8</v>
      </c>
      <c r="BO145" s="26">
        <f t="shared" si="175"/>
        <v>9.9999999999999985E-3</v>
      </c>
      <c r="BP145" s="7">
        <v>26.573030935518801</v>
      </c>
      <c r="BQ145" s="7">
        <v>221.20879187134</v>
      </c>
      <c r="BR145" s="7">
        <v>884.97259280428204</v>
      </c>
      <c r="BS145" s="7">
        <v>221.20879187134</v>
      </c>
      <c r="BT145" s="7">
        <v>343785322.52196801</v>
      </c>
      <c r="BU145" s="7">
        <v>2546.4790894703301</v>
      </c>
      <c r="BV145" s="7">
        <f t="shared" si="176"/>
        <v>1327.390176546962</v>
      </c>
      <c r="BX145" s="28">
        <v>65</v>
      </c>
      <c r="BY145" s="26">
        <v>5.0000000000000002E-5</v>
      </c>
      <c r="BZ145" s="28">
        <v>0.5</v>
      </c>
      <c r="CA145" s="28">
        <v>200</v>
      </c>
      <c r="CB145" s="26">
        <v>9.9999999999999995E-8</v>
      </c>
      <c r="CC145" s="26">
        <f t="shared" si="177"/>
        <v>4.9999999999999998E-8</v>
      </c>
      <c r="CD145" s="26">
        <f t="shared" si="178"/>
        <v>1.9999999999999996E-3</v>
      </c>
      <c r="CE145" s="7">
        <v>72.722683803502903</v>
      </c>
      <c r="CF145" s="7">
        <v>44.241758371824098</v>
      </c>
      <c r="CG145" s="7">
        <v>176.99451856085599</v>
      </c>
      <c r="CH145" s="7">
        <v>44.241758371824098</v>
      </c>
      <c r="CI145" s="7">
        <v>68757064.914620593</v>
      </c>
      <c r="CJ145" s="7">
        <v>101.859163578813</v>
      </c>
      <c r="CK145" s="7">
        <f t="shared" si="179"/>
        <v>265.4780353045042</v>
      </c>
      <c r="CM145" s="28">
        <v>65</v>
      </c>
      <c r="CN145" s="26">
        <v>5.0000000000000002E-5</v>
      </c>
      <c r="CO145" s="28">
        <v>1</v>
      </c>
      <c r="CP145" s="28">
        <v>200</v>
      </c>
      <c r="CQ145" s="26">
        <v>9.9999999999999995E-8</v>
      </c>
      <c r="CR145" s="26">
        <f t="shared" si="180"/>
        <v>9.9999999999999995E-8</v>
      </c>
      <c r="CS145" s="26">
        <f t="shared" si="181"/>
        <v>3.9999999999999992E-3</v>
      </c>
      <c r="CT145" s="7">
        <v>72.779395184341695</v>
      </c>
      <c r="CU145" s="7">
        <v>44.166101596649497</v>
      </c>
      <c r="CV145" s="7">
        <v>176.783417824277</v>
      </c>
      <c r="CW145" s="7">
        <v>44.166101596649497</v>
      </c>
      <c r="CX145" s="7">
        <v>34378532.457310297</v>
      </c>
      <c r="CY145" s="7">
        <v>101.859163578813</v>
      </c>
      <c r="CZ145" s="7">
        <f t="shared" si="182"/>
        <v>265.11562101757602</v>
      </c>
      <c r="DB145" s="28">
        <v>65</v>
      </c>
      <c r="DC145" s="26">
        <v>5.0000000000000002E-5</v>
      </c>
      <c r="DD145" s="28">
        <v>2</v>
      </c>
      <c r="DE145" s="28">
        <v>200</v>
      </c>
      <c r="DF145" s="26">
        <v>9.9999999999999995E-8</v>
      </c>
      <c r="DG145" s="26">
        <f t="shared" si="183"/>
        <v>1.9999999999999999E-7</v>
      </c>
      <c r="DH145" s="26">
        <f t="shared" si="184"/>
        <v>7.9999999999999984E-3</v>
      </c>
      <c r="DI145" s="7">
        <v>72.892583334210698</v>
      </c>
      <c r="DJ145" s="7">
        <v>44.0155689113517</v>
      </c>
      <c r="DK145" s="7">
        <v>176.36283833637401</v>
      </c>
      <c r="DL145" s="7">
        <v>44.0155689113517</v>
      </c>
      <c r="DM145" s="7">
        <v>17189266.2286552</v>
      </c>
      <c r="DN145" s="7">
        <v>101.859163578813</v>
      </c>
      <c r="DO145" s="7">
        <f t="shared" si="185"/>
        <v>264.3939761590774</v>
      </c>
      <c r="DQ145" s="28">
        <v>65</v>
      </c>
      <c r="DR145" s="26">
        <v>5.0000000000000002E-5</v>
      </c>
      <c r="DS145" s="28">
        <v>15</v>
      </c>
      <c r="DT145" s="28">
        <v>300</v>
      </c>
      <c r="DU145" s="26">
        <v>7.4999999999999997E-8</v>
      </c>
      <c r="DV145" s="26">
        <f t="shared" si="186"/>
        <v>1.125E-6</v>
      </c>
      <c r="DW145" s="26">
        <f t="shared" si="187"/>
        <v>4.4999999999999998E-2</v>
      </c>
      <c r="DX145" s="7">
        <v>101.720574744331</v>
      </c>
      <c r="DY145" s="7">
        <v>28.565057936355299</v>
      </c>
      <c r="DZ145" s="7">
        <v>115.382714159923</v>
      </c>
      <c r="EA145" s="7">
        <v>28.565057936355299</v>
      </c>
      <c r="EB145" s="7">
        <v>2291902.16382069</v>
      </c>
      <c r="EC145" s="7">
        <v>81.487330863050403</v>
      </c>
      <c r="ED145" s="7">
        <f t="shared" si="188"/>
        <v>172.51283003263359</v>
      </c>
    </row>
    <row r="146" spans="1:134" x14ac:dyDescent="0.4">
      <c r="A146" s="28">
        <v>70</v>
      </c>
      <c r="B146" s="26">
        <v>1.0000000000000001E-5</v>
      </c>
      <c r="C146" s="28">
        <v>0.2</v>
      </c>
      <c r="D146" s="28">
        <v>30</v>
      </c>
      <c r="E146" s="26">
        <v>9.9999999999999995E-8</v>
      </c>
      <c r="F146" s="26">
        <f t="shared" si="162"/>
        <v>2E-8</v>
      </c>
      <c r="G146" s="26">
        <f t="shared" si="163"/>
        <v>4.0000000000000001E-3</v>
      </c>
      <c r="H146" s="7">
        <v>12.9395822631906</v>
      </c>
      <c r="I146" s="7">
        <v>1223.14114606982</v>
      </c>
      <c r="J146" s="7">
        <v>5975.2459753258199</v>
      </c>
      <c r="K146" s="7">
        <v>1223.14114606982</v>
      </c>
      <c r="L146" s="7" t="s">
        <v>94</v>
      </c>
      <c r="M146" s="7">
        <v>2546.4790894703301</v>
      </c>
      <c r="N146" s="7">
        <f t="shared" si="164"/>
        <v>8421.5282674654591</v>
      </c>
      <c r="P146" s="28">
        <v>70</v>
      </c>
      <c r="Q146" s="26">
        <v>3.0000000000000001E-5</v>
      </c>
      <c r="R146" s="28">
        <v>0.2</v>
      </c>
      <c r="S146" s="28">
        <v>30</v>
      </c>
      <c r="T146" s="26">
        <v>9.9999999999999995E-8</v>
      </c>
      <c r="U146" s="26">
        <f t="shared" si="165"/>
        <v>2E-8</v>
      </c>
      <c r="V146" s="26">
        <f t="shared" si="166"/>
        <v>1.3333333333333333E-3</v>
      </c>
      <c r="W146" s="7">
        <v>17.281221595499002</v>
      </c>
      <c r="X146" s="7">
        <v>407.71371535265399</v>
      </c>
      <c r="Y146" s="7">
        <v>1991.7486584419401</v>
      </c>
      <c r="Z146" s="7">
        <v>407.71371535265399</v>
      </c>
      <c r="AA146" s="7" t="s">
        <v>94</v>
      </c>
      <c r="AB146" s="7">
        <v>282.94212105225802</v>
      </c>
      <c r="AC146" s="7">
        <f t="shared" si="167"/>
        <v>2807.1760891472481</v>
      </c>
      <c r="AE146" s="28">
        <v>70</v>
      </c>
      <c r="AF146" s="26">
        <v>5.0000000000000002E-5</v>
      </c>
      <c r="AG146" s="28">
        <v>0.2</v>
      </c>
      <c r="AH146" s="28">
        <v>30</v>
      </c>
      <c r="AI146" s="26">
        <v>9.9999999999999995E-8</v>
      </c>
      <c r="AJ146" s="26">
        <f t="shared" si="168"/>
        <v>2E-8</v>
      </c>
      <c r="AK146" s="26">
        <f t="shared" si="169"/>
        <v>7.9999999999999993E-4</v>
      </c>
      <c r="AL146" s="7">
        <v>18.524320762537499</v>
      </c>
      <c r="AM146" s="7">
        <v>244.62822917813699</v>
      </c>
      <c r="AN146" s="7">
        <v>1195.0491950651599</v>
      </c>
      <c r="AO146" s="7">
        <v>244.62822917813699</v>
      </c>
      <c r="AP146" s="7" t="s">
        <v>94</v>
      </c>
      <c r="AQ146" s="7">
        <v>101.859163578813</v>
      </c>
      <c r="AR146" s="7">
        <f t="shared" si="170"/>
        <v>1684.3056534214338</v>
      </c>
      <c r="AT146" s="28">
        <v>70</v>
      </c>
      <c r="AU146" s="26">
        <v>1.0000000000000001E-5</v>
      </c>
      <c r="AV146" s="28">
        <v>0.2</v>
      </c>
      <c r="AW146" s="28">
        <v>200</v>
      </c>
      <c r="AX146" s="26">
        <v>9.9999999999999995E-8</v>
      </c>
      <c r="AY146" s="26">
        <f t="shared" si="171"/>
        <v>2E-8</v>
      </c>
      <c r="AZ146" s="26">
        <f t="shared" si="172"/>
        <v>4.0000000000000001E-3</v>
      </c>
      <c r="BA146" s="7">
        <v>27.498057795982199</v>
      </c>
      <c r="BB146" s="7">
        <v>184.11844341766201</v>
      </c>
      <c r="BC146" s="7">
        <v>898.22894938474894</v>
      </c>
      <c r="BD146" s="7">
        <v>184.11844341766201</v>
      </c>
      <c r="BE146" s="7" t="s">
        <v>94</v>
      </c>
      <c r="BF146" s="7">
        <v>2546.4790894703301</v>
      </c>
      <c r="BG146" s="7">
        <f t="shared" si="173"/>
        <v>1266.465836220073</v>
      </c>
      <c r="BI146" s="28">
        <v>70</v>
      </c>
      <c r="BJ146" s="26">
        <v>1.0000000000000001E-5</v>
      </c>
      <c r="BK146" s="28">
        <v>0.5</v>
      </c>
      <c r="BL146" s="28">
        <v>200</v>
      </c>
      <c r="BM146" s="26">
        <v>9.9999999999999995E-8</v>
      </c>
      <c r="BN146" s="26">
        <f t="shared" si="174"/>
        <v>4.9999999999999998E-8</v>
      </c>
      <c r="BO146" s="26">
        <f t="shared" si="175"/>
        <v>9.9999999999999985E-3</v>
      </c>
      <c r="BP146" s="7">
        <v>27.501770676086799</v>
      </c>
      <c r="BQ146" s="7">
        <v>183.946660682919</v>
      </c>
      <c r="BR146" s="7">
        <v>897.71395999315905</v>
      </c>
      <c r="BS146" s="7">
        <v>183.946660682919</v>
      </c>
      <c r="BT146" s="7" t="s">
        <v>94</v>
      </c>
      <c r="BU146" s="7">
        <v>2546.4790894703301</v>
      </c>
      <c r="BV146" s="7">
        <f t="shared" si="176"/>
        <v>1265.6072813589969</v>
      </c>
      <c r="BX146" s="28">
        <v>70</v>
      </c>
      <c r="BY146" s="26">
        <v>5.0000000000000002E-5</v>
      </c>
      <c r="BZ146" s="28">
        <v>0.5</v>
      </c>
      <c r="CA146" s="28">
        <v>200</v>
      </c>
      <c r="CB146" s="26">
        <v>9.9999999999999995E-8</v>
      </c>
      <c r="CC146" s="26">
        <f t="shared" si="177"/>
        <v>4.9999999999999998E-8</v>
      </c>
      <c r="CD146" s="26">
        <f t="shared" si="178"/>
        <v>1.9999999999999996E-3</v>
      </c>
      <c r="CE146" s="7">
        <v>76.557171885014995</v>
      </c>
      <c r="CF146" s="7">
        <v>36.7893321345583</v>
      </c>
      <c r="CG146" s="7">
        <v>179.542791998632</v>
      </c>
      <c r="CH146" s="7">
        <v>36.7893321345583</v>
      </c>
      <c r="CI146" s="7" t="s">
        <v>94</v>
      </c>
      <c r="CJ146" s="7">
        <v>101.859163578813</v>
      </c>
      <c r="CK146" s="7">
        <f t="shared" si="179"/>
        <v>253.12145626774858</v>
      </c>
      <c r="CM146" s="28">
        <v>70</v>
      </c>
      <c r="CN146" s="26">
        <v>5.0000000000000002E-5</v>
      </c>
      <c r="CO146" s="28">
        <v>1</v>
      </c>
      <c r="CP146" s="28">
        <v>200</v>
      </c>
      <c r="CQ146" s="26">
        <v>9.9999999999999995E-8</v>
      </c>
      <c r="CR146" s="26">
        <f t="shared" si="180"/>
        <v>9.9999999999999995E-8</v>
      </c>
      <c r="CS146" s="26">
        <f t="shared" si="181"/>
        <v>3.9999999999999992E-3</v>
      </c>
      <c r="CT146" s="7">
        <v>76.605063588044402</v>
      </c>
      <c r="CU146" s="7">
        <v>36.732214141098297</v>
      </c>
      <c r="CV146" s="7">
        <v>179.37142238436701</v>
      </c>
      <c r="CW146" s="7">
        <v>36.732214141098297</v>
      </c>
      <c r="CX146" s="7" t="s">
        <v>94</v>
      </c>
      <c r="CY146" s="7">
        <v>101.859163578813</v>
      </c>
      <c r="CZ146" s="7">
        <f t="shared" si="182"/>
        <v>252.8358506665636</v>
      </c>
      <c r="DB146" s="28">
        <v>70</v>
      </c>
      <c r="DC146" s="26">
        <v>5.0000000000000002E-5</v>
      </c>
      <c r="DD146" s="28">
        <v>2</v>
      </c>
      <c r="DE146" s="28">
        <v>200</v>
      </c>
      <c r="DF146" s="26">
        <v>9.9999999999999995E-8</v>
      </c>
      <c r="DG146" s="26">
        <f t="shared" si="183"/>
        <v>1.9999999999999999E-7</v>
      </c>
      <c r="DH146" s="26">
        <f t="shared" si="184"/>
        <v>7.9999999999999984E-3</v>
      </c>
      <c r="DI146" s="7">
        <v>76.700663326641802</v>
      </c>
      <c r="DJ146" s="7">
        <v>36.618511090650998</v>
      </c>
      <c r="DK146" s="7">
        <v>179.02977916857401</v>
      </c>
      <c r="DL146" s="7">
        <v>36.618511090650998</v>
      </c>
      <c r="DM146" s="7" t="s">
        <v>94</v>
      </c>
      <c r="DN146" s="7">
        <v>101.859163578813</v>
      </c>
      <c r="DO146" s="7">
        <f t="shared" si="185"/>
        <v>252.266801349876</v>
      </c>
      <c r="DQ146" s="28">
        <v>70</v>
      </c>
      <c r="DR146" s="26">
        <v>5.0000000000000002E-5</v>
      </c>
      <c r="DS146" s="28">
        <v>15</v>
      </c>
      <c r="DT146" s="28">
        <v>300</v>
      </c>
      <c r="DU146" s="26">
        <v>7.4999999999999997E-8</v>
      </c>
      <c r="DV146" s="26">
        <f t="shared" si="186"/>
        <v>1.125E-6</v>
      </c>
      <c r="DW146" s="26">
        <f t="shared" si="187"/>
        <v>4.4999999999999998E-2</v>
      </c>
      <c r="DX146" s="7">
        <v>106.569037060483</v>
      </c>
      <c r="DY146" s="7">
        <v>23.8224846510956</v>
      </c>
      <c r="DZ146" s="7">
        <v>117.565391453988</v>
      </c>
      <c r="EA146" s="7">
        <v>23.8224846510956</v>
      </c>
      <c r="EB146" s="7" t="s">
        <v>94</v>
      </c>
      <c r="EC146" s="7">
        <v>81.487330863050403</v>
      </c>
      <c r="ED146" s="7">
        <f t="shared" si="188"/>
        <v>165.2103607561792</v>
      </c>
    </row>
    <row r="147" spans="1:134" x14ac:dyDescent="0.4">
      <c r="B147" s="26"/>
      <c r="E147" s="26"/>
      <c r="F147" s="26"/>
      <c r="G147" s="26"/>
      <c r="Q147" s="26"/>
      <c r="T147" s="26"/>
      <c r="U147" s="26"/>
      <c r="V147" s="26"/>
      <c r="AF147" s="26"/>
      <c r="AI147" s="26"/>
      <c r="AJ147" s="26"/>
      <c r="AK147" s="26"/>
      <c r="AU147" s="26"/>
      <c r="AX147" s="26"/>
      <c r="AY147" s="26"/>
      <c r="AZ147" s="26"/>
      <c r="BJ147" s="26"/>
      <c r="BM147" s="26"/>
      <c r="BN147" s="26"/>
      <c r="BO147" s="26"/>
      <c r="BY147" s="26"/>
      <c r="CB147" s="26"/>
      <c r="CC147" s="26"/>
      <c r="CD147" s="26"/>
      <c r="CN147" s="26"/>
      <c r="CQ147" s="26"/>
      <c r="CR147" s="26"/>
      <c r="CS147" s="26"/>
      <c r="DC147" s="26"/>
      <c r="DF147" s="26"/>
      <c r="DG147" s="26"/>
      <c r="DH147" s="26"/>
      <c r="DR147" s="26"/>
      <c r="DU147" s="26"/>
      <c r="DV147" s="26"/>
      <c r="DW147" s="26"/>
    </row>
    <row r="148" spans="1:134" s="36" customFormat="1" ht="47.25" x14ac:dyDescent="0.4">
      <c r="A148" s="53" t="s">
        <v>69</v>
      </c>
      <c r="B148" s="54" t="s">
        <v>93</v>
      </c>
      <c r="C148" s="39" t="s">
        <v>73</v>
      </c>
      <c r="D148" s="39" t="s">
        <v>98</v>
      </c>
      <c r="E148" s="39" t="s">
        <v>97</v>
      </c>
      <c r="F148" s="39" t="s">
        <v>99</v>
      </c>
      <c r="G148" s="39" t="s">
        <v>96</v>
      </c>
      <c r="H148" s="37" t="s">
        <v>60</v>
      </c>
      <c r="I148" s="37" t="s">
        <v>100</v>
      </c>
      <c r="J148" s="37" t="s">
        <v>101</v>
      </c>
      <c r="K148" s="37" t="s">
        <v>102</v>
      </c>
      <c r="L148" s="37" t="s">
        <v>103</v>
      </c>
      <c r="M148" s="37" t="s">
        <v>65</v>
      </c>
      <c r="N148" s="37" t="s">
        <v>68</v>
      </c>
      <c r="O148" s="55"/>
      <c r="P148" s="53" t="s">
        <v>69</v>
      </c>
      <c r="Q148" s="54" t="s">
        <v>93</v>
      </c>
      <c r="R148" s="39" t="s">
        <v>73</v>
      </c>
      <c r="S148" s="39" t="s">
        <v>98</v>
      </c>
      <c r="T148" s="39" t="s">
        <v>97</v>
      </c>
      <c r="U148" s="39" t="s">
        <v>99</v>
      </c>
      <c r="V148" s="39" t="s">
        <v>96</v>
      </c>
      <c r="W148" s="37" t="s">
        <v>60</v>
      </c>
      <c r="X148" s="37" t="s">
        <v>100</v>
      </c>
      <c r="Y148" s="37" t="s">
        <v>101</v>
      </c>
      <c r="Z148" s="37" t="s">
        <v>102</v>
      </c>
      <c r="AA148" s="37" t="s">
        <v>103</v>
      </c>
      <c r="AB148" s="37" t="s">
        <v>65</v>
      </c>
      <c r="AC148" s="37" t="s">
        <v>68</v>
      </c>
      <c r="AD148" s="55"/>
      <c r="AE148" s="53" t="s">
        <v>69</v>
      </c>
      <c r="AF148" s="54" t="s">
        <v>93</v>
      </c>
      <c r="AG148" s="39" t="s">
        <v>73</v>
      </c>
      <c r="AH148" s="39" t="s">
        <v>98</v>
      </c>
      <c r="AI148" s="39" t="s">
        <v>97</v>
      </c>
      <c r="AJ148" s="39" t="s">
        <v>99</v>
      </c>
      <c r="AK148" s="39" t="s">
        <v>96</v>
      </c>
      <c r="AL148" s="37" t="s">
        <v>60</v>
      </c>
      <c r="AM148" s="37" t="s">
        <v>100</v>
      </c>
      <c r="AN148" s="37" t="s">
        <v>101</v>
      </c>
      <c r="AO148" s="37" t="s">
        <v>102</v>
      </c>
      <c r="AP148" s="37" t="s">
        <v>103</v>
      </c>
      <c r="AQ148" s="37" t="s">
        <v>65</v>
      </c>
      <c r="AR148" s="37" t="s">
        <v>68</v>
      </c>
      <c r="AS148" s="55"/>
      <c r="AT148" s="53" t="s">
        <v>69</v>
      </c>
      <c r="AU148" s="54" t="s">
        <v>93</v>
      </c>
      <c r="AV148" s="39" t="s">
        <v>73</v>
      </c>
      <c r="AW148" s="39" t="s">
        <v>98</v>
      </c>
      <c r="AX148" s="39" t="s">
        <v>97</v>
      </c>
      <c r="AY148" s="39" t="s">
        <v>99</v>
      </c>
      <c r="AZ148" s="39" t="s">
        <v>96</v>
      </c>
      <c r="BA148" s="37" t="s">
        <v>60</v>
      </c>
      <c r="BB148" s="37" t="s">
        <v>100</v>
      </c>
      <c r="BC148" s="37" t="s">
        <v>101</v>
      </c>
      <c r="BD148" s="37" t="s">
        <v>102</v>
      </c>
      <c r="BE148" s="37" t="s">
        <v>103</v>
      </c>
      <c r="BF148" s="37" t="s">
        <v>65</v>
      </c>
      <c r="BG148" s="37" t="s">
        <v>68</v>
      </c>
      <c r="BH148" s="55"/>
      <c r="BI148" s="53" t="s">
        <v>69</v>
      </c>
      <c r="BJ148" s="54" t="s">
        <v>93</v>
      </c>
      <c r="BK148" s="39" t="s">
        <v>73</v>
      </c>
      <c r="BL148" s="39" t="s">
        <v>98</v>
      </c>
      <c r="BM148" s="39" t="s">
        <v>97</v>
      </c>
      <c r="BN148" s="39" t="s">
        <v>99</v>
      </c>
      <c r="BO148" s="39" t="s">
        <v>96</v>
      </c>
      <c r="BP148" s="37" t="s">
        <v>60</v>
      </c>
      <c r="BQ148" s="37" t="s">
        <v>100</v>
      </c>
      <c r="BR148" s="37" t="s">
        <v>101</v>
      </c>
      <c r="BS148" s="37" t="s">
        <v>102</v>
      </c>
      <c r="BT148" s="37" t="s">
        <v>103</v>
      </c>
      <c r="BU148" s="37" t="s">
        <v>65</v>
      </c>
      <c r="BV148" s="37" t="s">
        <v>68</v>
      </c>
      <c r="BW148" s="55"/>
      <c r="BX148" s="53" t="s">
        <v>69</v>
      </c>
      <c r="BY148" s="54" t="s">
        <v>93</v>
      </c>
      <c r="BZ148" s="39" t="s">
        <v>73</v>
      </c>
      <c r="CA148" s="39" t="s">
        <v>98</v>
      </c>
      <c r="CB148" s="39" t="s">
        <v>97</v>
      </c>
      <c r="CC148" s="39" t="s">
        <v>99</v>
      </c>
      <c r="CD148" s="39" t="s">
        <v>96</v>
      </c>
      <c r="CE148" s="37" t="s">
        <v>60</v>
      </c>
      <c r="CF148" s="37" t="s">
        <v>100</v>
      </c>
      <c r="CG148" s="37" t="s">
        <v>101</v>
      </c>
      <c r="CH148" s="37" t="s">
        <v>102</v>
      </c>
      <c r="CI148" s="37" t="s">
        <v>103</v>
      </c>
      <c r="CJ148" s="37" t="s">
        <v>65</v>
      </c>
      <c r="CK148" s="37" t="s">
        <v>68</v>
      </c>
      <c r="CL148" s="55"/>
      <c r="CM148" s="53" t="s">
        <v>69</v>
      </c>
      <c r="CN148" s="54" t="s">
        <v>93</v>
      </c>
      <c r="CO148" s="39" t="s">
        <v>73</v>
      </c>
      <c r="CP148" s="39" t="s">
        <v>98</v>
      </c>
      <c r="CQ148" s="39" t="s">
        <v>97</v>
      </c>
      <c r="CR148" s="39" t="s">
        <v>99</v>
      </c>
      <c r="CS148" s="39" t="s">
        <v>96</v>
      </c>
      <c r="CT148" s="37" t="s">
        <v>60</v>
      </c>
      <c r="CU148" s="37" t="s">
        <v>100</v>
      </c>
      <c r="CV148" s="37" t="s">
        <v>101</v>
      </c>
      <c r="CW148" s="37" t="s">
        <v>102</v>
      </c>
      <c r="CX148" s="37" t="s">
        <v>103</v>
      </c>
      <c r="CY148" s="37" t="s">
        <v>65</v>
      </c>
      <c r="CZ148" s="37" t="s">
        <v>68</v>
      </c>
      <c r="DA148" s="55"/>
      <c r="DB148" s="53" t="s">
        <v>69</v>
      </c>
      <c r="DC148" s="54" t="s">
        <v>93</v>
      </c>
      <c r="DD148" s="39" t="s">
        <v>73</v>
      </c>
      <c r="DE148" s="39" t="s">
        <v>98</v>
      </c>
      <c r="DF148" s="39" t="s">
        <v>97</v>
      </c>
      <c r="DG148" s="39" t="s">
        <v>99</v>
      </c>
      <c r="DH148" s="39" t="s">
        <v>96</v>
      </c>
      <c r="DI148" s="37" t="s">
        <v>60</v>
      </c>
      <c r="DJ148" s="37" t="s">
        <v>100</v>
      </c>
      <c r="DK148" s="37" t="s">
        <v>101</v>
      </c>
      <c r="DL148" s="37" t="s">
        <v>102</v>
      </c>
      <c r="DM148" s="37" t="s">
        <v>103</v>
      </c>
      <c r="DN148" s="37" t="s">
        <v>65</v>
      </c>
      <c r="DO148" s="37" t="s">
        <v>68</v>
      </c>
      <c r="DP148" s="55"/>
      <c r="DQ148" s="53" t="s">
        <v>69</v>
      </c>
      <c r="DR148" s="54" t="s">
        <v>93</v>
      </c>
      <c r="DS148" s="39" t="s">
        <v>73</v>
      </c>
      <c r="DT148" s="39" t="s">
        <v>98</v>
      </c>
      <c r="DU148" s="39" t="s">
        <v>97</v>
      </c>
      <c r="DV148" s="39" t="s">
        <v>99</v>
      </c>
      <c r="DW148" s="39" t="s">
        <v>96</v>
      </c>
      <c r="DX148" s="37" t="s">
        <v>60</v>
      </c>
      <c r="DY148" s="37" t="s">
        <v>100</v>
      </c>
      <c r="DZ148" s="37" t="s">
        <v>101</v>
      </c>
      <c r="EA148" s="37" t="s">
        <v>102</v>
      </c>
      <c r="EB148" s="37" t="s">
        <v>103</v>
      </c>
      <c r="EC148" s="37" t="s">
        <v>65</v>
      </c>
      <c r="ED148" s="37" t="s">
        <v>68</v>
      </c>
    </row>
    <row r="149" spans="1:134" x14ac:dyDescent="0.4">
      <c r="A149" s="28">
        <v>1</v>
      </c>
      <c r="B149" s="26">
        <v>1.0000000000000001E-5</v>
      </c>
      <c r="C149" s="28">
        <v>0.2</v>
      </c>
      <c r="D149" s="28">
        <v>30</v>
      </c>
      <c r="E149" s="26">
        <v>2.4999999999999999E-7</v>
      </c>
      <c r="F149" s="26">
        <f t="shared" ref="F149:F167" si="189">C149*E149</f>
        <v>4.9999999999999998E-8</v>
      </c>
      <c r="G149" s="26">
        <f t="shared" ref="G149:G167" si="190">F149/(B149/2)</f>
        <v>9.9999999999999985E-3</v>
      </c>
      <c r="H149" s="7">
        <v>0.22472739830194399</v>
      </c>
      <c r="I149" s="7">
        <v>20967.675665585699</v>
      </c>
      <c r="J149" s="7">
        <v>750067.42850576504</v>
      </c>
      <c r="K149" s="7">
        <v>20967.675665585699</v>
      </c>
      <c r="L149" s="7">
        <v>246455.34799285</v>
      </c>
      <c r="M149" s="7">
        <v>7639.4372684109803</v>
      </c>
      <c r="N149" s="7">
        <f t="shared" ref="N149:N167" si="191">I149+J149+K149</f>
        <v>792002.77983693639</v>
      </c>
      <c r="P149" s="28">
        <v>1</v>
      </c>
      <c r="Q149" s="26">
        <v>3.0000000000000001E-5</v>
      </c>
      <c r="R149" s="28">
        <v>0.2</v>
      </c>
      <c r="S149" s="28">
        <v>30</v>
      </c>
      <c r="T149" s="26">
        <v>2.4999999999999999E-7</v>
      </c>
      <c r="U149" s="26">
        <f t="shared" ref="U149:U167" si="192">R149*T149</f>
        <v>4.9999999999999998E-8</v>
      </c>
      <c r="V149" s="26">
        <f t="shared" ref="V149:V167" si="193">U149/(Q149/2)</f>
        <v>3.3333333333333331E-3</v>
      </c>
      <c r="W149" s="7">
        <v>0.22539906166163501</v>
      </c>
      <c r="X149" s="7">
        <v>6989.2252213633501</v>
      </c>
      <c r="Y149" s="7">
        <v>250022.476149864</v>
      </c>
      <c r="Z149" s="7">
        <v>6989.2252213633501</v>
      </c>
      <c r="AA149" s="7">
        <v>82151.782666878105</v>
      </c>
      <c r="AB149" s="7">
        <v>848.82636315677496</v>
      </c>
      <c r="AC149" s="7">
        <f t="shared" ref="AC149:AC167" si="194">X149+Y149+Z149</f>
        <v>264000.92659259069</v>
      </c>
      <c r="AE149" s="28">
        <v>1</v>
      </c>
      <c r="AF149" s="26">
        <v>5.0000000000000002E-5</v>
      </c>
      <c r="AG149" s="28">
        <v>0.2</v>
      </c>
      <c r="AH149" s="28">
        <v>30</v>
      </c>
      <c r="AI149" s="26">
        <v>2.4999999999999999E-7</v>
      </c>
      <c r="AJ149" s="26">
        <f t="shared" ref="AJ149:AJ167" si="195">AG149*AI149</f>
        <v>4.9999999999999998E-8</v>
      </c>
      <c r="AK149" s="26">
        <f t="shared" ref="AK149:AK167" si="196">AJ149/(AF149/2)</f>
        <v>1.9999999999999996E-3</v>
      </c>
      <c r="AL149" s="7">
        <v>0.22553545952163601</v>
      </c>
      <c r="AM149" s="7">
        <v>4193.5351285970401</v>
      </c>
      <c r="AN149" s="7">
        <v>150013.48553139099</v>
      </c>
      <c r="AO149" s="7">
        <v>4193.5351285970401</v>
      </c>
      <c r="AP149" s="7">
        <v>49291.069622095303</v>
      </c>
      <c r="AQ149" s="7">
        <v>305.57749073643902</v>
      </c>
      <c r="AR149" s="7">
        <f t="shared" ref="AR149:AR167" si="197">AM149+AN149+AO149</f>
        <v>158400.5557885851</v>
      </c>
      <c r="AT149" s="28">
        <v>1</v>
      </c>
      <c r="AU149" s="26">
        <v>1.0000000000000001E-5</v>
      </c>
      <c r="AV149" s="28">
        <v>0.2</v>
      </c>
      <c r="AW149" s="28">
        <v>200</v>
      </c>
      <c r="AX149" s="26">
        <v>2.4999999999999999E-7</v>
      </c>
      <c r="AY149" s="26">
        <f t="shared" ref="AY149:AY167" si="198">AV149*AX149</f>
        <v>4.9999999999999998E-8</v>
      </c>
      <c r="AZ149" s="26">
        <f t="shared" ref="AZ149:AZ167" si="199">AY149/(AU149/2)</f>
        <v>9.9999999999999985E-3</v>
      </c>
      <c r="BA149" s="7">
        <v>0.226984867138044</v>
      </c>
      <c r="BB149" s="7">
        <v>4345.3623253436699</v>
      </c>
      <c r="BC149" s="7">
        <v>750067.42850576504</v>
      </c>
      <c r="BD149" s="7">
        <v>4345.3623253436699</v>
      </c>
      <c r="BE149" s="7">
        <v>246455.34799285</v>
      </c>
      <c r="BF149" s="7">
        <v>7639.4372684109803</v>
      </c>
      <c r="BG149" s="7">
        <f t="shared" ref="BG149:BG167" si="200">BB149+BC149+BD149</f>
        <v>758758.15315645235</v>
      </c>
      <c r="BI149" s="28">
        <v>1</v>
      </c>
      <c r="BJ149" s="26">
        <v>1.0000000000000001E-5</v>
      </c>
      <c r="BK149" s="28">
        <v>0.5</v>
      </c>
      <c r="BL149" s="28">
        <v>200</v>
      </c>
      <c r="BM149" s="26">
        <v>2.4999999999999999E-7</v>
      </c>
      <c r="BN149" s="26">
        <f t="shared" ref="BN149:BN167" si="201">BK149*BM149</f>
        <v>1.2499999999999999E-7</v>
      </c>
      <c r="BO149" s="26">
        <f t="shared" ref="BO149:BO167" si="202">BN149/(BJ149/2)</f>
        <v>2.4999999999999998E-2</v>
      </c>
      <c r="BP149" s="7">
        <v>0.561850474238618</v>
      </c>
      <c r="BQ149" s="7">
        <v>3764.12485338133</v>
      </c>
      <c r="BR149" s="7">
        <v>300026.97140230599</v>
      </c>
      <c r="BS149" s="7">
        <v>3764.12485338133</v>
      </c>
      <c r="BT149" s="7">
        <v>98582.139197140001</v>
      </c>
      <c r="BU149" s="7">
        <v>7639.4372684109803</v>
      </c>
      <c r="BV149" s="7">
        <f t="shared" ref="BV149:BV167" si="203">BQ149+BR149+BS149</f>
        <v>307555.2211090686</v>
      </c>
      <c r="BX149" s="28">
        <v>1</v>
      </c>
      <c r="BY149" s="26">
        <v>5.0000000000000002E-5</v>
      </c>
      <c r="BZ149" s="28">
        <v>0.5</v>
      </c>
      <c r="CA149" s="28">
        <v>200</v>
      </c>
      <c r="CB149" s="26">
        <v>2.4999999999999999E-7</v>
      </c>
      <c r="CC149" s="26">
        <f t="shared" ref="CC149:CC167" si="204">BZ149*CB149</f>
        <v>1.2499999999999999E-7</v>
      </c>
      <c r="CD149" s="26">
        <f t="shared" ref="CD149:CD167" si="205">CC149/(BY149/2)</f>
        <v>4.9999999999999992E-3</v>
      </c>
      <c r="CE149" s="7">
        <v>0.56702263777434803</v>
      </c>
      <c r="CF149" s="7">
        <v>752.82497001808497</v>
      </c>
      <c r="CG149" s="7">
        <v>60005.394212556603</v>
      </c>
      <c r="CH149" s="7">
        <v>752.82497001808497</v>
      </c>
      <c r="CI149" s="7">
        <v>19716.427848838099</v>
      </c>
      <c r="CJ149" s="7">
        <v>305.57749073643902</v>
      </c>
      <c r="CK149" s="7">
        <f t="shared" ref="CK149:CK167" si="206">CF149+CG149+CH149</f>
        <v>61511.044152592767</v>
      </c>
      <c r="CM149" s="28">
        <v>1</v>
      </c>
      <c r="CN149" s="26">
        <v>5.0000000000000002E-5</v>
      </c>
      <c r="CO149" s="28">
        <v>1</v>
      </c>
      <c r="CP149" s="28">
        <v>200</v>
      </c>
      <c r="CQ149" s="26">
        <v>2.4999999999999999E-7</v>
      </c>
      <c r="CR149" s="26">
        <f t="shared" ref="CR149:CR167" si="207">CO149*CQ149</f>
        <v>2.4999999999999999E-7</v>
      </c>
      <c r="CS149" s="26">
        <f t="shared" ref="CS149:CS167" si="208">CR149/(CN149/2)</f>
        <v>9.9999999999999985E-3</v>
      </c>
      <c r="CT149" s="7">
        <v>1.12649131093043</v>
      </c>
      <c r="CU149" s="7">
        <v>665.23311259709499</v>
      </c>
      <c r="CV149" s="7">
        <v>30002.697106278301</v>
      </c>
      <c r="CW149" s="7">
        <v>665.23311259709499</v>
      </c>
      <c r="CX149" s="7">
        <v>9858.2139244190694</v>
      </c>
      <c r="CY149" s="7">
        <v>305.57749073643902</v>
      </c>
      <c r="CZ149" s="7">
        <f t="shared" ref="CZ149:CZ167" si="209">CU149+CV149+CW149</f>
        <v>31333.163331472493</v>
      </c>
      <c r="DB149" s="28">
        <v>1</v>
      </c>
      <c r="DC149" s="26">
        <v>5.0000000000000002E-5</v>
      </c>
      <c r="DD149" s="28">
        <v>2</v>
      </c>
      <c r="DE149" s="28">
        <v>200</v>
      </c>
      <c r="DF149" s="26">
        <v>2.4999999999999999E-7</v>
      </c>
      <c r="DG149" s="26">
        <f t="shared" ref="DG149:DG167" si="210">DD149*DF149</f>
        <v>4.9999999999999998E-7</v>
      </c>
      <c r="DH149" s="26">
        <f t="shared" ref="DH149:DH167" si="211">DG149/(DC149/2)</f>
        <v>1.9999999999999997E-2</v>
      </c>
      <c r="DI149" s="7">
        <v>2.2277362659293898</v>
      </c>
      <c r="DJ149" s="7">
        <v>578.22973015081095</v>
      </c>
      <c r="DK149" s="7">
        <v>15001.3485531391</v>
      </c>
      <c r="DL149" s="7">
        <v>578.22973015081095</v>
      </c>
      <c r="DM149" s="7">
        <v>4929.1069622095301</v>
      </c>
      <c r="DN149" s="7">
        <v>305.57749073643902</v>
      </c>
      <c r="DO149" s="7">
        <f t="shared" ref="DO149:DO167" si="212">DJ149+DK149+DL149</f>
        <v>16157.808013440723</v>
      </c>
      <c r="DQ149" s="28">
        <v>1</v>
      </c>
      <c r="DR149" s="26">
        <v>5.0000000000000002E-5</v>
      </c>
      <c r="DS149" s="28">
        <v>15</v>
      </c>
      <c r="DT149" s="28">
        <v>300</v>
      </c>
      <c r="DU149" s="26">
        <v>9.9999999999999995E-8</v>
      </c>
      <c r="DV149" s="26">
        <f t="shared" ref="DV149:DV167" si="213">DS149*DU149</f>
        <v>1.5E-6</v>
      </c>
      <c r="DW149" s="26">
        <f t="shared" ref="DW149:DW167" si="214">DV149/(DR149/2)</f>
        <v>0.06</v>
      </c>
      <c r="DX149" s="7">
        <v>16.040525369624099</v>
      </c>
      <c r="DY149" s="7">
        <v>254.539230510376</v>
      </c>
      <c r="DZ149" s="7">
        <v>2000.1798070852201</v>
      </c>
      <c r="EA149" s="7">
        <v>254.539230510376</v>
      </c>
      <c r="EB149" s="7">
        <v>657.21426162793796</v>
      </c>
      <c r="EC149" s="7">
        <v>101.859163578813</v>
      </c>
      <c r="ED149" s="7">
        <f t="shared" ref="ED149:ED167" si="215">DY149+DZ149+EA149</f>
        <v>2509.2582681059721</v>
      </c>
    </row>
    <row r="150" spans="1:134" x14ac:dyDescent="0.4">
      <c r="A150" s="28">
        <v>2</v>
      </c>
      <c r="B150" s="26">
        <v>1.0000000000000001E-5</v>
      </c>
      <c r="C150" s="28">
        <v>0.2</v>
      </c>
      <c r="D150" s="28">
        <v>30</v>
      </c>
      <c r="E150" s="26">
        <v>2.4999999999999999E-7</v>
      </c>
      <c r="F150" s="26">
        <f t="shared" si="189"/>
        <v>4.9999999999999998E-8</v>
      </c>
      <c r="G150" s="26">
        <f t="shared" si="190"/>
        <v>9.9999999999999985E-3</v>
      </c>
      <c r="H150" s="7">
        <v>0.25669038495912999</v>
      </c>
      <c r="I150" s="7">
        <v>20967.675665585699</v>
      </c>
      <c r="J150" s="7">
        <v>482013.76177816797</v>
      </c>
      <c r="K150" s="7">
        <v>20967.675665585699</v>
      </c>
      <c r="L150" s="7">
        <v>339325.67523914197</v>
      </c>
      <c r="M150" s="7">
        <v>7639.4372684109803</v>
      </c>
      <c r="N150" s="7">
        <f t="shared" si="191"/>
        <v>523949.11310933932</v>
      </c>
      <c r="P150" s="28">
        <v>2</v>
      </c>
      <c r="Q150" s="26">
        <v>3.0000000000000001E-5</v>
      </c>
      <c r="R150" s="28">
        <v>0.2</v>
      </c>
      <c r="S150" s="28">
        <v>30</v>
      </c>
      <c r="T150" s="26">
        <v>2.4999999999999999E-7</v>
      </c>
      <c r="U150" s="26">
        <f t="shared" si="192"/>
        <v>4.9999999999999998E-8</v>
      </c>
      <c r="V150" s="26">
        <f t="shared" si="193"/>
        <v>3.3333333333333331E-3</v>
      </c>
      <c r="W150" s="7">
        <v>0.25859921791836499</v>
      </c>
      <c r="X150" s="7">
        <v>6989.2252213633501</v>
      </c>
      <c r="Y150" s="7">
        <v>160671.25390733199</v>
      </c>
      <c r="Z150" s="7">
        <v>6989.2252213633501</v>
      </c>
      <c r="AA150" s="7">
        <v>113108.558420806</v>
      </c>
      <c r="AB150" s="7">
        <v>848.82636315677496</v>
      </c>
      <c r="AC150" s="7">
        <f t="shared" si="194"/>
        <v>174649.70435005872</v>
      </c>
      <c r="AE150" s="28">
        <v>2</v>
      </c>
      <c r="AF150" s="26">
        <v>5.0000000000000002E-5</v>
      </c>
      <c r="AG150" s="28">
        <v>0.2</v>
      </c>
      <c r="AH150" s="28">
        <v>30</v>
      </c>
      <c r="AI150" s="26">
        <v>2.4999999999999999E-7</v>
      </c>
      <c r="AJ150" s="26">
        <f t="shared" si="195"/>
        <v>4.9999999999999998E-8</v>
      </c>
      <c r="AK150" s="26">
        <f t="shared" si="196"/>
        <v>1.9999999999999996E-3</v>
      </c>
      <c r="AL150" s="7">
        <v>0.25898983903037398</v>
      </c>
      <c r="AM150" s="7">
        <v>4193.5351285970401</v>
      </c>
      <c r="AN150" s="7">
        <v>96402.752185872101</v>
      </c>
      <c r="AO150" s="7">
        <v>4193.5351285970401</v>
      </c>
      <c r="AP150" s="7">
        <v>67865.135118168895</v>
      </c>
      <c r="AQ150" s="7">
        <v>305.57749073643902</v>
      </c>
      <c r="AR150" s="7">
        <f t="shared" si="197"/>
        <v>104789.82244306618</v>
      </c>
      <c r="AT150" s="28">
        <v>2</v>
      </c>
      <c r="AU150" s="26">
        <v>1.0000000000000001E-5</v>
      </c>
      <c r="AV150" s="28">
        <v>0.2</v>
      </c>
      <c r="AW150" s="28">
        <v>200</v>
      </c>
      <c r="AX150" s="26">
        <v>2.4999999999999999E-7</v>
      </c>
      <c r="AY150" s="26">
        <f t="shared" si="198"/>
        <v>4.9999999999999998E-8</v>
      </c>
      <c r="AZ150" s="26">
        <f t="shared" si="199"/>
        <v>9.9999999999999985E-3</v>
      </c>
      <c r="BA150" s="7">
        <v>0.26320431746695899</v>
      </c>
      <c r="BB150" s="7">
        <v>4345.3623253436699</v>
      </c>
      <c r="BC150" s="7">
        <v>482013.76177816797</v>
      </c>
      <c r="BD150" s="7">
        <v>4345.3623253436699</v>
      </c>
      <c r="BE150" s="7">
        <v>339325.67523914197</v>
      </c>
      <c r="BF150" s="7">
        <v>7639.4372684109803</v>
      </c>
      <c r="BG150" s="7">
        <f t="shared" si="200"/>
        <v>490704.48642885528</v>
      </c>
      <c r="BI150" s="28">
        <v>2</v>
      </c>
      <c r="BJ150" s="26">
        <v>1.0000000000000001E-5</v>
      </c>
      <c r="BK150" s="28">
        <v>0.5</v>
      </c>
      <c r="BL150" s="28">
        <v>200</v>
      </c>
      <c r="BM150" s="26">
        <v>2.4999999999999999E-7</v>
      </c>
      <c r="BN150" s="26">
        <f t="shared" si="201"/>
        <v>1.2499999999999999E-7</v>
      </c>
      <c r="BO150" s="26">
        <f t="shared" si="202"/>
        <v>2.4999999999999998E-2</v>
      </c>
      <c r="BP150" s="7">
        <v>0.64181627722571299</v>
      </c>
      <c r="BQ150" s="7">
        <v>3764.12485338133</v>
      </c>
      <c r="BR150" s="7">
        <v>192805.50471126701</v>
      </c>
      <c r="BS150" s="7">
        <v>3764.12485338133</v>
      </c>
      <c r="BT150" s="7">
        <v>135730.270095657</v>
      </c>
      <c r="BU150" s="7">
        <v>7639.4372684109803</v>
      </c>
      <c r="BV150" s="7">
        <f t="shared" si="203"/>
        <v>200333.75441802968</v>
      </c>
      <c r="BX150" s="28">
        <v>2</v>
      </c>
      <c r="BY150" s="26">
        <v>5.0000000000000002E-5</v>
      </c>
      <c r="BZ150" s="28">
        <v>0.5</v>
      </c>
      <c r="CA150" s="28">
        <v>200</v>
      </c>
      <c r="CB150" s="26">
        <v>2.4999999999999999E-7</v>
      </c>
      <c r="CC150" s="26">
        <f t="shared" si="204"/>
        <v>1.2499999999999999E-7</v>
      </c>
      <c r="CD150" s="26">
        <f t="shared" si="205"/>
        <v>4.9999999999999992E-3</v>
      </c>
      <c r="CE150" s="7">
        <v>0.65671705786983103</v>
      </c>
      <c r="CF150" s="7">
        <v>752.82497001808497</v>
      </c>
      <c r="CG150" s="7">
        <v>38561.1008743489</v>
      </c>
      <c r="CH150" s="7">
        <v>752.82497001808497</v>
      </c>
      <c r="CI150" s="7">
        <v>27146.0540472676</v>
      </c>
      <c r="CJ150" s="7">
        <v>305.57749073643902</v>
      </c>
      <c r="CK150" s="7">
        <f t="shared" si="206"/>
        <v>40066.750814385065</v>
      </c>
      <c r="CM150" s="28">
        <v>2</v>
      </c>
      <c r="CN150" s="26">
        <v>5.0000000000000002E-5</v>
      </c>
      <c r="CO150" s="28">
        <v>1</v>
      </c>
      <c r="CP150" s="28">
        <v>200</v>
      </c>
      <c r="CQ150" s="26">
        <v>2.4999999999999999E-7</v>
      </c>
      <c r="CR150" s="26">
        <f t="shared" si="207"/>
        <v>2.4999999999999999E-7</v>
      </c>
      <c r="CS150" s="26">
        <f t="shared" si="208"/>
        <v>9.9999999999999985E-3</v>
      </c>
      <c r="CT150" s="7">
        <v>1.2915559798538501</v>
      </c>
      <c r="CU150" s="7">
        <v>665.23311259709499</v>
      </c>
      <c r="CV150" s="7">
        <v>19280.550437174399</v>
      </c>
      <c r="CW150" s="7">
        <v>665.23311259709499</v>
      </c>
      <c r="CX150" s="7">
        <v>13573.0270236338</v>
      </c>
      <c r="CY150" s="7">
        <v>305.57749073643902</v>
      </c>
      <c r="CZ150" s="7">
        <f t="shared" si="209"/>
        <v>20611.016662368591</v>
      </c>
      <c r="DB150" s="28">
        <v>2</v>
      </c>
      <c r="DC150" s="26">
        <v>5.0000000000000002E-5</v>
      </c>
      <c r="DD150" s="28">
        <v>2</v>
      </c>
      <c r="DE150" s="28">
        <v>200</v>
      </c>
      <c r="DF150" s="26">
        <v>2.4999999999999999E-7</v>
      </c>
      <c r="DG150" s="26">
        <f t="shared" si="210"/>
        <v>4.9999999999999998E-7</v>
      </c>
      <c r="DH150" s="26">
        <f t="shared" si="211"/>
        <v>1.9999999999999997E-2</v>
      </c>
      <c r="DI150" s="7">
        <v>2.5127323702640201</v>
      </c>
      <c r="DJ150" s="7">
        <v>578.22973015081095</v>
      </c>
      <c r="DK150" s="7">
        <v>9640.2752185872196</v>
      </c>
      <c r="DL150" s="7">
        <v>578.22973015081095</v>
      </c>
      <c r="DM150" s="7">
        <v>6786.5135118168901</v>
      </c>
      <c r="DN150" s="7">
        <v>305.57749073643902</v>
      </c>
      <c r="DO150" s="7">
        <f t="shared" si="212"/>
        <v>10796.734678888843</v>
      </c>
      <c r="DQ150" s="28">
        <v>2</v>
      </c>
      <c r="DR150" s="26">
        <v>5.0000000000000002E-5</v>
      </c>
      <c r="DS150" s="28">
        <v>15</v>
      </c>
      <c r="DT150" s="28">
        <v>300</v>
      </c>
      <c r="DU150" s="26">
        <v>9.9999999999999995E-8</v>
      </c>
      <c r="DV150" s="26">
        <f t="shared" si="213"/>
        <v>1.5E-6</v>
      </c>
      <c r="DW150" s="26">
        <f t="shared" si="214"/>
        <v>0.06</v>
      </c>
      <c r="DX150" s="7">
        <v>17.167045882220499</v>
      </c>
      <c r="DY150" s="7">
        <v>254.539230510376</v>
      </c>
      <c r="DZ150" s="7">
        <v>1285.37002914496</v>
      </c>
      <c r="EA150" s="7">
        <v>254.539230510376</v>
      </c>
      <c r="EB150" s="7">
        <v>904.86846824225199</v>
      </c>
      <c r="EC150" s="7">
        <v>101.859163578813</v>
      </c>
      <c r="ED150" s="7">
        <f t="shared" si="215"/>
        <v>1794.448490165712</v>
      </c>
    </row>
    <row r="151" spans="1:134" x14ac:dyDescent="0.4">
      <c r="A151" s="28">
        <v>4</v>
      </c>
      <c r="B151" s="26">
        <v>1.0000000000000001E-5</v>
      </c>
      <c r="C151" s="28">
        <v>0.2</v>
      </c>
      <c r="D151" s="28">
        <v>30</v>
      </c>
      <c r="E151" s="26">
        <v>2.4999999999999999E-7</v>
      </c>
      <c r="F151" s="26">
        <f t="shared" si="189"/>
        <v>4.9999999999999998E-8</v>
      </c>
      <c r="G151" s="26">
        <f t="shared" si="190"/>
        <v>9.9999999999999985E-3</v>
      </c>
      <c r="H151" s="7">
        <v>0.34205378922659502</v>
      </c>
      <c r="I151" s="7">
        <v>20967.675665585699</v>
      </c>
      <c r="J151" s="7">
        <v>269259.42550450901</v>
      </c>
      <c r="K151" s="7">
        <v>20967.675665585699</v>
      </c>
      <c r="L151" s="7">
        <v>496205.96663466899</v>
      </c>
      <c r="M151" s="7">
        <v>7639.4372684109803</v>
      </c>
      <c r="N151" s="7">
        <f t="shared" si="191"/>
        <v>311194.77683568036</v>
      </c>
      <c r="P151" s="28">
        <v>4</v>
      </c>
      <c r="Q151" s="26">
        <v>3.0000000000000001E-5</v>
      </c>
      <c r="R151" s="28">
        <v>0.2</v>
      </c>
      <c r="S151" s="28">
        <v>30</v>
      </c>
      <c r="T151" s="26">
        <v>2.4999999999999999E-7</v>
      </c>
      <c r="U151" s="26">
        <f t="shared" si="192"/>
        <v>4.9999999999999998E-8</v>
      </c>
      <c r="V151" s="26">
        <f t="shared" si="193"/>
        <v>3.3333333333333331E-3</v>
      </c>
      <c r="W151" s="7">
        <v>0.348698000073071</v>
      </c>
      <c r="X151" s="7">
        <v>6989.2252213633501</v>
      </c>
      <c r="Y151" s="7">
        <v>89753.141816112096</v>
      </c>
      <c r="Z151" s="7">
        <v>6989.2252213633501</v>
      </c>
      <c r="AA151" s="7">
        <v>165401.98890513901</v>
      </c>
      <c r="AB151" s="7">
        <v>848.82636315677496</v>
      </c>
      <c r="AC151" s="7">
        <f t="shared" si="194"/>
        <v>103731.59225883879</v>
      </c>
      <c r="AE151" s="28">
        <v>4</v>
      </c>
      <c r="AF151" s="26">
        <v>5.0000000000000002E-5</v>
      </c>
      <c r="AG151" s="28">
        <v>0.2</v>
      </c>
      <c r="AH151" s="28">
        <v>30</v>
      </c>
      <c r="AI151" s="26">
        <v>2.4999999999999999E-7</v>
      </c>
      <c r="AJ151" s="26">
        <f t="shared" si="195"/>
        <v>4.9999999999999998E-8</v>
      </c>
      <c r="AK151" s="26">
        <f t="shared" si="196"/>
        <v>1.9999999999999996E-3</v>
      </c>
      <c r="AL151" s="7">
        <v>0.35007852918493099</v>
      </c>
      <c r="AM151" s="7">
        <v>4193.5351285970401</v>
      </c>
      <c r="AN151" s="7">
        <v>53851.884931140201</v>
      </c>
      <c r="AO151" s="7">
        <v>4193.5351285970401</v>
      </c>
      <c r="AP151" s="7">
        <v>99241.193570966701</v>
      </c>
      <c r="AQ151" s="7">
        <v>305.57749073643902</v>
      </c>
      <c r="AR151" s="7">
        <f t="shared" si="197"/>
        <v>62238.955188334279</v>
      </c>
      <c r="AT151" s="28">
        <v>4</v>
      </c>
      <c r="AU151" s="26">
        <v>1.0000000000000001E-5</v>
      </c>
      <c r="AV151" s="28">
        <v>0.2</v>
      </c>
      <c r="AW151" s="28">
        <v>200</v>
      </c>
      <c r="AX151" s="26">
        <v>2.4999999999999999E-7</v>
      </c>
      <c r="AY151" s="26">
        <f t="shared" si="198"/>
        <v>4.9999999999999998E-8</v>
      </c>
      <c r="AZ151" s="26">
        <f t="shared" si="199"/>
        <v>9.9999999999999985E-3</v>
      </c>
      <c r="BA151" s="7">
        <v>0.365444324198335</v>
      </c>
      <c r="BB151" s="7">
        <v>4345.3623253436699</v>
      </c>
      <c r="BC151" s="7">
        <v>269259.42550450901</v>
      </c>
      <c r="BD151" s="7">
        <v>4345.3623253436699</v>
      </c>
      <c r="BE151" s="7">
        <v>496205.96663466899</v>
      </c>
      <c r="BF151" s="7">
        <v>7639.4372684109803</v>
      </c>
      <c r="BG151" s="7">
        <f t="shared" si="200"/>
        <v>277950.15015519632</v>
      </c>
      <c r="BI151" s="28">
        <v>4</v>
      </c>
      <c r="BJ151" s="26">
        <v>1.0000000000000001E-5</v>
      </c>
      <c r="BK151" s="28">
        <v>0.5</v>
      </c>
      <c r="BL151" s="28">
        <v>200</v>
      </c>
      <c r="BM151" s="26">
        <v>2.4999999999999999E-7</v>
      </c>
      <c r="BN151" s="26">
        <f t="shared" si="201"/>
        <v>1.2499999999999999E-7</v>
      </c>
      <c r="BO151" s="26">
        <f t="shared" si="202"/>
        <v>2.4999999999999998E-2</v>
      </c>
      <c r="BP151" s="7">
        <v>0.85544496770704903</v>
      </c>
      <c r="BQ151" s="7">
        <v>3764.12485338133</v>
      </c>
      <c r="BR151" s="7">
        <v>107703.770201803</v>
      </c>
      <c r="BS151" s="7">
        <v>3764.12485338133</v>
      </c>
      <c r="BT151" s="7">
        <v>198482.38665386799</v>
      </c>
      <c r="BU151" s="7">
        <v>7639.4372684109803</v>
      </c>
      <c r="BV151" s="7">
        <f t="shared" si="203"/>
        <v>115232.01990856566</v>
      </c>
      <c r="BX151" s="28">
        <v>4</v>
      </c>
      <c r="BY151" s="26">
        <v>5.0000000000000002E-5</v>
      </c>
      <c r="BZ151" s="28">
        <v>0.5</v>
      </c>
      <c r="CA151" s="28">
        <v>200</v>
      </c>
      <c r="CB151" s="26">
        <v>2.4999999999999999E-7</v>
      </c>
      <c r="CC151" s="26">
        <f t="shared" si="204"/>
        <v>1.2499999999999999E-7</v>
      </c>
      <c r="CD151" s="26">
        <f t="shared" si="205"/>
        <v>4.9999999999999992E-3</v>
      </c>
      <c r="CE151" s="7">
        <v>0.908774582119521</v>
      </c>
      <c r="CF151" s="7">
        <v>752.82497001808497</v>
      </c>
      <c r="CG151" s="7">
        <v>21540.753972456099</v>
      </c>
      <c r="CH151" s="7">
        <v>752.82497001808497</v>
      </c>
      <c r="CI151" s="7">
        <v>39696.477428386701</v>
      </c>
      <c r="CJ151" s="7">
        <v>305.57749073643902</v>
      </c>
      <c r="CK151" s="7">
        <f t="shared" si="206"/>
        <v>23046.403912492271</v>
      </c>
      <c r="CM151" s="28">
        <v>4</v>
      </c>
      <c r="CN151" s="26">
        <v>5.0000000000000002E-5</v>
      </c>
      <c r="CO151" s="28">
        <v>1</v>
      </c>
      <c r="CP151" s="28">
        <v>200</v>
      </c>
      <c r="CQ151" s="26">
        <v>2.4999999999999999E-7</v>
      </c>
      <c r="CR151" s="26">
        <f t="shared" si="207"/>
        <v>2.4999999999999999E-7</v>
      </c>
      <c r="CS151" s="26">
        <f t="shared" si="208"/>
        <v>9.9999999999999985E-3</v>
      </c>
      <c r="CT151" s="7">
        <v>1.7384233296320699</v>
      </c>
      <c r="CU151" s="7">
        <v>665.23311259709499</v>
      </c>
      <c r="CV151" s="7">
        <v>10770.376986228001</v>
      </c>
      <c r="CW151" s="7">
        <v>665.23311259709499</v>
      </c>
      <c r="CX151" s="7">
        <v>19848.2387141933</v>
      </c>
      <c r="CY151" s="7">
        <v>305.57749073643902</v>
      </c>
      <c r="CZ151" s="7">
        <f t="shared" si="209"/>
        <v>12100.843211422191</v>
      </c>
      <c r="DB151" s="28">
        <v>4</v>
      </c>
      <c r="DC151" s="26">
        <v>5.0000000000000002E-5</v>
      </c>
      <c r="DD151" s="28">
        <v>2</v>
      </c>
      <c r="DE151" s="28">
        <v>200</v>
      </c>
      <c r="DF151" s="26">
        <v>2.4999999999999999E-7</v>
      </c>
      <c r="DG151" s="26">
        <f t="shared" si="210"/>
        <v>4.9999999999999998E-7</v>
      </c>
      <c r="DH151" s="26">
        <f t="shared" si="211"/>
        <v>1.9999999999999997E-2</v>
      </c>
      <c r="DI151" s="7">
        <v>3.2407471343796401</v>
      </c>
      <c r="DJ151" s="7">
        <v>578.22973015081095</v>
      </c>
      <c r="DK151" s="7">
        <v>5385.1884931140203</v>
      </c>
      <c r="DL151" s="7">
        <v>578.22973015081095</v>
      </c>
      <c r="DM151" s="7">
        <v>9924.1193570966698</v>
      </c>
      <c r="DN151" s="7">
        <v>305.57749073643902</v>
      </c>
      <c r="DO151" s="7">
        <f t="shared" si="212"/>
        <v>6541.6479534156415</v>
      </c>
      <c r="DQ151" s="28">
        <v>4</v>
      </c>
      <c r="DR151" s="26">
        <v>5.0000000000000002E-5</v>
      </c>
      <c r="DS151" s="28">
        <v>15</v>
      </c>
      <c r="DT151" s="28">
        <v>300</v>
      </c>
      <c r="DU151" s="26">
        <v>9.9999999999999995E-8</v>
      </c>
      <c r="DV151" s="26">
        <f t="shared" si="213"/>
        <v>1.5E-6</v>
      </c>
      <c r="DW151" s="26">
        <f t="shared" si="214"/>
        <v>0.06</v>
      </c>
      <c r="DX151" s="7">
        <v>19.5955466887781</v>
      </c>
      <c r="DY151" s="7">
        <v>254.539230510376</v>
      </c>
      <c r="DZ151" s="7">
        <v>718.02513241520205</v>
      </c>
      <c r="EA151" s="7">
        <v>254.539230510376</v>
      </c>
      <c r="EB151" s="7">
        <v>1323.2159142795599</v>
      </c>
      <c r="EC151" s="7">
        <v>101.859163578813</v>
      </c>
      <c r="ED151" s="7">
        <f t="shared" si="215"/>
        <v>1227.1035934359541</v>
      </c>
    </row>
    <row r="152" spans="1:134" x14ac:dyDescent="0.4">
      <c r="A152" s="28">
        <v>6</v>
      </c>
      <c r="B152" s="26">
        <v>1.0000000000000001E-5</v>
      </c>
      <c r="C152" s="28">
        <v>0.2</v>
      </c>
      <c r="D152" s="28">
        <v>30</v>
      </c>
      <c r="E152" s="26">
        <v>2.4999999999999999E-7</v>
      </c>
      <c r="F152" s="26">
        <f t="shared" si="189"/>
        <v>4.9999999999999998E-8</v>
      </c>
      <c r="G152" s="26">
        <f t="shared" si="190"/>
        <v>9.9999999999999985E-3</v>
      </c>
      <c r="H152" s="7">
        <v>0.46411401842721001</v>
      </c>
      <c r="I152" s="7">
        <v>20967.675665585699</v>
      </c>
      <c r="J152" s="7">
        <v>165780.67944707401</v>
      </c>
      <c r="K152" s="7">
        <v>20967.675665585699</v>
      </c>
      <c r="L152" s="7">
        <v>651465.34785778704</v>
      </c>
      <c r="M152" s="7">
        <v>7639.4372684109803</v>
      </c>
      <c r="N152" s="7">
        <f t="shared" si="191"/>
        <v>207716.03077824542</v>
      </c>
      <c r="P152" s="28">
        <v>6</v>
      </c>
      <c r="Q152" s="26">
        <v>3.0000000000000001E-5</v>
      </c>
      <c r="R152" s="28">
        <v>0.2</v>
      </c>
      <c r="S152" s="28">
        <v>30</v>
      </c>
      <c r="T152" s="26">
        <v>2.4999999999999999E-7</v>
      </c>
      <c r="U152" s="26">
        <f t="shared" si="192"/>
        <v>4.9999999999999998E-8</v>
      </c>
      <c r="V152" s="26">
        <f t="shared" si="193"/>
        <v>3.3333333333333331E-3</v>
      </c>
      <c r="W152" s="7">
        <v>0.48066356392033599</v>
      </c>
      <c r="X152" s="7">
        <v>6989.2252213633501</v>
      </c>
      <c r="Y152" s="7">
        <v>55260.226463633997</v>
      </c>
      <c r="Z152" s="7">
        <v>6989.2252213633501</v>
      </c>
      <c r="AA152" s="7">
        <v>217155.11601730101</v>
      </c>
      <c r="AB152" s="7">
        <v>848.82636315677496</v>
      </c>
      <c r="AC152" s="7">
        <f t="shared" si="194"/>
        <v>69238.676906360692</v>
      </c>
      <c r="AE152" s="28">
        <v>6</v>
      </c>
      <c r="AF152" s="26">
        <v>5.0000000000000002E-5</v>
      </c>
      <c r="AG152" s="28">
        <v>0.2</v>
      </c>
      <c r="AH152" s="28">
        <v>30</v>
      </c>
      <c r="AI152" s="26">
        <v>2.4999999999999999E-7</v>
      </c>
      <c r="AJ152" s="26">
        <f t="shared" si="195"/>
        <v>4.9999999999999998E-8</v>
      </c>
      <c r="AK152" s="26">
        <f t="shared" si="196"/>
        <v>1.9999999999999996E-3</v>
      </c>
      <c r="AL152" s="7">
        <v>0.484165422537784</v>
      </c>
      <c r="AM152" s="7">
        <v>4193.5351285970401</v>
      </c>
      <c r="AN152" s="7">
        <v>33156.135719653299</v>
      </c>
      <c r="AO152" s="7">
        <v>4193.5351285970401</v>
      </c>
      <c r="AP152" s="7">
        <v>130293.0701582</v>
      </c>
      <c r="AQ152" s="7">
        <v>305.57749073643902</v>
      </c>
      <c r="AR152" s="7">
        <f t="shared" si="197"/>
        <v>41543.205976847377</v>
      </c>
      <c r="AT152" s="28">
        <v>6</v>
      </c>
      <c r="AU152" s="26">
        <v>1.0000000000000001E-5</v>
      </c>
      <c r="AV152" s="28">
        <v>0.2</v>
      </c>
      <c r="AW152" s="28">
        <v>200</v>
      </c>
      <c r="AX152" s="26">
        <v>2.4999999999999999E-7</v>
      </c>
      <c r="AY152" s="26">
        <f t="shared" si="198"/>
        <v>4.9999999999999998E-8</v>
      </c>
      <c r="AZ152" s="26">
        <f t="shared" si="199"/>
        <v>9.9999999999999985E-3</v>
      </c>
      <c r="BA152" s="7">
        <v>0.52469202392104197</v>
      </c>
      <c r="BB152" s="7">
        <v>4345.3623253436699</v>
      </c>
      <c r="BC152" s="7">
        <v>165780.67944707401</v>
      </c>
      <c r="BD152" s="7">
        <v>4345.3623253436699</v>
      </c>
      <c r="BE152" s="7">
        <v>651465.34785778704</v>
      </c>
      <c r="BF152" s="7">
        <v>7639.4372684109803</v>
      </c>
      <c r="BG152" s="7">
        <f t="shared" si="200"/>
        <v>174471.40409776138</v>
      </c>
      <c r="BI152" s="28">
        <v>6</v>
      </c>
      <c r="BJ152" s="26">
        <v>1.0000000000000001E-5</v>
      </c>
      <c r="BK152" s="28">
        <v>0.5</v>
      </c>
      <c r="BL152" s="28">
        <v>200</v>
      </c>
      <c r="BM152" s="26">
        <v>2.4999999999999999E-7</v>
      </c>
      <c r="BN152" s="26">
        <f t="shared" si="201"/>
        <v>1.2499999999999999E-7</v>
      </c>
      <c r="BO152" s="26">
        <f t="shared" si="202"/>
        <v>2.4999999999999998E-2</v>
      </c>
      <c r="BP152" s="7">
        <v>1.1610470880916799</v>
      </c>
      <c r="BQ152" s="7">
        <v>3764.12485338133</v>
      </c>
      <c r="BR152" s="7">
        <v>66312.271778829701</v>
      </c>
      <c r="BS152" s="7">
        <v>3764.12485338133</v>
      </c>
      <c r="BT152" s="7">
        <v>260586.139143115</v>
      </c>
      <c r="BU152" s="7">
        <v>7639.4372684109803</v>
      </c>
      <c r="BV152" s="7">
        <f t="shared" si="203"/>
        <v>73840.52148559237</v>
      </c>
      <c r="BX152" s="28">
        <v>6</v>
      </c>
      <c r="BY152" s="26">
        <v>5.0000000000000002E-5</v>
      </c>
      <c r="BZ152" s="28">
        <v>0.5</v>
      </c>
      <c r="CA152" s="28">
        <v>200</v>
      </c>
      <c r="CB152" s="26">
        <v>2.4999999999999999E-7</v>
      </c>
      <c r="CC152" s="26">
        <f t="shared" si="204"/>
        <v>1.2499999999999999E-7</v>
      </c>
      <c r="CD152" s="26">
        <f t="shared" si="205"/>
        <v>4.9999999999999992E-3</v>
      </c>
      <c r="CE152" s="7">
        <v>1.2985698472713501</v>
      </c>
      <c r="CF152" s="7">
        <v>752.82497001808497</v>
      </c>
      <c r="CG152" s="7">
        <v>13262.454287861299</v>
      </c>
      <c r="CH152" s="7">
        <v>752.82497001808497</v>
      </c>
      <c r="CI152" s="7">
        <v>52117.228063280199</v>
      </c>
      <c r="CJ152" s="7">
        <v>305.57749073643902</v>
      </c>
      <c r="CK152" s="7">
        <f t="shared" si="206"/>
        <v>14768.104227897471</v>
      </c>
      <c r="CM152" s="28">
        <v>6</v>
      </c>
      <c r="CN152" s="26">
        <v>5.0000000000000002E-5</v>
      </c>
      <c r="CO152" s="28">
        <v>1</v>
      </c>
      <c r="CP152" s="28">
        <v>200</v>
      </c>
      <c r="CQ152" s="26">
        <v>2.4999999999999999E-7</v>
      </c>
      <c r="CR152" s="26">
        <f t="shared" si="207"/>
        <v>2.4999999999999999E-7</v>
      </c>
      <c r="CS152" s="26">
        <f t="shared" si="208"/>
        <v>9.9999999999999985E-3</v>
      </c>
      <c r="CT152" s="7">
        <v>2.3905357616262202</v>
      </c>
      <c r="CU152" s="7">
        <v>665.23311259709499</v>
      </c>
      <c r="CV152" s="7">
        <v>6631.2271439306596</v>
      </c>
      <c r="CW152" s="7">
        <v>665.23311259709499</v>
      </c>
      <c r="CX152" s="7">
        <v>26058.6140316401</v>
      </c>
      <c r="CY152" s="7">
        <v>305.57749073643902</v>
      </c>
      <c r="CZ152" s="7">
        <f t="shared" si="209"/>
        <v>7961.6933691248496</v>
      </c>
      <c r="DB152" s="28">
        <v>6</v>
      </c>
      <c r="DC152" s="26">
        <v>5.0000000000000002E-5</v>
      </c>
      <c r="DD152" s="28">
        <v>2</v>
      </c>
      <c r="DE152" s="28">
        <v>200</v>
      </c>
      <c r="DF152" s="26">
        <v>2.4999999999999999E-7</v>
      </c>
      <c r="DG152" s="26">
        <f t="shared" si="210"/>
        <v>4.9999999999999998E-7</v>
      </c>
      <c r="DH152" s="26">
        <f t="shared" si="211"/>
        <v>1.9999999999999997E-2</v>
      </c>
      <c r="DI152" s="7">
        <v>4.2171514554549301</v>
      </c>
      <c r="DJ152" s="7">
        <v>578.22973015081095</v>
      </c>
      <c r="DK152" s="7">
        <v>3315.6135719653298</v>
      </c>
      <c r="DL152" s="7">
        <v>578.22973015081095</v>
      </c>
      <c r="DM152" s="7">
        <v>13029.307015820101</v>
      </c>
      <c r="DN152" s="7">
        <v>305.57749073643902</v>
      </c>
      <c r="DO152" s="7">
        <f t="shared" si="212"/>
        <v>4472.0730322669515</v>
      </c>
      <c r="DQ152" s="28">
        <v>6</v>
      </c>
      <c r="DR152" s="26">
        <v>5.0000000000000002E-5</v>
      </c>
      <c r="DS152" s="28">
        <v>15</v>
      </c>
      <c r="DT152" s="28">
        <v>300</v>
      </c>
      <c r="DU152" s="26">
        <v>9.9999999999999995E-8</v>
      </c>
      <c r="DV152" s="26">
        <f t="shared" si="213"/>
        <v>1.5E-6</v>
      </c>
      <c r="DW152" s="26">
        <f t="shared" si="214"/>
        <v>0.06</v>
      </c>
      <c r="DX152" s="7">
        <v>22.229040653277401</v>
      </c>
      <c r="DY152" s="7">
        <v>254.539230510376</v>
      </c>
      <c r="DZ152" s="7">
        <v>442.08180959537702</v>
      </c>
      <c r="EA152" s="7">
        <v>254.539230510376</v>
      </c>
      <c r="EB152" s="7">
        <v>1737.24093544267</v>
      </c>
      <c r="EC152" s="7">
        <v>101.859163578813</v>
      </c>
      <c r="ED152" s="7">
        <f t="shared" si="215"/>
        <v>951.16027061612908</v>
      </c>
    </row>
    <row r="153" spans="1:134" x14ac:dyDescent="0.4">
      <c r="A153" s="28">
        <v>8</v>
      </c>
      <c r="B153" s="26">
        <v>1.0000000000000001E-5</v>
      </c>
      <c r="C153" s="28">
        <v>0.2</v>
      </c>
      <c r="D153" s="28">
        <v>30</v>
      </c>
      <c r="E153" s="26">
        <v>2.4999999999999999E-7</v>
      </c>
      <c r="F153" s="26">
        <f t="shared" si="189"/>
        <v>4.9999999999999998E-8</v>
      </c>
      <c r="G153" s="26">
        <f t="shared" si="190"/>
        <v>9.9999999999999985E-3</v>
      </c>
      <c r="H153" s="7">
        <v>0.64177925757549603</v>
      </c>
      <c r="I153" s="7">
        <v>20967.675665585699</v>
      </c>
      <c r="J153" s="7">
        <v>100396.196898707</v>
      </c>
      <c r="K153" s="7">
        <v>20967.675665585699</v>
      </c>
      <c r="L153" s="7">
        <v>821154.82400854595</v>
      </c>
      <c r="M153" s="7">
        <v>7639.4372684109803</v>
      </c>
      <c r="N153" s="7">
        <f t="shared" si="191"/>
        <v>142331.54822987839</v>
      </c>
      <c r="P153" s="28">
        <v>8</v>
      </c>
      <c r="Q153" s="26">
        <v>3.0000000000000001E-5</v>
      </c>
      <c r="R153" s="28">
        <v>0.2</v>
      </c>
      <c r="S153" s="28">
        <v>30</v>
      </c>
      <c r="T153" s="26">
        <v>2.4999999999999999E-7</v>
      </c>
      <c r="U153" s="26">
        <f t="shared" si="192"/>
        <v>4.9999999999999998E-8</v>
      </c>
      <c r="V153" s="26">
        <f t="shared" si="193"/>
        <v>3.3333333333333331E-3</v>
      </c>
      <c r="W153" s="7">
        <v>0.67898094248169405</v>
      </c>
      <c r="X153" s="7">
        <v>6989.2252213633501</v>
      </c>
      <c r="Y153" s="7">
        <v>33465.398947511501</v>
      </c>
      <c r="Z153" s="7">
        <v>6989.2252213633501</v>
      </c>
      <c r="AA153" s="7">
        <v>273718.27480960399</v>
      </c>
      <c r="AB153" s="7">
        <v>848.82636315677496</v>
      </c>
      <c r="AC153" s="7">
        <f t="shared" si="194"/>
        <v>47443.849390238196</v>
      </c>
      <c r="AE153" s="28">
        <v>8</v>
      </c>
      <c r="AF153" s="26">
        <v>5.0000000000000002E-5</v>
      </c>
      <c r="AG153" s="28">
        <v>0.2</v>
      </c>
      <c r="AH153" s="28">
        <v>30</v>
      </c>
      <c r="AI153" s="26">
        <v>2.4999999999999999E-7</v>
      </c>
      <c r="AJ153" s="26">
        <f t="shared" si="195"/>
        <v>4.9999999999999998E-8</v>
      </c>
      <c r="AK153" s="26">
        <f t="shared" si="196"/>
        <v>1.9999999999999996E-3</v>
      </c>
      <c r="AL153" s="7">
        <v>0.68704681099043796</v>
      </c>
      <c r="AM153" s="7">
        <v>4193.5351285970401</v>
      </c>
      <c r="AN153" s="7">
        <v>20079.239209979802</v>
      </c>
      <c r="AO153" s="7">
        <v>4193.5351285970401</v>
      </c>
      <c r="AP153" s="7">
        <v>164230.96607182099</v>
      </c>
      <c r="AQ153" s="7">
        <v>305.57749073643902</v>
      </c>
      <c r="AR153" s="7">
        <f t="shared" si="197"/>
        <v>28466.30946717388</v>
      </c>
      <c r="AT153" s="28">
        <v>8</v>
      </c>
      <c r="AU153" s="26">
        <v>1.0000000000000001E-5</v>
      </c>
      <c r="AV153" s="28">
        <v>0.2</v>
      </c>
      <c r="AW153" s="28">
        <v>200</v>
      </c>
      <c r="AX153" s="26">
        <v>2.4999999999999999E-7</v>
      </c>
      <c r="AY153" s="26">
        <f t="shared" si="198"/>
        <v>4.9999999999999998E-8</v>
      </c>
      <c r="AZ153" s="26">
        <f t="shared" si="199"/>
        <v>9.9999999999999985E-3</v>
      </c>
      <c r="BA153" s="7">
        <v>0.785709710126681</v>
      </c>
      <c r="BB153" s="7">
        <v>4345.3623253436699</v>
      </c>
      <c r="BC153" s="7">
        <v>100396.196898707</v>
      </c>
      <c r="BD153" s="7">
        <v>4345.3623253436699</v>
      </c>
      <c r="BE153" s="7">
        <v>821154.82400854595</v>
      </c>
      <c r="BF153" s="7">
        <v>7639.4372684109803</v>
      </c>
      <c r="BG153" s="7">
        <f t="shared" si="200"/>
        <v>109086.92154939433</v>
      </c>
      <c r="BI153" s="28">
        <v>8</v>
      </c>
      <c r="BJ153" s="26">
        <v>1.0000000000000001E-5</v>
      </c>
      <c r="BK153" s="28">
        <v>0.5</v>
      </c>
      <c r="BL153" s="28">
        <v>200</v>
      </c>
      <c r="BM153" s="26">
        <v>2.4999999999999999E-7</v>
      </c>
      <c r="BN153" s="26">
        <f t="shared" si="201"/>
        <v>1.2499999999999999E-7</v>
      </c>
      <c r="BO153" s="26">
        <f t="shared" si="202"/>
        <v>2.4999999999999998E-2</v>
      </c>
      <c r="BP153" s="7">
        <v>1.60612773688446</v>
      </c>
      <c r="BQ153" s="7">
        <v>3764.12485338133</v>
      </c>
      <c r="BR153" s="7">
        <v>40158.478759482699</v>
      </c>
      <c r="BS153" s="7">
        <v>3764.12485338133</v>
      </c>
      <c r="BT153" s="7">
        <v>328461.92960341799</v>
      </c>
      <c r="BU153" s="7">
        <v>7639.4372684109803</v>
      </c>
      <c r="BV153" s="7">
        <f t="shared" si="203"/>
        <v>47686.728466245353</v>
      </c>
      <c r="BX153" s="28">
        <v>8</v>
      </c>
      <c r="BY153" s="26">
        <v>5.0000000000000002E-5</v>
      </c>
      <c r="BZ153" s="28">
        <v>0.5</v>
      </c>
      <c r="CA153" s="28">
        <v>200</v>
      </c>
      <c r="CB153" s="26">
        <v>2.4999999999999999E-7</v>
      </c>
      <c r="CC153" s="26">
        <f t="shared" si="204"/>
        <v>1.2499999999999999E-7</v>
      </c>
      <c r="CD153" s="26">
        <f t="shared" si="205"/>
        <v>4.9999999999999992E-3</v>
      </c>
      <c r="CE153" s="7">
        <v>1.9307835823775901</v>
      </c>
      <c r="CF153" s="7">
        <v>752.82497001808497</v>
      </c>
      <c r="CG153" s="7">
        <v>8031.6956839919103</v>
      </c>
      <c r="CH153" s="7">
        <v>752.82497001808497</v>
      </c>
      <c r="CI153" s="7">
        <v>65692.386428728598</v>
      </c>
      <c r="CJ153" s="7">
        <v>305.57749073643902</v>
      </c>
      <c r="CK153" s="7">
        <f t="shared" si="206"/>
        <v>9537.3456240280793</v>
      </c>
      <c r="CM153" s="28">
        <v>8</v>
      </c>
      <c r="CN153" s="26">
        <v>5.0000000000000002E-5</v>
      </c>
      <c r="CO153" s="28">
        <v>1</v>
      </c>
      <c r="CP153" s="28">
        <v>200</v>
      </c>
      <c r="CQ153" s="26">
        <v>2.4999999999999999E-7</v>
      </c>
      <c r="CR153" s="26">
        <f t="shared" si="207"/>
        <v>2.4999999999999999E-7</v>
      </c>
      <c r="CS153" s="26">
        <f t="shared" si="208"/>
        <v>9.9999999999999985E-3</v>
      </c>
      <c r="CT153" s="7">
        <v>3.3656813198346098</v>
      </c>
      <c r="CU153" s="7">
        <v>665.23311259709499</v>
      </c>
      <c r="CV153" s="7">
        <v>4015.8478419959501</v>
      </c>
      <c r="CW153" s="7">
        <v>665.23311259709499</v>
      </c>
      <c r="CX153" s="7">
        <v>32846.193214364299</v>
      </c>
      <c r="CY153" s="7">
        <v>305.57749073643902</v>
      </c>
      <c r="CZ153" s="7">
        <f t="shared" si="209"/>
        <v>5346.3140671901401</v>
      </c>
      <c r="DB153" s="28">
        <v>8</v>
      </c>
      <c r="DC153" s="26">
        <v>5.0000000000000002E-5</v>
      </c>
      <c r="DD153" s="28">
        <v>2</v>
      </c>
      <c r="DE153" s="28">
        <v>200</v>
      </c>
      <c r="DF153" s="26">
        <v>2.4999999999999999E-7</v>
      </c>
      <c r="DG153" s="26">
        <f t="shared" si="210"/>
        <v>4.9999999999999998E-7</v>
      </c>
      <c r="DH153" s="26">
        <f t="shared" si="211"/>
        <v>1.9999999999999997E-2</v>
      </c>
      <c r="DI153" s="7">
        <v>5.5288549965930001</v>
      </c>
      <c r="DJ153" s="7">
        <v>578.22973015081095</v>
      </c>
      <c r="DK153" s="7">
        <v>2007.9239209979801</v>
      </c>
      <c r="DL153" s="7">
        <v>578.22973015081095</v>
      </c>
      <c r="DM153" s="7">
        <v>16423.096607182099</v>
      </c>
      <c r="DN153" s="7">
        <v>305.57749073643902</v>
      </c>
      <c r="DO153" s="7">
        <f t="shared" si="212"/>
        <v>3164.3833812996022</v>
      </c>
      <c r="DQ153" s="28">
        <v>8</v>
      </c>
      <c r="DR153" s="26">
        <v>5.0000000000000002E-5</v>
      </c>
      <c r="DS153" s="28">
        <v>15</v>
      </c>
      <c r="DT153" s="28">
        <v>300</v>
      </c>
      <c r="DU153" s="26">
        <v>9.9999999999999995E-8</v>
      </c>
      <c r="DV153" s="26">
        <f t="shared" si="213"/>
        <v>1.5E-6</v>
      </c>
      <c r="DW153" s="26">
        <f t="shared" si="214"/>
        <v>0.06</v>
      </c>
      <c r="DX153" s="7">
        <v>25.060666256563302</v>
      </c>
      <c r="DY153" s="7">
        <v>254.539230510376</v>
      </c>
      <c r="DZ153" s="7">
        <v>267.723189466397</v>
      </c>
      <c r="EA153" s="7">
        <v>254.539230510376</v>
      </c>
      <c r="EB153" s="7">
        <v>2189.7462142909499</v>
      </c>
      <c r="EC153" s="7">
        <v>101.859163578813</v>
      </c>
      <c r="ED153" s="7">
        <f t="shared" si="215"/>
        <v>776.801650487149</v>
      </c>
    </row>
    <row r="154" spans="1:134" x14ac:dyDescent="0.4">
      <c r="A154" s="28">
        <v>10</v>
      </c>
      <c r="B154" s="26">
        <v>1.0000000000000001E-5</v>
      </c>
      <c r="C154" s="28">
        <v>0.2</v>
      </c>
      <c r="D154" s="28">
        <v>30</v>
      </c>
      <c r="E154" s="26">
        <v>2.4999999999999999E-7</v>
      </c>
      <c r="F154" s="26">
        <f t="shared" si="189"/>
        <v>4.9999999999999998E-8</v>
      </c>
      <c r="G154" s="26">
        <f t="shared" si="190"/>
        <v>9.9999999999999985E-3</v>
      </c>
      <c r="H154" s="7">
        <v>0.91335031292528901</v>
      </c>
      <c r="I154" s="7">
        <v>20967.675665585699</v>
      </c>
      <c r="J154" s="7">
        <v>53826.312121005001</v>
      </c>
      <c r="K154" s="7">
        <v>20967.675665585699</v>
      </c>
      <c r="L154" s="7">
        <v>1014751.21705289</v>
      </c>
      <c r="M154" s="7">
        <v>7639.4372684109803</v>
      </c>
      <c r="N154" s="7">
        <f t="shared" si="191"/>
        <v>95761.663452176406</v>
      </c>
      <c r="P154" s="28">
        <v>10</v>
      </c>
      <c r="Q154" s="26">
        <v>3.0000000000000001E-5</v>
      </c>
      <c r="R154" s="28">
        <v>0.2</v>
      </c>
      <c r="S154" s="28">
        <v>30</v>
      </c>
      <c r="T154" s="26">
        <v>2.4999999999999999E-7</v>
      </c>
      <c r="U154" s="26">
        <f t="shared" si="192"/>
        <v>4.9999999999999998E-8</v>
      </c>
      <c r="V154" s="26">
        <f t="shared" si="193"/>
        <v>3.3333333333333331E-3</v>
      </c>
      <c r="W154" s="7">
        <v>0.99649666551749205</v>
      </c>
      <c r="X154" s="7">
        <v>6989.2252213633501</v>
      </c>
      <c r="Y154" s="7">
        <v>17942.1040216109</v>
      </c>
      <c r="Z154" s="7">
        <v>6989.2252213633501</v>
      </c>
      <c r="AA154" s="7">
        <v>338250.40599296999</v>
      </c>
      <c r="AB154" s="7">
        <v>848.82636315677496</v>
      </c>
      <c r="AC154" s="7">
        <f t="shared" si="194"/>
        <v>31920.554464337602</v>
      </c>
      <c r="AE154" s="28">
        <v>10</v>
      </c>
      <c r="AF154" s="26">
        <v>5.0000000000000002E-5</v>
      </c>
      <c r="AG154" s="28">
        <v>0.2</v>
      </c>
      <c r="AH154" s="28">
        <v>30</v>
      </c>
      <c r="AI154" s="26">
        <v>2.4999999999999999E-7</v>
      </c>
      <c r="AJ154" s="26">
        <f t="shared" si="195"/>
        <v>4.9999999999999998E-8</v>
      </c>
      <c r="AK154" s="26">
        <f t="shared" si="196"/>
        <v>1.9999999999999996E-3</v>
      </c>
      <c r="AL154" s="7">
        <v>1.0151828794618301</v>
      </c>
      <c r="AM154" s="7">
        <v>4193.5351285970401</v>
      </c>
      <c r="AN154" s="7">
        <v>10765.2622544394</v>
      </c>
      <c r="AO154" s="7">
        <v>4193.5351285970401</v>
      </c>
      <c r="AP154" s="7">
        <v>202950.24620916101</v>
      </c>
      <c r="AQ154" s="7">
        <v>305.57749073643902</v>
      </c>
      <c r="AR154" s="7">
        <f t="shared" si="197"/>
        <v>19152.332511633478</v>
      </c>
      <c r="AT154" s="28">
        <v>10</v>
      </c>
      <c r="AU154" s="26">
        <v>1.0000000000000001E-5</v>
      </c>
      <c r="AV154" s="28">
        <v>0.2</v>
      </c>
      <c r="AW154" s="28">
        <v>200</v>
      </c>
      <c r="AX154" s="26">
        <v>2.4999999999999999E-7</v>
      </c>
      <c r="AY154" s="26">
        <f t="shared" si="198"/>
        <v>4.9999999999999998E-8</v>
      </c>
      <c r="AZ154" s="26">
        <f t="shared" si="199"/>
        <v>9.9999999999999985E-3</v>
      </c>
      <c r="BA154" s="7">
        <v>1.2651565923555701</v>
      </c>
      <c r="BB154" s="7">
        <v>4345.3623253436699</v>
      </c>
      <c r="BC154" s="7">
        <v>53826.312121005001</v>
      </c>
      <c r="BD154" s="7">
        <v>4345.3623253436699</v>
      </c>
      <c r="BE154" s="7">
        <v>1014751.21705289</v>
      </c>
      <c r="BF154" s="7">
        <v>7639.4372684109803</v>
      </c>
      <c r="BG154" s="7">
        <f t="shared" si="200"/>
        <v>62517.036771692336</v>
      </c>
      <c r="BI154" s="28">
        <v>10</v>
      </c>
      <c r="BJ154" s="26">
        <v>1.0000000000000001E-5</v>
      </c>
      <c r="BK154" s="28">
        <v>0.5</v>
      </c>
      <c r="BL154" s="28">
        <v>200</v>
      </c>
      <c r="BM154" s="26">
        <v>2.4999999999999999E-7</v>
      </c>
      <c r="BN154" s="26">
        <f t="shared" si="201"/>
        <v>1.2499999999999999E-7</v>
      </c>
      <c r="BO154" s="26">
        <f t="shared" si="202"/>
        <v>2.4999999999999998E-2</v>
      </c>
      <c r="BP154" s="7">
        <v>2.2870228301623201</v>
      </c>
      <c r="BQ154" s="7">
        <v>3764.12485338133</v>
      </c>
      <c r="BR154" s="7">
        <v>21530.524848402001</v>
      </c>
      <c r="BS154" s="7">
        <v>3764.12485338133</v>
      </c>
      <c r="BT154" s="7">
        <v>405900.48682115501</v>
      </c>
      <c r="BU154" s="7">
        <v>7639.4372684109803</v>
      </c>
      <c r="BV154" s="7">
        <f t="shared" si="203"/>
        <v>29058.774555164662</v>
      </c>
      <c r="BX154" s="28">
        <v>10</v>
      </c>
      <c r="BY154" s="26">
        <v>5.0000000000000002E-5</v>
      </c>
      <c r="BZ154" s="28">
        <v>0.5</v>
      </c>
      <c r="CA154" s="28">
        <v>200</v>
      </c>
      <c r="CB154" s="26">
        <v>2.4999999999999999E-7</v>
      </c>
      <c r="CC154" s="26">
        <f t="shared" si="204"/>
        <v>1.2499999999999999E-7</v>
      </c>
      <c r="CD154" s="26">
        <f t="shared" si="205"/>
        <v>4.9999999999999992E-3</v>
      </c>
      <c r="CE154" s="7">
        <v>3.0717656085146499</v>
      </c>
      <c r="CF154" s="7">
        <v>752.82497001808497</v>
      </c>
      <c r="CG154" s="7">
        <v>4306.1049017757796</v>
      </c>
      <c r="CH154" s="7">
        <v>752.82497001808497</v>
      </c>
      <c r="CI154" s="7">
        <v>81180.098483664406</v>
      </c>
      <c r="CJ154" s="7">
        <v>305.57749073643902</v>
      </c>
      <c r="CK154" s="7">
        <f t="shared" si="206"/>
        <v>5811.7548418119495</v>
      </c>
      <c r="CM154" s="28">
        <v>10</v>
      </c>
      <c r="CN154" s="26">
        <v>5.0000000000000002E-5</v>
      </c>
      <c r="CO154" s="28">
        <v>1</v>
      </c>
      <c r="CP154" s="28">
        <v>200</v>
      </c>
      <c r="CQ154" s="26">
        <v>2.4999999999999999E-7</v>
      </c>
      <c r="CR154" s="26">
        <f t="shared" si="207"/>
        <v>2.4999999999999999E-7</v>
      </c>
      <c r="CS154" s="26">
        <f t="shared" si="208"/>
        <v>9.9999999999999985E-3</v>
      </c>
      <c r="CT154" s="7">
        <v>4.9155333662903997</v>
      </c>
      <c r="CU154" s="7">
        <v>665.23311259709499</v>
      </c>
      <c r="CV154" s="7">
        <v>2153.0524508878898</v>
      </c>
      <c r="CW154" s="7">
        <v>665.23311259709499</v>
      </c>
      <c r="CX154" s="7">
        <v>40590.049241832203</v>
      </c>
      <c r="CY154" s="7">
        <v>305.57749073643902</v>
      </c>
      <c r="CZ154" s="7">
        <f t="shared" si="209"/>
        <v>3483.5186760820798</v>
      </c>
      <c r="DB154" s="28">
        <v>10</v>
      </c>
      <c r="DC154" s="26">
        <v>5.0000000000000002E-5</v>
      </c>
      <c r="DD154" s="28">
        <v>2</v>
      </c>
      <c r="DE154" s="28">
        <v>200</v>
      </c>
      <c r="DF154" s="26">
        <v>2.4999999999999999E-7</v>
      </c>
      <c r="DG154" s="26">
        <f t="shared" si="210"/>
        <v>4.9999999999999998E-7</v>
      </c>
      <c r="DH154" s="26">
        <f t="shared" si="211"/>
        <v>1.9999999999999997E-2</v>
      </c>
      <c r="DI154" s="7">
        <v>7.3292154032298802</v>
      </c>
      <c r="DJ154" s="7">
        <v>578.22973015081095</v>
      </c>
      <c r="DK154" s="7">
        <v>1076.5262254439399</v>
      </c>
      <c r="DL154" s="7">
        <v>578.22973015081095</v>
      </c>
      <c r="DM154" s="7">
        <v>20295.024620916101</v>
      </c>
      <c r="DN154" s="7">
        <v>305.57749073643902</v>
      </c>
      <c r="DO154" s="7">
        <f t="shared" si="212"/>
        <v>2232.985685745562</v>
      </c>
      <c r="DQ154" s="28">
        <v>10</v>
      </c>
      <c r="DR154" s="26">
        <v>5.0000000000000002E-5</v>
      </c>
      <c r="DS154" s="28">
        <v>15</v>
      </c>
      <c r="DT154" s="28">
        <v>300</v>
      </c>
      <c r="DU154" s="26">
        <v>9.9999999999999995E-8</v>
      </c>
      <c r="DV154" s="26">
        <f t="shared" si="213"/>
        <v>1.5E-6</v>
      </c>
      <c r="DW154" s="26">
        <f t="shared" si="214"/>
        <v>0.06</v>
      </c>
      <c r="DX154" s="7">
        <v>28.1069763639514</v>
      </c>
      <c r="DY154" s="7">
        <v>254.539230510376</v>
      </c>
      <c r="DZ154" s="7">
        <v>143.53683005919299</v>
      </c>
      <c r="EA154" s="7">
        <v>254.539230510376</v>
      </c>
      <c r="EB154" s="7">
        <v>2706.0032827888099</v>
      </c>
      <c r="EC154" s="7">
        <v>101.859163578813</v>
      </c>
      <c r="ED154" s="7">
        <f t="shared" si="215"/>
        <v>652.615291079945</v>
      </c>
    </row>
    <row r="155" spans="1:134" x14ac:dyDescent="0.4">
      <c r="A155" s="28">
        <v>12</v>
      </c>
      <c r="B155" s="26">
        <v>1.0000000000000001E-5</v>
      </c>
      <c r="C155" s="28">
        <v>0.2</v>
      </c>
      <c r="D155" s="28">
        <v>30</v>
      </c>
      <c r="E155" s="26">
        <v>2.4999999999999999E-7</v>
      </c>
      <c r="F155" s="26">
        <f t="shared" si="189"/>
        <v>4.9999999999999998E-8</v>
      </c>
      <c r="G155" s="26">
        <f t="shared" si="190"/>
        <v>9.9999999999999985E-3</v>
      </c>
      <c r="H155" s="7">
        <v>1.36646493036346</v>
      </c>
      <c r="I155" s="7">
        <v>20967.675665585699</v>
      </c>
      <c r="J155" s="7">
        <v>18265.061724746</v>
      </c>
      <c r="K155" s="7">
        <v>20967.675665585699</v>
      </c>
      <c r="L155" s="7">
        <v>1222830.0672564299</v>
      </c>
      <c r="M155" s="7">
        <v>7639.4372684109803</v>
      </c>
      <c r="N155" s="7">
        <f t="shared" si="191"/>
        <v>60200.413055917394</v>
      </c>
      <c r="P155" s="28">
        <v>12</v>
      </c>
      <c r="Q155" s="26">
        <v>3.0000000000000001E-5</v>
      </c>
      <c r="R155" s="28">
        <v>0.2</v>
      </c>
      <c r="S155" s="28">
        <v>30</v>
      </c>
      <c r="T155" s="26">
        <v>2.4999999999999999E-7</v>
      </c>
      <c r="U155" s="26">
        <f t="shared" si="192"/>
        <v>4.9999999999999998E-8</v>
      </c>
      <c r="V155" s="26">
        <f t="shared" si="193"/>
        <v>3.3333333333333331E-3</v>
      </c>
      <c r="W155" s="7">
        <v>1.5672435333300201</v>
      </c>
      <c r="X155" s="7">
        <v>6989.2252213633501</v>
      </c>
      <c r="Y155" s="7">
        <v>6088.3538895246002</v>
      </c>
      <c r="Z155" s="7">
        <v>6989.2252213633501</v>
      </c>
      <c r="AA155" s="7">
        <v>407610.02322415198</v>
      </c>
      <c r="AB155" s="7">
        <v>848.82636315677496</v>
      </c>
      <c r="AC155" s="7">
        <f t="shared" si="194"/>
        <v>20066.8043322513</v>
      </c>
      <c r="AE155" s="28">
        <v>12</v>
      </c>
      <c r="AF155" s="26">
        <v>5.0000000000000002E-5</v>
      </c>
      <c r="AG155" s="28">
        <v>0.2</v>
      </c>
      <c r="AH155" s="28">
        <v>30</v>
      </c>
      <c r="AI155" s="26">
        <v>2.4999999999999999E-7</v>
      </c>
      <c r="AJ155" s="26">
        <f t="shared" si="195"/>
        <v>4.9999999999999998E-8</v>
      </c>
      <c r="AK155" s="26">
        <f t="shared" si="196"/>
        <v>1.9999999999999996E-3</v>
      </c>
      <c r="AL155" s="7">
        <v>1.6151586292333899</v>
      </c>
      <c r="AM155" s="7">
        <v>4193.5351285970401</v>
      </c>
      <c r="AN155" s="7">
        <v>3653.01217518762</v>
      </c>
      <c r="AO155" s="7">
        <v>4193.5351285970401</v>
      </c>
      <c r="AP155" s="7">
        <v>244566.02075291699</v>
      </c>
      <c r="AQ155" s="7">
        <v>305.57749073643902</v>
      </c>
      <c r="AR155" s="7">
        <f t="shared" si="197"/>
        <v>12040.0824323817</v>
      </c>
      <c r="AT155" s="28">
        <v>12</v>
      </c>
      <c r="AU155" s="26">
        <v>1.0000000000000001E-5</v>
      </c>
      <c r="AV155" s="28">
        <v>0.2</v>
      </c>
      <c r="AW155" s="28">
        <v>200</v>
      </c>
      <c r="AX155" s="26">
        <v>2.4999999999999999E-7</v>
      </c>
      <c r="AY155" s="26">
        <f t="shared" si="198"/>
        <v>4.9999999999999998E-8</v>
      </c>
      <c r="AZ155" s="26">
        <f t="shared" si="199"/>
        <v>9.9999999999999985E-3</v>
      </c>
      <c r="BA155" s="7">
        <v>2.3795335458311802</v>
      </c>
      <c r="BB155" s="7">
        <v>4345.3623253436699</v>
      </c>
      <c r="BC155" s="7">
        <v>18265.061724746</v>
      </c>
      <c r="BD155" s="7">
        <v>4345.3623253436699</v>
      </c>
      <c r="BE155" s="7">
        <v>1222830.0672564299</v>
      </c>
      <c r="BF155" s="7">
        <v>7639.4372684109803</v>
      </c>
      <c r="BG155" s="7">
        <f t="shared" si="200"/>
        <v>26955.786375433341</v>
      </c>
      <c r="BI155" s="28">
        <v>12</v>
      </c>
      <c r="BJ155" s="26">
        <v>1.0000000000000001E-5</v>
      </c>
      <c r="BK155" s="28">
        <v>0.5</v>
      </c>
      <c r="BL155" s="28">
        <v>200</v>
      </c>
      <c r="BM155" s="26">
        <v>2.4999999999999999E-7</v>
      </c>
      <c r="BN155" s="26">
        <f t="shared" si="201"/>
        <v>1.2499999999999999E-7</v>
      </c>
      <c r="BO155" s="26">
        <f t="shared" si="202"/>
        <v>2.4999999999999998E-2</v>
      </c>
      <c r="BP155" s="7">
        <v>3.4245570314003801</v>
      </c>
      <c r="BQ155" s="7">
        <v>3764.12485338133</v>
      </c>
      <c r="BR155" s="7">
        <v>7306.0246898983996</v>
      </c>
      <c r="BS155" s="7">
        <v>3764.12485338133</v>
      </c>
      <c r="BT155" s="7">
        <v>489132.02690256998</v>
      </c>
      <c r="BU155" s="7">
        <v>7639.4372684109803</v>
      </c>
      <c r="BV155" s="7">
        <f t="shared" si="203"/>
        <v>14834.27439666106</v>
      </c>
      <c r="BX155" s="28">
        <v>12</v>
      </c>
      <c r="BY155" s="26">
        <v>5.0000000000000002E-5</v>
      </c>
      <c r="BZ155" s="28">
        <v>0.5</v>
      </c>
      <c r="CA155" s="28">
        <v>200</v>
      </c>
      <c r="CB155" s="26">
        <v>2.4999999999999999E-7</v>
      </c>
      <c r="CC155" s="26">
        <f t="shared" si="204"/>
        <v>1.2499999999999999E-7</v>
      </c>
      <c r="CD155" s="26">
        <f t="shared" si="205"/>
        <v>4.9999999999999992E-3</v>
      </c>
      <c r="CE155" s="7">
        <v>5.6286396345270804</v>
      </c>
      <c r="CF155" s="7">
        <v>752.82497001808497</v>
      </c>
      <c r="CG155" s="7">
        <v>1461.2048700750499</v>
      </c>
      <c r="CH155" s="7">
        <v>752.82497001808497</v>
      </c>
      <c r="CI155" s="7">
        <v>97826.408301166695</v>
      </c>
      <c r="CJ155" s="7">
        <v>305.57749073643902</v>
      </c>
      <c r="CK155" s="7">
        <f t="shared" si="206"/>
        <v>2966.8548101112201</v>
      </c>
      <c r="CM155" s="28">
        <v>12</v>
      </c>
      <c r="CN155" s="26">
        <v>5.0000000000000002E-5</v>
      </c>
      <c r="CO155" s="28">
        <v>1</v>
      </c>
      <c r="CP155" s="28">
        <v>200</v>
      </c>
      <c r="CQ155" s="26">
        <v>2.4999999999999999E-7</v>
      </c>
      <c r="CR155" s="26">
        <f t="shared" si="207"/>
        <v>2.4999999999999999E-7</v>
      </c>
      <c r="CS155" s="26">
        <f t="shared" si="208"/>
        <v>9.9999999999999985E-3</v>
      </c>
      <c r="CT155" s="7">
        <v>7.6678272876984703</v>
      </c>
      <c r="CU155" s="7">
        <v>665.23311259709499</v>
      </c>
      <c r="CV155" s="7">
        <v>730.60243503752497</v>
      </c>
      <c r="CW155" s="7">
        <v>665.23311259709499</v>
      </c>
      <c r="CX155" s="7">
        <v>48913.204150583399</v>
      </c>
      <c r="CY155" s="7">
        <v>305.57749073643902</v>
      </c>
      <c r="CZ155" s="7">
        <f t="shared" si="209"/>
        <v>2061.0686602317151</v>
      </c>
      <c r="DB155" s="28">
        <v>12</v>
      </c>
      <c r="DC155" s="26">
        <v>5.0000000000000002E-5</v>
      </c>
      <c r="DD155" s="28">
        <v>2</v>
      </c>
      <c r="DE155" s="28">
        <v>200</v>
      </c>
      <c r="DF155" s="26">
        <v>2.4999999999999999E-7</v>
      </c>
      <c r="DG155" s="26">
        <f t="shared" si="210"/>
        <v>4.9999999999999998E-7</v>
      </c>
      <c r="DH155" s="26">
        <f t="shared" si="211"/>
        <v>1.9999999999999997E-2</v>
      </c>
      <c r="DI155" s="7">
        <v>9.9034123228032893</v>
      </c>
      <c r="DJ155" s="7">
        <v>578.22973015081095</v>
      </c>
      <c r="DK155" s="7">
        <v>365.301217518763</v>
      </c>
      <c r="DL155" s="7">
        <v>578.22973015081095</v>
      </c>
      <c r="DM155" s="7">
        <v>24456.602075291699</v>
      </c>
      <c r="DN155" s="7">
        <v>305.57749073643902</v>
      </c>
      <c r="DO155" s="7">
        <f t="shared" si="212"/>
        <v>1521.7606778203849</v>
      </c>
      <c r="DQ155" s="28">
        <v>12</v>
      </c>
      <c r="DR155" s="26">
        <v>5.0000000000000002E-5</v>
      </c>
      <c r="DS155" s="28">
        <v>15</v>
      </c>
      <c r="DT155" s="28">
        <v>300</v>
      </c>
      <c r="DU155" s="26">
        <v>9.9999999999999995E-8</v>
      </c>
      <c r="DV155" s="26">
        <f t="shared" si="213"/>
        <v>1.5E-6</v>
      </c>
      <c r="DW155" s="26">
        <f t="shared" si="214"/>
        <v>0.06</v>
      </c>
      <c r="DX155" s="7">
        <v>31.471750032550201</v>
      </c>
      <c r="DY155" s="7">
        <v>254.539230510376</v>
      </c>
      <c r="DZ155" s="7">
        <v>48.7068290025016</v>
      </c>
      <c r="EA155" s="7">
        <v>254.539230510376</v>
      </c>
      <c r="EB155" s="7">
        <v>3260.8802767055599</v>
      </c>
      <c r="EC155" s="7">
        <v>101.859163578813</v>
      </c>
      <c r="ED155" s="7">
        <f t="shared" si="215"/>
        <v>557.78529002325354</v>
      </c>
    </row>
    <row r="156" spans="1:134" x14ac:dyDescent="0.4">
      <c r="A156" s="28">
        <v>15</v>
      </c>
      <c r="B156" s="26">
        <v>1.0000000000000001E-5</v>
      </c>
      <c r="C156" s="28">
        <v>0.2</v>
      </c>
      <c r="D156" s="28">
        <v>30</v>
      </c>
      <c r="E156" s="26">
        <v>2.4999999999999999E-7</v>
      </c>
      <c r="F156" s="26">
        <f t="shared" si="189"/>
        <v>4.9999999999999998E-8</v>
      </c>
      <c r="G156" s="26">
        <f t="shared" si="190"/>
        <v>9.9999999999999985E-3</v>
      </c>
      <c r="H156" s="7">
        <v>2.4382240378504201</v>
      </c>
      <c r="I156" s="7">
        <v>12481.634129420599</v>
      </c>
      <c r="J156" s="7">
        <v>3828.3041509332402</v>
      </c>
      <c r="K156" s="7">
        <v>12481.634129420599</v>
      </c>
      <c r="L156" s="7">
        <v>1641861.5249040499</v>
      </c>
      <c r="M156" s="7">
        <v>7639.4372684109803</v>
      </c>
      <c r="N156" s="7">
        <f t="shared" si="191"/>
        <v>28791.572409774439</v>
      </c>
      <c r="P156" s="28">
        <v>15</v>
      </c>
      <c r="Q156" s="26">
        <v>3.0000000000000001E-5</v>
      </c>
      <c r="R156" s="28">
        <v>0.2</v>
      </c>
      <c r="S156" s="28">
        <v>30</v>
      </c>
      <c r="T156" s="26">
        <v>2.4999999999999999E-7</v>
      </c>
      <c r="U156" s="26">
        <f t="shared" si="192"/>
        <v>4.9999999999999998E-8</v>
      </c>
      <c r="V156" s="26">
        <f t="shared" si="193"/>
        <v>3.3333333333333331E-3</v>
      </c>
      <c r="W156" s="7">
        <v>3.15201117867361</v>
      </c>
      <c r="X156" s="7">
        <v>4160.5447097236602</v>
      </c>
      <c r="Y156" s="7">
        <v>1276.1013836444099</v>
      </c>
      <c r="Z156" s="7">
        <v>4160.5447097236602</v>
      </c>
      <c r="AA156" s="7">
        <v>547287.17553344101</v>
      </c>
      <c r="AB156" s="7">
        <v>848.82636315677496</v>
      </c>
      <c r="AC156" s="7">
        <f t="shared" si="194"/>
        <v>9597.1908030917293</v>
      </c>
      <c r="AE156" s="28">
        <v>15</v>
      </c>
      <c r="AF156" s="26">
        <v>5.0000000000000002E-5</v>
      </c>
      <c r="AG156" s="28">
        <v>0.2</v>
      </c>
      <c r="AH156" s="28">
        <v>30</v>
      </c>
      <c r="AI156" s="26">
        <v>2.4999999999999999E-7</v>
      </c>
      <c r="AJ156" s="26">
        <f t="shared" si="195"/>
        <v>4.9999999999999998E-8</v>
      </c>
      <c r="AK156" s="26">
        <f t="shared" si="196"/>
        <v>1.9999999999999996E-3</v>
      </c>
      <c r="AL156" s="7">
        <v>3.3495593008276301</v>
      </c>
      <c r="AM156" s="7">
        <v>2496.32682512977</v>
      </c>
      <c r="AN156" s="7">
        <v>765.66083018664904</v>
      </c>
      <c r="AO156" s="7">
        <v>2496.32682512977</v>
      </c>
      <c r="AP156" s="7">
        <v>328372.31010722602</v>
      </c>
      <c r="AQ156" s="7">
        <v>305.57749073643902</v>
      </c>
      <c r="AR156" s="7">
        <f t="shared" si="197"/>
        <v>5758.314480446189</v>
      </c>
      <c r="AT156" s="28">
        <v>15</v>
      </c>
      <c r="AU156" s="26">
        <v>1.0000000000000001E-5</v>
      </c>
      <c r="AV156" s="28">
        <v>0.2</v>
      </c>
      <c r="AW156" s="28">
        <v>200</v>
      </c>
      <c r="AX156" s="26">
        <v>2.4999999999999999E-7</v>
      </c>
      <c r="AY156" s="26">
        <f t="shared" si="198"/>
        <v>4.9999999999999998E-8</v>
      </c>
      <c r="AZ156" s="26">
        <f t="shared" si="199"/>
        <v>9.9999999999999985E-3</v>
      </c>
      <c r="BA156" s="7">
        <v>5.3479682563389703</v>
      </c>
      <c r="BB156" s="7">
        <v>1941.00035424731</v>
      </c>
      <c r="BC156" s="7">
        <v>642.33504314082199</v>
      </c>
      <c r="BD156" s="7">
        <v>1941.00035424731</v>
      </c>
      <c r="BE156" s="7">
        <v>1641861.5249040499</v>
      </c>
      <c r="BF156" s="7">
        <v>7639.4372684109803</v>
      </c>
      <c r="BG156" s="7">
        <f t="shared" si="200"/>
        <v>4524.3357516354426</v>
      </c>
      <c r="BI156" s="28">
        <v>15</v>
      </c>
      <c r="BJ156" s="26">
        <v>1.0000000000000001E-5</v>
      </c>
      <c r="BK156" s="28">
        <v>0.5</v>
      </c>
      <c r="BL156" s="28">
        <v>200</v>
      </c>
      <c r="BM156" s="26">
        <v>2.4999999999999999E-7</v>
      </c>
      <c r="BN156" s="26">
        <f t="shared" si="201"/>
        <v>1.2499999999999999E-7</v>
      </c>
      <c r="BO156" s="26">
        <f t="shared" si="202"/>
        <v>2.4999999999999998E-2</v>
      </c>
      <c r="BP156" s="7">
        <v>5.4589915825236002</v>
      </c>
      <c r="BQ156" s="7">
        <v>1921.9637593119501</v>
      </c>
      <c r="BR156" s="7">
        <v>622.78773017584695</v>
      </c>
      <c r="BS156" s="7">
        <v>1921.9637593119501</v>
      </c>
      <c r="BT156" s="7">
        <v>656744.60996161995</v>
      </c>
      <c r="BU156" s="7">
        <v>7639.4372684109803</v>
      </c>
      <c r="BV156" s="7">
        <f t="shared" si="203"/>
        <v>4466.7152487997464</v>
      </c>
      <c r="BX156" s="28">
        <v>15</v>
      </c>
      <c r="BY156" s="26">
        <v>5.0000000000000002E-5</v>
      </c>
      <c r="BZ156" s="28">
        <v>0.5</v>
      </c>
      <c r="CA156" s="28">
        <v>200</v>
      </c>
      <c r="CB156" s="26">
        <v>2.4999999999999999E-7</v>
      </c>
      <c r="CC156" s="26">
        <f t="shared" si="204"/>
        <v>1.2499999999999999E-7</v>
      </c>
      <c r="CD156" s="26">
        <f t="shared" si="205"/>
        <v>4.9999999999999992E-3</v>
      </c>
      <c r="CE156" s="7">
        <v>14.0702605801189</v>
      </c>
      <c r="CF156" s="7">
        <v>384.39275181655802</v>
      </c>
      <c r="CG156" s="7">
        <v>124.557546035169</v>
      </c>
      <c r="CH156" s="7">
        <v>384.39275181655802</v>
      </c>
      <c r="CI156" s="7">
        <v>131348.92404288999</v>
      </c>
      <c r="CJ156" s="7">
        <v>305.57749073643902</v>
      </c>
      <c r="CK156" s="7">
        <f t="shared" si="206"/>
        <v>893.34304966828495</v>
      </c>
      <c r="CM156" s="28">
        <v>15</v>
      </c>
      <c r="CN156" s="26">
        <v>5.0000000000000002E-5</v>
      </c>
      <c r="CO156" s="28">
        <v>1</v>
      </c>
      <c r="CP156" s="28">
        <v>200</v>
      </c>
      <c r="CQ156" s="26">
        <v>2.4999999999999999E-7</v>
      </c>
      <c r="CR156" s="26">
        <f t="shared" si="207"/>
        <v>2.4999999999999999E-7</v>
      </c>
      <c r="CS156" s="26">
        <f t="shared" si="208"/>
        <v>9.9999999999999985E-3</v>
      </c>
      <c r="CT156" s="7">
        <v>14.3995259824739</v>
      </c>
      <c r="CU156" s="7">
        <v>378.32091509688701</v>
      </c>
      <c r="CV156" s="7">
        <v>118.54503217394399</v>
      </c>
      <c r="CW156" s="7">
        <v>378.32091509688701</v>
      </c>
      <c r="CX156" s="7">
        <v>65674.462021445201</v>
      </c>
      <c r="CY156" s="7">
        <v>305.57749073643902</v>
      </c>
      <c r="CZ156" s="7">
        <f t="shared" si="209"/>
        <v>875.18686236771805</v>
      </c>
      <c r="DB156" s="28">
        <v>15</v>
      </c>
      <c r="DC156" s="26">
        <v>5.0000000000000002E-5</v>
      </c>
      <c r="DD156" s="28">
        <v>2</v>
      </c>
      <c r="DE156" s="28">
        <v>200</v>
      </c>
      <c r="DF156" s="26">
        <v>2.4999999999999999E-7</v>
      </c>
      <c r="DG156" s="26">
        <f t="shared" si="210"/>
        <v>4.9999999999999998E-7</v>
      </c>
      <c r="DH156" s="26">
        <f t="shared" si="211"/>
        <v>1.9999999999999997E-2</v>
      </c>
      <c r="DI156" s="7">
        <v>15.0369537795731</v>
      </c>
      <c r="DJ156" s="7">
        <v>367.08848561923799</v>
      </c>
      <c r="DK156" s="7">
        <v>108.10811969663401</v>
      </c>
      <c r="DL156" s="7">
        <v>367.08848561923799</v>
      </c>
      <c r="DM156" s="7">
        <v>32837.2310107226</v>
      </c>
      <c r="DN156" s="7">
        <v>305.57749073643902</v>
      </c>
      <c r="DO156" s="7">
        <f t="shared" si="212"/>
        <v>842.28509093511002</v>
      </c>
      <c r="DQ156" s="28">
        <v>15</v>
      </c>
      <c r="DR156" s="26">
        <v>5.0000000000000002E-5</v>
      </c>
      <c r="DS156" s="28">
        <v>15</v>
      </c>
      <c r="DT156" s="28">
        <v>300</v>
      </c>
      <c r="DU156" s="26">
        <v>9.9999999999999995E-8</v>
      </c>
      <c r="DV156" s="26">
        <f t="shared" si="213"/>
        <v>1.5E-6</v>
      </c>
      <c r="DW156" s="26">
        <f t="shared" si="214"/>
        <v>0.06</v>
      </c>
      <c r="DX156" s="7">
        <v>36.894297286502798</v>
      </c>
      <c r="DY156" s="7">
        <v>202.84957985735099</v>
      </c>
      <c r="DZ156" s="7">
        <v>42.287816140325297</v>
      </c>
      <c r="EA156" s="7">
        <v>202.84957985735099</v>
      </c>
      <c r="EB156" s="7">
        <v>4378.2974680963498</v>
      </c>
      <c r="EC156" s="7">
        <v>101.859163578813</v>
      </c>
      <c r="ED156" s="7">
        <f t="shared" si="215"/>
        <v>447.98697585502725</v>
      </c>
    </row>
    <row r="157" spans="1:134" x14ac:dyDescent="0.4">
      <c r="A157" s="28">
        <v>20</v>
      </c>
      <c r="B157" s="26">
        <v>1.0000000000000001E-5</v>
      </c>
      <c r="C157" s="28">
        <v>0.2</v>
      </c>
      <c r="D157" s="28">
        <v>30</v>
      </c>
      <c r="E157" s="26">
        <v>2.4999999999999999E-7</v>
      </c>
      <c r="F157" s="26">
        <f t="shared" si="189"/>
        <v>4.9999999999999998E-8</v>
      </c>
      <c r="G157" s="26">
        <f t="shared" si="190"/>
        <v>9.9999999999999985E-3</v>
      </c>
      <c r="H157" s="7">
        <v>3.29230356021765</v>
      </c>
      <c r="I157" s="7">
        <v>7857.7524727739301</v>
      </c>
      <c r="J157" s="7">
        <v>4475.4086280782203</v>
      </c>
      <c r="K157" s="7">
        <v>7857.7524727739301</v>
      </c>
      <c r="L157" s="7">
        <v>2551974.2921694499</v>
      </c>
      <c r="M157" s="7">
        <v>7639.4372684109803</v>
      </c>
      <c r="N157" s="7">
        <f t="shared" si="191"/>
        <v>20190.91357362608</v>
      </c>
      <c r="P157" s="28">
        <v>20</v>
      </c>
      <c r="Q157" s="26">
        <v>3.0000000000000001E-5</v>
      </c>
      <c r="R157" s="28">
        <v>0.2</v>
      </c>
      <c r="S157" s="28">
        <v>30</v>
      </c>
      <c r="T157" s="26">
        <v>2.4999999999999999E-7</v>
      </c>
      <c r="U157" s="26">
        <f t="shared" si="192"/>
        <v>4.9999999999999998E-8</v>
      </c>
      <c r="V157" s="26">
        <f t="shared" si="193"/>
        <v>3.3333333333333331E-3</v>
      </c>
      <c r="W157" s="7">
        <v>4.6004661371765199</v>
      </c>
      <c r="X157" s="7">
        <v>2619.2508242245099</v>
      </c>
      <c r="Y157" s="7">
        <v>1491.80287602607</v>
      </c>
      <c r="Z157" s="7">
        <v>2619.2508242245099</v>
      </c>
      <c r="AA157" s="7">
        <v>850658.09849467594</v>
      </c>
      <c r="AB157" s="7">
        <v>848.82636315677496</v>
      </c>
      <c r="AC157" s="7">
        <f t="shared" si="194"/>
        <v>6730.3045244750901</v>
      </c>
      <c r="AE157" s="28">
        <v>20</v>
      </c>
      <c r="AF157" s="26">
        <v>5.0000000000000002E-5</v>
      </c>
      <c r="AG157" s="28">
        <v>0.2</v>
      </c>
      <c r="AH157" s="28">
        <v>30</v>
      </c>
      <c r="AI157" s="26">
        <v>2.4999999999999999E-7</v>
      </c>
      <c r="AJ157" s="26">
        <f t="shared" si="195"/>
        <v>4.9999999999999998E-8</v>
      </c>
      <c r="AK157" s="26">
        <f t="shared" si="196"/>
        <v>1.9999999999999996E-3</v>
      </c>
      <c r="AL157" s="7">
        <v>4.99966492570345</v>
      </c>
      <c r="AM157" s="7">
        <v>1571.5504942513201</v>
      </c>
      <c r="AN157" s="7">
        <v>895.08172561564299</v>
      </c>
      <c r="AO157" s="7">
        <v>1571.5504942513201</v>
      </c>
      <c r="AP157" s="7">
        <v>510394.86845111102</v>
      </c>
      <c r="AQ157" s="7">
        <v>305.57749073643902</v>
      </c>
      <c r="AR157" s="7">
        <f t="shared" si="197"/>
        <v>4038.182714118283</v>
      </c>
      <c r="AT157" s="28">
        <v>20</v>
      </c>
      <c r="AU157" s="26">
        <v>1.0000000000000001E-5</v>
      </c>
      <c r="AV157" s="28">
        <v>0.2</v>
      </c>
      <c r="AW157" s="28">
        <v>200</v>
      </c>
      <c r="AX157" s="26">
        <v>2.4999999999999999E-7</v>
      </c>
      <c r="AY157" s="26">
        <f t="shared" si="198"/>
        <v>4.9999999999999998E-8</v>
      </c>
      <c r="AZ157" s="26">
        <f t="shared" si="199"/>
        <v>9.9999999999999985E-3</v>
      </c>
      <c r="BA157" s="7">
        <v>6.3159972386875101</v>
      </c>
      <c r="BB157" s="7">
        <v>1196.98361424428</v>
      </c>
      <c r="BC157" s="7">
        <v>694.07852984949898</v>
      </c>
      <c r="BD157" s="7">
        <v>1196.98361424428</v>
      </c>
      <c r="BE157" s="7">
        <v>2551974.2921694499</v>
      </c>
      <c r="BF157" s="7">
        <v>7639.4372684109803</v>
      </c>
      <c r="BG157" s="7">
        <f t="shared" si="200"/>
        <v>3088.0457583380589</v>
      </c>
      <c r="BI157" s="28">
        <v>20</v>
      </c>
      <c r="BJ157" s="26">
        <v>1.0000000000000001E-5</v>
      </c>
      <c r="BK157" s="28">
        <v>0.5</v>
      </c>
      <c r="BL157" s="28">
        <v>200</v>
      </c>
      <c r="BM157" s="26">
        <v>2.4999999999999999E-7</v>
      </c>
      <c r="BN157" s="26">
        <f t="shared" si="201"/>
        <v>1.2499999999999999E-7</v>
      </c>
      <c r="BO157" s="26">
        <f t="shared" si="202"/>
        <v>2.4999999999999998E-2</v>
      </c>
      <c r="BP157" s="7">
        <v>6.3891719223571899</v>
      </c>
      <c r="BQ157" s="7">
        <v>1192.0586917390101</v>
      </c>
      <c r="BR157" s="7">
        <v>687.90288040570601</v>
      </c>
      <c r="BS157" s="7">
        <v>1192.0586917390101</v>
      </c>
      <c r="BT157" s="7">
        <v>1020789.71686778</v>
      </c>
      <c r="BU157" s="7">
        <v>7639.4372684109803</v>
      </c>
      <c r="BV157" s="7">
        <f t="shared" si="203"/>
        <v>3072.0202638837263</v>
      </c>
      <c r="BX157" s="28">
        <v>20</v>
      </c>
      <c r="BY157" s="26">
        <v>5.0000000000000002E-5</v>
      </c>
      <c r="BZ157" s="28">
        <v>0.5</v>
      </c>
      <c r="CA157" s="28">
        <v>200</v>
      </c>
      <c r="CB157" s="26">
        <v>2.4999999999999999E-7</v>
      </c>
      <c r="CC157" s="26">
        <f t="shared" si="204"/>
        <v>1.2499999999999999E-7</v>
      </c>
      <c r="CD157" s="26">
        <f t="shared" si="205"/>
        <v>4.9999999999999992E-3</v>
      </c>
      <c r="CE157" s="7">
        <v>18.908575919849898</v>
      </c>
      <c r="CF157" s="7">
        <v>238.41173833028401</v>
      </c>
      <c r="CG157" s="7">
        <v>137.580576081141</v>
      </c>
      <c r="CH157" s="7">
        <v>238.41173833028401</v>
      </c>
      <c r="CI157" s="7">
        <v>204157.947380445</v>
      </c>
      <c r="CJ157" s="7">
        <v>305.57749073643902</v>
      </c>
      <c r="CK157" s="7">
        <f t="shared" si="206"/>
        <v>614.40405274170905</v>
      </c>
      <c r="CM157" s="28">
        <v>20</v>
      </c>
      <c r="CN157" s="26">
        <v>5.0000000000000002E-5</v>
      </c>
      <c r="CO157" s="28">
        <v>1</v>
      </c>
      <c r="CP157" s="28">
        <v>200</v>
      </c>
      <c r="CQ157" s="26">
        <v>2.4999999999999999E-7</v>
      </c>
      <c r="CR157" s="26">
        <f t="shared" si="207"/>
        <v>2.4999999999999999E-7</v>
      </c>
      <c r="CS157" s="26">
        <f t="shared" si="208"/>
        <v>9.9999999999999985E-3</v>
      </c>
      <c r="CT157" s="7">
        <v>19.1021941424797</v>
      </c>
      <c r="CU157" s="7">
        <v>236.794372688691</v>
      </c>
      <c r="CV157" s="7">
        <v>135.57018035757301</v>
      </c>
      <c r="CW157" s="7">
        <v>236.794372688691</v>
      </c>
      <c r="CX157" s="7">
        <v>102078.973690222</v>
      </c>
      <c r="CY157" s="7">
        <v>305.57749073643902</v>
      </c>
      <c r="CZ157" s="7">
        <f t="shared" si="209"/>
        <v>609.15892573495501</v>
      </c>
      <c r="DB157" s="28">
        <v>20</v>
      </c>
      <c r="DC157" s="26">
        <v>5.0000000000000002E-5</v>
      </c>
      <c r="DD157" s="28">
        <v>2</v>
      </c>
      <c r="DE157" s="28">
        <v>200</v>
      </c>
      <c r="DF157" s="26">
        <v>2.4999999999999999E-7</v>
      </c>
      <c r="DG157" s="26">
        <f t="shared" si="210"/>
        <v>4.9999999999999998E-7</v>
      </c>
      <c r="DH157" s="26">
        <f t="shared" si="211"/>
        <v>1.9999999999999997E-2</v>
      </c>
      <c r="DI157" s="7">
        <v>19.486081442922401</v>
      </c>
      <c r="DJ157" s="7">
        <v>233.64718966736299</v>
      </c>
      <c r="DK157" s="7">
        <v>131.72072797829401</v>
      </c>
      <c r="DL157" s="7">
        <v>233.64718966736299</v>
      </c>
      <c r="DM157" s="7">
        <v>51039.486845111103</v>
      </c>
      <c r="DN157" s="7">
        <v>305.57749073643902</v>
      </c>
      <c r="DO157" s="7">
        <f t="shared" si="212"/>
        <v>599.01510731302005</v>
      </c>
      <c r="DQ157" s="28">
        <v>20</v>
      </c>
      <c r="DR157" s="26">
        <v>5.0000000000000002E-5</v>
      </c>
      <c r="DS157" s="28">
        <v>15</v>
      </c>
      <c r="DT157" s="28">
        <v>300</v>
      </c>
      <c r="DU157" s="26">
        <v>9.9999999999999995E-8</v>
      </c>
      <c r="DV157" s="26">
        <f t="shared" si="213"/>
        <v>1.5E-6</v>
      </c>
      <c r="DW157" s="26">
        <f t="shared" si="214"/>
        <v>0.06</v>
      </c>
      <c r="DX157" s="7">
        <v>44.675092152920001</v>
      </c>
      <c r="DY157" s="7">
        <v>141.30482192536101</v>
      </c>
      <c r="DZ157" s="7">
        <v>71.560155029152398</v>
      </c>
      <c r="EA157" s="7">
        <v>141.30482192536101</v>
      </c>
      <c r="EB157" s="7">
        <v>6805.2649126814904</v>
      </c>
      <c r="EC157" s="7">
        <v>101.859163578813</v>
      </c>
      <c r="ED157" s="7">
        <f t="shared" si="215"/>
        <v>354.16979887987441</v>
      </c>
    </row>
    <row r="158" spans="1:134" x14ac:dyDescent="0.4">
      <c r="A158" s="28">
        <v>25</v>
      </c>
      <c r="B158" s="26">
        <v>1.0000000000000001E-5</v>
      </c>
      <c r="C158" s="28">
        <v>0.2</v>
      </c>
      <c r="D158" s="28">
        <v>30</v>
      </c>
      <c r="E158" s="26">
        <v>2.4999999999999999E-7</v>
      </c>
      <c r="F158" s="26">
        <f t="shared" si="189"/>
        <v>4.9999999999999998E-8</v>
      </c>
      <c r="G158" s="26">
        <f t="shared" si="190"/>
        <v>9.9999999999999985E-3</v>
      </c>
      <c r="H158" s="7">
        <v>3.91103718058381</v>
      </c>
      <c r="I158" s="7">
        <v>5967.7070610572</v>
      </c>
      <c r="J158" s="7">
        <v>4769.5933204541298</v>
      </c>
      <c r="K158" s="7">
        <v>5967.7070610572</v>
      </c>
      <c r="L158" s="7">
        <v>3890230.9388607698</v>
      </c>
      <c r="M158" s="7">
        <v>7639.4372684109803</v>
      </c>
      <c r="N158" s="7">
        <f t="shared" si="191"/>
        <v>16705.007442568531</v>
      </c>
      <c r="P158" s="28">
        <v>25</v>
      </c>
      <c r="Q158" s="26">
        <v>3.0000000000000001E-5</v>
      </c>
      <c r="R158" s="28">
        <v>0.2</v>
      </c>
      <c r="S158" s="28">
        <v>30</v>
      </c>
      <c r="T158" s="26">
        <v>2.4999999999999999E-7</v>
      </c>
      <c r="U158" s="26">
        <f t="shared" si="192"/>
        <v>4.9999999999999998E-8</v>
      </c>
      <c r="V158" s="26">
        <f t="shared" si="193"/>
        <v>3.3333333333333331E-3</v>
      </c>
      <c r="W158" s="7">
        <v>5.7237128020149104</v>
      </c>
      <c r="X158" s="7">
        <v>1989.2356869965699</v>
      </c>
      <c r="Y158" s="7">
        <v>1589.86444015137</v>
      </c>
      <c r="Z158" s="7">
        <v>1989.2356869965699</v>
      </c>
      <c r="AA158" s="7">
        <v>1296743.6482743199</v>
      </c>
      <c r="AB158" s="7">
        <v>848.82636315677496</v>
      </c>
      <c r="AC158" s="7">
        <f t="shared" si="194"/>
        <v>5568.3358141445096</v>
      </c>
      <c r="AE158" s="28">
        <v>25</v>
      </c>
      <c r="AF158" s="26">
        <v>5.0000000000000002E-5</v>
      </c>
      <c r="AG158" s="28">
        <v>0.2</v>
      </c>
      <c r="AH158" s="28">
        <v>30</v>
      </c>
      <c r="AI158" s="26">
        <v>2.4999999999999999E-7</v>
      </c>
      <c r="AJ158" s="26">
        <f t="shared" si="195"/>
        <v>4.9999999999999998E-8</v>
      </c>
      <c r="AK158" s="26">
        <f t="shared" si="196"/>
        <v>1.9999999999999996E-3</v>
      </c>
      <c r="AL158" s="7">
        <v>6.3104952695197403</v>
      </c>
      <c r="AM158" s="7">
        <v>1193.54141200751</v>
      </c>
      <c r="AN158" s="7">
        <v>953.91866409082502</v>
      </c>
      <c r="AO158" s="7">
        <v>1193.54141200751</v>
      </c>
      <c r="AP158" s="7">
        <v>778046.205790887</v>
      </c>
      <c r="AQ158" s="7">
        <v>305.57749073643902</v>
      </c>
      <c r="AR158" s="7">
        <f t="shared" si="197"/>
        <v>3341.0014881058451</v>
      </c>
      <c r="AT158" s="28">
        <v>25</v>
      </c>
      <c r="AU158" s="26">
        <v>1.0000000000000001E-5</v>
      </c>
      <c r="AV158" s="28">
        <v>0.2</v>
      </c>
      <c r="AW158" s="28">
        <v>200</v>
      </c>
      <c r="AX158" s="26">
        <v>2.4999999999999999E-7</v>
      </c>
      <c r="AY158" s="26">
        <f t="shared" si="198"/>
        <v>4.9999999999999998E-8</v>
      </c>
      <c r="AZ158" s="26">
        <f t="shared" si="199"/>
        <v>9.9999999999999985E-3</v>
      </c>
      <c r="BA158" s="7">
        <v>6.9950036836113698</v>
      </c>
      <c r="BB158" s="7">
        <v>904.92261526204402</v>
      </c>
      <c r="BC158" s="7">
        <v>729.47946385146201</v>
      </c>
      <c r="BD158" s="7">
        <v>904.92261526204402</v>
      </c>
      <c r="BE158" s="7">
        <v>3890230.9388607698</v>
      </c>
      <c r="BF158" s="7">
        <v>7639.4372684109803</v>
      </c>
      <c r="BG158" s="7">
        <f t="shared" si="200"/>
        <v>2539.3246943755503</v>
      </c>
      <c r="BI158" s="28">
        <v>25</v>
      </c>
      <c r="BJ158" s="26">
        <v>1.0000000000000001E-5</v>
      </c>
      <c r="BK158" s="28">
        <v>0.5</v>
      </c>
      <c r="BL158" s="28">
        <v>200</v>
      </c>
      <c r="BM158" s="26">
        <v>2.4999999999999999E-7</v>
      </c>
      <c r="BN158" s="26">
        <f t="shared" si="201"/>
        <v>1.2499999999999999E-7</v>
      </c>
      <c r="BO158" s="26">
        <f t="shared" si="202"/>
        <v>2.4999999999999998E-2</v>
      </c>
      <c r="BP158" s="7">
        <v>7.0463585380686604</v>
      </c>
      <c r="BQ158" s="7">
        <v>902.31159397251201</v>
      </c>
      <c r="BR158" s="7">
        <v>725.70943403112403</v>
      </c>
      <c r="BS158" s="7">
        <v>902.31159397251201</v>
      </c>
      <c r="BT158" s="7">
        <v>1556092.3755443101</v>
      </c>
      <c r="BU158" s="7">
        <v>7639.4372684109803</v>
      </c>
      <c r="BV158" s="7">
        <f t="shared" si="203"/>
        <v>2530.3326219761479</v>
      </c>
      <c r="BX158" s="28">
        <v>25</v>
      </c>
      <c r="BY158" s="26">
        <v>5.0000000000000002E-5</v>
      </c>
      <c r="BZ158" s="28">
        <v>0.5</v>
      </c>
      <c r="CA158" s="28">
        <v>200</v>
      </c>
      <c r="CB158" s="26">
        <v>2.4999999999999999E-7</v>
      </c>
      <c r="CC158" s="26">
        <f t="shared" si="204"/>
        <v>1.2499999999999999E-7</v>
      </c>
      <c r="CD158" s="26">
        <f t="shared" si="205"/>
        <v>4.9999999999999992E-3</v>
      </c>
      <c r="CE158" s="7">
        <v>22.290206214887402</v>
      </c>
      <c r="CF158" s="7">
        <v>180.46231878283399</v>
      </c>
      <c r="CG158" s="7">
        <v>145.14188680622499</v>
      </c>
      <c r="CH158" s="7">
        <v>180.46231878283399</v>
      </c>
      <c r="CI158" s="7">
        <v>311218.48231635499</v>
      </c>
      <c r="CJ158" s="7">
        <v>305.57749073643902</v>
      </c>
      <c r="CK158" s="7">
        <f t="shared" si="206"/>
        <v>506.06652437189302</v>
      </c>
      <c r="CM158" s="28">
        <v>25</v>
      </c>
      <c r="CN158" s="26">
        <v>5.0000000000000002E-5</v>
      </c>
      <c r="CO158" s="28">
        <v>1</v>
      </c>
      <c r="CP158" s="28">
        <v>200</v>
      </c>
      <c r="CQ158" s="26">
        <v>2.4999999999999999E-7</v>
      </c>
      <c r="CR158" s="26">
        <f t="shared" si="207"/>
        <v>2.4999999999999999E-7</v>
      </c>
      <c r="CS158" s="26">
        <f t="shared" si="208"/>
        <v>9.9999999999999985E-3</v>
      </c>
      <c r="CT158" s="7">
        <v>22.4290114443797</v>
      </c>
      <c r="CU158" s="7">
        <v>179.60025764253999</v>
      </c>
      <c r="CV158" s="7">
        <v>143.90240734913101</v>
      </c>
      <c r="CW158" s="7">
        <v>179.60025764253999</v>
      </c>
      <c r="CX158" s="7">
        <v>155609.241158177</v>
      </c>
      <c r="CY158" s="7">
        <v>305.57749073643902</v>
      </c>
      <c r="CZ158" s="7">
        <f t="shared" si="209"/>
        <v>503.10292263421098</v>
      </c>
      <c r="DB158" s="28">
        <v>25</v>
      </c>
      <c r="DC158" s="26">
        <v>5.0000000000000002E-5</v>
      </c>
      <c r="DD158" s="28">
        <v>2</v>
      </c>
      <c r="DE158" s="28">
        <v>200</v>
      </c>
      <c r="DF158" s="26">
        <v>2.4999999999999999E-7</v>
      </c>
      <c r="DG158" s="26">
        <f t="shared" si="210"/>
        <v>4.9999999999999998E-7</v>
      </c>
      <c r="DH158" s="26">
        <f t="shared" si="211"/>
        <v>1.9999999999999997E-2</v>
      </c>
      <c r="DI158" s="7">
        <v>22.705082559285501</v>
      </c>
      <c r="DJ158" s="7">
        <v>177.90643586546901</v>
      </c>
      <c r="DK158" s="7">
        <v>141.48598257191699</v>
      </c>
      <c r="DL158" s="7">
        <v>177.90643586546901</v>
      </c>
      <c r="DM158" s="7">
        <v>77804.620579088703</v>
      </c>
      <c r="DN158" s="7">
        <v>305.57749073643902</v>
      </c>
      <c r="DO158" s="7">
        <f t="shared" si="212"/>
        <v>497.29885430285503</v>
      </c>
      <c r="DQ158" s="28">
        <v>25</v>
      </c>
      <c r="DR158" s="26">
        <v>5.0000000000000002E-5</v>
      </c>
      <c r="DS158" s="28">
        <v>15</v>
      </c>
      <c r="DT158" s="28">
        <v>300</v>
      </c>
      <c r="DU158" s="26">
        <v>9.9999999999999995E-8</v>
      </c>
      <c r="DV158" s="26">
        <f t="shared" si="213"/>
        <v>1.5E-6</v>
      </c>
      <c r="DW158" s="26">
        <f t="shared" si="214"/>
        <v>0.06</v>
      </c>
      <c r="DX158" s="7">
        <v>51.264080263807202</v>
      </c>
      <c r="DY158" s="7">
        <v>110.42994925436599</v>
      </c>
      <c r="DZ158" s="7">
        <v>83.155364315094602</v>
      </c>
      <c r="EA158" s="7">
        <v>110.42994925436599</v>
      </c>
      <c r="EB158" s="7">
        <v>10373.949410545199</v>
      </c>
      <c r="EC158" s="7">
        <v>101.859163578813</v>
      </c>
      <c r="ED158" s="7">
        <f t="shared" si="215"/>
        <v>304.01526282382656</v>
      </c>
    </row>
    <row r="159" spans="1:134" x14ac:dyDescent="0.4">
      <c r="A159" s="28">
        <v>30</v>
      </c>
      <c r="B159" s="26">
        <v>1.0000000000000001E-5</v>
      </c>
      <c r="C159" s="28">
        <v>0.2</v>
      </c>
      <c r="D159" s="28">
        <v>30</v>
      </c>
      <c r="E159" s="26">
        <v>2.4999999999999999E-7</v>
      </c>
      <c r="F159" s="26">
        <f t="shared" si="189"/>
        <v>4.9999999999999998E-8</v>
      </c>
      <c r="G159" s="26">
        <f t="shared" si="190"/>
        <v>9.9999999999999985E-3</v>
      </c>
      <c r="H159" s="7">
        <v>4.4345098283211604</v>
      </c>
      <c r="I159" s="7">
        <v>4807.3324198337996</v>
      </c>
      <c r="J159" s="7">
        <v>4988.6125859415297</v>
      </c>
      <c r="K159" s="7">
        <v>4807.3324198337996</v>
      </c>
      <c r="L159" s="7">
        <v>5893089.4851508904</v>
      </c>
      <c r="M159" s="7">
        <v>7639.4372684109803</v>
      </c>
      <c r="N159" s="7">
        <f t="shared" si="191"/>
        <v>14603.277425609129</v>
      </c>
      <c r="P159" s="28">
        <v>30</v>
      </c>
      <c r="Q159" s="26">
        <v>3.0000000000000001E-5</v>
      </c>
      <c r="R159" s="28">
        <v>0.2</v>
      </c>
      <c r="S159" s="28">
        <v>30</v>
      </c>
      <c r="T159" s="26">
        <v>2.4999999999999999E-7</v>
      </c>
      <c r="U159" s="26">
        <f t="shared" si="192"/>
        <v>4.9999999999999998E-8</v>
      </c>
      <c r="V159" s="26">
        <f t="shared" si="193"/>
        <v>3.3333333333333331E-3</v>
      </c>
      <c r="W159" s="7">
        <v>6.7162483769886698</v>
      </c>
      <c r="X159" s="7">
        <v>1602.4441399274999</v>
      </c>
      <c r="Y159" s="7">
        <v>1662.87086198051</v>
      </c>
      <c r="Z159" s="7">
        <v>1602.4441399274999</v>
      </c>
      <c r="AA159" s="7">
        <v>1964363.1651242101</v>
      </c>
      <c r="AB159" s="7">
        <v>848.82636315677496</v>
      </c>
      <c r="AC159" s="7">
        <f t="shared" si="194"/>
        <v>4867.7591418355096</v>
      </c>
      <c r="AE159" s="28">
        <v>30</v>
      </c>
      <c r="AF159" s="26">
        <v>5.0000000000000002E-5</v>
      </c>
      <c r="AG159" s="28">
        <v>0.2</v>
      </c>
      <c r="AH159" s="28">
        <v>30</v>
      </c>
      <c r="AI159" s="26">
        <v>2.4999999999999999E-7</v>
      </c>
      <c r="AJ159" s="26">
        <f t="shared" si="195"/>
        <v>4.9999999999999998E-8</v>
      </c>
      <c r="AK159" s="26">
        <f t="shared" si="196"/>
        <v>1.9999999999999996E-3</v>
      </c>
      <c r="AL159" s="7">
        <v>7.4884671435538701</v>
      </c>
      <c r="AM159" s="7">
        <v>961.46648381169098</v>
      </c>
      <c r="AN159" s="7">
        <v>997.72251718830603</v>
      </c>
      <c r="AO159" s="7">
        <v>961.46648381169098</v>
      </c>
      <c r="AP159" s="7">
        <v>1178617.9279219799</v>
      </c>
      <c r="AQ159" s="7">
        <v>305.57749073643902</v>
      </c>
      <c r="AR159" s="7">
        <f t="shared" si="197"/>
        <v>2920.655484811688</v>
      </c>
      <c r="AT159" s="28">
        <v>30</v>
      </c>
      <c r="AU159" s="26">
        <v>1.0000000000000001E-5</v>
      </c>
      <c r="AV159" s="28">
        <v>0.2</v>
      </c>
      <c r="AW159" s="28">
        <v>200</v>
      </c>
      <c r="AX159" s="26">
        <v>2.4999999999999999E-7</v>
      </c>
      <c r="AY159" s="26">
        <f t="shared" si="198"/>
        <v>4.9999999999999998E-8</v>
      </c>
      <c r="AZ159" s="26">
        <f t="shared" si="199"/>
        <v>9.9999999999999985E-3</v>
      </c>
      <c r="BA159" s="7">
        <v>7.5597491274391002</v>
      </c>
      <c r="BB159" s="7">
        <v>727.37388968977803</v>
      </c>
      <c r="BC159" s="7">
        <v>758.42598130330396</v>
      </c>
      <c r="BD159" s="7">
        <v>727.37388968977803</v>
      </c>
      <c r="BE159" s="7">
        <v>5893089.4851508904</v>
      </c>
      <c r="BF159" s="7">
        <v>7639.4372684109803</v>
      </c>
      <c r="BG159" s="7">
        <f t="shared" si="200"/>
        <v>2213.1737606828601</v>
      </c>
      <c r="BI159" s="28">
        <v>30</v>
      </c>
      <c r="BJ159" s="26">
        <v>1.0000000000000001E-5</v>
      </c>
      <c r="BK159" s="28">
        <v>0.5</v>
      </c>
      <c r="BL159" s="28">
        <v>200</v>
      </c>
      <c r="BM159" s="26">
        <v>2.4999999999999999E-7</v>
      </c>
      <c r="BN159" s="26">
        <f t="shared" si="201"/>
        <v>1.2499999999999999E-7</v>
      </c>
      <c r="BO159" s="26">
        <f t="shared" si="202"/>
        <v>2.4999999999999998E-2</v>
      </c>
      <c r="BP159" s="7">
        <v>7.5959184799372803</v>
      </c>
      <c r="BQ159" s="7">
        <v>725.70064173773096</v>
      </c>
      <c r="BR159" s="7">
        <v>755.71672459466504</v>
      </c>
      <c r="BS159" s="7">
        <v>725.70064173773096</v>
      </c>
      <c r="BT159" s="7">
        <v>2357235.7940603602</v>
      </c>
      <c r="BU159" s="7">
        <v>7639.4372684109803</v>
      </c>
      <c r="BV159" s="7">
        <f t="shared" si="203"/>
        <v>2207.118008070127</v>
      </c>
      <c r="BX159" s="28">
        <v>30</v>
      </c>
      <c r="BY159" s="26">
        <v>5.0000000000000002E-5</v>
      </c>
      <c r="BZ159" s="28">
        <v>0.5</v>
      </c>
      <c r="CA159" s="28">
        <v>200</v>
      </c>
      <c r="CB159" s="26">
        <v>2.4999999999999999E-7</v>
      </c>
      <c r="CC159" s="26">
        <f t="shared" si="204"/>
        <v>1.2499999999999999E-7</v>
      </c>
      <c r="CD159" s="26">
        <f t="shared" si="205"/>
        <v>4.9999999999999992E-3</v>
      </c>
      <c r="CE159" s="7">
        <v>25.107582000798299</v>
      </c>
      <c r="CF159" s="7">
        <v>145.140128338708</v>
      </c>
      <c r="CG159" s="7">
        <v>151.143344918933</v>
      </c>
      <c r="CH159" s="7">
        <v>145.140128338708</v>
      </c>
      <c r="CI159" s="7">
        <v>471447.17116879002</v>
      </c>
      <c r="CJ159" s="7">
        <v>305.57749073643902</v>
      </c>
      <c r="CK159" s="7">
        <f t="shared" si="206"/>
        <v>441.42360159634899</v>
      </c>
      <c r="CM159" s="28">
        <v>30</v>
      </c>
      <c r="CN159" s="26">
        <v>5.0000000000000002E-5</v>
      </c>
      <c r="CO159" s="28">
        <v>1</v>
      </c>
      <c r="CP159" s="28">
        <v>200</v>
      </c>
      <c r="CQ159" s="26">
        <v>2.4999999999999999E-7</v>
      </c>
      <c r="CR159" s="26">
        <f t="shared" si="207"/>
        <v>2.4999999999999999E-7</v>
      </c>
      <c r="CS159" s="26">
        <f t="shared" si="208"/>
        <v>9.9999999999999985E-3</v>
      </c>
      <c r="CT159" s="7">
        <v>25.211252469148899</v>
      </c>
      <c r="CU159" s="7">
        <v>144.58638467526899</v>
      </c>
      <c r="CV159" s="7">
        <v>150.24883810203599</v>
      </c>
      <c r="CW159" s="7">
        <v>144.58638467526899</v>
      </c>
      <c r="CX159" s="7">
        <v>235723.58558439501</v>
      </c>
      <c r="CY159" s="7">
        <v>305.57749073643902</v>
      </c>
      <c r="CZ159" s="7">
        <f t="shared" si="209"/>
        <v>439.42160745257399</v>
      </c>
      <c r="DB159" s="28">
        <v>30</v>
      </c>
      <c r="DC159" s="26">
        <v>5.0000000000000002E-5</v>
      </c>
      <c r="DD159" s="28">
        <v>2</v>
      </c>
      <c r="DE159" s="28">
        <v>200</v>
      </c>
      <c r="DF159" s="26">
        <v>2.4999999999999999E-7</v>
      </c>
      <c r="DG159" s="26">
        <f t="shared" si="210"/>
        <v>4.9999999999999998E-7</v>
      </c>
      <c r="DH159" s="26">
        <f t="shared" si="211"/>
        <v>1.9999999999999997E-2</v>
      </c>
      <c r="DI159" s="7">
        <v>25.417672960232402</v>
      </c>
      <c r="DJ159" s="7">
        <v>143.493651420682</v>
      </c>
      <c r="DK159" s="7">
        <v>148.49131311393799</v>
      </c>
      <c r="DL159" s="7">
        <v>143.493651420682</v>
      </c>
      <c r="DM159" s="7">
        <v>117861.792792198</v>
      </c>
      <c r="DN159" s="7">
        <v>305.57749073643902</v>
      </c>
      <c r="DO159" s="7">
        <f t="shared" si="212"/>
        <v>435.47861595530196</v>
      </c>
      <c r="DQ159" s="28">
        <v>30</v>
      </c>
      <c r="DR159" s="26">
        <v>5.0000000000000002E-5</v>
      </c>
      <c r="DS159" s="28">
        <v>15</v>
      </c>
      <c r="DT159" s="28">
        <v>300</v>
      </c>
      <c r="DU159" s="26">
        <v>9.9999999999999995E-8</v>
      </c>
      <c r="DV159" s="26">
        <f t="shared" si="213"/>
        <v>1.5E-6</v>
      </c>
      <c r="DW159" s="26">
        <f t="shared" si="214"/>
        <v>0.06</v>
      </c>
      <c r="DX159" s="7">
        <v>57.217539974989201</v>
      </c>
      <c r="DY159" s="7">
        <v>90.265822408235607</v>
      </c>
      <c r="DZ159" s="7">
        <v>90.525422516156297</v>
      </c>
      <c r="EA159" s="7">
        <v>90.265822408235607</v>
      </c>
      <c r="EB159" s="7">
        <v>15714.905705626299</v>
      </c>
      <c r="EC159" s="7">
        <v>101.859163578813</v>
      </c>
      <c r="ED159" s="7">
        <f t="shared" si="215"/>
        <v>271.05706733262753</v>
      </c>
    </row>
    <row r="160" spans="1:134" x14ac:dyDescent="0.4">
      <c r="A160" s="28">
        <v>35</v>
      </c>
      <c r="B160" s="26">
        <v>1.0000000000000001E-5</v>
      </c>
      <c r="C160" s="28">
        <v>0.2</v>
      </c>
      <c r="D160" s="28">
        <v>30</v>
      </c>
      <c r="E160" s="26">
        <v>2.4999999999999999E-7</v>
      </c>
      <c r="F160" s="26">
        <f t="shared" si="189"/>
        <v>4.9999999999999998E-8</v>
      </c>
      <c r="G160" s="26">
        <f t="shared" si="190"/>
        <v>9.9999999999999985E-3</v>
      </c>
      <c r="H160" s="7">
        <v>4.8999252986446598</v>
      </c>
      <c r="I160" s="7">
        <v>3984.07853527202</v>
      </c>
      <c r="J160" s="7">
        <v>5168.7820727017497</v>
      </c>
      <c r="K160" s="7">
        <v>3984.07853527202</v>
      </c>
      <c r="L160" s="7">
        <v>8973470.5022608098</v>
      </c>
      <c r="M160" s="7">
        <v>7639.4372684109803</v>
      </c>
      <c r="N160" s="7">
        <f t="shared" si="191"/>
        <v>13136.939143245789</v>
      </c>
      <c r="P160" s="28">
        <v>35</v>
      </c>
      <c r="Q160" s="26">
        <v>3.0000000000000001E-5</v>
      </c>
      <c r="R160" s="28">
        <v>0.2</v>
      </c>
      <c r="S160" s="28">
        <v>30</v>
      </c>
      <c r="T160" s="26">
        <v>2.4999999999999999E-7</v>
      </c>
      <c r="U160" s="26">
        <f t="shared" si="192"/>
        <v>4.9999999999999998E-8</v>
      </c>
      <c r="V160" s="26">
        <f t="shared" si="193"/>
        <v>3.3333333333333331E-3</v>
      </c>
      <c r="W160" s="7">
        <v>7.6291057869515804</v>
      </c>
      <c r="X160" s="7">
        <v>1328.02617841029</v>
      </c>
      <c r="Y160" s="7">
        <v>1722.9273575672501</v>
      </c>
      <c r="Z160" s="7">
        <v>1328.02617841029</v>
      </c>
      <c r="AA160" s="7">
        <v>2991156.8397606201</v>
      </c>
      <c r="AB160" s="7">
        <v>848.82636315677496</v>
      </c>
      <c r="AC160" s="7">
        <f t="shared" si="194"/>
        <v>4378.9797143878295</v>
      </c>
      <c r="AE160" s="28">
        <v>35</v>
      </c>
      <c r="AF160" s="26">
        <v>5.0000000000000002E-5</v>
      </c>
      <c r="AG160" s="28">
        <v>0.2</v>
      </c>
      <c r="AH160" s="28">
        <v>30</v>
      </c>
      <c r="AI160" s="26">
        <v>2.4999999999999999E-7</v>
      </c>
      <c r="AJ160" s="26">
        <f t="shared" si="195"/>
        <v>4.9999999999999998E-8</v>
      </c>
      <c r="AK160" s="26">
        <f t="shared" si="196"/>
        <v>1.9999999999999996E-3</v>
      </c>
      <c r="AL160" s="7">
        <v>8.5869672551337004</v>
      </c>
      <c r="AM160" s="7">
        <v>796.81570693005597</v>
      </c>
      <c r="AN160" s="7">
        <v>1033.7564145403501</v>
      </c>
      <c r="AO160" s="7">
        <v>796.81570693005597</v>
      </c>
      <c r="AP160" s="7">
        <v>1794694.1518928199</v>
      </c>
      <c r="AQ160" s="7">
        <v>305.57749073643902</v>
      </c>
      <c r="AR160" s="7">
        <f t="shared" si="197"/>
        <v>2627.3878284004622</v>
      </c>
      <c r="AT160" s="28">
        <v>35</v>
      </c>
      <c r="AU160" s="26">
        <v>1.0000000000000001E-5</v>
      </c>
      <c r="AV160" s="28">
        <v>0.2</v>
      </c>
      <c r="AW160" s="28">
        <v>200</v>
      </c>
      <c r="AX160" s="26">
        <v>2.4999999999999999E-7</v>
      </c>
      <c r="AY160" s="26">
        <f t="shared" si="198"/>
        <v>4.9999999999999998E-8</v>
      </c>
      <c r="AZ160" s="26">
        <f t="shared" si="199"/>
        <v>9.9999999999999985E-3</v>
      </c>
      <c r="BA160" s="7">
        <v>8.0541302018883201</v>
      </c>
      <c r="BB160" s="7">
        <v>602.00500937137394</v>
      </c>
      <c r="BC160" s="7">
        <v>783.15203621901901</v>
      </c>
      <c r="BD160" s="7">
        <v>602.00500937137394</v>
      </c>
      <c r="BE160" s="7">
        <v>8973470.5022608098</v>
      </c>
      <c r="BF160" s="7">
        <v>7639.4372684109803</v>
      </c>
      <c r="BG160" s="7">
        <f t="shared" si="200"/>
        <v>1987.1620549617669</v>
      </c>
      <c r="BI160" s="28">
        <v>35</v>
      </c>
      <c r="BJ160" s="26">
        <v>1.0000000000000001E-5</v>
      </c>
      <c r="BK160" s="28">
        <v>0.5</v>
      </c>
      <c r="BL160" s="28">
        <v>200</v>
      </c>
      <c r="BM160" s="26">
        <v>2.4999999999999999E-7</v>
      </c>
      <c r="BN160" s="26">
        <f t="shared" si="201"/>
        <v>1.2499999999999999E-7</v>
      </c>
      <c r="BO160" s="26">
        <f t="shared" si="202"/>
        <v>2.4999999999999998E-2</v>
      </c>
      <c r="BP160" s="7">
        <v>8.0793939690426502</v>
      </c>
      <c r="BQ160" s="7">
        <v>600.83500597989303</v>
      </c>
      <c r="BR160" s="7">
        <v>781.06268252331097</v>
      </c>
      <c r="BS160" s="7">
        <v>600.83500597989303</v>
      </c>
      <c r="BT160" s="7">
        <v>3589388.20090432</v>
      </c>
      <c r="BU160" s="7">
        <v>7639.4372684109803</v>
      </c>
      <c r="BV160" s="7">
        <f t="shared" si="203"/>
        <v>1982.732694483097</v>
      </c>
      <c r="BX160" s="28">
        <v>35</v>
      </c>
      <c r="BY160" s="26">
        <v>5.0000000000000002E-5</v>
      </c>
      <c r="BZ160" s="28">
        <v>0.5</v>
      </c>
      <c r="CA160" s="28">
        <v>200</v>
      </c>
      <c r="CB160" s="26">
        <v>2.4999999999999999E-7</v>
      </c>
      <c r="CC160" s="26">
        <f t="shared" si="204"/>
        <v>1.2499999999999999E-7</v>
      </c>
      <c r="CD160" s="26">
        <f t="shared" si="205"/>
        <v>4.9999999999999992E-3</v>
      </c>
      <c r="CE160" s="7">
        <v>27.585683859399101</v>
      </c>
      <c r="CF160" s="7">
        <v>120.167001188906</v>
      </c>
      <c r="CG160" s="7">
        <v>156.21253650466201</v>
      </c>
      <c r="CH160" s="7">
        <v>120.167001188906</v>
      </c>
      <c r="CI160" s="7">
        <v>717877.66075713001</v>
      </c>
      <c r="CJ160" s="7">
        <v>305.57749073643902</v>
      </c>
      <c r="CK160" s="7">
        <f t="shared" si="206"/>
        <v>396.54653888247401</v>
      </c>
      <c r="CM160" s="28">
        <v>35</v>
      </c>
      <c r="CN160" s="26">
        <v>5.0000000000000002E-5</v>
      </c>
      <c r="CO160" s="28">
        <v>1</v>
      </c>
      <c r="CP160" s="28">
        <v>200</v>
      </c>
      <c r="CQ160" s="26">
        <v>2.4999999999999999E-7</v>
      </c>
      <c r="CR160" s="26">
        <f t="shared" si="207"/>
        <v>2.4999999999999999E-7</v>
      </c>
      <c r="CS160" s="26">
        <f t="shared" si="208"/>
        <v>9.9999999999999985E-3</v>
      </c>
      <c r="CT160" s="7">
        <v>27.664511778442201</v>
      </c>
      <c r="CU160" s="7">
        <v>119.779274796552</v>
      </c>
      <c r="CV160" s="7">
        <v>155.521045898078</v>
      </c>
      <c r="CW160" s="7">
        <v>119.779274796552</v>
      </c>
      <c r="CX160" s="7">
        <v>358938.83037856501</v>
      </c>
      <c r="CY160" s="7">
        <v>305.57749073643902</v>
      </c>
      <c r="CZ160" s="7">
        <f t="shared" si="209"/>
        <v>395.07959549118198</v>
      </c>
      <c r="DB160" s="28">
        <v>35</v>
      </c>
      <c r="DC160" s="26">
        <v>5.0000000000000002E-5</v>
      </c>
      <c r="DD160" s="28">
        <v>2</v>
      </c>
      <c r="DE160" s="28">
        <v>200</v>
      </c>
      <c r="DF160" s="26">
        <v>2.4999999999999999E-7</v>
      </c>
      <c r="DG160" s="26">
        <f t="shared" si="210"/>
        <v>4.9999999999999998E-7</v>
      </c>
      <c r="DH160" s="26">
        <f t="shared" si="211"/>
        <v>1.9999999999999997E-2</v>
      </c>
      <c r="DI160" s="7">
        <v>27.821551353006601</v>
      </c>
      <c r="DJ160" s="7">
        <v>119.01223137089301</v>
      </c>
      <c r="DK160" s="7">
        <v>154.156369850555</v>
      </c>
      <c r="DL160" s="7">
        <v>119.01223137089301</v>
      </c>
      <c r="DM160" s="7">
        <v>179469.41518928201</v>
      </c>
      <c r="DN160" s="7">
        <v>305.57749073643902</v>
      </c>
      <c r="DO160" s="7">
        <f t="shared" si="212"/>
        <v>392.18083259234101</v>
      </c>
      <c r="DQ160" s="28">
        <v>35</v>
      </c>
      <c r="DR160" s="26">
        <v>5.0000000000000002E-5</v>
      </c>
      <c r="DS160" s="28">
        <v>15</v>
      </c>
      <c r="DT160" s="28">
        <v>300</v>
      </c>
      <c r="DU160" s="26">
        <v>9.9999999999999995E-8</v>
      </c>
      <c r="DV160" s="26">
        <f t="shared" si="213"/>
        <v>1.5E-6</v>
      </c>
      <c r="DW160" s="26">
        <f t="shared" si="214"/>
        <v>0.06</v>
      </c>
      <c r="DX160" s="7">
        <v>62.744141216820303</v>
      </c>
      <c r="DY160" s="7">
        <v>75.5008244304708</v>
      </c>
      <c r="DZ160" s="7">
        <v>96.032312732024195</v>
      </c>
      <c r="EA160" s="7">
        <v>75.5008244304708</v>
      </c>
      <c r="EB160" s="7">
        <v>23929.255358571001</v>
      </c>
      <c r="EC160" s="7">
        <v>101.859163578813</v>
      </c>
      <c r="ED160" s="7">
        <f t="shared" si="215"/>
        <v>247.0339615929658</v>
      </c>
    </row>
    <row r="161" spans="1:134" x14ac:dyDescent="0.4">
      <c r="A161" s="28">
        <v>40</v>
      </c>
      <c r="B161" s="26">
        <v>1.0000000000000001E-5</v>
      </c>
      <c r="C161" s="28">
        <v>0.2</v>
      </c>
      <c r="D161" s="28">
        <v>30</v>
      </c>
      <c r="E161" s="26">
        <v>2.4999999999999999E-7</v>
      </c>
      <c r="F161" s="26">
        <f t="shared" si="189"/>
        <v>4.9999999999999998E-8</v>
      </c>
      <c r="G161" s="26">
        <f t="shared" si="190"/>
        <v>9.9999999999999985E-3</v>
      </c>
      <c r="H161" s="7">
        <v>5.3243133263663802</v>
      </c>
      <c r="I161" s="7">
        <v>3352.9677929484601</v>
      </c>
      <c r="J161" s="7">
        <v>5323.5334580216904</v>
      </c>
      <c r="K161" s="7">
        <v>3352.9677929484601</v>
      </c>
      <c r="L161" s="7">
        <v>13908939.478979601</v>
      </c>
      <c r="M161" s="7">
        <v>7639.4372684109803</v>
      </c>
      <c r="N161" s="7">
        <f t="shared" si="191"/>
        <v>12029.469043918611</v>
      </c>
      <c r="P161" s="28">
        <v>40</v>
      </c>
      <c r="Q161" s="26">
        <v>3.0000000000000001E-5</v>
      </c>
      <c r="R161" s="28">
        <v>0.2</v>
      </c>
      <c r="S161" s="28">
        <v>30</v>
      </c>
      <c r="T161" s="26">
        <v>2.4999999999999999E-7</v>
      </c>
      <c r="U161" s="26">
        <f t="shared" si="192"/>
        <v>4.9999999999999998E-8</v>
      </c>
      <c r="V161" s="26">
        <f t="shared" si="193"/>
        <v>3.3333333333333331E-3</v>
      </c>
      <c r="W161" s="7">
        <v>8.4854737671562805</v>
      </c>
      <c r="X161" s="7">
        <v>1117.6559309715101</v>
      </c>
      <c r="Y161" s="7">
        <v>1774.5111526738999</v>
      </c>
      <c r="Z161" s="7">
        <v>1117.6559309715101</v>
      </c>
      <c r="AA161" s="7">
        <v>4636313.1689486196</v>
      </c>
      <c r="AB161" s="7">
        <v>848.82636315677496</v>
      </c>
      <c r="AC161" s="7">
        <f t="shared" si="194"/>
        <v>4009.8230146169199</v>
      </c>
      <c r="AE161" s="28">
        <v>40</v>
      </c>
      <c r="AF161" s="26">
        <v>5.0000000000000002E-5</v>
      </c>
      <c r="AG161" s="28">
        <v>0.2</v>
      </c>
      <c r="AH161" s="28">
        <v>30</v>
      </c>
      <c r="AI161" s="26">
        <v>2.4999999999999999E-7</v>
      </c>
      <c r="AJ161" s="26">
        <f t="shared" si="195"/>
        <v>4.9999999999999998E-8</v>
      </c>
      <c r="AK161" s="26">
        <f t="shared" si="196"/>
        <v>1.9999999999999996E-3</v>
      </c>
      <c r="AL161" s="7">
        <v>9.6299836701301693</v>
      </c>
      <c r="AM161" s="7">
        <v>670.59355848720395</v>
      </c>
      <c r="AN161" s="7">
        <v>1064.70669160434</v>
      </c>
      <c r="AO161" s="7">
        <v>670.59355848720395</v>
      </c>
      <c r="AP161" s="7">
        <v>2781787.9800138599</v>
      </c>
      <c r="AQ161" s="7">
        <v>305.57749073643902</v>
      </c>
      <c r="AR161" s="7">
        <f t="shared" si="197"/>
        <v>2405.8938085787481</v>
      </c>
      <c r="AT161" s="28">
        <v>40</v>
      </c>
      <c r="AU161" s="26">
        <v>1.0000000000000001E-5</v>
      </c>
      <c r="AV161" s="28">
        <v>0.2</v>
      </c>
      <c r="AW161" s="28">
        <v>200</v>
      </c>
      <c r="AX161" s="26">
        <v>2.4999999999999999E-7</v>
      </c>
      <c r="AY161" s="26">
        <f t="shared" si="198"/>
        <v>4.9999999999999998E-8</v>
      </c>
      <c r="AZ161" s="26">
        <f t="shared" si="199"/>
        <v>9.9999999999999985E-3</v>
      </c>
      <c r="BA161" s="7">
        <v>8.4985618245274708</v>
      </c>
      <c r="BB161" s="7">
        <v>506.171357939058</v>
      </c>
      <c r="BC161" s="7">
        <v>804.808472591532</v>
      </c>
      <c r="BD161" s="7">
        <v>506.171357939058</v>
      </c>
      <c r="BE161" s="7">
        <v>13908939.478979601</v>
      </c>
      <c r="BF161" s="7">
        <v>7639.4372684109803</v>
      </c>
      <c r="BG161" s="7">
        <f t="shared" si="200"/>
        <v>1817.1511884696479</v>
      </c>
      <c r="BI161" s="28">
        <v>40</v>
      </c>
      <c r="BJ161" s="26">
        <v>1.0000000000000001E-5</v>
      </c>
      <c r="BK161" s="28">
        <v>0.5</v>
      </c>
      <c r="BL161" s="28">
        <v>200</v>
      </c>
      <c r="BM161" s="26">
        <v>2.4999999999999999E-7</v>
      </c>
      <c r="BN161" s="26">
        <f t="shared" si="201"/>
        <v>1.2499999999999999E-7</v>
      </c>
      <c r="BO161" s="26">
        <f t="shared" si="202"/>
        <v>2.4999999999999998E-2</v>
      </c>
      <c r="BP161" s="7">
        <v>8.5158941353870397</v>
      </c>
      <c r="BQ161" s="7">
        <v>505.31296257696903</v>
      </c>
      <c r="BR161" s="7">
        <v>803.13685140779603</v>
      </c>
      <c r="BS161" s="7">
        <v>505.31296257696903</v>
      </c>
      <c r="BT161" s="7">
        <v>5563575.7915918296</v>
      </c>
      <c r="BU161" s="7">
        <v>7639.4372684109803</v>
      </c>
      <c r="BV161" s="7">
        <f t="shared" si="203"/>
        <v>1813.7627765617342</v>
      </c>
      <c r="BX161" s="28">
        <v>40</v>
      </c>
      <c r="BY161" s="26">
        <v>5.0000000000000002E-5</v>
      </c>
      <c r="BZ161" s="28">
        <v>0.5</v>
      </c>
      <c r="CA161" s="28">
        <v>200</v>
      </c>
      <c r="CB161" s="26">
        <v>2.4999999999999999E-7</v>
      </c>
      <c r="CC161" s="26">
        <f t="shared" si="204"/>
        <v>1.2499999999999999E-7</v>
      </c>
      <c r="CD161" s="26">
        <f t="shared" si="205"/>
        <v>4.9999999999999992E-3</v>
      </c>
      <c r="CE161" s="7">
        <v>29.826297161034699</v>
      </c>
      <c r="CF161" s="7">
        <v>101.06259250957299</v>
      </c>
      <c r="CG161" s="7">
        <v>160.627370281559</v>
      </c>
      <c r="CH161" s="7">
        <v>101.06259250957299</v>
      </c>
      <c r="CI161" s="7">
        <v>1112715.19200554</v>
      </c>
      <c r="CJ161" s="7">
        <v>305.57749073643902</v>
      </c>
      <c r="CK161" s="7">
        <f t="shared" si="206"/>
        <v>362.75255530070496</v>
      </c>
      <c r="CM161" s="28">
        <v>40</v>
      </c>
      <c r="CN161" s="26">
        <v>5.0000000000000002E-5</v>
      </c>
      <c r="CO161" s="28">
        <v>1</v>
      </c>
      <c r="CP161" s="28">
        <v>200</v>
      </c>
      <c r="CQ161" s="26">
        <v>2.4999999999999999E-7</v>
      </c>
      <c r="CR161" s="26">
        <f t="shared" si="207"/>
        <v>2.4999999999999999E-7</v>
      </c>
      <c r="CS161" s="26">
        <f t="shared" si="208"/>
        <v>9.9999999999999985E-3</v>
      </c>
      <c r="CT161" s="7">
        <v>29.886798413153699</v>
      </c>
      <c r="CU161" s="7">
        <v>100.77787314708399</v>
      </c>
      <c r="CV161" s="7">
        <v>160.073267279547</v>
      </c>
      <c r="CW161" s="7">
        <v>100.77787314708399</v>
      </c>
      <c r="CX161" s="7">
        <v>556357.59600277198</v>
      </c>
      <c r="CY161" s="7">
        <v>305.57749073643902</v>
      </c>
      <c r="CZ161" s="7">
        <f t="shared" si="209"/>
        <v>361.62901357371499</v>
      </c>
      <c r="DB161" s="28">
        <v>40</v>
      </c>
      <c r="DC161" s="26">
        <v>5.0000000000000002E-5</v>
      </c>
      <c r="DD161" s="28">
        <v>2</v>
      </c>
      <c r="DE161" s="28">
        <v>200</v>
      </c>
      <c r="DF161" s="26">
        <v>2.4999999999999999E-7</v>
      </c>
      <c r="DG161" s="26">
        <f t="shared" si="210"/>
        <v>4.9999999999999998E-7</v>
      </c>
      <c r="DH161" s="26">
        <f t="shared" si="211"/>
        <v>1.9999999999999997E-2</v>
      </c>
      <c r="DI161" s="7">
        <v>30.007363311595501</v>
      </c>
      <c r="DJ161" s="7">
        <v>100.213668542356</v>
      </c>
      <c r="DK161" s="7">
        <v>158.97655523681999</v>
      </c>
      <c r="DL161" s="7">
        <v>100.213668542356</v>
      </c>
      <c r="DM161" s="7">
        <v>278178.79800138599</v>
      </c>
      <c r="DN161" s="7">
        <v>305.57749073643902</v>
      </c>
      <c r="DO161" s="7">
        <f t="shared" si="212"/>
        <v>359.403892321532</v>
      </c>
      <c r="DQ161" s="28">
        <v>40</v>
      </c>
      <c r="DR161" s="26">
        <v>5.0000000000000002E-5</v>
      </c>
      <c r="DS161" s="28">
        <v>15</v>
      </c>
      <c r="DT161" s="28">
        <v>300</v>
      </c>
      <c r="DU161" s="26">
        <v>9.9999999999999995E-8</v>
      </c>
      <c r="DV161" s="26">
        <f t="shared" si="213"/>
        <v>1.5E-6</v>
      </c>
      <c r="DW161" s="26">
        <f t="shared" si="214"/>
        <v>0.06</v>
      </c>
      <c r="DX161" s="7">
        <v>67.946896513728404</v>
      </c>
      <c r="DY161" s="7">
        <v>63.957630951740299</v>
      </c>
      <c r="DZ161" s="7">
        <v>100.479958515748</v>
      </c>
      <c r="EA161" s="7">
        <v>63.957630951740299</v>
      </c>
      <c r="EB161" s="7">
        <v>37090.5064001848</v>
      </c>
      <c r="EC161" s="7">
        <v>101.859163578813</v>
      </c>
      <c r="ED161" s="7">
        <f t="shared" si="215"/>
        <v>228.39522041922859</v>
      </c>
    </row>
    <row r="162" spans="1:134" x14ac:dyDescent="0.4">
      <c r="A162" s="28">
        <v>45</v>
      </c>
      <c r="B162" s="26">
        <v>1.0000000000000001E-5</v>
      </c>
      <c r="C162" s="28">
        <v>0.2</v>
      </c>
      <c r="D162" s="28">
        <v>30</v>
      </c>
      <c r="E162" s="26">
        <v>2.4999999999999999E-7</v>
      </c>
      <c r="F162" s="26">
        <f t="shared" si="189"/>
        <v>4.9999999999999998E-8</v>
      </c>
      <c r="G162" s="26">
        <f t="shared" si="190"/>
        <v>9.9999999999999985E-3</v>
      </c>
      <c r="H162" s="7">
        <v>5.7173765416847404</v>
      </c>
      <c r="I162" s="7">
        <v>2844.9728255004802</v>
      </c>
      <c r="J162" s="7">
        <v>5459.8455675855203</v>
      </c>
      <c r="K162" s="7">
        <v>2844.9728255004802</v>
      </c>
      <c r="L162" s="7">
        <v>22314016.336053099</v>
      </c>
      <c r="M162" s="7">
        <v>7639.4372684109803</v>
      </c>
      <c r="N162" s="7">
        <f t="shared" si="191"/>
        <v>11149.791218586481</v>
      </c>
      <c r="P162" s="28">
        <v>45</v>
      </c>
      <c r="Q162" s="26">
        <v>3.0000000000000001E-5</v>
      </c>
      <c r="R162" s="28">
        <v>0.2</v>
      </c>
      <c r="S162" s="28">
        <v>30</v>
      </c>
      <c r="T162" s="26">
        <v>2.4999999999999999E-7</v>
      </c>
      <c r="U162" s="26">
        <f t="shared" si="192"/>
        <v>4.9999999999999998E-8</v>
      </c>
      <c r="V162" s="26">
        <f t="shared" si="193"/>
        <v>3.3333333333333331E-3</v>
      </c>
      <c r="W162" s="7">
        <v>9.2985329080282604</v>
      </c>
      <c r="X162" s="7">
        <v>948.32427515736799</v>
      </c>
      <c r="Y162" s="7">
        <v>1819.94852252851</v>
      </c>
      <c r="Z162" s="7">
        <v>948.32427515736799</v>
      </c>
      <c r="AA162" s="7">
        <v>7438005.4604388904</v>
      </c>
      <c r="AB162" s="7">
        <v>848.82636315677496</v>
      </c>
      <c r="AC162" s="7">
        <f t="shared" si="194"/>
        <v>3716.5970728432458</v>
      </c>
      <c r="AE162" s="28">
        <v>45</v>
      </c>
      <c r="AF162" s="26">
        <v>5.0000000000000002E-5</v>
      </c>
      <c r="AG162" s="28">
        <v>0.2</v>
      </c>
      <c r="AH162" s="28">
        <v>30</v>
      </c>
      <c r="AI162" s="26">
        <v>2.4999999999999999E-7</v>
      </c>
      <c r="AJ162" s="26">
        <f t="shared" si="195"/>
        <v>4.9999999999999998E-8</v>
      </c>
      <c r="AK162" s="26">
        <f t="shared" si="196"/>
        <v>1.9999999999999996E-3</v>
      </c>
      <c r="AL162" s="7">
        <v>10.631041360191199</v>
      </c>
      <c r="AM162" s="7">
        <v>568.99456501435202</v>
      </c>
      <c r="AN162" s="7">
        <v>1091.9691135170999</v>
      </c>
      <c r="AO162" s="7">
        <v>568.99456501435202</v>
      </c>
      <c r="AP162" s="7">
        <v>4462803.4040061999</v>
      </c>
      <c r="AQ162" s="7">
        <v>305.57749073643902</v>
      </c>
      <c r="AR162" s="7">
        <f t="shared" si="197"/>
        <v>2229.9582435458042</v>
      </c>
      <c r="AT162" s="28">
        <v>45</v>
      </c>
      <c r="AU162" s="26">
        <v>1.0000000000000001E-5</v>
      </c>
      <c r="AV162" s="28">
        <v>0.2</v>
      </c>
      <c r="AW162" s="28">
        <v>200</v>
      </c>
      <c r="AX162" s="26">
        <v>2.4999999999999999E-7</v>
      </c>
      <c r="AY162" s="26">
        <f t="shared" si="198"/>
        <v>4.9999999999999998E-8</v>
      </c>
      <c r="AZ162" s="26">
        <f t="shared" si="199"/>
        <v>9.9999999999999985E-3</v>
      </c>
      <c r="BA162" s="7">
        <v>8.9048699486349001</v>
      </c>
      <c r="BB162" s="7">
        <v>429.182314820393</v>
      </c>
      <c r="BC162" s="7">
        <v>824.10906225483302</v>
      </c>
      <c r="BD162" s="7">
        <v>429.182314820393</v>
      </c>
      <c r="BE162" s="7">
        <v>22314016.336053099</v>
      </c>
      <c r="BF162" s="7">
        <v>7639.4372684109803</v>
      </c>
      <c r="BG162" s="7">
        <f t="shared" si="200"/>
        <v>1682.4736918956191</v>
      </c>
      <c r="BI162" s="28">
        <v>45</v>
      </c>
      <c r="BJ162" s="26">
        <v>1.0000000000000001E-5</v>
      </c>
      <c r="BK162" s="28">
        <v>0.5</v>
      </c>
      <c r="BL162" s="28">
        <v>200</v>
      </c>
      <c r="BM162" s="26">
        <v>2.4999999999999999E-7</v>
      </c>
      <c r="BN162" s="26">
        <f t="shared" si="201"/>
        <v>1.2499999999999999E-7</v>
      </c>
      <c r="BO162" s="26">
        <f t="shared" si="202"/>
        <v>2.4999999999999998E-2</v>
      </c>
      <c r="BP162" s="7">
        <v>8.9164113490057808</v>
      </c>
      <c r="BQ162" s="7">
        <v>428.53449983983199</v>
      </c>
      <c r="BR162" s="7">
        <v>822.74419088845502</v>
      </c>
      <c r="BS162" s="7">
        <v>428.53449983983199</v>
      </c>
      <c r="BT162" s="7">
        <v>8925606.5344212595</v>
      </c>
      <c r="BU162" s="7">
        <v>7639.4372684109803</v>
      </c>
      <c r="BV162" s="7">
        <f t="shared" si="203"/>
        <v>1679.8131905681191</v>
      </c>
      <c r="BX162" s="28">
        <v>45</v>
      </c>
      <c r="BY162" s="26">
        <v>5.0000000000000002E-5</v>
      </c>
      <c r="BZ162" s="28">
        <v>0.5</v>
      </c>
      <c r="CA162" s="28">
        <v>200</v>
      </c>
      <c r="CB162" s="26">
        <v>2.4999999999999999E-7</v>
      </c>
      <c r="CC162" s="26">
        <f t="shared" si="204"/>
        <v>1.2499999999999999E-7</v>
      </c>
      <c r="CD162" s="26">
        <f t="shared" si="205"/>
        <v>4.9999999999999992E-3</v>
      </c>
      <c r="CE162" s="7">
        <v>31.887054175202501</v>
      </c>
      <c r="CF162" s="7">
        <v>85.706899963102501</v>
      </c>
      <c r="CG162" s="7">
        <v>164.54883817769101</v>
      </c>
      <c r="CH162" s="7">
        <v>85.706899963102501</v>
      </c>
      <c r="CI162" s="7">
        <v>1785121.3616024801</v>
      </c>
      <c r="CJ162" s="7">
        <v>305.57749073643902</v>
      </c>
      <c r="CK162" s="7">
        <f t="shared" si="206"/>
        <v>335.96263810389598</v>
      </c>
      <c r="CM162" s="28">
        <v>45</v>
      </c>
      <c r="CN162" s="26">
        <v>5.0000000000000002E-5</v>
      </c>
      <c r="CO162" s="28">
        <v>1</v>
      </c>
      <c r="CP162" s="28">
        <v>200</v>
      </c>
      <c r="CQ162" s="26">
        <v>2.4999999999999999E-7</v>
      </c>
      <c r="CR162" s="26">
        <f t="shared" si="207"/>
        <v>2.4999999999999999E-7</v>
      </c>
      <c r="CS162" s="26">
        <f t="shared" si="208"/>
        <v>9.9999999999999985E-3</v>
      </c>
      <c r="CT162" s="7">
        <v>31.9337018894926</v>
      </c>
      <c r="CU162" s="7">
        <v>85.491887514072303</v>
      </c>
      <c r="CV162" s="7">
        <v>164.095913900619</v>
      </c>
      <c r="CW162" s="7">
        <v>85.491887514072303</v>
      </c>
      <c r="CX162" s="7">
        <v>892560.68080124003</v>
      </c>
      <c r="CY162" s="7">
        <v>305.57749073643902</v>
      </c>
      <c r="CZ162" s="7">
        <f t="shared" si="209"/>
        <v>335.07968892876357</v>
      </c>
      <c r="DB162" s="28">
        <v>45</v>
      </c>
      <c r="DC162" s="26">
        <v>5.0000000000000002E-5</v>
      </c>
      <c r="DD162" s="28">
        <v>2</v>
      </c>
      <c r="DE162" s="28">
        <v>200</v>
      </c>
      <c r="DF162" s="26">
        <v>2.4999999999999999E-7</v>
      </c>
      <c r="DG162" s="26">
        <f t="shared" si="210"/>
        <v>4.9999999999999998E-7</v>
      </c>
      <c r="DH162" s="26">
        <f t="shared" si="211"/>
        <v>1.9999999999999997E-2</v>
      </c>
      <c r="DI162" s="7">
        <v>32.026676187468603</v>
      </c>
      <c r="DJ162" s="7">
        <v>85.065299620820397</v>
      </c>
      <c r="DK162" s="7">
        <v>163.197611169178</v>
      </c>
      <c r="DL162" s="7">
        <v>85.065299620820397</v>
      </c>
      <c r="DM162" s="7">
        <v>446280.34040062001</v>
      </c>
      <c r="DN162" s="7">
        <v>305.57749073643902</v>
      </c>
      <c r="DO162" s="7">
        <f t="shared" si="212"/>
        <v>333.32821041081877</v>
      </c>
      <c r="DQ162" s="28">
        <v>45</v>
      </c>
      <c r="DR162" s="26">
        <v>5.0000000000000002E-5</v>
      </c>
      <c r="DS162" s="28">
        <v>15</v>
      </c>
      <c r="DT162" s="28">
        <v>300</v>
      </c>
      <c r="DU162" s="26">
        <v>9.9999999999999995E-8</v>
      </c>
      <c r="DV162" s="26">
        <f t="shared" si="213"/>
        <v>1.5E-6</v>
      </c>
      <c r="DW162" s="26">
        <f t="shared" si="214"/>
        <v>0.06</v>
      </c>
      <c r="DX162" s="7">
        <v>72.886961249963306</v>
      </c>
      <c r="DY162" s="7">
        <v>54.539450656433999</v>
      </c>
      <c r="DZ162" s="7">
        <v>104.236562937325</v>
      </c>
      <c r="EA162" s="7">
        <v>54.539450656433999</v>
      </c>
      <c r="EB162" s="7">
        <v>59504.045386749298</v>
      </c>
      <c r="EC162" s="7">
        <v>101.859163578813</v>
      </c>
      <c r="ED162" s="7">
        <f t="shared" si="215"/>
        <v>213.31546425019297</v>
      </c>
    </row>
    <row r="163" spans="1:134" x14ac:dyDescent="0.4">
      <c r="A163" s="28">
        <v>50</v>
      </c>
      <c r="B163" s="26">
        <v>1.0000000000000001E-5</v>
      </c>
      <c r="C163" s="28">
        <v>0.2</v>
      </c>
      <c r="D163" s="28">
        <v>30</v>
      </c>
      <c r="E163" s="26">
        <v>2.4999999999999999E-7</v>
      </c>
      <c r="F163" s="26">
        <f t="shared" si="189"/>
        <v>4.9999999999999998E-8</v>
      </c>
      <c r="G163" s="26">
        <f t="shared" si="190"/>
        <v>9.9999999999999985E-3</v>
      </c>
      <c r="H163" s="7">
        <v>6.08535766520985</v>
      </c>
      <c r="I163" s="7">
        <v>2422.0764785389101</v>
      </c>
      <c r="J163" s="7">
        <v>5581.9822447758097</v>
      </c>
      <c r="K163" s="7">
        <v>2422.0764785389101</v>
      </c>
      <c r="L163" s="7">
        <v>38032949.861855596</v>
      </c>
      <c r="M163" s="7">
        <v>7639.4372684109803</v>
      </c>
      <c r="N163" s="7">
        <f t="shared" si="191"/>
        <v>10426.135201853631</v>
      </c>
      <c r="P163" s="28">
        <v>50</v>
      </c>
      <c r="Q163" s="26">
        <v>3.0000000000000001E-5</v>
      </c>
      <c r="R163" s="28">
        <v>0.2</v>
      </c>
      <c r="S163" s="28">
        <v>30</v>
      </c>
      <c r="T163" s="26">
        <v>2.4999999999999999E-7</v>
      </c>
      <c r="U163" s="26">
        <f t="shared" si="192"/>
        <v>4.9999999999999998E-8</v>
      </c>
      <c r="V163" s="26">
        <f t="shared" si="193"/>
        <v>3.3333333333333331E-3</v>
      </c>
      <c r="W163" s="7">
        <v>10.0767686141885</v>
      </c>
      <c r="X163" s="7">
        <v>807.35882617166396</v>
      </c>
      <c r="Y163" s="7">
        <v>1860.6607482586001</v>
      </c>
      <c r="Z163" s="7">
        <v>807.35882617166396</v>
      </c>
      <c r="AA163" s="7">
        <v>12677649.9784535</v>
      </c>
      <c r="AB163" s="7">
        <v>848.82636315677496</v>
      </c>
      <c r="AC163" s="7">
        <f t="shared" si="194"/>
        <v>3475.3784006019282</v>
      </c>
      <c r="AE163" s="28">
        <v>50</v>
      </c>
      <c r="AF163" s="26">
        <v>5.0000000000000002E-5</v>
      </c>
      <c r="AG163" s="28">
        <v>0.2</v>
      </c>
      <c r="AH163" s="28">
        <v>30</v>
      </c>
      <c r="AI163" s="26">
        <v>2.4999999999999999E-7</v>
      </c>
      <c r="AJ163" s="26">
        <f t="shared" si="195"/>
        <v>4.9999999999999998E-8</v>
      </c>
      <c r="AK163" s="26">
        <f t="shared" si="196"/>
        <v>1.9999999999999996E-3</v>
      </c>
      <c r="AL163" s="7">
        <v>11.5987971177915</v>
      </c>
      <c r="AM163" s="7">
        <v>484.41529563550102</v>
      </c>
      <c r="AN163" s="7">
        <v>1116.3964489551599</v>
      </c>
      <c r="AO163" s="7">
        <v>484.41529563550102</v>
      </c>
      <c r="AP163" s="7">
        <v>7606590.1945190197</v>
      </c>
      <c r="AQ163" s="7">
        <v>305.57749073643902</v>
      </c>
      <c r="AR163" s="7">
        <f t="shared" si="197"/>
        <v>2085.227040226162</v>
      </c>
      <c r="AT163" s="28">
        <v>50</v>
      </c>
      <c r="AU163" s="26">
        <v>1.0000000000000001E-5</v>
      </c>
      <c r="AV163" s="28">
        <v>0.2</v>
      </c>
      <c r="AW163" s="28">
        <v>200</v>
      </c>
      <c r="AX163" s="26">
        <v>2.4999999999999999E-7</v>
      </c>
      <c r="AY163" s="26">
        <f t="shared" si="198"/>
        <v>4.9999999999999998E-8</v>
      </c>
      <c r="AZ163" s="26">
        <f t="shared" si="199"/>
        <v>9.9999999999999985E-3</v>
      </c>
      <c r="BA163" s="7">
        <v>9.2807484696622602</v>
      </c>
      <c r="BB163" s="7">
        <v>365.18105956717</v>
      </c>
      <c r="BC163" s="7">
        <v>841.53641728653497</v>
      </c>
      <c r="BD163" s="7">
        <v>365.18105956717</v>
      </c>
      <c r="BE163" s="7">
        <v>38032949.861855596</v>
      </c>
      <c r="BF163" s="7">
        <v>7639.4372684109803</v>
      </c>
      <c r="BG163" s="7">
        <f t="shared" si="200"/>
        <v>1571.898536420875</v>
      </c>
      <c r="BI163" s="28">
        <v>50</v>
      </c>
      <c r="BJ163" s="26">
        <v>1.0000000000000001E-5</v>
      </c>
      <c r="BK163" s="28">
        <v>0.5</v>
      </c>
      <c r="BL163" s="28">
        <v>200</v>
      </c>
      <c r="BM163" s="26">
        <v>2.4999999999999999E-7</v>
      </c>
      <c r="BN163" s="26">
        <f t="shared" si="201"/>
        <v>1.2499999999999999E-7</v>
      </c>
      <c r="BO163" s="26">
        <f t="shared" si="202"/>
        <v>2.4999999999999998E-2</v>
      </c>
      <c r="BP163" s="7">
        <v>9.2880808748079193</v>
      </c>
      <c r="BQ163" s="7">
        <v>364.68421056947602</v>
      </c>
      <c r="BR163" s="7">
        <v>840.41004328064798</v>
      </c>
      <c r="BS163" s="7">
        <v>364.68421056947602</v>
      </c>
      <c r="BT163" s="7">
        <v>15213179.944742201</v>
      </c>
      <c r="BU163" s="7">
        <v>7639.4372684109803</v>
      </c>
      <c r="BV163" s="7">
        <f t="shared" si="203"/>
        <v>1569.7784644195999</v>
      </c>
      <c r="BX163" s="28">
        <v>50</v>
      </c>
      <c r="BY163" s="26">
        <v>5.0000000000000002E-5</v>
      </c>
      <c r="BZ163" s="28">
        <v>0.5</v>
      </c>
      <c r="CA163" s="28">
        <v>200</v>
      </c>
      <c r="CB163" s="26">
        <v>2.4999999999999999E-7</v>
      </c>
      <c r="CC163" s="26">
        <f t="shared" si="204"/>
        <v>1.2499999999999999E-7</v>
      </c>
      <c r="CD163" s="26">
        <f t="shared" si="205"/>
        <v>4.9999999999999992E-3</v>
      </c>
      <c r="CE163" s="7">
        <v>33.804832480797103</v>
      </c>
      <c r="CF163" s="7">
        <v>72.936842109798505</v>
      </c>
      <c r="CG163" s="7">
        <v>168.08200865613</v>
      </c>
      <c r="CH163" s="7">
        <v>72.936842109798505</v>
      </c>
      <c r="CI163" s="7">
        <v>3042636.0778076099</v>
      </c>
      <c r="CJ163" s="7">
        <v>305.57749073643902</v>
      </c>
      <c r="CK163" s="7">
        <f t="shared" si="206"/>
        <v>313.95569287572698</v>
      </c>
      <c r="CM163" s="28">
        <v>50</v>
      </c>
      <c r="CN163" s="26">
        <v>5.0000000000000002E-5</v>
      </c>
      <c r="CO163" s="28">
        <v>1</v>
      </c>
      <c r="CP163" s="28">
        <v>200</v>
      </c>
      <c r="CQ163" s="26">
        <v>2.4999999999999999E-7</v>
      </c>
      <c r="CR163" s="26">
        <f t="shared" si="207"/>
        <v>2.4999999999999999E-7</v>
      </c>
      <c r="CS163" s="26">
        <f t="shared" si="208"/>
        <v>9.9999999999999985E-3</v>
      </c>
      <c r="CT163" s="7">
        <v>33.840847104339097</v>
      </c>
      <c r="CU163" s="7">
        <v>72.771853396363895</v>
      </c>
      <c r="CV163" s="7">
        <v>167.707917393011</v>
      </c>
      <c r="CW163" s="7">
        <v>72.771853396363895</v>
      </c>
      <c r="CX163" s="7">
        <v>1521318.0389038101</v>
      </c>
      <c r="CY163" s="7">
        <v>305.57749073643902</v>
      </c>
      <c r="CZ163" s="7">
        <f t="shared" si="209"/>
        <v>313.25162418573882</v>
      </c>
      <c r="DB163" s="28">
        <v>50</v>
      </c>
      <c r="DC163" s="26">
        <v>5.0000000000000002E-5</v>
      </c>
      <c r="DD163" s="28">
        <v>2</v>
      </c>
      <c r="DE163" s="28">
        <v>200</v>
      </c>
      <c r="DF163" s="26">
        <v>2.4999999999999999E-7</v>
      </c>
      <c r="DG163" s="26">
        <f t="shared" si="210"/>
        <v>4.9999999999999998E-7</v>
      </c>
      <c r="DH163" s="26">
        <f t="shared" si="211"/>
        <v>1.9999999999999997E-2</v>
      </c>
      <c r="DI163" s="7">
        <v>33.912636421988203</v>
      </c>
      <c r="DJ163" s="7">
        <v>72.444208829560395</v>
      </c>
      <c r="DK163" s="7">
        <v>166.964817403171</v>
      </c>
      <c r="DL163" s="7">
        <v>72.444208829560395</v>
      </c>
      <c r="DM163" s="7">
        <v>760659.01945190295</v>
      </c>
      <c r="DN163" s="7">
        <v>305.57749073643902</v>
      </c>
      <c r="DO163" s="7">
        <f t="shared" si="212"/>
        <v>311.85323506229179</v>
      </c>
      <c r="DQ163" s="28">
        <v>50</v>
      </c>
      <c r="DR163" s="26">
        <v>5.0000000000000002E-5</v>
      </c>
      <c r="DS163" s="28">
        <v>15</v>
      </c>
      <c r="DT163" s="28">
        <v>300</v>
      </c>
      <c r="DU163" s="26">
        <v>9.9999999999999995E-8</v>
      </c>
      <c r="DV163" s="26">
        <f t="shared" si="213"/>
        <v>1.5E-6</v>
      </c>
      <c r="DW163" s="26">
        <f t="shared" si="214"/>
        <v>0.06</v>
      </c>
      <c r="DX163" s="7">
        <v>77.605503548314999</v>
      </c>
      <c r="DY163" s="7">
        <v>46.620018473906597</v>
      </c>
      <c r="DZ163" s="7">
        <v>107.50242472112301</v>
      </c>
      <c r="EA163" s="7">
        <v>46.620018473906597</v>
      </c>
      <c r="EB163" s="7">
        <v>101421.202593587</v>
      </c>
      <c r="EC163" s="7">
        <v>101.859163578813</v>
      </c>
      <c r="ED163" s="7">
        <f t="shared" si="215"/>
        <v>200.74246166893619</v>
      </c>
    </row>
    <row r="164" spans="1:134" x14ac:dyDescent="0.4">
      <c r="A164" s="28">
        <v>55.000000000000007</v>
      </c>
      <c r="B164" s="26">
        <v>1.0000000000000001E-5</v>
      </c>
      <c r="C164" s="28">
        <v>0.2</v>
      </c>
      <c r="D164" s="28">
        <v>30</v>
      </c>
      <c r="E164" s="26">
        <v>2.4999999999999999E-7</v>
      </c>
      <c r="F164" s="26">
        <f t="shared" si="189"/>
        <v>4.9999999999999998E-8</v>
      </c>
      <c r="G164" s="26">
        <f t="shared" si="190"/>
        <v>9.9999999999999985E-3</v>
      </c>
      <c r="H164" s="7">
        <v>6.4325983734906602</v>
      </c>
      <c r="I164" s="7">
        <v>2061.2283400943002</v>
      </c>
      <c r="J164" s="7">
        <v>5692.8014386926097</v>
      </c>
      <c r="K164" s="7">
        <v>2061.2283400943002</v>
      </c>
      <c r="L164" s="7">
        <v>72349793.874809399</v>
      </c>
      <c r="M164" s="7">
        <v>7639.4372684109803</v>
      </c>
      <c r="N164" s="7">
        <f t="shared" si="191"/>
        <v>9815.2581188812092</v>
      </c>
      <c r="P164" s="28">
        <v>55.000000000000007</v>
      </c>
      <c r="Q164" s="26">
        <v>3.0000000000000001E-5</v>
      </c>
      <c r="R164" s="28">
        <v>0.2</v>
      </c>
      <c r="S164" s="28">
        <v>30</v>
      </c>
      <c r="T164" s="26">
        <v>2.4999999999999999E-7</v>
      </c>
      <c r="U164" s="26">
        <f t="shared" si="192"/>
        <v>4.9999999999999998E-8</v>
      </c>
      <c r="V164" s="26">
        <f t="shared" si="193"/>
        <v>3.3333333333333331E-3</v>
      </c>
      <c r="W164" s="7">
        <v>10.8260945268764</v>
      </c>
      <c r="X164" s="7">
        <v>687.07611335802699</v>
      </c>
      <c r="Y164" s="7">
        <v>1897.6004795642</v>
      </c>
      <c r="Z164" s="7">
        <v>687.07611335802699</v>
      </c>
      <c r="AA164" s="7">
        <v>24116597.9983452</v>
      </c>
      <c r="AB164" s="7">
        <v>848.82636315677496</v>
      </c>
      <c r="AC164" s="7">
        <f t="shared" si="194"/>
        <v>3271.7527062802537</v>
      </c>
      <c r="AE164" s="28">
        <v>55.000000000000007</v>
      </c>
      <c r="AF164" s="26">
        <v>5.0000000000000002E-5</v>
      </c>
      <c r="AG164" s="28">
        <v>0.2</v>
      </c>
      <c r="AH164" s="28">
        <v>30</v>
      </c>
      <c r="AI164" s="26">
        <v>2.4999999999999999E-7</v>
      </c>
      <c r="AJ164" s="26">
        <f t="shared" si="195"/>
        <v>4.9999999999999998E-8</v>
      </c>
      <c r="AK164" s="26">
        <f t="shared" si="196"/>
        <v>1.9999999999999996E-3</v>
      </c>
      <c r="AL164" s="7">
        <v>12.539258887545101</v>
      </c>
      <c r="AM164" s="7">
        <v>412.24566795777702</v>
      </c>
      <c r="AN164" s="7">
        <v>1138.5602877385199</v>
      </c>
      <c r="AO164" s="7">
        <v>412.24566795777702</v>
      </c>
      <c r="AP164" s="7">
        <v>14469959.1382923</v>
      </c>
      <c r="AQ164" s="7">
        <v>305.57749073643902</v>
      </c>
      <c r="AR164" s="7">
        <f t="shared" si="197"/>
        <v>1963.0516236540739</v>
      </c>
      <c r="AT164" s="28">
        <v>55.000000000000007</v>
      </c>
      <c r="AU164" s="26">
        <v>1.0000000000000001E-5</v>
      </c>
      <c r="AV164" s="28">
        <v>0.2</v>
      </c>
      <c r="AW164" s="28">
        <v>200</v>
      </c>
      <c r="AX164" s="26">
        <v>2.4999999999999999E-7</v>
      </c>
      <c r="AY164" s="26">
        <f t="shared" si="198"/>
        <v>4.9999999999999998E-8</v>
      </c>
      <c r="AZ164" s="26">
        <f t="shared" si="199"/>
        <v>9.9999999999999985E-3</v>
      </c>
      <c r="BA164" s="7">
        <v>9.6315813277421505</v>
      </c>
      <c r="BB164" s="7">
        <v>310.62949089263498</v>
      </c>
      <c r="BC164" s="7">
        <v>857.43494866405695</v>
      </c>
      <c r="BD164" s="7">
        <v>310.62949089263498</v>
      </c>
      <c r="BE164" s="7">
        <v>72349793.874809399</v>
      </c>
      <c r="BF164" s="7">
        <v>7639.4372684109803</v>
      </c>
      <c r="BG164" s="7">
        <f t="shared" si="200"/>
        <v>1478.6939304493269</v>
      </c>
      <c r="BI164" s="28">
        <v>55.000000000000007</v>
      </c>
      <c r="BJ164" s="26">
        <v>1.0000000000000001E-5</v>
      </c>
      <c r="BK164" s="28">
        <v>0.5</v>
      </c>
      <c r="BL164" s="28">
        <v>200</v>
      </c>
      <c r="BM164" s="26">
        <v>2.4999999999999999E-7</v>
      </c>
      <c r="BN164" s="26">
        <f t="shared" si="201"/>
        <v>1.2499999999999999E-7</v>
      </c>
      <c r="BO164" s="26">
        <f t="shared" si="202"/>
        <v>2.4999999999999998E-2</v>
      </c>
      <c r="BP164" s="7">
        <v>9.6359044386315293</v>
      </c>
      <c r="BQ164" s="7">
        <v>310.245574031601</v>
      </c>
      <c r="BR164" s="7">
        <v>856.50167124423206</v>
      </c>
      <c r="BS164" s="7">
        <v>310.245574031601</v>
      </c>
      <c r="BT164" s="7">
        <v>28939917.5499238</v>
      </c>
      <c r="BU164" s="7">
        <v>7639.4372684109803</v>
      </c>
      <c r="BV164" s="7">
        <f t="shared" si="203"/>
        <v>1476.9928193074338</v>
      </c>
      <c r="BX164" s="28">
        <v>55.000000000000007</v>
      </c>
      <c r="BY164" s="26">
        <v>5.0000000000000002E-5</v>
      </c>
      <c r="BZ164" s="28">
        <v>0.5</v>
      </c>
      <c r="CA164" s="28">
        <v>200</v>
      </c>
      <c r="CB164" s="26">
        <v>2.4999999999999999E-7</v>
      </c>
      <c r="CC164" s="26">
        <f t="shared" si="204"/>
        <v>1.2499999999999999E-7</v>
      </c>
      <c r="CD164" s="26">
        <f t="shared" si="205"/>
        <v>4.9999999999999992E-3</v>
      </c>
      <c r="CE164" s="7">
        <v>35.605129635510302</v>
      </c>
      <c r="CF164" s="7">
        <v>62.049114802860501</v>
      </c>
      <c r="CG164" s="7">
        <v>171.30033424884601</v>
      </c>
      <c r="CH164" s="7">
        <v>62.049114802860501</v>
      </c>
      <c r="CI164" s="7">
        <v>5787983.6553169098</v>
      </c>
      <c r="CJ164" s="7">
        <v>305.57749073643902</v>
      </c>
      <c r="CK164" s="7">
        <f t="shared" si="206"/>
        <v>295.39856385456704</v>
      </c>
      <c r="CM164" s="28">
        <v>55.000000000000007</v>
      </c>
      <c r="CN164" s="26">
        <v>5.0000000000000002E-5</v>
      </c>
      <c r="CO164" s="28">
        <v>1</v>
      </c>
      <c r="CP164" s="28">
        <v>200</v>
      </c>
      <c r="CQ164" s="26">
        <v>2.4999999999999999E-7</v>
      </c>
      <c r="CR164" s="26">
        <f t="shared" si="207"/>
        <v>2.4999999999999999E-7</v>
      </c>
      <c r="CS164" s="26">
        <f t="shared" si="208"/>
        <v>9.9999999999999985E-3</v>
      </c>
      <c r="CT164" s="7">
        <v>35.632915732661203</v>
      </c>
      <c r="CU164" s="7">
        <v>61.921576216120698</v>
      </c>
      <c r="CV164" s="7">
        <v>170.99017320176</v>
      </c>
      <c r="CW164" s="7">
        <v>61.921576216120698</v>
      </c>
      <c r="CX164" s="7">
        <v>2893991.8276584502</v>
      </c>
      <c r="CY164" s="7">
        <v>305.57749073643902</v>
      </c>
      <c r="CZ164" s="7">
        <f t="shared" si="209"/>
        <v>294.83332563400137</v>
      </c>
      <c r="DB164" s="28">
        <v>55.000000000000007</v>
      </c>
      <c r="DC164" s="26">
        <v>5.0000000000000002E-5</v>
      </c>
      <c r="DD164" s="28">
        <v>2</v>
      </c>
      <c r="DE164" s="28">
        <v>200</v>
      </c>
      <c r="DF164" s="26">
        <v>2.4999999999999999E-7</v>
      </c>
      <c r="DG164" s="26">
        <f t="shared" si="210"/>
        <v>4.9999999999999998E-7</v>
      </c>
      <c r="DH164" s="26">
        <f t="shared" si="211"/>
        <v>1.9999999999999997E-2</v>
      </c>
      <c r="DI164" s="7">
        <v>35.688307238677098</v>
      </c>
      <c r="DJ164" s="7">
        <v>61.6681127663864</v>
      </c>
      <c r="DK164" s="7">
        <v>170.373319720317</v>
      </c>
      <c r="DL164" s="7">
        <v>61.6681127663864</v>
      </c>
      <c r="DM164" s="7">
        <v>1446995.91382923</v>
      </c>
      <c r="DN164" s="7">
        <v>305.57749073643902</v>
      </c>
      <c r="DO164" s="7">
        <f t="shared" si="212"/>
        <v>293.7095452530898</v>
      </c>
      <c r="DQ164" s="28">
        <v>55.000000000000007</v>
      </c>
      <c r="DR164" s="26">
        <v>5.0000000000000002E-5</v>
      </c>
      <c r="DS164" s="28">
        <v>15</v>
      </c>
      <c r="DT164" s="28">
        <v>300</v>
      </c>
      <c r="DU164" s="26">
        <v>9.9999999999999995E-8</v>
      </c>
      <c r="DV164" s="26">
        <f t="shared" si="213"/>
        <v>1.5E-6</v>
      </c>
      <c r="DW164" s="26">
        <f t="shared" si="214"/>
        <v>0.06</v>
      </c>
      <c r="DX164" s="7">
        <v>82.132816645329498</v>
      </c>
      <c r="DY164" s="7">
        <v>39.809859656104699</v>
      </c>
      <c r="DZ164" s="7">
        <v>110.399385072318</v>
      </c>
      <c r="EA164" s="7">
        <v>39.809859656104699</v>
      </c>
      <c r="EB164" s="7">
        <v>192932.78851056399</v>
      </c>
      <c r="EC164" s="7">
        <v>101.859163578813</v>
      </c>
      <c r="ED164" s="7">
        <f t="shared" si="215"/>
        <v>190.0191043845274</v>
      </c>
    </row>
    <row r="165" spans="1:134" x14ac:dyDescent="0.4">
      <c r="A165" s="28">
        <v>60</v>
      </c>
      <c r="B165" s="26">
        <v>1.0000000000000001E-5</v>
      </c>
      <c r="C165" s="28">
        <v>0.2</v>
      </c>
      <c r="D165" s="28">
        <v>30</v>
      </c>
      <c r="E165" s="26">
        <v>2.4999999999999999E-7</v>
      </c>
      <c r="F165" s="26">
        <f t="shared" si="189"/>
        <v>4.9999999999999998E-8</v>
      </c>
      <c r="G165" s="26">
        <f t="shared" si="190"/>
        <v>9.9999999999999985E-3</v>
      </c>
      <c r="H165" s="7">
        <v>6.7622890974652696</v>
      </c>
      <c r="I165" s="7">
        <v>1747.4582681561301</v>
      </c>
      <c r="J165" s="7">
        <v>5794.3371345962596</v>
      </c>
      <c r="K165" s="7">
        <v>1747.4582681561301</v>
      </c>
      <c r="L165" s="7">
        <v>173207643.02618799</v>
      </c>
      <c r="M165" s="7">
        <v>7639.4372684109803</v>
      </c>
      <c r="N165" s="7">
        <f t="shared" si="191"/>
        <v>9289.2536709085198</v>
      </c>
      <c r="P165" s="28">
        <v>60</v>
      </c>
      <c r="Q165" s="26">
        <v>3.0000000000000001E-5</v>
      </c>
      <c r="R165" s="28">
        <v>0.2</v>
      </c>
      <c r="S165" s="28">
        <v>30</v>
      </c>
      <c r="T165" s="26">
        <v>2.4999999999999999E-7</v>
      </c>
      <c r="U165" s="26">
        <f t="shared" si="192"/>
        <v>4.9999999999999998E-8</v>
      </c>
      <c r="V165" s="26">
        <f t="shared" si="193"/>
        <v>3.3333333333333331E-3</v>
      </c>
      <c r="W165" s="7">
        <v>11.5508670396491</v>
      </c>
      <c r="X165" s="7">
        <v>582.48608937969198</v>
      </c>
      <c r="Y165" s="7">
        <v>1931.4457115320899</v>
      </c>
      <c r="Z165" s="7">
        <v>582.48608937969198</v>
      </c>
      <c r="AA165" s="7">
        <v>57735881.0752545</v>
      </c>
      <c r="AB165" s="7">
        <v>848.82636315677496</v>
      </c>
      <c r="AC165" s="7">
        <f t="shared" si="194"/>
        <v>3096.4178902914737</v>
      </c>
      <c r="AE165" s="28">
        <v>60</v>
      </c>
      <c r="AF165" s="26">
        <v>5.0000000000000002E-5</v>
      </c>
      <c r="AG165" s="28">
        <v>0.2</v>
      </c>
      <c r="AH165" s="28">
        <v>30</v>
      </c>
      <c r="AI165" s="26">
        <v>2.4999999999999999E-7</v>
      </c>
      <c r="AJ165" s="26">
        <f t="shared" si="195"/>
        <v>4.9999999999999998E-8</v>
      </c>
      <c r="AK165" s="26">
        <f t="shared" si="196"/>
        <v>1.9999999999999996E-3</v>
      </c>
      <c r="AL165" s="7">
        <v>13.456839085022899</v>
      </c>
      <c r="AM165" s="7">
        <v>349.491653579706</v>
      </c>
      <c r="AN165" s="7">
        <v>1158.86742691925</v>
      </c>
      <c r="AO165" s="7">
        <v>349.491653579706</v>
      </c>
      <c r="AP165" s="7">
        <v>34641529.208382502</v>
      </c>
      <c r="AQ165" s="7">
        <v>305.57749073643902</v>
      </c>
      <c r="AR165" s="7">
        <f t="shared" si="197"/>
        <v>1857.8507340786621</v>
      </c>
      <c r="AT165" s="28">
        <v>60</v>
      </c>
      <c r="AU165" s="26">
        <v>1.0000000000000001E-5</v>
      </c>
      <c r="AV165" s="28">
        <v>0.2</v>
      </c>
      <c r="AW165" s="28">
        <v>200</v>
      </c>
      <c r="AX165" s="26">
        <v>2.4999999999999999E-7</v>
      </c>
      <c r="AY165" s="26">
        <f t="shared" si="198"/>
        <v>4.9999999999999998E-8</v>
      </c>
      <c r="AZ165" s="26">
        <f t="shared" si="199"/>
        <v>9.9999999999999985E-3</v>
      </c>
      <c r="BA165" s="7">
        <v>9.9613340106063895</v>
      </c>
      <c r="BB165" s="7">
        <v>263.235986756096</v>
      </c>
      <c r="BC165" s="7">
        <v>872.060132412553</v>
      </c>
      <c r="BD165" s="7">
        <v>263.235986756096</v>
      </c>
      <c r="BE165" s="7">
        <v>173207643.02618799</v>
      </c>
      <c r="BF165" s="7">
        <v>7639.4372684109803</v>
      </c>
      <c r="BG165" s="7">
        <f t="shared" si="200"/>
        <v>1398.5321059247451</v>
      </c>
      <c r="BI165" s="28">
        <v>60</v>
      </c>
      <c r="BJ165" s="26">
        <v>1.0000000000000001E-5</v>
      </c>
      <c r="BK165" s="28">
        <v>0.5</v>
      </c>
      <c r="BL165" s="28">
        <v>200</v>
      </c>
      <c r="BM165" s="26">
        <v>2.4999999999999999E-7</v>
      </c>
      <c r="BN165" s="26">
        <f t="shared" si="201"/>
        <v>1.2499999999999999E-7</v>
      </c>
      <c r="BO165" s="26">
        <f t="shared" si="202"/>
        <v>2.4999999999999998E-2</v>
      </c>
      <c r="BP165" s="7">
        <v>9.9635881886207702</v>
      </c>
      <c r="BQ165" s="7">
        <v>262.93930247937197</v>
      </c>
      <c r="BR165" s="7">
        <v>871.287964463192</v>
      </c>
      <c r="BS165" s="7">
        <v>262.93930247937197</v>
      </c>
      <c r="BT165" s="7">
        <v>69283057.210475206</v>
      </c>
      <c r="BU165" s="7">
        <v>7639.4372684109803</v>
      </c>
      <c r="BV165" s="7">
        <f t="shared" si="203"/>
        <v>1397.1665694219359</v>
      </c>
      <c r="BX165" s="28">
        <v>60</v>
      </c>
      <c r="BY165" s="26">
        <v>5.0000000000000002E-5</v>
      </c>
      <c r="BZ165" s="28">
        <v>0.5</v>
      </c>
      <c r="CA165" s="28">
        <v>200</v>
      </c>
      <c r="CB165" s="26">
        <v>2.4999999999999999E-7</v>
      </c>
      <c r="CC165" s="26">
        <f t="shared" si="204"/>
        <v>1.2499999999999999E-7</v>
      </c>
      <c r="CD165" s="26">
        <f t="shared" si="205"/>
        <v>4.9999999999999992E-3</v>
      </c>
      <c r="CE165" s="7">
        <v>37.306553641709101</v>
      </c>
      <c r="CF165" s="7">
        <v>52.5878604929581</v>
      </c>
      <c r="CG165" s="7">
        <v>174.257592892638</v>
      </c>
      <c r="CH165" s="7">
        <v>52.5878604929581</v>
      </c>
      <c r="CI165" s="7">
        <v>13856611.683352999</v>
      </c>
      <c r="CJ165" s="7">
        <v>305.57749073643902</v>
      </c>
      <c r="CK165" s="7">
        <f t="shared" si="206"/>
        <v>279.4333138785542</v>
      </c>
      <c r="CM165" s="28">
        <v>60</v>
      </c>
      <c r="CN165" s="26">
        <v>5.0000000000000002E-5</v>
      </c>
      <c r="CO165" s="28">
        <v>1</v>
      </c>
      <c r="CP165" s="28">
        <v>200</v>
      </c>
      <c r="CQ165" s="26">
        <v>2.4999999999999999E-7</v>
      </c>
      <c r="CR165" s="26">
        <f t="shared" si="207"/>
        <v>2.4999999999999999E-7</v>
      </c>
      <c r="CS165" s="26">
        <f t="shared" si="208"/>
        <v>9.9999999999999985E-3</v>
      </c>
      <c r="CT165" s="7">
        <v>37.327975060661501</v>
      </c>
      <c r="CU165" s="7">
        <v>52.489267736237203</v>
      </c>
      <c r="CV165" s="7">
        <v>174.00084097458901</v>
      </c>
      <c r="CW165" s="7">
        <v>52.489267736237203</v>
      </c>
      <c r="CX165" s="7">
        <v>6928305.8416764997</v>
      </c>
      <c r="CY165" s="7">
        <v>305.57749073643902</v>
      </c>
      <c r="CZ165" s="7">
        <f t="shared" si="209"/>
        <v>278.97937644706343</v>
      </c>
      <c r="DB165" s="28">
        <v>60</v>
      </c>
      <c r="DC165" s="26">
        <v>5.0000000000000002E-5</v>
      </c>
      <c r="DD165" s="28">
        <v>2</v>
      </c>
      <c r="DE165" s="28">
        <v>200</v>
      </c>
      <c r="DF165" s="26">
        <v>2.4999999999999999E-7</v>
      </c>
      <c r="DG165" s="26">
        <f t="shared" si="210"/>
        <v>4.9999999999999998E-7</v>
      </c>
      <c r="DH165" s="26">
        <f t="shared" si="211"/>
        <v>1.9999999999999997E-2</v>
      </c>
      <c r="DI165" s="7">
        <v>37.370681821361003</v>
      </c>
      <c r="DJ165" s="7">
        <v>52.293206867341603</v>
      </c>
      <c r="DK165" s="7">
        <v>173.489713442035</v>
      </c>
      <c r="DL165" s="7">
        <v>52.293206867341603</v>
      </c>
      <c r="DM165" s="7">
        <v>3464152.9208382498</v>
      </c>
      <c r="DN165" s="7">
        <v>305.57749073643902</v>
      </c>
      <c r="DO165" s="7">
        <f t="shared" si="212"/>
        <v>278.07612717671822</v>
      </c>
      <c r="DQ165" s="28">
        <v>60</v>
      </c>
      <c r="DR165" s="26">
        <v>5.0000000000000002E-5</v>
      </c>
      <c r="DS165" s="28">
        <v>15</v>
      </c>
      <c r="DT165" s="28">
        <v>300</v>
      </c>
      <c r="DU165" s="26">
        <v>9.9999999999999995E-8</v>
      </c>
      <c r="DV165" s="26">
        <f t="shared" si="213"/>
        <v>1.5E-6</v>
      </c>
      <c r="DW165" s="26">
        <f t="shared" si="214"/>
        <v>0.06</v>
      </c>
      <c r="DX165" s="7">
        <v>86.4928497280698</v>
      </c>
      <c r="DY165" s="7">
        <v>33.851188115179603</v>
      </c>
      <c r="DZ165" s="7">
        <v>113.007558882322</v>
      </c>
      <c r="EA165" s="7">
        <v>33.851188115179603</v>
      </c>
      <c r="EB165" s="7">
        <v>461887.05611176701</v>
      </c>
      <c r="EC165" s="7">
        <v>101.859163578813</v>
      </c>
      <c r="ED165" s="7">
        <f t="shared" si="215"/>
        <v>180.70993511268122</v>
      </c>
    </row>
    <row r="166" spans="1:134" x14ac:dyDescent="0.4">
      <c r="A166" s="28">
        <v>65</v>
      </c>
      <c r="B166" s="26">
        <v>1.0000000000000001E-5</v>
      </c>
      <c r="C166" s="28">
        <v>0.2</v>
      </c>
      <c r="D166" s="28">
        <v>30</v>
      </c>
      <c r="E166" s="26">
        <v>2.4999999999999999E-7</v>
      </c>
      <c r="F166" s="26">
        <f t="shared" si="189"/>
        <v>4.9999999999999998E-8</v>
      </c>
      <c r="G166" s="26">
        <f t="shared" si="190"/>
        <v>9.9999999999999985E-3</v>
      </c>
      <c r="H166" s="7">
        <v>7.0768838994934704</v>
      </c>
      <c r="I166" s="7">
        <v>1470.52695643265</v>
      </c>
      <c r="J166" s="7">
        <v>5888.0994972997396</v>
      </c>
      <c r="K166" s="7">
        <v>1470.52695643265</v>
      </c>
      <c r="L166" s="7">
        <v>859463306.304919</v>
      </c>
      <c r="M166" s="7">
        <v>7639.4372684109803</v>
      </c>
      <c r="N166" s="7">
        <f t="shared" si="191"/>
        <v>8829.1534101650395</v>
      </c>
      <c r="P166" s="28">
        <v>65</v>
      </c>
      <c r="Q166" s="26">
        <v>3.0000000000000001E-5</v>
      </c>
      <c r="R166" s="28">
        <v>0.2</v>
      </c>
      <c r="S166" s="28">
        <v>30</v>
      </c>
      <c r="T166" s="26">
        <v>2.4999999999999999E-7</v>
      </c>
      <c r="U166" s="26">
        <f t="shared" si="192"/>
        <v>4.9999999999999998E-8</v>
      </c>
      <c r="V166" s="26">
        <f t="shared" si="193"/>
        <v>3.3333333333333331E-3</v>
      </c>
      <c r="W166" s="7">
        <v>12.2544408449281</v>
      </c>
      <c r="X166" s="7">
        <v>490.175652139448</v>
      </c>
      <c r="Y166" s="7">
        <v>1962.6998324332501</v>
      </c>
      <c r="Z166" s="7">
        <v>490.175652139448</v>
      </c>
      <c r="AA166" s="7">
        <v>286487768.88169003</v>
      </c>
      <c r="AB166" s="7">
        <v>848.82636315677496</v>
      </c>
      <c r="AC166" s="7">
        <f t="shared" si="194"/>
        <v>2943.0511367121462</v>
      </c>
      <c r="AE166" s="28">
        <v>65</v>
      </c>
      <c r="AF166" s="26">
        <v>5.0000000000000002E-5</v>
      </c>
      <c r="AG166" s="28">
        <v>0.2</v>
      </c>
      <c r="AH166" s="28">
        <v>30</v>
      </c>
      <c r="AI166" s="26">
        <v>2.4999999999999999E-7</v>
      </c>
      <c r="AJ166" s="26">
        <f t="shared" si="195"/>
        <v>4.9999999999999998E-8</v>
      </c>
      <c r="AK166" s="26">
        <f t="shared" si="196"/>
        <v>1.9999999999999996E-3</v>
      </c>
      <c r="AL166" s="7">
        <v>14.3549278521975</v>
      </c>
      <c r="AM166" s="7">
        <v>294.10539124333502</v>
      </c>
      <c r="AN166" s="7">
        <v>1177.6198994599499</v>
      </c>
      <c r="AO166" s="7">
        <v>294.10539124333502</v>
      </c>
      <c r="AP166" s="7">
        <v>171892662.28655201</v>
      </c>
      <c r="AQ166" s="7">
        <v>305.57749073643902</v>
      </c>
      <c r="AR166" s="7">
        <f t="shared" si="197"/>
        <v>1765.8306819466197</v>
      </c>
      <c r="AT166" s="28">
        <v>65</v>
      </c>
      <c r="AU166" s="26">
        <v>1.0000000000000001E-5</v>
      </c>
      <c r="AV166" s="28">
        <v>0.2</v>
      </c>
      <c r="AW166" s="28">
        <v>200</v>
      </c>
      <c r="AX166" s="26">
        <v>2.4999999999999999E-7</v>
      </c>
      <c r="AY166" s="26">
        <f t="shared" si="198"/>
        <v>4.9999999999999998E-8</v>
      </c>
      <c r="AZ166" s="26">
        <f t="shared" si="199"/>
        <v>9.9999999999999985E-3</v>
      </c>
      <c r="BA166" s="7">
        <v>10.2730525653801</v>
      </c>
      <c r="BB166" s="7">
        <v>221.436390808456</v>
      </c>
      <c r="BC166" s="7">
        <v>885.60719905590599</v>
      </c>
      <c r="BD166" s="7">
        <v>221.436390808456</v>
      </c>
      <c r="BE166" s="7">
        <v>859463306.304919</v>
      </c>
      <c r="BF166" s="7">
        <v>7639.4372684109803</v>
      </c>
      <c r="BG166" s="7">
        <f t="shared" si="200"/>
        <v>1328.4799806728181</v>
      </c>
      <c r="BI166" s="28">
        <v>65</v>
      </c>
      <c r="BJ166" s="26">
        <v>1.0000000000000001E-5</v>
      </c>
      <c r="BK166" s="28">
        <v>0.5</v>
      </c>
      <c r="BL166" s="28">
        <v>200</v>
      </c>
      <c r="BM166" s="26">
        <v>2.4999999999999999E-7</v>
      </c>
      <c r="BN166" s="26">
        <f t="shared" si="201"/>
        <v>1.2499999999999999E-7</v>
      </c>
      <c r="BO166" s="26">
        <f t="shared" si="202"/>
        <v>2.4999999999999998E-2</v>
      </c>
      <c r="BP166" s="7">
        <v>10.274024485119</v>
      </c>
      <c r="BQ166" s="7">
        <v>221.20879187134</v>
      </c>
      <c r="BR166" s="7">
        <v>884.97259280428204</v>
      </c>
      <c r="BS166" s="7">
        <v>221.20879187134</v>
      </c>
      <c r="BT166" s="7">
        <v>343785322.52196801</v>
      </c>
      <c r="BU166" s="7">
        <v>7639.4372684109803</v>
      </c>
      <c r="BV166" s="7">
        <f t="shared" si="203"/>
        <v>1327.390176546962</v>
      </c>
      <c r="BX166" s="28">
        <v>65</v>
      </c>
      <c r="BY166" s="26">
        <v>5.0000000000000002E-5</v>
      </c>
      <c r="BZ166" s="28">
        <v>0.5</v>
      </c>
      <c r="CA166" s="28">
        <v>200</v>
      </c>
      <c r="CB166" s="26">
        <v>2.4999999999999999E-7</v>
      </c>
      <c r="CC166" s="26">
        <f t="shared" si="204"/>
        <v>1.2499999999999999E-7</v>
      </c>
      <c r="CD166" s="26">
        <f t="shared" si="205"/>
        <v>4.9999999999999992E-3</v>
      </c>
      <c r="CE166" s="7">
        <v>38.923266918116397</v>
      </c>
      <c r="CF166" s="7">
        <v>44.241758371824098</v>
      </c>
      <c r="CG166" s="7">
        <v>176.99451856085599</v>
      </c>
      <c r="CH166" s="7">
        <v>44.241758371824098</v>
      </c>
      <c r="CI166" s="7">
        <v>68757064.914620593</v>
      </c>
      <c r="CJ166" s="7">
        <v>305.57749073643902</v>
      </c>
      <c r="CK166" s="7">
        <f t="shared" si="206"/>
        <v>265.4780353045042</v>
      </c>
      <c r="CM166" s="28">
        <v>65</v>
      </c>
      <c r="CN166" s="26">
        <v>5.0000000000000002E-5</v>
      </c>
      <c r="CO166" s="28">
        <v>1</v>
      </c>
      <c r="CP166" s="28">
        <v>200</v>
      </c>
      <c r="CQ166" s="26">
        <v>2.4999999999999999E-7</v>
      </c>
      <c r="CR166" s="26">
        <f t="shared" si="207"/>
        <v>2.4999999999999999E-7</v>
      </c>
      <c r="CS166" s="26">
        <f t="shared" si="208"/>
        <v>9.9999999999999985E-3</v>
      </c>
      <c r="CT166" s="7">
        <v>38.939861131304802</v>
      </c>
      <c r="CU166" s="7">
        <v>44.166101596649497</v>
      </c>
      <c r="CV166" s="7">
        <v>176.783417824277</v>
      </c>
      <c r="CW166" s="7">
        <v>44.166101596649497</v>
      </c>
      <c r="CX166" s="7">
        <v>34378532.457310297</v>
      </c>
      <c r="CY166" s="7">
        <v>305.57749073643902</v>
      </c>
      <c r="CZ166" s="7">
        <f t="shared" si="209"/>
        <v>265.11562101757602</v>
      </c>
      <c r="DB166" s="28">
        <v>65</v>
      </c>
      <c r="DC166" s="26">
        <v>5.0000000000000002E-5</v>
      </c>
      <c r="DD166" s="28">
        <v>2</v>
      </c>
      <c r="DE166" s="28">
        <v>200</v>
      </c>
      <c r="DF166" s="26">
        <v>2.4999999999999999E-7</v>
      </c>
      <c r="DG166" s="26">
        <f t="shared" si="210"/>
        <v>4.9999999999999998E-7</v>
      </c>
      <c r="DH166" s="26">
        <f t="shared" si="211"/>
        <v>1.9999999999999997E-2</v>
      </c>
      <c r="DI166" s="7">
        <v>38.9729478295097</v>
      </c>
      <c r="DJ166" s="7">
        <v>44.0155689113517</v>
      </c>
      <c r="DK166" s="7">
        <v>176.36283833637401</v>
      </c>
      <c r="DL166" s="7">
        <v>44.0155689113517</v>
      </c>
      <c r="DM166" s="7">
        <v>17189266.2286552</v>
      </c>
      <c r="DN166" s="7">
        <v>305.57749073643902</v>
      </c>
      <c r="DO166" s="7">
        <f t="shared" si="212"/>
        <v>264.3939761590774</v>
      </c>
      <c r="DQ166" s="28">
        <v>65</v>
      </c>
      <c r="DR166" s="26">
        <v>5.0000000000000002E-5</v>
      </c>
      <c r="DS166" s="28">
        <v>15</v>
      </c>
      <c r="DT166" s="28">
        <v>300</v>
      </c>
      <c r="DU166" s="26">
        <v>9.9999999999999995E-8</v>
      </c>
      <c r="DV166" s="26">
        <f t="shared" si="213"/>
        <v>1.5E-6</v>
      </c>
      <c r="DW166" s="26">
        <f t="shared" si="214"/>
        <v>0.06</v>
      </c>
      <c r="DX166" s="7">
        <v>90.706435141128097</v>
      </c>
      <c r="DY166" s="7">
        <v>28.565057936355299</v>
      </c>
      <c r="DZ166" s="7">
        <v>115.382714159923</v>
      </c>
      <c r="EA166" s="7">
        <v>28.565057936355299</v>
      </c>
      <c r="EB166" s="7">
        <v>2291902.16382069</v>
      </c>
      <c r="EC166" s="7">
        <v>101.859163578813</v>
      </c>
      <c r="ED166" s="7">
        <f t="shared" si="215"/>
        <v>172.51283003263359</v>
      </c>
    </row>
    <row r="167" spans="1:134" x14ac:dyDescent="0.4">
      <c r="A167" s="28">
        <v>70</v>
      </c>
      <c r="B167" s="26">
        <v>1.0000000000000001E-5</v>
      </c>
      <c r="C167" s="28">
        <v>0.2</v>
      </c>
      <c r="D167" s="28">
        <v>30</v>
      </c>
      <c r="E167" s="26">
        <v>2.4999999999999999E-7</v>
      </c>
      <c r="F167" s="26">
        <f t="shared" si="189"/>
        <v>4.9999999999999998E-8</v>
      </c>
      <c r="G167" s="26">
        <f t="shared" si="190"/>
        <v>9.9999999999999985E-3</v>
      </c>
      <c r="H167" s="7">
        <v>7.3784319432078398</v>
      </c>
      <c r="I167" s="7">
        <v>1223.14114606982</v>
      </c>
      <c r="J167" s="7">
        <v>5975.2459753258199</v>
      </c>
      <c r="K167" s="7">
        <v>1223.14114606982</v>
      </c>
      <c r="L167" s="7" t="s">
        <v>94</v>
      </c>
      <c r="M167" s="7">
        <v>7639.4372684109803</v>
      </c>
      <c r="N167" s="7">
        <f t="shared" si="191"/>
        <v>8421.5282674654591</v>
      </c>
      <c r="P167" s="28">
        <v>70</v>
      </c>
      <c r="Q167" s="26">
        <v>3.0000000000000001E-5</v>
      </c>
      <c r="R167" s="28">
        <v>0.2</v>
      </c>
      <c r="S167" s="28">
        <v>30</v>
      </c>
      <c r="T167" s="26">
        <v>2.4999999999999999E-7</v>
      </c>
      <c r="U167" s="26">
        <f t="shared" si="192"/>
        <v>4.9999999999999998E-8</v>
      </c>
      <c r="V167" s="26">
        <f t="shared" si="193"/>
        <v>3.3333333333333331E-3</v>
      </c>
      <c r="W167" s="7">
        <v>12.939582263213399</v>
      </c>
      <c r="X167" s="7">
        <v>407.71371535265399</v>
      </c>
      <c r="Y167" s="7">
        <v>1991.7486584419401</v>
      </c>
      <c r="Z167" s="7">
        <v>407.71371535265399</v>
      </c>
      <c r="AA167" s="7" t="s">
        <v>94</v>
      </c>
      <c r="AB167" s="7">
        <v>848.82636315677496</v>
      </c>
      <c r="AC167" s="7">
        <f t="shared" si="194"/>
        <v>2807.1760891472481</v>
      </c>
      <c r="AE167" s="28">
        <v>70</v>
      </c>
      <c r="AF167" s="26">
        <v>5.0000000000000002E-5</v>
      </c>
      <c r="AG167" s="28">
        <v>0.2</v>
      </c>
      <c r="AH167" s="28">
        <v>30</v>
      </c>
      <c r="AI167" s="26">
        <v>2.4999999999999999E-7</v>
      </c>
      <c r="AJ167" s="26">
        <f t="shared" si="195"/>
        <v>4.9999999999999998E-8</v>
      </c>
      <c r="AK167" s="26">
        <f t="shared" si="196"/>
        <v>1.9999999999999996E-3</v>
      </c>
      <c r="AL167" s="7">
        <v>15.2363152266471</v>
      </c>
      <c r="AM167" s="7">
        <v>244.62822917813699</v>
      </c>
      <c r="AN167" s="7">
        <v>1195.0491950651599</v>
      </c>
      <c r="AO167" s="7">
        <v>244.62822917813699</v>
      </c>
      <c r="AP167" s="7" t="s">
        <v>94</v>
      </c>
      <c r="AQ167" s="7">
        <v>305.57749073643902</v>
      </c>
      <c r="AR167" s="7">
        <f t="shared" si="197"/>
        <v>1684.3056534214338</v>
      </c>
      <c r="AT167" s="28">
        <v>70</v>
      </c>
      <c r="AU167" s="26">
        <v>1.0000000000000001E-5</v>
      </c>
      <c r="AV167" s="28">
        <v>0.2</v>
      </c>
      <c r="AW167" s="28">
        <v>200</v>
      </c>
      <c r="AX167" s="26">
        <v>2.4999999999999999E-7</v>
      </c>
      <c r="AY167" s="26">
        <f t="shared" si="198"/>
        <v>4.9999999999999998E-8</v>
      </c>
      <c r="AZ167" s="26">
        <f t="shared" si="199"/>
        <v>9.9999999999999985E-3</v>
      </c>
      <c r="BA167" s="7">
        <v>10.5692482097843</v>
      </c>
      <c r="BB167" s="7">
        <v>184.11844341766201</v>
      </c>
      <c r="BC167" s="7">
        <v>898.22894938474894</v>
      </c>
      <c r="BD167" s="7">
        <v>184.11844341766201</v>
      </c>
      <c r="BE167" s="7" t="s">
        <v>94</v>
      </c>
      <c r="BF167" s="7">
        <v>7639.4372684109803</v>
      </c>
      <c r="BG167" s="7">
        <f t="shared" si="200"/>
        <v>1266.465836220073</v>
      </c>
      <c r="BI167" s="28">
        <v>70</v>
      </c>
      <c r="BJ167" s="26">
        <v>1.0000000000000001E-5</v>
      </c>
      <c r="BK167" s="28">
        <v>0.5</v>
      </c>
      <c r="BL167" s="28">
        <v>200</v>
      </c>
      <c r="BM167" s="26">
        <v>2.4999999999999999E-7</v>
      </c>
      <c r="BN167" s="26">
        <f t="shared" si="201"/>
        <v>1.2499999999999999E-7</v>
      </c>
      <c r="BO167" s="26">
        <f t="shared" si="202"/>
        <v>2.4999999999999998E-2</v>
      </c>
      <c r="BP167" s="7">
        <v>10.569796687489999</v>
      </c>
      <c r="BQ167" s="7">
        <v>183.946660682919</v>
      </c>
      <c r="BR167" s="7">
        <v>897.71395999315905</v>
      </c>
      <c r="BS167" s="7">
        <v>183.946660682919</v>
      </c>
      <c r="BT167" s="7" t="s">
        <v>94</v>
      </c>
      <c r="BU167" s="7">
        <v>7639.4372684109803</v>
      </c>
      <c r="BV167" s="7">
        <f t="shared" si="203"/>
        <v>1265.6072813589969</v>
      </c>
      <c r="BX167" s="28">
        <v>70</v>
      </c>
      <c r="BY167" s="26">
        <v>5.0000000000000002E-5</v>
      </c>
      <c r="BZ167" s="28">
        <v>0.5</v>
      </c>
      <c r="CA167" s="28">
        <v>200</v>
      </c>
      <c r="CB167" s="26">
        <v>2.4999999999999999E-7</v>
      </c>
      <c r="CC167" s="26">
        <f t="shared" si="204"/>
        <v>1.2499999999999999E-7</v>
      </c>
      <c r="CD167" s="26">
        <f t="shared" si="205"/>
        <v>4.9999999999999992E-3</v>
      </c>
      <c r="CE167" s="7">
        <v>40.466638099077002</v>
      </c>
      <c r="CF167" s="7">
        <v>36.7893321345583</v>
      </c>
      <c r="CG167" s="7">
        <v>179.542791998632</v>
      </c>
      <c r="CH167" s="7">
        <v>36.7893321345583</v>
      </c>
      <c r="CI167" s="7" t="s">
        <v>94</v>
      </c>
      <c r="CJ167" s="7">
        <v>305.57749073643902</v>
      </c>
      <c r="CK167" s="7">
        <f t="shared" si="206"/>
        <v>253.12145626774858</v>
      </c>
      <c r="CM167" s="28">
        <v>70</v>
      </c>
      <c r="CN167" s="26">
        <v>5.0000000000000002E-5</v>
      </c>
      <c r="CO167" s="28">
        <v>1</v>
      </c>
      <c r="CP167" s="28">
        <v>200</v>
      </c>
      <c r="CQ167" s="26">
        <v>2.4999999999999999E-7</v>
      </c>
      <c r="CR167" s="26">
        <f t="shared" si="207"/>
        <v>2.4999999999999999E-7</v>
      </c>
      <c r="CS167" s="26">
        <f t="shared" si="208"/>
        <v>9.9999999999999985E-3</v>
      </c>
      <c r="CT167" s="7">
        <v>40.480014975395903</v>
      </c>
      <c r="CU167" s="7">
        <v>36.732214141098297</v>
      </c>
      <c r="CV167" s="7">
        <v>179.37142238436701</v>
      </c>
      <c r="CW167" s="7">
        <v>36.732214141098297</v>
      </c>
      <c r="CX167" s="7" t="s">
        <v>94</v>
      </c>
      <c r="CY167" s="7">
        <v>305.57749073643902</v>
      </c>
      <c r="CZ167" s="7">
        <f t="shared" si="209"/>
        <v>252.8358506665636</v>
      </c>
      <c r="DB167" s="28">
        <v>70</v>
      </c>
      <c r="DC167" s="26">
        <v>5.0000000000000002E-5</v>
      </c>
      <c r="DD167" s="28">
        <v>2</v>
      </c>
      <c r="DE167" s="28">
        <v>200</v>
      </c>
      <c r="DF167" s="26">
        <v>2.4999999999999999E-7</v>
      </c>
      <c r="DG167" s="26">
        <f t="shared" si="210"/>
        <v>4.9999999999999998E-7</v>
      </c>
      <c r="DH167" s="26">
        <f t="shared" si="211"/>
        <v>1.9999999999999997E-2</v>
      </c>
      <c r="DI167" s="7">
        <v>40.506693853922698</v>
      </c>
      <c r="DJ167" s="7">
        <v>36.618511090650998</v>
      </c>
      <c r="DK167" s="7">
        <v>179.02977916857401</v>
      </c>
      <c r="DL167" s="7">
        <v>36.618511090650998</v>
      </c>
      <c r="DM167" s="7" t="s">
        <v>94</v>
      </c>
      <c r="DN167" s="7">
        <v>305.57749073643902</v>
      </c>
      <c r="DO167" s="7">
        <f t="shared" si="212"/>
        <v>252.266801349876</v>
      </c>
      <c r="DQ167" s="28">
        <v>70</v>
      </c>
      <c r="DR167" s="26">
        <v>5.0000000000000002E-5</v>
      </c>
      <c r="DS167" s="28">
        <v>15</v>
      </c>
      <c r="DT167" s="28">
        <v>300</v>
      </c>
      <c r="DU167" s="26">
        <v>9.9999999999999995E-8</v>
      </c>
      <c r="DV167" s="26">
        <f t="shared" si="213"/>
        <v>1.5E-6</v>
      </c>
      <c r="DW167" s="26">
        <f t="shared" si="214"/>
        <v>0.06</v>
      </c>
      <c r="DX167" s="7">
        <v>94.799789144564002</v>
      </c>
      <c r="DY167" s="7">
        <v>23.8224846510956</v>
      </c>
      <c r="DZ167" s="7">
        <v>117.565391453988</v>
      </c>
      <c r="EA167" s="7">
        <v>23.8224846510956</v>
      </c>
      <c r="EB167" s="7" t="s">
        <v>94</v>
      </c>
      <c r="EC167" s="7">
        <v>101.859163578813</v>
      </c>
      <c r="ED167" s="7">
        <f t="shared" si="215"/>
        <v>165.2103607561792</v>
      </c>
    </row>
    <row r="168" spans="1:134" x14ac:dyDescent="0.4">
      <c r="B168" s="26"/>
      <c r="E168" s="26"/>
      <c r="F168" s="26"/>
      <c r="G168" s="26"/>
      <c r="Q168" s="26"/>
      <c r="T168" s="26"/>
      <c r="U168" s="26"/>
      <c r="V168" s="26"/>
      <c r="AF168" s="26"/>
      <c r="AI168" s="26"/>
      <c r="AJ168" s="26"/>
      <c r="AK168" s="26"/>
      <c r="AU168" s="26"/>
      <c r="AX168" s="26"/>
      <c r="AY168" s="26"/>
      <c r="AZ168" s="26"/>
      <c r="BJ168" s="26"/>
      <c r="BM168" s="26"/>
      <c r="BN168" s="26"/>
      <c r="BO168" s="26"/>
      <c r="BY168" s="26"/>
      <c r="CB168" s="26"/>
      <c r="CC168" s="26"/>
      <c r="CD168" s="26"/>
      <c r="CN168" s="26"/>
      <c r="CQ168" s="26"/>
      <c r="CR168" s="26"/>
      <c r="CS168" s="26"/>
      <c r="DC168" s="26"/>
      <c r="DF168" s="26"/>
      <c r="DG168" s="26"/>
      <c r="DH168" s="26"/>
      <c r="DR168" s="26"/>
      <c r="DU168" s="26"/>
      <c r="DV168" s="26"/>
      <c r="DW168" s="26"/>
    </row>
    <row r="169" spans="1:134" s="36" customFormat="1" ht="47.25" x14ac:dyDescent="0.4">
      <c r="A169" s="53" t="s">
        <v>69</v>
      </c>
      <c r="B169" s="54" t="s">
        <v>93</v>
      </c>
      <c r="C169" s="39" t="s">
        <v>73</v>
      </c>
      <c r="D169" s="39" t="s">
        <v>98</v>
      </c>
      <c r="E169" s="39" t="s">
        <v>97</v>
      </c>
      <c r="F169" s="39" t="s">
        <v>99</v>
      </c>
      <c r="G169" s="39" t="s">
        <v>96</v>
      </c>
      <c r="H169" s="37" t="s">
        <v>60</v>
      </c>
      <c r="I169" s="37" t="s">
        <v>100</v>
      </c>
      <c r="J169" s="37" t="s">
        <v>101</v>
      </c>
      <c r="K169" s="37" t="s">
        <v>102</v>
      </c>
      <c r="L169" s="37" t="s">
        <v>103</v>
      </c>
      <c r="M169" s="37" t="s">
        <v>65</v>
      </c>
      <c r="N169" s="37" t="s">
        <v>68</v>
      </c>
      <c r="O169" s="55"/>
      <c r="P169" s="53" t="s">
        <v>69</v>
      </c>
      <c r="Q169" s="54" t="s">
        <v>93</v>
      </c>
      <c r="R169" s="39" t="s">
        <v>73</v>
      </c>
      <c r="S169" s="39" t="s">
        <v>98</v>
      </c>
      <c r="T169" s="39" t="s">
        <v>97</v>
      </c>
      <c r="U169" s="39" t="s">
        <v>99</v>
      </c>
      <c r="V169" s="39" t="s">
        <v>96</v>
      </c>
      <c r="W169" s="37" t="s">
        <v>60</v>
      </c>
      <c r="X169" s="37" t="s">
        <v>100</v>
      </c>
      <c r="Y169" s="37" t="s">
        <v>101</v>
      </c>
      <c r="Z169" s="37" t="s">
        <v>102</v>
      </c>
      <c r="AA169" s="37" t="s">
        <v>103</v>
      </c>
      <c r="AB169" s="37" t="s">
        <v>65</v>
      </c>
      <c r="AC169" s="37" t="s">
        <v>68</v>
      </c>
      <c r="AD169" s="55"/>
      <c r="AE169" s="53" t="s">
        <v>69</v>
      </c>
      <c r="AF169" s="54" t="s">
        <v>93</v>
      </c>
      <c r="AG169" s="39" t="s">
        <v>73</v>
      </c>
      <c r="AH169" s="39" t="s">
        <v>98</v>
      </c>
      <c r="AI169" s="39" t="s">
        <v>97</v>
      </c>
      <c r="AJ169" s="39" t="s">
        <v>99</v>
      </c>
      <c r="AK169" s="39" t="s">
        <v>96</v>
      </c>
      <c r="AL169" s="37" t="s">
        <v>60</v>
      </c>
      <c r="AM169" s="37" t="s">
        <v>100</v>
      </c>
      <c r="AN169" s="37" t="s">
        <v>101</v>
      </c>
      <c r="AO169" s="37" t="s">
        <v>102</v>
      </c>
      <c r="AP169" s="37" t="s">
        <v>103</v>
      </c>
      <c r="AQ169" s="37" t="s">
        <v>65</v>
      </c>
      <c r="AR169" s="37" t="s">
        <v>68</v>
      </c>
      <c r="AS169" s="55"/>
      <c r="AT169" s="53" t="s">
        <v>69</v>
      </c>
      <c r="AU169" s="54" t="s">
        <v>93</v>
      </c>
      <c r="AV169" s="39" t="s">
        <v>73</v>
      </c>
      <c r="AW169" s="39" t="s">
        <v>98</v>
      </c>
      <c r="AX169" s="39" t="s">
        <v>97</v>
      </c>
      <c r="AY169" s="39" t="s">
        <v>99</v>
      </c>
      <c r="AZ169" s="39" t="s">
        <v>96</v>
      </c>
      <c r="BA169" s="37" t="s">
        <v>60</v>
      </c>
      <c r="BB169" s="37" t="s">
        <v>100</v>
      </c>
      <c r="BC169" s="37" t="s">
        <v>101</v>
      </c>
      <c r="BD169" s="37" t="s">
        <v>102</v>
      </c>
      <c r="BE169" s="37" t="s">
        <v>103</v>
      </c>
      <c r="BF169" s="37" t="s">
        <v>65</v>
      </c>
      <c r="BG169" s="37" t="s">
        <v>68</v>
      </c>
      <c r="BH169" s="55"/>
      <c r="BI169" s="53" t="s">
        <v>69</v>
      </c>
      <c r="BJ169" s="54" t="s">
        <v>93</v>
      </c>
      <c r="BK169" s="39" t="s">
        <v>73</v>
      </c>
      <c r="BL169" s="39" t="s">
        <v>98</v>
      </c>
      <c r="BM169" s="39" t="s">
        <v>97</v>
      </c>
      <c r="BN169" s="39" t="s">
        <v>99</v>
      </c>
      <c r="BO169" s="39" t="s">
        <v>96</v>
      </c>
      <c r="BP169" s="37" t="s">
        <v>60</v>
      </c>
      <c r="BQ169" s="37" t="s">
        <v>100</v>
      </c>
      <c r="BR169" s="37" t="s">
        <v>101</v>
      </c>
      <c r="BS169" s="37" t="s">
        <v>102</v>
      </c>
      <c r="BT169" s="37" t="s">
        <v>103</v>
      </c>
      <c r="BU169" s="37" t="s">
        <v>65</v>
      </c>
      <c r="BV169" s="37" t="s">
        <v>68</v>
      </c>
      <c r="BW169" s="55"/>
      <c r="BX169" s="53" t="s">
        <v>69</v>
      </c>
      <c r="BY169" s="54" t="s">
        <v>93</v>
      </c>
      <c r="BZ169" s="39" t="s">
        <v>73</v>
      </c>
      <c r="CA169" s="39" t="s">
        <v>98</v>
      </c>
      <c r="CB169" s="39" t="s">
        <v>97</v>
      </c>
      <c r="CC169" s="39" t="s">
        <v>99</v>
      </c>
      <c r="CD169" s="39" t="s">
        <v>96</v>
      </c>
      <c r="CE169" s="37" t="s">
        <v>60</v>
      </c>
      <c r="CF169" s="37" t="s">
        <v>100</v>
      </c>
      <c r="CG169" s="37" t="s">
        <v>101</v>
      </c>
      <c r="CH169" s="37" t="s">
        <v>102</v>
      </c>
      <c r="CI169" s="37" t="s">
        <v>103</v>
      </c>
      <c r="CJ169" s="37" t="s">
        <v>65</v>
      </c>
      <c r="CK169" s="37" t="s">
        <v>68</v>
      </c>
      <c r="CL169" s="55"/>
      <c r="CM169" s="53" t="s">
        <v>69</v>
      </c>
      <c r="CN169" s="54" t="s">
        <v>93</v>
      </c>
      <c r="CO169" s="39" t="s">
        <v>73</v>
      </c>
      <c r="CP169" s="39" t="s">
        <v>98</v>
      </c>
      <c r="CQ169" s="39" t="s">
        <v>97</v>
      </c>
      <c r="CR169" s="39" t="s">
        <v>99</v>
      </c>
      <c r="CS169" s="39" t="s">
        <v>96</v>
      </c>
      <c r="CT169" s="37" t="s">
        <v>60</v>
      </c>
      <c r="CU169" s="37" t="s">
        <v>100</v>
      </c>
      <c r="CV169" s="37" t="s">
        <v>101</v>
      </c>
      <c r="CW169" s="37" t="s">
        <v>102</v>
      </c>
      <c r="CX169" s="37" t="s">
        <v>103</v>
      </c>
      <c r="CY169" s="37" t="s">
        <v>65</v>
      </c>
      <c r="CZ169" s="37" t="s">
        <v>68</v>
      </c>
      <c r="DA169" s="55"/>
      <c r="DB169" s="53" t="s">
        <v>69</v>
      </c>
      <c r="DC169" s="54" t="s">
        <v>93</v>
      </c>
      <c r="DD169" s="39" t="s">
        <v>73</v>
      </c>
      <c r="DE169" s="39" t="s">
        <v>98</v>
      </c>
      <c r="DF169" s="39" t="s">
        <v>97</v>
      </c>
      <c r="DG169" s="39" t="s">
        <v>99</v>
      </c>
      <c r="DH169" s="39" t="s">
        <v>96</v>
      </c>
      <c r="DI169" s="37" t="s">
        <v>60</v>
      </c>
      <c r="DJ169" s="37" t="s">
        <v>100</v>
      </c>
      <c r="DK169" s="37" t="s">
        <v>101</v>
      </c>
      <c r="DL169" s="37" t="s">
        <v>102</v>
      </c>
      <c r="DM169" s="37" t="s">
        <v>103</v>
      </c>
      <c r="DN169" s="37" t="s">
        <v>65</v>
      </c>
      <c r="DO169" s="37" t="s">
        <v>68</v>
      </c>
      <c r="DP169" s="55"/>
      <c r="DQ169" s="53" t="s">
        <v>69</v>
      </c>
      <c r="DR169" s="54" t="s">
        <v>93</v>
      </c>
      <c r="DS169" s="39" t="s">
        <v>73</v>
      </c>
      <c r="DT169" s="39" t="s">
        <v>98</v>
      </c>
      <c r="DU169" s="39" t="s">
        <v>97</v>
      </c>
      <c r="DV169" s="39" t="s">
        <v>99</v>
      </c>
      <c r="DW169" s="39" t="s">
        <v>96</v>
      </c>
      <c r="DX169" s="37" t="s">
        <v>60</v>
      </c>
      <c r="DY169" s="37" t="s">
        <v>100</v>
      </c>
      <c r="DZ169" s="37" t="s">
        <v>101</v>
      </c>
      <c r="EA169" s="37" t="s">
        <v>102</v>
      </c>
      <c r="EB169" s="37" t="s">
        <v>103</v>
      </c>
      <c r="EC169" s="37" t="s">
        <v>65</v>
      </c>
      <c r="ED169" s="37" t="s">
        <v>68</v>
      </c>
    </row>
    <row r="170" spans="1:134" x14ac:dyDescent="0.4">
      <c r="A170" s="28">
        <v>1</v>
      </c>
      <c r="B170" s="26">
        <v>1.0000000000000001E-5</v>
      </c>
      <c r="C170" s="28">
        <v>0.2</v>
      </c>
      <c r="D170" s="28">
        <v>30</v>
      </c>
      <c r="E170" s="26">
        <v>4.9999999999999998E-7</v>
      </c>
      <c r="F170" s="26">
        <f t="shared" ref="F170:F188" si="216">C170*E170</f>
        <v>9.9999999999999995E-8</v>
      </c>
      <c r="G170" s="26">
        <f t="shared" ref="G170:G188" si="217">F170/(B170/2)</f>
        <v>1.9999999999999997E-2</v>
      </c>
      <c r="H170" s="7">
        <v>0.22407247323611401</v>
      </c>
      <c r="I170" s="7">
        <v>20967.675665585699</v>
      </c>
      <c r="J170" s="7">
        <v>750067.42850576504</v>
      </c>
      <c r="K170" s="7">
        <v>20967.675665585699</v>
      </c>
      <c r="L170" s="7">
        <v>246455.34799285</v>
      </c>
      <c r="M170" s="7">
        <v>12732.395447351601</v>
      </c>
      <c r="N170" s="7">
        <f t="shared" ref="N170:N188" si="218">I170+J170+K170</f>
        <v>792002.77983693639</v>
      </c>
      <c r="P170" s="28">
        <v>1</v>
      </c>
      <c r="Q170" s="26">
        <v>3.0000000000000001E-5</v>
      </c>
      <c r="R170" s="28">
        <v>0.2</v>
      </c>
      <c r="S170" s="28">
        <v>30</v>
      </c>
      <c r="T170" s="26">
        <v>4.9999999999999998E-7</v>
      </c>
      <c r="U170" s="26">
        <f t="shared" ref="U170:U188" si="219">R170*T170</f>
        <v>9.9999999999999995E-8</v>
      </c>
      <c r="V170" s="26">
        <f t="shared" ref="V170:V188" si="220">U170/(Q170/2)</f>
        <v>6.6666666666666662E-3</v>
      </c>
      <c r="W170" s="7">
        <v>0.22517327462175199</v>
      </c>
      <c r="X170" s="7">
        <v>6989.2252213633501</v>
      </c>
      <c r="Y170" s="7">
        <v>250022.476149864</v>
      </c>
      <c r="Z170" s="7">
        <v>6989.2252213633501</v>
      </c>
      <c r="AA170" s="7">
        <v>82151.782666878105</v>
      </c>
      <c r="AB170" s="7">
        <v>1414.7106052612901</v>
      </c>
      <c r="AC170" s="7">
        <f t="shared" ref="AC170:AC188" si="221">X170+Y170+Z170</f>
        <v>264000.92659259069</v>
      </c>
      <c r="AE170" s="28">
        <v>1</v>
      </c>
      <c r="AF170" s="26">
        <v>5.0000000000000002E-5</v>
      </c>
      <c r="AG170" s="28">
        <v>0.2</v>
      </c>
      <c r="AH170" s="28">
        <v>30</v>
      </c>
      <c r="AI170" s="26">
        <v>4.9999999999999998E-7</v>
      </c>
      <c r="AJ170" s="26">
        <f t="shared" ref="AJ170:AJ188" si="222">AG170*AI170</f>
        <v>9.9999999999999995E-8</v>
      </c>
      <c r="AK170" s="26">
        <f t="shared" ref="AK170:AK188" si="223">AJ170/(AF170/2)</f>
        <v>3.9999999999999992E-3</v>
      </c>
      <c r="AL170" s="7">
        <v>0.22539906164065601</v>
      </c>
      <c r="AM170" s="7">
        <v>4193.5351285970401</v>
      </c>
      <c r="AN170" s="7">
        <v>150013.48553139099</v>
      </c>
      <c r="AO170" s="7">
        <v>4193.5351285970401</v>
      </c>
      <c r="AP170" s="7">
        <v>49291.069622095303</v>
      </c>
      <c r="AQ170" s="7">
        <v>509.29581789406501</v>
      </c>
      <c r="AR170" s="7">
        <f t="shared" ref="AR170:AR188" si="224">AM170+AN170+AO170</f>
        <v>158400.5557885851</v>
      </c>
      <c r="AT170" s="28">
        <v>1</v>
      </c>
      <c r="AU170" s="26">
        <v>1.0000000000000001E-5</v>
      </c>
      <c r="AV170" s="28">
        <v>0.2</v>
      </c>
      <c r="AW170" s="28">
        <v>200</v>
      </c>
      <c r="AX170" s="26">
        <v>4.9999999999999998E-7</v>
      </c>
      <c r="AY170" s="26">
        <f t="shared" ref="AY170:AY188" si="225">AV170*AX170</f>
        <v>9.9999999999999995E-8</v>
      </c>
      <c r="AZ170" s="26">
        <f t="shared" ref="AZ170:AZ188" si="226">AY170/(AU170/2)</f>
        <v>1.9999999999999997E-2</v>
      </c>
      <c r="BA170" s="7">
        <v>0.22627285737659</v>
      </c>
      <c r="BB170" s="7">
        <v>4345.3623253436699</v>
      </c>
      <c r="BC170" s="7">
        <v>750067.42850576504</v>
      </c>
      <c r="BD170" s="7">
        <v>4345.3623253436699</v>
      </c>
      <c r="BE170" s="7">
        <v>246455.34799285</v>
      </c>
      <c r="BF170" s="7">
        <v>12732.395447351601</v>
      </c>
      <c r="BG170" s="7">
        <f t="shared" ref="BG170:BG188" si="227">BB170+BC170+BD170</f>
        <v>758758.15315645235</v>
      </c>
      <c r="BI170" s="28">
        <v>1</v>
      </c>
      <c r="BJ170" s="26">
        <v>1.0000000000000001E-5</v>
      </c>
      <c r="BK170" s="28">
        <v>0.5</v>
      </c>
      <c r="BL170" s="28">
        <v>200</v>
      </c>
      <c r="BM170" s="26">
        <v>4.9999999999999998E-7</v>
      </c>
      <c r="BN170" s="26">
        <f t="shared" ref="BN170:BN188" si="228">BK170*BM170</f>
        <v>2.4999999999999999E-7</v>
      </c>
      <c r="BO170" s="26">
        <f t="shared" ref="BO170:BO188" si="229">BN170/(BJ170/2)</f>
        <v>4.9999999999999996E-2</v>
      </c>
      <c r="BP170" s="7">
        <v>0.55783036827397903</v>
      </c>
      <c r="BQ170" s="7">
        <v>3764.12485338133</v>
      </c>
      <c r="BR170" s="7">
        <v>300026.97140230599</v>
      </c>
      <c r="BS170" s="7">
        <v>3764.12485338133</v>
      </c>
      <c r="BT170" s="7">
        <v>98582.139197140001</v>
      </c>
      <c r="BU170" s="7">
        <v>12732.395447351601</v>
      </c>
      <c r="BV170" s="7">
        <f t="shared" ref="BV170:BV188" si="230">BQ170+BR170+BS170</f>
        <v>307555.2211090686</v>
      </c>
      <c r="BX170" s="28">
        <v>1</v>
      </c>
      <c r="BY170" s="26">
        <v>5.0000000000000002E-5</v>
      </c>
      <c r="BZ170" s="28">
        <v>0.5</v>
      </c>
      <c r="CA170" s="28">
        <v>200</v>
      </c>
      <c r="CB170" s="26">
        <v>4.9999999999999998E-7</v>
      </c>
      <c r="CC170" s="26">
        <f t="shared" ref="CC170:CC188" si="231">BZ170*CB170</f>
        <v>2.4999999999999999E-7</v>
      </c>
      <c r="CD170" s="26">
        <f t="shared" ref="CD170:CD188" si="232">CC170/(BY170/2)</f>
        <v>9.9999999999999985E-3</v>
      </c>
      <c r="CE170" s="7">
        <v>0.56613252610405695</v>
      </c>
      <c r="CF170" s="7">
        <v>752.82497001808497</v>
      </c>
      <c r="CG170" s="7">
        <v>60005.394212556603</v>
      </c>
      <c r="CH170" s="7">
        <v>752.82497001808497</v>
      </c>
      <c r="CI170" s="7">
        <v>19716.427848838099</v>
      </c>
      <c r="CJ170" s="7">
        <v>509.29581789406501</v>
      </c>
      <c r="CK170" s="7">
        <f t="shared" ref="CK170:CK188" si="233">CF170+CG170+CH170</f>
        <v>61511.044152592767</v>
      </c>
      <c r="CM170" s="28">
        <v>1</v>
      </c>
      <c r="CN170" s="26">
        <v>5.0000000000000002E-5</v>
      </c>
      <c r="CO170" s="28">
        <v>1</v>
      </c>
      <c r="CP170" s="28">
        <v>200</v>
      </c>
      <c r="CQ170" s="26">
        <v>4.9999999999999998E-7</v>
      </c>
      <c r="CR170" s="26">
        <f t="shared" ref="CR170:CR188" si="234">CO170*CQ170</f>
        <v>4.9999999999999998E-7</v>
      </c>
      <c r="CS170" s="26">
        <f t="shared" ref="CS170:CS188" si="235">CR170/(CN170/2)</f>
        <v>1.9999999999999997E-2</v>
      </c>
      <c r="CT170" s="7">
        <v>1.12314562056071</v>
      </c>
      <c r="CU170" s="7">
        <v>665.23311259709499</v>
      </c>
      <c r="CV170" s="7">
        <v>30002.697106278301</v>
      </c>
      <c r="CW170" s="7">
        <v>665.23311259709499</v>
      </c>
      <c r="CX170" s="7">
        <v>9858.2139244190694</v>
      </c>
      <c r="CY170" s="7">
        <v>509.29581789406501</v>
      </c>
      <c r="CZ170" s="7">
        <f t="shared" ref="CZ170:CZ188" si="236">CU170+CV170+CW170</f>
        <v>31333.163331472493</v>
      </c>
      <c r="DB170" s="28">
        <v>1</v>
      </c>
      <c r="DC170" s="26">
        <v>5.0000000000000002E-5</v>
      </c>
      <c r="DD170" s="28">
        <v>2</v>
      </c>
      <c r="DE170" s="28">
        <v>200</v>
      </c>
      <c r="DF170" s="26">
        <v>4.9999999999999998E-7</v>
      </c>
      <c r="DG170" s="26">
        <f t="shared" ref="DG170:DG188" si="237">DD170*DF170</f>
        <v>9.9999999999999995E-7</v>
      </c>
      <c r="DH170" s="26">
        <f t="shared" ref="DH170:DH188" si="238">DG170/(DC170/2)</f>
        <v>3.9999999999999994E-2</v>
      </c>
      <c r="DI170" s="7">
        <v>2.21573190974929</v>
      </c>
      <c r="DJ170" s="7">
        <v>578.22973015081095</v>
      </c>
      <c r="DK170" s="7">
        <v>15001.3485531391</v>
      </c>
      <c r="DL170" s="7">
        <v>578.22973015081095</v>
      </c>
      <c r="DM170" s="7">
        <v>4929.1069622095301</v>
      </c>
      <c r="DN170" s="7">
        <v>509.29581789406501</v>
      </c>
      <c r="DO170" s="7">
        <f t="shared" ref="DO170:DO188" si="239">DJ170+DK170+DL170</f>
        <v>16157.808013440723</v>
      </c>
      <c r="DQ170" s="28">
        <v>1</v>
      </c>
      <c r="DR170" s="26">
        <v>5.0000000000000002E-5</v>
      </c>
      <c r="DS170" s="28">
        <v>15</v>
      </c>
      <c r="DT170" s="28">
        <v>300</v>
      </c>
      <c r="DU170" s="26">
        <v>2.4999999999999999E-7</v>
      </c>
      <c r="DV170" s="26">
        <f t="shared" ref="DV170:DV188" si="240">DS170*DU170</f>
        <v>3.7499999999999997E-6</v>
      </c>
      <c r="DW170" s="26">
        <f t="shared" ref="DW170:DW188" si="241">DV170/(DR170/2)</f>
        <v>0.14999999999999997</v>
      </c>
      <c r="DX170" s="7">
        <v>15.6320940334267</v>
      </c>
      <c r="DY170" s="7">
        <v>254.539230510376</v>
      </c>
      <c r="DZ170" s="7">
        <v>2000.1798070852201</v>
      </c>
      <c r="EA170" s="7">
        <v>254.539230510376</v>
      </c>
      <c r="EB170" s="7">
        <v>657.21426162793796</v>
      </c>
      <c r="EC170" s="7">
        <v>305.57749073643902</v>
      </c>
      <c r="ED170" s="7">
        <f t="shared" ref="ED170:ED188" si="242">DY170+DZ170+EA170</f>
        <v>2509.2582681059721</v>
      </c>
    </row>
    <row r="171" spans="1:134" x14ac:dyDescent="0.4">
      <c r="A171" s="28">
        <v>2</v>
      </c>
      <c r="B171" s="26">
        <v>1.0000000000000001E-5</v>
      </c>
      <c r="C171" s="28">
        <v>0.2</v>
      </c>
      <c r="D171" s="28">
        <v>30</v>
      </c>
      <c r="E171" s="26">
        <v>4.9999999999999998E-7</v>
      </c>
      <c r="F171" s="26">
        <f t="shared" si="216"/>
        <v>9.9999999999999995E-8</v>
      </c>
      <c r="G171" s="26">
        <f t="shared" si="217"/>
        <v>1.9999999999999997E-2</v>
      </c>
      <c r="H171" s="7">
        <v>0.254852330015714</v>
      </c>
      <c r="I171" s="7">
        <v>20967.675665585699</v>
      </c>
      <c r="J171" s="7">
        <v>482013.76177816797</v>
      </c>
      <c r="K171" s="7">
        <v>20967.675665585699</v>
      </c>
      <c r="L171" s="7">
        <v>339325.67523914197</v>
      </c>
      <c r="M171" s="7">
        <v>12732.395447351601</v>
      </c>
      <c r="N171" s="7">
        <f t="shared" si="218"/>
        <v>523949.11310933932</v>
      </c>
      <c r="P171" s="28">
        <v>2</v>
      </c>
      <c r="Q171" s="26">
        <v>3.0000000000000001E-5</v>
      </c>
      <c r="R171" s="28">
        <v>0.2</v>
      </c>
      <c r="S171" s="28">
        <v>30</v>
      </c>
      <c r="T171" s="26">
        <v>4.9999999999999998E-7</v>
      </c>
      <c r="U171" s="26">
        <f t="shared" si="219"/>
        <v>9.9999999999999995E-8</v>
      </c>
      <c r="V171" s="26">
        <f t="shared" si="220"/>
        <v>6.6666666666666662E-3</v>
      </c>
      <c r="W171" s="7">
        <v>0.257954825294125</v>
      </c>
      <c r="X171" s="7">
        <v>6989.2252213633501</v>
      </c>
      <c r="Y171" s="7">
        <v>160671.25390733199</v>
      </c>
      <c r="Z171" s="7">
        <v>6989.2252213633501</v>
      </c>
      <c r="AA171" s="7">
        <v>113108.558420806</v>
      </c>
      <c r="AB171" s="7">
        <v>1414.7106052612901</v>
      </c>
      <c r="AC171" s="7">
        <f t="shared" si="221"/>
        <v>174649.70435005872</v>
      </c>
      <c r="AE171" s="28">
        <v>2</v>
      </c>
      <c r="AF171" s="26">
        <v>5.0000000000000002E-5</v>
      </c>
      <c r="AG171" s="28">
        <v>0.2</v>
      </c>
      <c r="AH171" s="28">
        <v>30</v>
      </c>
      <c r="AI171" s="26">
        <v>4.9999999999999998E-7</v>
      </c>
      <c r="AJ171" s="26">
        <f t="shared" si="222"/>
        <v>9.9999999999999995E-8</v>
      </c>
      <c r="AK171" s="26">
        <f t="shared" si="223"/>
        <v>3.9999999999999992E-3</v>
      </c>
      <c r="AL171" s="7">
        <v>0.25859921792533802</v>
      </c>
      <c r="AM171" s="7">
        <v>4193.5351285970401</v>
      </c>
      <c r="AN171" s="7">
        <v>96402.752185872101</v>
      </c>
      <c r="AO171" s="7">
        <v>4193.5351285970401</v>
      </c>
      <c r="AP171" s="7">
        <v>67865.135118168895</v>
      </c>
      <c r="AQ171" s="7">
        <v>509.29581789406501</v>
      </c>
      <c r="AR171" s="7">
        <f t="shared" si="224"/>
        <v>104789.82244306618</v>
      </c>
      <c r="AT171" s="28">
        <v>2</v>
      </c>
      <c r="AU171" s="26">
        <v>1.0000000000000001E-5</v>
      </c>
      <c r="AV171" s="28">
        <v>0.2</v>
      </c>
      <c r="AW171" s="28">
        <v>200</v>
      </c>
      <c r="AX171" s="26">
        <v>4.9999999999999998E-7</v>
      </c>
      <c r="AY171" s="26">
        <f t="shared" si="225"/>
        <v>9.9999999999999995E-8</v>
      </c>
      <c r="AZ171" s="26">
        <f t="shared" si="226"/>
        <v>1.9999999999999997E-2</v>
      </c>
      <c r="BA171" s="7">
        <v>0.26111933612227001</v>
      </c>
      <c r="BB171" s="7">
        <v>4345.3623253436699</v>
      </c>
      <c r="BC171" s="7">
        <v>482013.76177816797</v>
      </c>
      <c r="BD171" s="7">
        <v>4345.3623253436699</v>
      </c>
      <c r="BE171" s="7">
        <v>339325.67523914197</v>
      </c>
      <c r="BF171" s="7">
        <v>12732.395447351601</v>
      </c>
      <c r="BG171" s="7">
        <f t="shared" si="227"/>
        <v>490704.48642885528</v>
      </c>
      <c r="BI171" s="28">
        <v>2</v>
      </c>
      <c r="BJ171" s="26">
        <v>1.0000000000000001E-5</v>
      </c>
      <c r="BK171" s="28">
        <v>0.5</v>
      </c>
      <c r="BL171" s="28">
        <v>200</v>
      </c>
      <c r="BM171" s="26">
        <v>4.9999999999999998E-7</v>
      </c>
      <c r="BN171" s="26">
        <f t="shared" si="228"/>
        <v>2.4999999999999999E-7</v>
      </c>
      <c r="BO171" s="26">
        <f t="shared" si="229"/>
        <v>4.9999999999999996E-2</v>
      </c>
      <c r="BP171" s="7">
        <v>0.630631296864681</v>
      </c>
      <c r="BQ171" s="7">
        <v>3764.12485338133</v>
      </c>
      <c r="BR171" s="7">
        <v>192805.50471126701</v>
      </c>
      <c r="BS171" s="7">
        <v>3764.12485338133</v>
      </c>
      <c r="BT171" s="7">
        <v>135730.270095657</v>
      </c>
      <c r="BU171" s="7">
        <v>12732.395447351601</v>
      </c>
      <c r="BV171" s="7">
        <f t="shared" si="230"/>
        <v>200333.75441802968</v>
      </c>
      <c r="BX171" s="28">
        <v>2</v>
      </c>
      <c r="BY171" s="26">
        <v>5.0000000000000002E-5</v>
      </c>
      <c r="BZ171" s="28">
        <v>0.5</v>
      </c>
      <c r="CA171" s="28">
        <v>200</v>
      </c>
      <c r="CB171" s="26">
        <v>4.9999999999999998E-7</v>
      </c>
      <c r="CC171" s="26">
        <f t="shared" si="231"/>
        <v>2.4999999999999999E-7</v>
      </c>
      <c r="CD171" s="26">
        <f t="shared" si="232"/>
        <v>9.9999999999999985E-3</v>
      </c>
      <c r="CE171" s="7">
        <v>0.65411045391360401</v>
      </c>
      <c r="CF171" s="7">
        <v>752.82497001808497</v>
      </c>
      <c r="CG171" s="7">
        <v>38561.1008743489</v>
      </c>
      <c r="CH171" s="7">
        <v>752.82497001808497</v>
      </c>
      <c r="CI171" s="7">
        <v>27146.0540472676</v>
      </c>
      <c r="CJ171" s="7">
        <v>509.29581789406501</v>
      </c>
      <c r="CK171" s="7">
        <f t="shared" si="233"/>
        <v>40066.750814385065</v>
      </c>
      <c r="CM171" s="28">
        <v>2</v>
      </c>
      <c r="CN171" s="26">
        <v>5.0000000000000002E-5</v>
      </c>
      <c r="CO171" s="28">
        <v>1</v>
      </c>
      <c r="CP171" s="28">
        <v>200</v>
      </c>
      <c r="CQ171" s="26">
        <v>4.9999999999999998E-7</v>
      </c>
      <c r="CR171" s="26">
        <f t="shared" si="234"/>
        <v>4.9999999999999998E-7</v>
      </c>
      <c r="CS171" s="26">
        <f t="shared" si="235"/>
        <v>1.9999999999999997E-2</v>
      </c>
      <c r="CT171" s="7">
        <v>1.28206563333303</v>
      </c>
      <c r="CU171" s="7">
        <v>665.23311259709499</v>
      </c>
      <c r="CV171" s="7">
        <v>19280.550437174399</v>
      </c>
      <c r="CW171" s="7">
        <v>665.23311259709499</v>
      </c>
      <c r="CX171" s="7">
        <v>13573.0270236338</v>
      </c>
      <c r="CY171" s="7">
        <v>509.29581789406501</v>
      </c>
      <c r="CZ171" s="7">
        <f t="shared" si="236"/>
        <v>20611.016662368591</v>
      </c>
      <c r="DB171" s="28">
        <v>2</v>
      </c>
      <c r="DC171" s="26">
        <v>5.0000000000000002E-5</v>
      </c>
      <c r="DD171" s="28">
        <v>2</v>
      </c>
      <c r="DE171" s="28">
        <v>200</v>
      </c>
      <c r="DF171" s="26">
        <v>4.9999999999999998E-7</v>
      </c>
      <c r="DG171" s="26">
        <f t="shared" si="237"/>
        <v>9.9999999999999995E-7</v>
      </c>
      <c r="DH171" s="26">
        <f t="shared" si="238"/>
        <v>3.9999999999999994E-2</v>
      </c>
      <c r="DI171" s="7">
        <v>2.4804125069701102</v>
      </c>
      <c r="DJ171" s="7">
        <v>578.22973015081095</v>
      </c>
      <c r="DK171" s="7">
        <v>9640.2752185872196</v>
      </c>
      <c r="DL171" s="7">
        <v>578.22973015081095</v>
      </c>
      <c r="DM171" s="7">
        <v>6786.5135118168901</v>
      </c>
      <c r="DN171" s="7">
        <v>509.29581789406501</v>
      </c>
      <c r="DO171" s="7">
        <f t="shared" si="239"/>
        <v>10796.734678888843</v>
      </c>
      <c r="DQ171" s="28">
        <v>2</v>
      </c>
      <c r="DR171" s="26">
        <v>5.0000000000000002E-5</v>
      </c>
      <c r="DS171" s="28">
        <v>15</v>
      </c>
      <c r="DT171" s="28">
        <v>300</v>
      </c>
      <c r="DU171" s="26">
        <v>2.4999999999999999E-7</v>
      </c>
      <c r="DV171" s="26">
        <f t="shared" si="240"/>
        <v>3.7499999999999997E-6</v>
      </c>
      <c r="DW171" s="26">
        <f t="shared" si="241"/>
        <v>0.14999999999999997</v>
      </c>
      <c r="DX171" s="7">
        <v>16.260760942523898</v>
      </c>
      <c r="DY171" s="7">
        <v>254.539230510376</v>
      </c>
      <c r="DZ171" s="7">
        <v>1285.37002914496</v>
      </c>
      <c r="EA171" s="7">
        <v>254.539230510376</v>
      </c>
      <c r="EB171" s="7">
        <v>904.86846824225199</v>
      </c>
      <c r="EC171" s="7">
        <v>305.57749073643902</v>
      </c>
      <c r="ED171" s="7">
        <f t="shared" si="242"/>
        <v>1794.448490165712</v>
      </c>
    </row>
    <row r="172" spans="1:134" x14ac:dyDescent="0.4">
      <c r="A172" s="28">
        <v>4</v>
      </c>
      <c r="B172" s="26">
        <v>1.0000000000000001E-5</v>
      </c>
      <c r="C172" s="28">
        <v>0.2</v>
      </c>
      <c r="D172" s="28">
        <v>30</v>
      </c>
      <c r="E172" s="26">
        <v>4.9999999999999998E-7</v>
      </c>
      <c r="F172" s="26">
        <f t="shared" si="216"/>
        <v>9.9999999999999995E-8</v>
      </c>
      <c r="G172" s="26">
        <f t="shared" si="217"/>
        <v>1.9999999999999997E-2</v>
      </c>
      <c r="H172" s="7">
        <v>0.33581163069194803</v>
      </c>
      <c r="I172" s="7">
        <v>20967.675665585699</v>
      </c>
      <c r="J172" s="7">
        <v>269259.42550450901</v>
      </c>
      <c r="K172" s="7">
        <v>20967.675665585699</v>
      </c>
      <c r="L172" s="7">
        <v>496205.96663466899</v>
      </c>
      <c r="M172" s="7">
        <v>12732.395447351601</v>
      </c>
      <c r="N172" s="7">
        <f t="shared" si="218"/>
        <v>311194.77683568036</v>
      </c>
      <c r="P172" s="28">
        <v>4</v>
      </c>
      <c r="Q172" s="26">
        <v>3.0000000000000001E-5</v>
      </c>
      <c r="R172" s="28">
        <v>0.2</v>
      </c>
      <c r="S172" s="28">
        <v>30</v>
      </c>
      <c r="T172" s="26">
        <v>4.9999999999999998E-7</v>
      </c>
      <c r="U172" s="26">
        <f t="shared" si="219"/>
        <v>9.9999999999999995E-8</v>
      </c>
      <c r="V172" s="26">
        <f t="shared" si="220"/>
        <v>6.6666666666666662E-3</v>
      </c>
      <c r="W172" s="7">
        <v>0.34643621835392302</v>
      </c>
      <c r="X172" s="7">
        <v>6989.2252213633501</v>
      </c>
      <c r="Y172" s="7">
        <v>89753.141816112096</v>
      </c>
      <c r="Z172" s="7">
        <v>6989.2252213633501</v>
      </c>
      <c r="AA172" s="7">
        <v>165401.98890513901</v>
      </c>
      <c r="AB172" s="7">
        <v>1414.7106052612901</v>
      </c>
      <c r="AC172" s="7">
        <f t="shared" si="221"/>
        <v>103731.59225883879</v>
      </c>
      <c r="AE172" s="28">
        <v>4</v>
      </c>
      <c r="AF172" s="26">
        <v>5.0000000000000002E-5</v>
      </c>
      <c r="AG172" s="28">
        <v>0.2</v>
      </c>
      <c r="AH172" s="28">
        <v>30</v>
      </c>
      <c r="AI172" s="26">
        <v>4.9999999999999998E-7</v>
      </c>
      <c r="AJ172" s="26">
        <f t="shared" si="222"/>
        <v>9.9999999999999995E-8</v>
      </c>
      <c r="AK172" s="26">
        <f t="shared" si="223"/>
        <v>3.9999999999999992E-3</v>
      </c>
      <c r="AL172" s="7">
        <v>0.34869800032347698</v>
      </c>
      <c r="AM172" s="7">
        <v>4193.5351285970401</v>
      </c>
      <c r="AN172" s="7">
        <v>53851.884931140201</v>
      </c>
      <c r="AO172" s="7">
        <v>4193.5351285970401</v>
      </c>
      <c r="AP172" s="7">
        <v>99241.193570966701</v>
      </c>
      <c r="AQ172" s="7">
        <v>509.29581789406501</v>
      </c>
      <c r="AR172" s="7">
        <f t="shared" si="224"/>
        <v>62238.955188334279</v>
      </c>
      <c r="AT172" s="28">
        <v>4</v>
      </c>
      <c r="AU172" s="26">
        <v>1.0000000000000001E-5</v>
      </c>
      <c r="AV172" s="28">
        <v>0.2</v>
      </c>
      <c r="AW172" s="28">
        <v>200</v>
      </c>
      <c r="AX172" s="26">
        <v>4.9999999999999998E-7</v>
      </c>
      <c r="AY172" s="26">
        <f t="shared" si="225"/>
        <v>9.9999999999999995E-8</v>
      </c>
      <c r="AZ172" s="26">
        <f t="shared" si="226"/>
        <v>1.9999999999999997E-2</v>
      </c>
      <c r="BA172" s="7">
        <v>0.35773298203874698</v>
      </c>
      <c r="BB172" s="7">
        <v>4345.3623253436699</v>
      </c>
      <c r="BC172" s="7">
        <v>269259.42550450901</v>
      </c>
      <c r="BD172" s="7">
        <v>4345.3623253436699</v>
      </c>
      <c r="BE172" s="7">
        <v>496205.96663466899</v>
      </c>
      <c r="BF172" s="7">
        <v>12732.395447351601</v>
      </c>
      <c r="BG172" s="7">
        <f t="shared" si="227"/>
        <v>277950.15015519632</v>
      </c>
      <c r="BI172" s="28">
        <v>4</v>
      </c>
      <c r="BJ172" s="26">
        <v>1.0000000000000001E-5</v>
      </c>
      <c r="BK172" s="28">
        <v>0.5</v>
      </c>
      <c r="BL172" s="28">
        <v>200</v>
      </c>
      <c r="BM172" s="26">
        <v>4.9999999999999998E-7</v>
      </c>
      <c r="BN172" s="26">
        <f t="shared" si="228"/>
        <v>2.4999999999999999E-7</v>
      </c>
      <c r="BO172" s="26">
        <f t="shared" si="229"/>
        <v>4.9999999999999996E-2</v>
      </c>
      <c r="BP172" s="7">
        <v>0.81808187022550105</v>
      </c>
      <c r="BQ172" s="7">
        <v>3764.12485338133</v>
      </c>
      <c r="BR172" s="7">
        <v>107703.770201803</v>
      </c>
      <c r="BS172" s="7">
        <v>3764.12485338133</v>
      </c>
      <c r="BT172" s="7">
        <v>198482.38665386799</v>
      </c>
      <c r="BU172" s="7">
        <v>12732.395447351601</v>
      </c>
      <c r="BV172" s="7">
        <f t="shared" si="230"/>
        <v>115232.01990856566</v>
      </c>
      <c r="BX172" s="28">
        <v>4</v>
      </c>
      <c r="BY172" s="26">
        <v>5.0000000000000002E-5</v>
      </c>
      <c r="BZ172" s="28">
        <v>0.5</v>
      </c>
      <c r="CA172" s="28">
        <v>200</v>
      </c>
      <c r="CB172" s="26">
        <v>4.9999999999999998E-7</v>
      </c>
      <c r="CC172" s="26">
        <f t="shared" si="231"/>
        <v>2.4999999999999999E-7</v>
      </c>
      <c r="CD172" s="26">
        <f t="shared" si="232"/>
        <v>9.9999999999999985E-3</v>
      </c>
      <c r="CE172" s="7">
        <v>0.899133891106631</v>
      </c>
      <c r="CF172" s="7">
        <v>752.82497001808497</v>
      </c>
      <c r="CG172" s="7">
        <v>21540.753972456099</v>
      </c>
      <c r="CH172" s="7">
        <v>752.82497001808497</v>
      </c>
      <c r="CI172" s="7">
        <v>39696.477428386701</v>
      </c>
      <c r="CJ172" s="7">
        <v>509.29581789406501</v>
      </c>
      <c r="CK172" s="7">
        <f t="shared" si="233"/>
        <v>23046.403912492271</v>
      </c>
      <c r="CM172" s="28">
        <v>4</v>
      </c>
      <c r="CN172" s="26">
        <v>5.0000000000000002E-5</v>
      </c>
      <c r="CO172" s="28">
        <v>1</v>
      </c>
      <c r="CP172" s="28">
        <v>200</v>
      </c>
      <c r="CQ172" s="26">
        <v>4.9999999999999998E-7</v>
      </c>
      <c r="CR172" s="26">
        <f t="shared" si="234"/>
        <v>4.9999999999999998E-7</v>
      </c>
      <c r="CS172" s="26">
        <f t="shared" si="235"/>
        <v>1.9999999999999997E-2</v>
      </c>
      <c r="CT172" s="7">
        <v>1.70551279557925</v>
      </c>
      <c r="CU172" s="7">
        <v>665.23311259709499</v>
      </c>
      <c r="CV172" s="7">
        <v>10770.376986228001</v>
      </c>
      <c r="CW172" s="7">
        <v>665.23311259709499</v>
      </c>
      <c r="CX172" s="7">
        <v>19848.2387141933</v>
      </c>
      <c r="CY172" s="7">
        <v>509.29581789406501</v>
      </c>
      <c r="CZ172" s="7">
        <f t="shared" si="236"/>
        <v>12100.843211422191</v>
      </c>
      <c r="DB172" s="28">
        <v>4</v>
      </c>
      <c r="DC172" s="26">
        <v>5.0000000000000002E-5</v>
      </c>
      <c r="DD172" s="28">
        <v>2</v>
      </c>
      <c r="DE172" s="28">
        <v>200</v>
      </c>
      <c r="DF172" s="26">
        <v>4.9999999999999998E-7</v>
      </c>
      <c r="DG172" s="26">
        <f t="shared" si="237"/>
        <v>9.9999999999999995E-7</v>
      </c>
      <c r="DH172" s="26">
        <f t="shared" si="238"/>
        <v>3.9999999999999994E-2</v>
      </c>
      <c r="DI172" s="7">
        <v>3.1392504020304099</v>
      </c>
      <c r="DJ172" s="7">
        <v>578.22973015081095</v>
      </c>
      <c r="DK172" s="7">
        <v>5385.1884931140203</v>
      </c>
      <c r="DL172" s="7">
        <v>578.22973015081095</v>
      </c>
      <c r="DM172" s="7">
        <v>9924.1193570966698</v>
      </c>
      <c r="DN172" s="7">
        <v>509.29581789406501</v>
      </c>
      <c r="DO172" s="7">
        <f t="shared" si="239"/>
        <v>6541.6479534156415</v>
      </c>
      <c r="DQ172" s="28">
        <v>4</v>
      </c>
      <c r="DR172" s="26">
        <v>5.0000000000000002E-5</v>
      </c>
      <c r="DS172" s="28">
        <v>15</v>
      </c>
      <c r="DT172" s="28">
        <v>300</v>
      </c>
      <c r="DU172" s="26">
        <v>2.4999999999999999E-7</v>
      </c>
      <c r="DV172" s="26">
        <f t="shared" si="240"/>
        <v>3.7499999999999997E-6</v>
      </c>
      <c r="DW172" s="26">
        <f t="shared" si="241"/>
        <v>0.14999999999999997</v>
      </c>
      <c r="DX172" s="7">
        <v>17.5087905784168</v>
      </c>
      <c r="DY172" s="7">
        <v>254.539230510376</v>
      </c>
      <c r="DZ172" s="7">
        <v>718.02513241520205</v>
      </c>
      <c r="EA172" s="7">
        <v>254.539230510376</v>
      </c>
      <c r="EB172" s="7">
        <v>1323.2159142795599</v>
      </c>
      <c r="EC172" s="7">
        <v>305.57749073643902</v>
      </c>
      <c r="ED172" s="7">
        <f t="shared" si="242"/>
        <v>1227.1035934359541</v>
      </c>
    </row>
    <row r="173" spans="1:134" x14ac:dyDescent="0.4">
      <c r="A173" s="28">
        <v>6</v>
      </c>
      <c r="B173" s="26">
        <v>1.0000000000000001E-5</v>
      </c>
      <c r="C173" s="28">
        <v>0.2</v>
      </c>
      <c r="D173" s="28">
        <v>30</v>
      </c>
      <c r="E173" s="26">
        <v>4.9999999999999998E-7</v>
      </c>
      <c r="F173" s="26">
        <f t="shared" si="216"/>
        <v>9.9999999999999995E-8</v>
      </c>
      <c r="G173" s="26">
        <f t="shared" si="217"/>
        <v>1.9999999999999997E-2</v>
      </c>
      <c r="H173" s="7">
        <v>0.449010323342448</v>
      </c>
      <c r="I173" s="7">
        <v>20967.675665585699</v>
      </c>
      <c r="J173" s="7">
        <v>165780.67944707401</v>
      </c>
      <c r="K173" s="7">
        <v>20967.675665585699</v>
      </c>
      <c r="L173" s="7">
        <v>651465.34785778704</v>
      </c>
      <c r="M173" s="7">
        <v>12732.395447351601</v>
      </c>
      <c r="N173" s="7">
        <f t="shared" si="218"/>
        <v>207716.03077824542</v>
      </c>
      <c r="P173" s="28">
        <v>6</v>
      </c>
      <c r="Q173" s="26">
        <v>3.0000000000000001E-5</v>
      </c>
      <c r="R173" s="28">
        <v>0.2</v>
      </c>
      <c r="S173" s="28">
        <v>30</v>
      </c>
      <c r="T173" s="26">
        <v>4.9999999999999998E-7</v>
      </c>
      <c r="U173" s="26">
        <f t="shared" si="219"/>
        <v>9.9999999999999995E-8</v>
      </c>
      <c r="V173" s="26">
        <f t="shared" si="220"/>
        <v>6.6666666666666662E-3</v>
      </c>
      <c r="W173" s="7">
        <v>0.47497378437215598</v>
      </c>
      <c r="X173" s="7">
        <v>6989.2252213633501</v>
      </c>
      <c r="Y173" s="7">
        <v>55260.226463633997</v>
      </c>
      <c r="Z173" s="7">
        <v>6989.2252213633501</v>
      </c>
      <c r="AA173" s="7">
        <v>217155.11601730101</v>
      </c>
      <c r="AB173" s="7">
        <v>1414.7106052612901</v>
      </c>
      <c r="AC173" s="7">
        <f t="shared" si="221"/>
        <v>69238.676906360692</v>
      </c>
      <c r="AE173" s="28">
        <v>6</v>
      </c>
      <c r="AF173" s="26">
        <v>5.0000000000000002E-5</v>
      </c>
      <c r="AG173" s="28">
        <v>0.2</v>
      </c>
      <c r="AH173" s="28">
        <v>30</v>
      </c>
      <c r="AI173" s="26">
        <v>4.9999999999999998E-7</v>
      </c>
      <c r="AJ173" s="26">
        <f t="shared" si="222"/>
        <v>9.9999999999999995E-8</v>
      </c>
      <c r="AK173" s="26">
        <f t="shared" si="223"/>
        <v>3.9999999999999992E-3</v>
      </c>
      <c r="AL173" s="7">
        <v>0.48066356484405498</v>
      </c>
      <c r="AM173" s="7">
        <v>4193.5351285970401</v>
      </c>
      <c r="AN173" s="7">
        <v>33156.135719653299</v>
      </c>
      <c r="AO173" s="7">
        <v>4193.5351285970401</v>
      </c>
      <c r="AP173" s="7">
        <v>130293.0701582</v>
      </c>
      <c r="AQ173" s="7">
        <v>509.29581789406501</v>
      </c>
      <c r="AR173" s="7">
        <f t="shared" si="224"/>
        <v>41543.205976847377</v>
      </c>
      <c r="AT173" s="28">
        <v>6</v>
      </c>
      <c r="AU173" s="26">
        <v>1.0000000000000001E-5</v>
      </c>
      <c r="AV173" s="28">
        <v>0.2</v>
      </c>
      <c r="AW173" s="28">
        <v>200</v>
      </c>
      <c r="AX173" s="26">
        <v>4.9999999999999998E-7</v>
      </c>
      <c r="AY173" s="26">
        <f t="shared" si="225"/>
        <v>9.9999999999999995E-8</v>
      </c>
      <c r="AZ173" s="26">
        <f t="shared" si="226"/>
        <v>1.9999999999999997E-2</v>
      </c>
      <c r="BA173" s="7">
        <v>0.50399074705916103</v>
      </c>
      <c r="BB173" s="7">
        <v>4345.3623253436699</v>
      </c>
      <c r="BC173" s="7">
        <v>165780.67944707401</v>
      </c>
      <c r="BD173" s="7">
        <v>4345.3623253436699</v>
      </c>
      <c r="BE173" s="7">
        <v>651465.34785778704</v>
      </c>
      <c r="BF173" s="7">
        <v>12732.395447351601</v>
      </c>
      <c r="BG173" s="7">
        <f t="shared" si="227"/>
        <v>174471.40409776138</v>
      </c>
      <c r="BI173" s="28">
        <v>6</v>
      </c>
      <c r="BJ173" s="26">
        <v>1.0000000000000001E-5</v>
      </c>
      <c r="BK173" s="28">
        <v>0.5</v>
      </c>
      <c r="BL173" s="28">
        <v>200</v>
      </c>
      <c r="BM173" s="26">
        <v>4.9999999999999998E-7</v>
      </c>
      <c r="BN173" s="26">
        <f t="shared" si="228"/>
        <v>2.4999999999999999E-7</v>
      </c>
      <c r="BO173" s="26">
        <f t="shared" si="229"/>
        <v>4.9999999999999996E-2</v>
      </c>
      <c r="BP173" s="7">
        <v>1.0723056908744599</v>
      </c>
      <c r="BQ173" s="7">
        <v>3764.12485338133</v>
      </c>
      <c r="BR173" s="7">
        <v>66312.271778829701</v>
      </c>
      <c r="BS173" s="7">
        <v>3764.12485338133</v>
      </c>
      <c r="BT173" s="7">
        <v>260586.139143115</v>
      </c>
      <c r="BU173" s="7">
        <v>12732.395447351601</v>
      </c>
      <c r="BV173" s="7">
        <f t="shared" si="230"/>
        <v>73840.52148559237</v>
      </c>
      <c r="BX173" s="28">
        <v>6</v>
      </c>
      <c r="BY173" s="26">
        <v>5.0000000000000002E-5</v>
      </c>
      <c r="BZ173" s="28">
        <v>0.5</v>
      </c>
      <c r="CA173" s="28">
        <v>200</v>
      </c>
      <c r="CB173" s="26">
        <v>4.9999999999999998E-7</v>
      </c>
      <c r="CC173" s="26">
        <f t="shared" si="231"/>
        <v>2.4999999999999999E-7</v>
      </c>
      <c r="CD173" s="26">
        <f t="shared" si="232"/>
        <v>9.9999999999999985E-3</v>
      </c>
      <c r="CE173" s="7">
        <v>1.2726916328665501</v>
      </c>
      <c r="CF173" s="7">
        <v>752.82497001808497</v>
      </c>
      <c r="CG173" s="7">
        <v>13262.454287861299</v>
      </c>
      <c r="CH173" s="7">
        <v>752.82497001808497</v>
      </c>
      <c r="CI173" s="7">
        <v>52117.228063280199</v>
      </c>
      <c r="CJ173" s="7">
        <v>509.29581789406501</v>
      </c>
      <c r="CK173" s="7">
        <f t="shared" si="233"/>
        <v>14768.104227897471</v>
      </c>
      <c r="CM173" s="28">
        <v>6</v>
      </c>
      <c r="CN173" s="26">
        <v>5.0000000000000002E-5</v>
      </c>
      <c r="CO173" s="28">
        <v>1</v>
      </c>
      <c r="CP173" s="28">
        <v>200</v>
      </c>
      <c r="CQ173" s="26">
        <v>4.9999999999999998E-7</v>
      </c>
      <c r="CR173" s="26">
        <f t="shared" si="234"/>
        <v>4.9999999999999998E-7</v>
      </c>
      <c r="CS173" s="26">
        <f t="shared" si="235"/>
        <v>1.9999999999999997E-2</v>
      </c>
      <c r="CT173" s="7">
        <v>2.3089253244283898</v>
      </c>
      <c r="CU173" s="7">
        <v>665.23311259709499</v>
      </c>
      <c r="CV173" s="7">
        <v>6631.2271439306596</v>
      </c>
      <c r="CW173" s="7">
        <v>665.23311259709499</v>
      </c>
      <c r="CX173" s="7">
        <v>26058.6140316401</v>
      </c>
      <c r="CY173" s="7">
        <v>509.29581789406501</v>
      </c>
      <c r="CZ173" s="7">
        <f t="shared" si="236"/>
        <v>7961.6933691248496</v>
      </c>
      <c r="DB173" s="28">
        <v>6</v>
      </c>
      <c r="DC173" s="26">
        <v>5.0000000000000002E-5</v>
      </c>
      <c r="DD173" s="28">
        <v>2</v>
      </c>
      <c r="DE173" s="28">
        <v>200</v>
      </c>
      <c r="DF173" s="26">
        <v>4.9999999999999998E-7</v>
      </c>
      <c r="DG173" s="26">
        <f t="shared" si="237"/>
        <v>9.9999999999999995E-7</v>
      </c>
      <c r="DH173" s="26">
        <f t="shared" si="238"/>
        <v>3.9999999999999994E-2</v>
      </c>
      <c r="DI173" s="7">
        <v>3.9920405918666599</v>
      </c>
      <c r="DJ173" s="7">
        <v>578.22973015081095</v>
      </c>
      <c r="DK173" s="7">
        <v>3315.6135719653298</v>
      </c>
      <c r="DL173" s="7">
        <v>578.22973015081095</v>
      </c>
      <c r="DM173" s="7">
        <v>13029.307015820101</v>
      </c>
      <c r="DN173" s="7">
        <v>509.29581789406501</v>
      </c>
      <c r="DO173" s="7">
        <f t="shared" si="239"/>
        <v>4472.0730322669515</v>
      </c>
      <c r="DQ173" s="28">
        <v>6</v>
      </c>
      <c r="DR173" s="26">
        <v>5.0000000000000002E-5</v>
      </c>
      <c r="DS173" s="28">
        <v>15</v>
      </c>
      <c r="DT173" s="28">
        <v>300</v>
      </c>
      <c r="DU173" s="26">
        <v>2.4999999999999999E-7</v>
      </c>
      <c r="DV173" s="26">
        <f t="shared" si="240"/>
        <v>3.7499999999999997E-6</v>
      </c>
      <c r="DW173" s="26">
        <f t="shared" si="241"/>
        <v>0.14999999999999997</v>
      </c>
      <c r="DX173" s="7">
        <v>18.7468226212596</v>
      </c>
      <c r="DY173" s="7">
        <v>254.539230510376</v>
      </c>
      <c r="DZ173" s="7">
        <v>442.08180959537702</v>
      </c>
      <c r="EA173" s="7">
        <v>254.539230510376</v>
      </c>
      <c r="EB173" s="7">
        <v>1737.24093544267</v>
      </c>
      <c r="EC173" s="7">
        <v>305.57749073643902</v>
      </c>
      <c r="ED173" s="7">
        <f t="shared" si="242"/>
        <v>951.16027061612908</v>
      </c>
    </row>
    <row r="174" spans="1:134" x14ac:dyDescent="0.4">
      <c r="A174" s="28">
        <v>8</v>
      </c>
      <c r="B174" s="26">
        <v>1.0000000000000001E-5</v>
      </c>
      <c r="C174" s="28">
        <v>0.2</v>
      </c>
      <c r="D174" s="28">
        <v>30</v>
      </c>
      <c r="E174" s="26">
        <v>4.9999999999999998E-7</v>
      </c>
      <c r="F174" s="26">
        <f t="shared" si="216"/>
        <v>9.9999999999999995E-8</v>
      </c>
      <c r="G174" s="26">
        <f t="shared" si="217"/>
        <v>1.9999999999999997E-2</v>
      </c>
      <c r="H174" s="7">
        <v>0.60909415826268198</v>
      </c>
      <c r="I174" s="7">
        <v>20967.675665585699</v>
      </c>
      <c r="J174" s="7">
        <v>100396.196898707</v>
      </c>
      <c r="K174" s="7">
        <v>20967.675665585699</v>
      </c>
      <c r="L174" s="7">
        <v>821154.82400854595</v>
      </c>
      <c r="M174" s="7">
        <v>12732.395447351601</v>
      </c>
      <c r="N174" s="7">
        <f t="shared" si="218"/>
        <v>142331.54822987839</v>
      </c>
      <c r="P174" s="28">
        <v>8</v>
      </c>
      <c r="Q174" s="26">
        <v>3.0000000000000001E-5</v>
      </c>
      <c r="R174" s="28">
        <v>0.2</v>
      </c>
      <c r="S174" s="28">
        <v>30</v>
      </c>
      <c r="T174" s="26">
        <v>4.9999999999999998E-7</v>
      </c>
      <c r="U174" s="26">
        <f t="shared" si="219"/>
        <v>9.9999999999999995E-8</v>
      </c>
      <c r="V174" s="26">
        <f t="shared" si="220"/>
        <v>6.6666666666666662E-3</v>
      </c>
      <c r="W174" s="7">
        <v>0.66602204981387603</v>
      </c>
      <c r="X174" s="7">
        <v>6989.2252213633501</v>
      </c>
      <c r="Y174" s="7">
        <v>33465.398947511501</v>
      </c>
      <c r="Z174" s="7">
        <v>6989.2252213633501</v>
      </c>
      <c r="AA174" s="7">
        <v>273718.27480960399</v>
      </c>
      <c r="AB174" s="7">
        <v>1414.7106052612901</v>
      </c>
      <c r="AC174" s="7">
        <f t="shared" si="221"/>
        <v>47443.849390238196</v>
      </c>
      <c r="AE174" s="28">
        <v>8</v>
      </c>
      <c r="AF174" s="26">
        <v>5.0000000000000002E-5</v>
      </c>
      <c r="AG174" s="28">
        <v>0.2</v>
      </c>
      <c r="AH174" s="28">
        <v>30</v>
      </c>
      <c r="AI174" s="26">
        <v>4.9999999999999998E-7</v>
      </c>
      <c r="AJ174" s="26">
        <f t="shared" si="222"/>
        <v>9.9999999999999995E-8</v>
      </c>
      <c r="AK174" s="26">
        <f t="shared" si="223"/>
        <v>3.9999999999999992E-3</v>
      </c>
      <c r="AL174" s="7">
        <v>0.67898094499508899</v>
      </c>
      <c r="AM174" s="7">
        <v>4193.5351285970401</v>
      </c>
      <c r="AN174" s="7">
        <v>20079.239209979802</v>
      </c>
      <c r="AO174" s="7">
        <v>4193.5351285970401</v>
      </c>
      <c r="AP174" s="7">
        <v>164230.96607182099</v>
      </c>
      <c r="AQ174" s="7">
        <v>509.29581789406501</v>
      </c>
      <c r="AR174" s="7">
        <f t="shared" si="224"/>
        <v>28466.30946717388</v>
      </c>
      <c r="AT174" s="28">
        <v>8</v>
      </c>
      <c r="AU174" s="26">
        <v>1.0000000000000001E-5</v>
      </c>
      <c r="AV174" s="28">
        <v>0.2</v>
      </c>
      <c r="AW174" s="28">
        <v>200</v>
      </c>
      <c r="AX174" s="26">
        <v>4.9999999999999998E-7</v>
      </c>
      <c r="AY174" s="26">
        <f t="shared" si="225"/>
        <v>9.9999999999999995E-8</v>
      </c>
      <c r="AZ174" s="26">
        <f t="shared" si="226"/>
        <v>1.9999999999999997E-2</v>
      </c>
      <c r="BA174" s="7">
        <v>0.73405296467619296</v>
      </c>
      <c r="BB174" s="7">
        <v>4345.3623253436699</v>
      </c>
      <c r="BC174" s="7">
        <v>100396.196898707</v>
      </c>
      <c r="BD174" s="7">
        <v>4345.3623253436699</v>
      </c>
      <c r="BE174" s="7">
        <v>821154.82400854595</v>
      </c>
      <c r="BF174" s="7">
        <v>12732.395447351601</v>
      </c>
      <c r="BG174" s="7">
        <f t="shared" si="227"/>
        <v>109086.92154939433</v>
      </c>
      <c r="BI174" s="28">
        <v>8</v>
      </c>
      <c r="BJ174" s="26">
        <v>1.0000000000000001E-5</v>
      </c>
      <c r="BK174" s="28">
        <v>0.5</v>
      </c>
      <c r="BL174" s="28">
        <v>200</v>
      </c>
      <c r="BM174" s="26">
        <v>4.9999999999999998E-7</v>
      </c>
      <c r="BN174" s="26">
        <f t="shared" si="228"/>
        <v>2.4999999999999999E-7</v>
      </c>
      <c r="BO174" s="26">
        <f t="shared" si="229"/>
        <v>4.9999999999999996E-2</v>
      </c>
      <c r="BP174" s="7">
        <v>1.4184596155012901</v>
      </c>
      <c r="BQ174" s="7">
        <v>3764.12485338133</v>
      </c>
      <c r="BR174" s="7">
        <v>40158.478759482699</v>
      </c>
      <c r="BS174" s="7">
        <v>3764.12485338133</v>
      </c>
      <c r="BT174" s="7">
        <v>328461.92960341799</v>
      </c>
      <c r="BU174" s="7">
        <v>12732.395447351601</v>
      </c>
      <c r="BV174" s="7">
        <f t="shared" si="230"/>
        <v>47686.728466245353</v>
      </c>
      <c r="BX174" s="28">
        <v>8</v>
      </c>
      <c r="BY174" s="26">
        <v>5.0000000000000002E-5</v>
      </c>
      <c r="BZ174" s="28">
        <v>0.5</v>
      </c>
      <c r="CA174" s="28">
        <v>200</v>
      </c>
      <c r="CB174" s="26">
        <v>4.9999999999999998E-7</v>
      </c>
      <c r="CC174" s="26">
        <f t="shared" si="231"/>
        <v>2.4999999999999999E-7</v>
      </c>
      <c r="CD174" s="26">
        <f t="shared" si="232"/>
        <v>9.9999999999999985E-3</v>
      </c>
      <c r="CE174" s="7">
        <v>1.86623175679111</v>
      </c>
      <c r="CF174" s="7">
        <v>752.82497001808497</v>
      </c>
      <c r="CG174" s="7">
        <v>8031.6956839919103</v>
      </c>
      <c r="CH174" s="7">
        <v>752.82497001808497</v>
      </c>
      <c r="CI174" s="7">
        <v>65692.386428728598</v>
      </c>
      <c r="CJ174" s="7">
        <v>509.29581789406501</v>
      </c>
      <c r="CK174" s="7">
        <f t="shared" si="233"/>
        <v>9537.3456240280793</v>
      </c>
      <c r="CM174" s="28">
        <v>8</v>
      </c>
      <c r="CN174" s="26">
        <v>5.0000000000000002E-5</v>
      </c>
      <c r="CO174" s="28">
        <v>1</v>
      </c>
      <c r="CP174" s="28">
        <v>200</v>
      </c>
      <c r="CQ174" s="26">
        <v>4.9999999999999998E-7</v>
      </c>
      <c r="CR174" s="26">
        <f t="shared" si="234"/>
        <v>4.9999999999999998E-7</v>
      </c>
      <c r="CS174" s="26">
        <f t="shared" si="235"/>
        <v>1.9999999999999997E-2</v>
      </c>
      <c r="CT174" s="7">
        <v>3.1833113011122398</v>
      </c>
      <c r="CU174" s="7">
        <v>665.23311259709499</v>
      </c>
      <c r="CV174" s="7">
        <v>4015.8478419959501</v>
      </c>
      <c r="CW174" s="7">
        <v>665.23311259709499</v>
      </c>
      <c r="CX174" s="7">
        <v>32846.193214364299</v>
      </c>
      <c r="CY174" s="7">
        <v>509.29581789406501</v>
      </c>
      <c r="CZ174" s="7">
        <f t="shared" si="236"/>
        <v>5346.3140671901401</v>
      </c>
      <c r="DB174" s="28">
        <v>8</v>
      </c>
      <c r="DC174" s="26">
        <v>5.0000000000000002E-5</v>
      </c>
      <c r="DD174" s="28">
        <v>2</v>
      </c>
      <c r="DE174" s="28">
        <v>200</v>
      </c>
      <c r="DF174" s="26">
        <v>4.9999999999999998E-7</v>
      </c>
      <c r="DG174" s="26">
        <f t="shared" si="237"/>
        <v>9.9999999999999995E-7</v>
      </c>
      <c r="DH174" s="26">
        <f t="shared" si="238"/>
        <v>3.9999999999999994E-2</v>
      </c>
      <c r="DI174" s="7">
        <v>5.0909871522786396</v>
      </c>
      <c r="DJ174" s="7">
        <v>578.22973015081095</v>
      </c>
      <c r="DK174" s="7">
        <v>2007.9239209979801</v>
      </c>
      <c r="DL174" s="7">
        <v>578.22973015081095</v>
      </c>
      <c r="DM174" s="7">
        <v>16423.096607182099</v>
      </c>
      <c r="DN174" s="7">
        <v>509.29581789406501</v>
      </c>
      <c r="DO174" s="7">
        <f t="shared" si="239"/>
        <v>3164.3833812996022</v>
      </c>
      <c r="DQ174" s="28">
        <v>8</v>
      </c>
      <c r="DR174" s="26">
        <v>5.0000000000000002E-5</v>
      </c>
      <c r="DS174" s="28">
        <v>15</v>
      </c>
      <c r="DT174" s="28">
        <v>300</v>
      </c>
      <c r="DU174" s="26">
        <v>2.4999999999999999E-7</v>
      </c>
      <c r="DV174" s="26">
        <f t="shared" si="240"/>
        <v>3.7499999999999997E-6</v>
      </c>
      <c r="DW174" s="26">
        <f t="shared" si="241"/>
        <v>0.14999999999999997</v>
      </c>
      <c r="DX174" s="7">
        <v>19.9793658839945</v>
      </c>
      <c r="DY174" s="7">
        <v>254.539230510376</v>
      </c>
      <c r="DZ174" s="7">
        <v>267.723189466397</v>
      </c>
      <c r="EA174" s="7">
        <v>254.539230510376</v>
      </c>
      <c r="EB174" s="7">
        <v>2189.7462142909499</v>
      </c>
      <c r="EC174" s="7">
        <v>305.57749073643902</v>
      </c>
      <c r="ED174" s="7">
        <f t="shared" si="242"/>
        <v>776.801650487149</v>
      </c>
    </row>
    <row r="175" spans="1:134" x14ac:dyDescent="0.4">
      <c r="A175" s="28">
        <v>10</v>
      </c>
      <c r="B175" s="26">
        <v>1.0000000000000001E-5</v>
      </c>
      <c r="C175" s="28">
        <v>0.2</v>
      </c>
      <c r="D175" s="28">
        <v>30</v>
      </c>
      <c r="E175" s="26">
        <v>4.9999999999999998E-7</v>
      </c>
      <c r="F175" s="26">
        <f t="shared" si="216"/>
        <v>9.9999999999999995E-8</v>
      </c>
      <c r="G175" s="26">
        <f t="shared" si="217"/>
        <v>1.9999999999999997E-2</v>
      </c>
      <c r="H175" s="7">
        <v>0.84417651805899796</v>
      </c>
      <c r="I175" s="7">
        <v>20967.675665585699</v>
      </c>
      <c r="J175" s="7">
        <v>53826.312121005001</v>
      </c>
      <c r="K175" s="7">
        <v>20967.675665585699</v>
      </c>
      <c r="L175" s="7">
        <v>1014751.21705289</v>
      </c>
      <c r="M175" s="7">
        <v>12732.395447351601</v>
      </c>
      <c r="N175" s="7">
        <f t="shared" si="218"/>
        <v>95761.663452176406</v>
      </c>
      <c r="P175" s="28">
        <v>10</v>
      </c>
      <c r="Q175" s="26">
        <v>3.0000000000000001E-5</v>
      </c>
      <c r="R175" s="28">
        <v>0.2</v>
      </c>
      <c r="S175" s="28">
        <v>30</v>
      </c>
      <c r="T175" s="26">
        <v>4.9999999999999998E-7</v>
      </c>
      <c r="U175" s="26">
        <f t="shared" si="219"/>
        <v>9.9999999999999995E-8</v>
      </c>
      <c r="V175" s="26">
        <f t="shared" si="220"/>
        <v>6.6666666666666662E-3</v>
      </c>
      <c r="W175" s="7">
        <v>0.96697589128236505</v>
      </c>
      <c r="X175" s="7">
        <v>6989.2252213633501</v>
      </c>
      <c r="Y175" s="7">
        <v>17942.1040216109</v>
      </c>
      <c r="Z175" s="7">
        <v>6989.2252213633501</v>
      </c>
      <c r="AA175" s="7">
        <v>338250.40599296999</v>
      </c>
      <c r="AB175" s="7">
        <v>1414.7106052612901</v>
      </c>
      <c r="AC175" s="7">
        <f t="shared" si="221"/>
        <v>31920.554464337602</v>
      </c>
      <c r="AE175" s="28">
        <v>10</v>
      </c>
      <c r="AF175" s="26">
        <v>5.0000000000000002E-5</v>
      </c>
      <c r="AG175" s="28">
        <v>0.2</v>
      </c>
      <c r="AH175" s="28">
        <v>30</v>
      </c>
      <c r="AI175" s="26">
        <v>4.9999999999999998E-7</v>
      </c>
      <c r="AJ175" s="26">
        <f t="shared" si="222"/>
        <v>9.9999999999999995E-8</v>
      </c>
      <c r="AK175" s="26">
        <f t="shared" si="223"/>
        <v>3.9999999999999992E-3</v>
      </c>
      <c r="AL175" s="7">
        <v>0.99649667186044899</v>
      </c>
      <c r="AM175" s="7">
        <v>4193.5351285970401</v>
      </c>
      <c r="AN175" s="7">
        <v>10765.2622544394</v>
      </c>
      <c r="AO175" s="7">
        <v>4193.5351285970401</v>
      </c>
      <c r="AP175" s="7">
        <v>202950.24620916101</v>
      </c>
      <c r="AQ175" s="7">
        <v>509.29581789406501</v>
      </c>
      <c r="AR175" s="7">
        <f t="shared" si="224"/>
        <v>19152.332511633478</v>
      </c>
      <c r="AT175" s="28">
        <v>10</v>
      </c>
      <c r="AU175" s="26">
        <v>1.0000000000000001E-5</v>
      </c>
      <c r="AV175" s="28">
        <v>0.2</v>
      </c>
      <c r="AW175" s="28">
        <v>200</v>
      </c>
      <c r="AX175" s="26">
        <v>4.9999999999999998E-7</v>
      </c>
      <c r="AY175" s="26">
        <f t="shared" si="225"/>
        <v>9.9999999999999995E-8</v>
      </c>
      <c r="AZ175" s="26">
        <f t="shared" si="226"/>
        <v>1.9999999999999997E-2</v>
      </c>
      <c r="BA175" s="7">
        <v>1.1291152808793301</v>
      </c>
      <c r="BB175" s="7">
        <v>4345.3623253436699</v>
      </c>
      <c r="BC175" s="7">
        <v>53826.312121005001</v>
      </c>
      <c r="BD175" s="7">
        <v>4345.3623253436699</v>
      </c>
      <c r="BE175" s="7">
        <v>1014751.21705289</v>
      </c>
      <c r="BF175" s="7">
        <v>12732.395447351601</v>
      </c>
      <c r="BG175" s="7">
        <f t="shared" si="227"/>
        <v>62517.036771692336</v>
      </c>
      <c r="BI175" s="28">
        <v>10</v>
      </c>
      <c r="BJ175" s="26">
        <v>1.0000000000000001E-5</v>
      </c>
      <c r="BK175" s="28">
        <v>0.5</v>
      </c>
      <c r="BL175" s="28">
        <v>200</v>
      </c>
      <c r="BM175" s="26">
        <v>4.9999999999999998E-7</v>
      </c>
      <c r="BN175" s="26">
        <f t="shared" si="228"/>
        <v>2.4999999999999999E-7</v>
      </c>
      <c r="BO175" s="26">
        <f t="shared" si="229"/>
        <v>4.9999999999999996E-2</v>
      </c>
      <c r="BP175" s="7">
        <v>1.9018428980639499</v>
      </c>
      <c r="BQ175" s="7">
        <v>3764.12485338133</v>
      </c>
      <c r="BR175" s="7">
        <v>21530.524848402001</v>
      </c>
      <c r="BS175" s="7">
        <v>3764.12485338133</v>
      </c>
      <c r="BT175" s="7">
        <v>405900.48682115501</v>
      </c>
      <c r="BU175" s="7">
        <v>12732.395447351601</v>
      </c>
      <c r="BV175" s="7">
        <f t="shared" si="230"/>
        <v>29058.774555164662</v>
      </c>
      <c r="BX175" s="28">
        <v>10</v>
      </c>
      <c r="BY175" s="26">
        <v>5.0000000000000002E-5</v>
      </c>
      <c r="BZ175" s="28">
        <v>0.5</v>
      </c>
      <c r="CA175" s="28">
        <v>200</v>
      </c>
      <c r="CB175" s="26">
        <v>4.9999999999999998E-7</v>
      </c>
      <c r="CC175" s="26">
        <f t="shared" si="231"/>
        <v>2.4999999999999999E-7</v>
      </c>
      <c r="CD175" s="26">
        <f t="shared" si="232"/>
        <v>9.9999999999999985E-3</v>
      </c>
      <c r="CE175" s="7">
        <v>2.9019662715866601</v>
      </c>
      <c r="CF175" s="7">
        <v>752.82497001808497</v>
      </c>
      <c r="CG175" s="7">
        <v>4306.1049017757796</v>
      </c>
      <c r="CH175" s="7">
        <v>752.82497001808497</v>
      </c>
      <c r="CI175" s="7">
        <v>81180.098483664406</v>
      </c>
      <c r="CJ175" s="7">
        <v>509.29581789406501</v>
      </c>
      <c r="CK175" s="7">
        <f t="shared" si="233"/>
        <v>5811.7548418119495</v>
      </c>
      <c r="CM175" s="28">
        <v>10</v>
      </c>
      <c r="CN175" s="26">
        <v>5.0000000000000002E-5</v>
      </c>
      <c r="CO175" s="28">
        <v>1</v>
      </c>
      <c r="CP175" s="28">
        <v>200</v>
      </c>
      <c r="CQ175" s="26">
        <v>4.9999999999999998E-7</v>
      </c>
      <c r="CR175" s="26">
        <f t="shared" si="234"/>
        <v>4.9999999999999998E-7</v>
      </c>
      <c r="CS175" s="26">
        <f t="shared" si="235"/>
        <v>1.9999999999999997E-2</v>
      </c>
      <c r="CT175" s="7">
        <v>4.51144613964874</v>
      </c>
      <c r="CU175" s="7">
        <v>665.23311259709499</v>
      </c>
      <c r="CV175" s="7">
        <v>2153.0524508878898</v>
      </c>
      <c r="CW175" s="7">
        <v>665.23311259709499</v>
      </c>
      <c r="CX175" s="7">
        <v>40590.049241832203</v>
      </c>
      <c r="CY175" s="7">
        <v>509.29581789406501</v>
      </c>
      <c r="CZ175" s="7">
        <f t="shared" si="236"/>
        <v>3483.5186760820798</v>
      </c>
      <c r="DB175" s="28">
        <v>10</v>
      </c>
      <c r="DC175" s="26">
        <v>5.0000000000000002E-5</v>
      </c>
      <c r="DD175" s="28">
        <v>2</v>
      </c>
      <c r="DE175" s="28">
        <v>200</v>
      </c>
      <c r="DF175" s="26">
        <v>4.9999999999999998E-7</v>
      </c>
      <c r="DG175" s="26">
        <f t="shared" si="237"/>
        <v>9.9999999999999995E-7</v>
      </c>
      <c r="DH175" s="26">
        <f t="shared" si="238"/>
        <v>3.9999999999999994E-2</v>
      </c>
      <c r="DI175" s="7">
        <v>6.5237156885693501</v>
      </c>
      <c r="DJ175" s="7">
        <v>578.22973015081095</v>
      </c>
      <c r="DK175" s="7">
        <v>1076.5262254439399</v>
      </c>
      <c r="DL175" s="7">
        <v>578.22973015081095</v>
      </c>
      <c r="DM175" s="7">
        <v>20295.024620916101</v>
      </c>
      <c r="DN175" s="7">
        <v>509.29581789406501</v>
      </c>
      <c r="DO175" s="7">
        <f t="shared" si="239"/>
        <v>2232.985685745562</v>
      </c>
      <c r="DQ175" s="28">
        <v>10</v>
      </c>
      <c r="DR175" s="26">
        <v>5.0000000000000002E-5</v>
      </c>
      <c r="DS175" s="28">
        <v>15</v>
      </c>
      <c r="DT175" s="28">
        <v>300</v>
      </c>
      <c r="DU175" s="26">
        <v>2.4999999999999999E-7</v>
      </c>
      <c r="DV175" s="26">
        <f t="shared" si="240"/>
        <v>3.7499999999999997E-6</v>
      </c>
      <c r="DW175" s="26">
        <f t="shared" si="241"/>
        <v>0.14999999999999997</v>
      </c>
      <c r="DX175" s="7">
        <v>21.2236332303879</v>
      </c>
      <c r="DY175" s="7">
        <v>254.539230510376</v>
      </c>
      <c r="DZ175" s="7">
        <v>143.53683005919299</v>
      </c>
      <c r="EA175" s="7">
        <v>254.539230510376</v>
      </c>
      <c r="EB175" s="7">
        <v>2706.0032827888099</v>
      </c>
      <c r="EC175" s="7">
        <v>305.57749073643902</v>
      </c>
      <c r="ED175" s="7">
        <f t="shared" si="242"/>
        <v>652.615291079945</v>
      </c>
    </row>
    <row r="176" spans="1:134" x14ac:dyDescent="0.4">
      <c r="A176" s="28">
        <v>12</v>
      </c>
      <c r="B176" s="26">
        <v>1.0000000000000001E-5</v>
      </c>
      <c r="C176" s="28">
        <v>0.2</v>
      </c>
      <c r="D176" s="28">
        <v>30</v>
      </c>
      <c r="E176" s="26">
        <v>4.9999999999999998E-7</v>
      </c>
      <c r="F176" s="26">
        <f t="shared" si="216"/>
        <v>9.9999999999999995E-8</v>
      </c>
      <c r="G176" s="26">
        <f t="shared" si="217"/>
        <v>1.9999999999999997E-2</v>
      </c>
      <c r="H176" s="7">
        <v>1.21343299700935</v>
      </c>
      <c r="I176" s="7">
        <v>20967.675665585699</v>
      </c>
      <c r="J176" s="7">
        <v>18265.061724746</v>
      </c>
      <c r="K176" s="7">
        <v>20967.675665585699</v>
      </c>
      <c r="L176" s="7">
        <v>1222830.0672564299</v>
      </c>
      <c r="M176" s="7">
        <v>12732.395447351601</v>
      </c>
      <c r="N176" s="7">
        <f t="shared" si="218"/>
        <v>60200.413055917394</v>
      </c>
      <c r="P176" s="28">
        <v>12</v>
      </c>
      <c r="Q176" s="26">
        <v>3.0000000000000001E-5</v>
      </c>
      <c r="R176" s="28">
        <v>0.2</v>
      </c>
      <c r="S176" s="28">
        <v>30</v>
      </c>
      <c r="T176" s="26">
        <v>4.9999999999999998E-7</v>
      </c>
      <c r="U176" s="26">
        <f t="shared" si="219"/>
        <v>9.9999999999999995E-8</v>
      </c>
      <c r="V176" s="26">
        <f t="shared" si="220"/>
        <v>6.6666666666666662E-3</v>
      </c>
      <c r="W176" s="7">
        <v>1.49370096132985</v>
      </c>
      <c r="X176" s="7">
        <v>6989.2252213633501</v>
      </c>
      <c r="Y176" s="7">
        <v>6088.3538895246002</v>
      </c>
      <c r="Z176" s="7">
        <v>6989.2252213633501</v>
      </c>
      <c r="AA176" s="7">
        <v>407610.02322415198</v>
      </c>
      <c r="AB176" s="7">
        <v>1414.7106052612901</v>
      </c>
      <c r="AC176" s="7">
        <f t="shared" si="221"/>
        <v>20066.8043322513</v>
      </c>
      <c r="AE176" s="28">
        <v>12</v>
      </c>
      <c r="AF176" s="26">
        <v>5.0000000000000002E-5</v>
      </c>
      <c r="AG176" s="28">
        <v>0.2</v>
      </c>
      <c r="AH176" s="28">
        <v>30</v>
      </c>
      <c r="AI176" s="26">
        <v>4.9999999999999998E-7</v>
      </c>
      <c r="AJ176" s="26">
        <f t="shared" si="222"/>
        <v>9.9999999999999995E-8</v>
      </c>
      <c r="AK176" s="26">
        <f t="shared" si="223"/>
        <v>3.9999999999999992E-3</v>
      </c>
      <c r="AL176" s="7">
        <v>1.5672435501383499</v>
      </c>
      <c r="AM176" s="7">
        <v>4193.5351285970401</v>
      </c>
      <c r="AN176" s="7">
        <v>3653.01217518762</v>
      </c>
      <c r="AO176" s="7">
        <v>4193.5351285970401</v>
      </c>
      <c r="AP176" s="7">
        <v>244566.02075291699</v>
      </c>
      <c r="AQ176" s="7">
        <v>509.29581789406501</v>
      </c>
      <c r="AR176" s="7">
        <f t="shared" si="224"/>
        <v>12040.0824323817</v>
      </c>
      <c r="AT176" s="28">
        <v>12</v>
      </c>
      <c r="AU176" s="26">
        <v>1.0000000000000001E-5</v>
      </c>
      <c r="AV176" s="28">
        <v>0.2</v>
      </c>
      <c r="AW176" s="28">
        <v>200</v>
      </c>
      <c r="AX176" s="26">
        <v>4.9999999999999998E-7</v>
      </c>
      <c r="AY176" s="26">
        <f t="shared" si="225"/>
        <v>9.9999999999999995E-8</v>
      </c>
      <c r="AZ176" s="26">
        <f t="shared" si="226"/>
        <v>1.9999999999999997E-2</v>
      </c>
      <c r="BA176" s="7">
        <v>1.93259943743796</v>
      </c>
      <c r="BB176" s="7">
        <v>4345.3623253436699</v>
      </c>
      <c r="BC176" s="7">
        <v>18265.061724746</v>
      </c>
      <c r="BD176" s="7">
        <v>4345.3623253436699</v>
      </c>
      <c r="BE176" s="7">
        <v>1222830.0672564299</v>
      </c>
      <c r="BF176" s="7">
        <v>12732.395447351601</v>
      </c>
      <c r="BG176" s="7">
        <f t="shared" si="227"/>
        <v>26955.786375433341</v>
      </c>
      <c r="BI176" s="28">
        <v>12</v>
      </c>
      <c r="BJ176" s="26">
        <v>1.0000000000000001E-5</v>
      </c>
      <c r="BK176" s="28">
        <v>0.5</v>
      </c>
      <c r="BL176" s="28">
        <v>200</v>
      </c>
      <c r="BM176" s="26">
        <v>4.9999999999999998E-7</v>
      </c>
      <c r="BN176" s="26">
        <f t="shared" si="228"/>
        <v>2.4999999999999999E-7</v>
      </c>
      <c r="BO176" s="26">
        <f t="shared" si="229"/>
        <v>4.9999999999999996E-2</v>
      </c>
      <c r="BP176" s="7">
        <v>2.6091711909408999</v>
      </c>
      <c r="BQ176" s="7">
        <v>3764.12485338133</v>
      </c>
      <c r="BR176" s="7">
        <v>7306.0246898983996</v>
      </c>
      <c r="BS176" s="7">
        <v>3764.12485338133</v>
      </c>
      <c r="BT176" s="7">
        <v>489132.02690256998</v>
      </c>
      <c r="BU176" s="7">
        <v>12732.395447351601</v>
      </c>
      <c r="BV176" s="7">
        <f t="shared" si="230"/>
        <v>14834.27439666106</v>
      </c>
      <c r="BX176" s="28">
        <v>12</v>
      </c>
      <c r="BY176" s="26">
        <v>5.0000000000000002E-5</v>
      </c>
      <c r="BZ176" s="28">
        <v>0.5</v>
      </c>
      <c r="CA176" s="28">
        <v>200</v>
      </c>
      <c r="CB176" s="26">
        <v>4.9999999999999998E-7</v>
      </c>
      <c r="CC176" s="26">
        <f t="shared" si="231"/>
        <v>2.4999999999999999E-7</v>
      </c>
      <c r="CD176" s="26">
        <f t="shared" si="232"/>
        <v>9.9999999999999985E-3</v>
      </c>
      <c r="CE176" s="7">
        <v>5.0735210140679303</v>
      </c>
      <c r="CF176" s="7">
        <v>752.82497001808497</v>
      </c>
      <c r="CG176" s="7">
        <v>1461.2048700750499</v>
      </c>
      <c r="CH176" s="7">
        <v>752.82497001808497</v>
      </c>
      <c r="CI176" s="7">
        <v>97826.408301166695</v>
      </c>
      <c r="CJ176" s="7">
        <v>509.29581789406501</v>
      </c>
      <c r="CK176" s="7">
        <f t="shared" si="233"/>
        <v>2966.8548101112201</v>
      </c>
      <c r="CM176" s="28">
        <v>12</v>
      </c>
      <c r="CN176" s="26">
        <v>5.0000000000000002E-5</v>
      </c>
      <c r="CO176" s="28">
        <v>1</v>
      </c>
      <c r="CP176" s="28">
        <v>200</v>
      </c>
      <c r="CQ176" s="26">
        <v>4.9999999999999998E-7</v>
      </c>
      <c r="CR176" s="26">
        <f t="shared" si="234"/>
        <v>4.9999999999999998E-7</v>
      </c>
      <c r="CS176" s="26">
        <f t="shared" si="235"/>
        <v>1.9999999999999997E-2</v>
      </c>
      <c r="CT176" s="7">
        <v>6.7059300409006202</v>
      </c>
      <c r="CU176" s="7">
        <v>665.23311259709499</v>
      </c>
      <c r="CV176" s="7">
        <v>730.60243503752497</v>
      </c>
      <c r="CW176" s="7">
        <v>665.23311259709499</v>
      </c>
      <c r="CX176" s="7">
        <v>48913.204150583399</v>
      </c>
      <c r="CY176" s="7">
        <v>509.29581789406501</v>
      </c>
      <c r="CZ176" s="7">
        <f t="shared" si="236"/>
        <v>2061.0686602317151</v>
      </c>
      <c r="DB176" s="28">
        <v>12</v>
      </c>
      <c r="DC176" s="26">
        <v>5.0000000000000002E-5</v>
      </c>
      <c r="DD176" s="28">
        <v>2</v>
      </c>
      <c r="DE176" s="28">
        <v>200</v>
      </c>
      <c r="DF176" s="26">
        <v>4.9999999999999998E-7</v>
      </c>
      <c r="DG176" s="26">
        <f t="shared" si="237"/>
        <v>9.9999999999999995E-7</v>
      </c>
      <c r="DH176" s="26">
        <f t="shared" si="238"/>
        <v>3.9999999999999994E-2</v>
      </c>
      <c r="DI176" s="7">
        <v>8.4424579146607002</v>
      </c>
      <c r="DJ176" s="7">
        <v>578.22973015081095</v>
      </c>
      <c r="DK176" s="7">
        <v>365.301217518763</v>
      </c>
      <c r="DL176" s="7">
        <v>578.22973015081095</v>
      </c>
      <c r="DM176" s="7">
        <v>24456.602075291699</v>
      </c>
      <c r="DN176" s="7">
        <v>509.29581789406501</v>
      </c>
      <c r="DO176" s="7">
        <f t="shared" si="239"/>
        <v>1521.7606778203849</v>
      </c>
      <c r="DQ176" s="28">
        <v>12</v>
      </c>
      <c r="DR176" s="26">
        <v>5.0000000000000002E-5</v>
      </c>
      <c r="DS176" s="28">
        <v>15</v>
      </c>
      <c r="DT176" s="28">
        <v>300</v>
      </c>
      <c r="DU176" s="26">
        <v>2.4999999999999999E-7</v>
      </c>
      <c r="DV176" s="26">
        <f t="shared" si="240"/>
        <v>3.7499999999999997E-6</v>
      </c>
      <c r="DW176" s="26">
        <f t="shared" si="241"/>
        <v>0.14999999999999997</v>
      </c>
      <c r="DX176" s="7">
        <v>22.578919705890598</v>
      </c>
      <c r="DY176" s="7">
        <v>254.539230510376</v>
      </c>
      <c r="DZ176" s="7">
        <v>48.7068290025016</v>
      </c>
      <c r="EA176" s="7">
        <v>254.539230510376</v>
      </c>
      <c r="EB176" s="7">
        <v>3260.8802767055599</v>
      </c>
      <c r="EC176" s="7">
        <v>305.57749073643902</v>
      </c>
      <c r="ED176" s="7">
        <f t="shared" si="242"/>
        <v>557.78529002325354</v>
      </c>
    </row>
    <row r="177" spans="1:134" x14ac:dyDescent="0.4">
      <c r="A177" s="28">
        <v>15</v>
      </c>
      <c r="B177" s="26">
        <v>1.0000000000000001E-5</v>
      </c>
      <c r="C177" s="28">
        <v>0.2</v>
      </c>
      <c r="D177" s="28">
        <v>30</v>
      </c>
      <c r="E177" s="26">
        <v>4.9999999999999998E-7</v>
      </c>
      <c r="F177" s="26">
        <f t="shared" si="216"/>
        <v>9.9999999999999995E-8</v>
      </c>
      <c r="G177" s="26">
        <f t="shared" si="217"/>
        <v>1.9999999999999997E-2</v>
      </c>
      <c r="H177" s="7">
        <v>1.99244513313441</v>
      </c>
      <c r="I177" s="7">
        <v>12481.634129420599</v>
      </c>
      <c r="J177" s="7">
        <v>3828.3041509332402</v>
      </c>
      <c r="K177" s="7">
        <v>12481.634129420599</v>
      </c>
      <c r="L177" s="7">
        <v>1641861.5249040499</v>
      </c>
      <c r="M177" s="7">
        <v>12732.395447351601</v>
      </c>
      <c r="N177" s="7">
        <f t="shared" si="218"/>
        <v>28791.572409774439</v>
      </c>
      <c r="P177" s="28">
        <v>15</v>
      </c>
      <c r="Q177" s="26">
        <v>3.0000000000000001E-5</v>
      </c>
      <c r="R177" s="28">
        <v>0.2</v>
      </c>
      <c r="S177" s="28">
        <v>30</v>
      </c>
      <c r="T177" s="26">
        <v>4.9999999999999998E-7</v>
      </c>
      <c r="U177" s="26">
        <f t="shared" si="219"/>
        <v>9.9999999999999995E-8</v>
      </c>
      <c r="V177" s="26">
        <f t="shared" si="220"/>
        <v>6.6666666666666662E-3</v>
      </c>
      <c r="W177" s="7">
        <v>2.87074278926235</v>
      </c>
      <c r="X177" s="7">
        <v>4160.5447097236602</v>
      </c>
      <c r="Y177" s="7">
        <v>1276.1013836444099</v>
      </c>
      <c r="Z177" s="7">
        <v>4160.5447097236602</v>
      </c>
      <c r="AA177" s="7">
        <v>547287.17553344101</v>
      </c>
      <c r="AB177" s="7">
        <v>1414.7106052612901</v>
      </c>
      <c r="AC177" s="7">
        <f t="shared" si="221"/>
        <v>9597.1908030917293</v>
      </c>
      <c r="AE177" s="28">
        <v>15</v>
      </c>
      <c r="AF177" s="26">
        <v>5.0000000000000002E-5</v>
      </c>
      <c r="AG177" s="28">
        <v>0.2</v>
      </c>
      <c r="AH177" s="28">
        <v>30</v>
      </c>
      <c r="AI177" s="26">
        <v>4.9999999999999998E-7</v>
      </c>
      <c r="AJ177" s="26">
        <f t="shared" si="222"/>
        <v>9.9999999999999995E-8</v>
      </c>
      <c r="AK177" s="26">
        <f t="shared" si="223"/>
        <v>3.9999999999999992E-3</v>
      </c>
      <c r="AL177" s="7">
        <v>3.1520111783864602</v>
      </c>
      <c r="AM177" s="7">
        <v>2496.32682512977</v>
      </c>
      <c r="AN177" s="7">
        <v>765.66083018664904</v>
      </c>
      <c r="AO177" s="7">
        <v>2496.32682512977</v>
      </c>
      <c r="AP177" s="7">
        <v>328372.31010722602</v>
      </c>
      <c r="AQ177" s="7">
        <v>509.29581789406501</v>
      </c>
      <c r="AR177" s="7">
        <f t="shared" si="224"/>
        <v>5758.314480446189</v>
      </c>
      <c r="AT177" s="28">
        <v>15</v>
      </c>
      <c r="AU177" s="26">
        <v>1.0000000000000001E-5</v>
      </c>
      <c r="AV177" s="28">
        <v>0.2</v>
      </c>
      <c r="AW177" s="28">
        <v>200</v>
      </c>
      <c r="AX177" s="26">
        <v>4.9999999999999998E-7</v>
      </c>
      <c r="AY177" s="26">
        <f t="shared" si="225"/>
        <v>9.9999999999999995E-8</v>
      </c>
      <c r="AZ177" s="26">
        <f t="shared" si="226"/>
        <v>1.9999999999999997E-2</v>
      </c>
      <c r="BA177" s="7">
        <v>3.55315928858036</v>
      </c>
      <c r="BB177" s="7">
        <v>1941.00035424731</v>
      </c>
      <c r="BC177" s="7">
        <v>642.33504314082199</v>
      </c>
      <c r="BD177" s="7">
        <v>1941.00035424731</v>
      </c>
      <c r="BE177" s="7">
        <v>1641861.5249040499</v>
      </c>
      <c r="BF177" s="7">
        <v>12732.395447351601</v>
      </c>
      <c r="BG177" s="7">
        <f t="shared" si="227"/>
        <v>4524.3357516354426</v>
      </c>
      <c r="BI177" s="28">
        <v>15</v>
      </c>
      <c r="BJ177" s="26">
        <v>1.0000000000000001E-5</v>
      </c>
      <c r="BK177" s="28">
        <v>0.5</v>
      </c>
      <c r="BL177" s="28">
        <v>200</v>
      </c>
      <c r="BM177" s="26">
        <v>4.9999999999999998E-7</v>
      </c>
      <c r="BN177" s="26">
        <f t="shared" si="228"/>
        <v>2.4999999999999999E-7</v>
      </c>
      <c r="BO177" s="26">
        <f t="shared" si="229"/>
        <v>4.9999999999999996E-2</v>
      </c>
      <c r="BP177" s="7">
        <v>3.6554798701421798</v>
      </c>
      <c r="BQ177" s="7">
        <v>1921.9637593119501</v>
      </c>
      <c r="BR177" s="7">
        <v>622.78773017584695</v>
      </c>
      <c r="BS177" s="7">
        <v>1921.9637593119501</v>
      </c>
      <c r="BT177" s="7">
        <v>656744.60996161995</v>
      </c>
      <c r="BU177" s="7">
        <v>12732.395447351601</v>
      </c>
      <c r="BV177" s="7">
        <f t="shared" si="230"/>
        <v>4466.7152487997464</v>
      </c>
      <c r="BX177" s="28">
        <v>15</v>
      </c>
      <c r="BY177" s="26">
        <v>5.0000000000000002E-5</v>
      </c>
      <c r="BZ177" s="28">
        <v>0.5</v>
      </c>
      <c r="CA177" s="28">
        <v>200</v>
      </c>
      <c r="CB177" s="26">
        <v>4.9999999999999998E-7</v>
      </c>
      <c r="CC177" s="26">
        <f t="shared" si="231"/>
        <v>2.4999999999999999E-7</v>
      </c>
      <c r="CD177" s="26">
        <f t="shared" si="232"/>
        <v>9.9999999999999985E-3</v>
      </c>
      <c r="CE177" s="7">
        <v>11.105818567597799</v>
      </c>
      <c r="CF177" s="7">
        <v>384.39275181655802</v>
      </c>
      <c r="CG177" s="7">
        <v>124.557546035169</v>
      </c>
      <c r="CH177" s="7">
        <v>384.39275181655802</v>
      </c>
      <c r="CI177" s="7">
        <v>131348.92404288999</v>
      </c>
      <c r="CJ177" s="7">
        <v>509.29581789406501</v>
      </c>
      <c r="CK177" s="7">
        <f t="shared" si="233"/>
        <v>893.34304966828495</v>
      </c>
      <c r="CM177" s="28">
        <v>15</v>
      </c>
      <c r="CN177" s="26">
        <v>5.0000000000000002E-5</v>
      </c>
      <c r="CO177" s="28">
        <v>1</v>
      </c>
      <c r="CP177" s="28">
        <v>200</v>
      </c>
      <c r="CQ177" s="26">
        <v>4.9999999999999998E-7</v>
      </c>
      <c r="CR177" s="26">
        <f t="shared" si="234"/>
        <v>4.9999999999999998E-7</v>
      </c>
      <c r="CS177" s="26">
        <f t="shared" si="235"/>
        <v>1.9999999999999997E-2</v>
      </c>
      <c r="CT177" s="7">
        <v>11.3701041588957</v>
      </c>
      <c r="CU177" s="7">
        <v>378.32091509688701</v>
      </c>
      <c r="CV177" s="7">
        <v>118.54503217394399</v>
      </c>
      <c r="CW177" s="7">
        <v>378.32091509688701</v>
      </c>
      <c r="CX177" s="7">
        <v>65674.462021445201</v>
      </c>
      <c r="CY177" s="7">
        <v>509.29581789406501</v>
      </c>
      <c r="CZ177" s="7">
        <f t="shared" si="236"/>
        <v>875.18686236771805</v>
      </c>
      <c r="DB177" s="28">
        <v>15</v>
      </c>
      <c r="DC177" s="26">
        <v>5.0000000000000002E-5</v>
      </c>
      <c r="DD177" s="28">
        <v>2</v>
      </c>
      <c r="DE177" s="28">
        <v>200</v>
      </c>
      <c r="DF177" s="26">
        <v>4.9999999999999998E-7</v>
      </c>
      <c r="DG177" s="26">
        <f t="shared" si="237"/>
        <v>9.9999999999999995E-7</v>
      </c>
      <c r="DH177" s="26">
        <f t="shared" si="238"/>
        <v>3.9999999999999994E-2</v>
      </c>
      <c r="DI177" s="7">
        <v>11.8841793386799</v>
      </c>
      <c r="DJ177" s="7">
        <v>367.08848561923799</v>
      </c>
      <c r="DK177" s="7">
        <v>108.10811969663401</v>
      </c>
      <c r="DL177" s="7">
        <v>367.08848561923799</v>
      </c>
      <c r="DM177" s="7">
        <v>32837.2310107226</v>
      </c>
      <c r="DN177" s="7">
        <v>509.29581789406501</v>
      </c>
      <c r="DO177" s="7">
        <f t="shared" si="239"/>
        <v>842.28509093511002</v>
      </c>
      <c r="DQ177" s="28">
        <v>15</v>
      </c>
      <c r="DR177" s="26">
        <v>5.0000000000000002E-5</v>
      </c>
      <c r="DS177" s="28">
        <v>15</v>
      </c>
      <c r="DT177" s="28">
        <v>300</v>
      </c>
      <c r="DU177" s="26">
        <v>2.4999999999999999E-7</v>
      </c>
      <c r="DV177" s="26">
        <f t="shared" si="240"/>
        <v>3.7499999999999997E-6</v>
      </c>
      <c r="DW177" s="26">
        <f t="shared" si="241"/>
        <v>0.14999999999999997</v>
      </c>
      <c r="DX177" s="7">
        <v>24.5404505911896</v>
      </c>
      <c r="DY177" s="7">
        <v>202.84957985735099</v>
      </c>
      <c r="DZ177" s="7">
        <v>42.287816140325297</v>
      </c>
      <c r="EA177" s="7">
        <v>202.84957985735099</v>
      </c>
      <c r="EB177" s="7">
        <v>4378.2974680963498</v>
      </c>
      <c r="EC177" s="7">
        <v>305.57749073643902</v>
      </c>
      <c r="ED177" s="7">
        <f t="shared" si="242"/>
        <v>447.98697585502725</v>
      </c>
    </row>
    <row r="178" spans="1:134" x14ac:dyDescent="0.4">
      <c r="A178" s="28">
        <v>20</v>
      </c>
      <c r="B178" s="26">
        <v>1.0000000000000001E-5</v>
      </c>
      <c r="C178" s="28">
        <v>0.2</v>
      </c>
      <c r="D178" s="28">
        <v>30</v>
      </c>
      <c r="E178" s="26">
        <v>4.9999999999999998E-7</v>
      </c>
      <c r="F178" s="26">
        <f t="shared" si="216"/>
        <v>9.9999999999999995E-8</v>
      </c>
      <c r="G178" s="26">
        <f t="shared" si="217"/>
        <v>1.9999999999999997E-2</v>
      </c>
      <c r="H178" s="7">
        <v>2.5678504997934799</v>
      </c>
      <c r="I178" s="7">
        <v>7857.7524727739301</v>
      </c>
      <c r="J178" s="7">
        <v>4475.4086280782203</v>
      </c>
      <c r="K178" s="7">
        <v>7857.7524727739301</v>
      </c>
      <c r="L178" s="7">
        <v>2551974.2921694499</v>
      </c>
      <c r="M178" s="7">
        <v>12732.395447351601</v>
      </c>
      <c r="N178" s="7">
        <f t="shared" si="218"/>
        <v>20190.91357362608</v>
      </c>
      <c r="P178" s="28">
        <v>20</v>
      </c>
      <c r="Q178" s="26">
        <v>3.0000000000000001E-5</v>
      </c>
      <c r="R178" s="28">
        <v>0.2</v>
      </c>
      <c r="S178" s="28">
        <v>30</v>
      </c>
      <c r="T178" s="26">
        <v>4.9999999999999998E-7</v>
      </c>
      <c r="U178" s="26">
        <f t="shared" si="219"/>
        <v>9.9999999999999995E-8</v>
      </c>
      <c r="V178" s="26">
        <f t="shared" si="220"/>
        <v>6.6666666666666662E-3</v>
      </c>
      <c r="W178" s="7">
        <v>4.0611637124212896</v>
      </c>
      <c r="X178" s="7">
        <v>2619.2508242245099</v>
      </c>
      <c r="Y178" s="7">
        <v>1491.80287602607</v>
      </c>
      <c r="Z178" s="7">
        <v>2619.2508242245099</v>
      </c>
      <c r="AA178" s="7">
        <v>850658.09849467594</v>
      </c>
      <c r="AB178" s="7">
        <v>1414.7106052612901</v>
      </c>
      <c r="AC178" s="7">
        <f t="shared" si="221"/>
        <v>6730.3045244750901</v>
      </c>
      <c r="AE178" s="28">
        <v>20</v>
      </c>
      <c r="AF178" s="26">
        <v>5.0000000000000002E-5</v>
      </c>
      <c r="AG178" s="28">
        <v>0.2</v>
      </c>
      <c r="AH178" s="28">
        <v>30</v>
      </c>
      <c r="AI178" s="26">
        <v>4.9999999999999998E-7</v>
      </c>
      <c r="AJ178" s="26">
        <f t="shared" si="222"/>
        <v>9.9999999999999995E-8</v>
      </c>
      <c r="AK178" s="26">
        <f t="shared" si="223"/>
        <v>3.9999999999999992E-3</v>
      </c>
      <c r="AL178" s="7">
        <v>4.6004661368599198</v>
      </c>
      <c r="AM178" s="7">
        <v>1571.5504942513201</v>
      </c>
      <c r="AN178" s="7">
        <v>895.08172561564299</v>
      </c>
      <c r="AO178" s="7">
        <v>1571.5504942513201</v>
      </c>
      <c r="AP178" s="7">
        <v>510394.86845111102</v>
      </c>
      <c r="AQ178" s="7">
        <v>509.29581789406501</v>
      </c>
      <c r="AR178" s="7">
        <f t="shared" si="224"/>
        <v>4038.182714118283</v>
      </c>
      <c r="AT178" s="28">
        <v>20</v>
      </c>
      <c r="AU178" s="26">
        <v>1.0000000000000001E-5</v>
      </c>
      <c r="AV178" s="28">
        <v>0.2</v>
      </c>
      <c r="AW178" s="28">
        <v>200</v>
      </c>
      <c r="AX178" s="26">
        <v>4.9999999999999998E-7</v>
      </c>
      <c r="AY178" s="26">
        <f t="shared" si="225"/>
        <v>9.9999999999999995E-8</v>
      </c>
      <c r="AZ178" s="26">
        <f t="shared" si="226"/>
        <v>1.9999999999999997E-2</v>
      </c>
      <c r="BA178" s="7">
        <v>4.0789338426817299</v>
      </c>
      <c r="BB178" s="7">
        <v>1196.98361424428</v>
      </c>
      <c r="BC178" s="7">
        <v>694.07852984949898</v>
      </c>
      <c r="BD178" s="7">
        <v>1196.98361424428</v>
      </c>
      <c r="BE178" s="7">
        <v>2551974.2921694499</v>
      </c>
      <c r="BF178" s="7">
        <v>12732.395447351601</v>
      </c>
      <c r="BG178" s="7">
        <f t="shared" si="227"/>
        <v>3088.0457583380589</v>
      </c>
      <c r="BI178" s="28">
        <v>20</v>
      </c>
      <c r="BJ178" s="26">
        <v>1.0000000000000001E-5</v>
      </c>
      <c r="BK178" s="28">
        <v>0.5</v>
      </c>
      <c r="BL178" s="28">
        <v>200</v>
      </c>
      <c r="BM178" s="26">
        <v>4.9999999999999998E-7</v>
      </c>
      <c r="BN178" s="26">
        <f t="shared" si="228"/>
        <v>2.4999999999999999E-7</v>
      </c>
      <c r="BO178" s="26">
        <f t="shared" si="229"/>
        <v>4.9999999999999996E-2</v>
      </c>
      <c r="BP178" s="7">
        <v>4.1488975697358397</v>
      </c>
      <c r="BQ178" s="7">
        <v>1192.0586917390101</v>
      </c>
      <c r="BR178" s="7">
        <v>687.90288040570601</v>
      </c>
      <c r="BS178" s="7">
        <v>1192.0586917390101</v>
      </c>
      <c r="BT178" s="7">
        <v>1020789.71686778</v>
      </c>
      <c r="BU178" s="7">
        <v>12732.395447351601</v>
      </c>
      <c r="BV178" s="7">
        <f t="shared" si="230"/>
        <v>3072.0202638837263</v>
      </c>
      <c r="BX178" s="28">
        <v>20</v>
      </c>
      <c r="BY178" s="26">
        <v>5.0000000000000002E-5</v>
      </c>
      <c r="BZ178" s="28">
        <v>0.5</v>
      </c>
      <c r="CA178" s="28">
        <v>200</v>
      </c>
      <c r="CB178" s="26">
        <v>4.9999999999999998E-7</v>
      </c>
      <c r="CC178" s="26">
        <f t="shared" si="231"/>
        <v>2.4999999999999999E-7</v>
      </c>
      <c r="CD178" s="26">
        <f t="shared" si="232"/>
        <v>9.9999999999999985E-3</v>
      </c>
      <c r="CE178" s="7">
        <v>14.2189888136381</v>
      </c>
      <c r="CF178" s="7">
        <v>238.41173833028401</v>
      </c>
      <c r="CG178" s="7">
        <v>137.580576081141</v>
      </c>
      <c r="CH178" s="7">
        <v>238.41173833028401</v>
      </c>
      <c r="CI178" s="7">
        <v>204157.947380445</v>
      </c>
      <c r="CJ178" s="7">
        <v>509.29581789406501</v>
      </c>
      <c r="CK178" s="7">
        <f t="shared" si="233"/>
        <v>614.40405274170905</v>
      </c>
      <c r="CM178" s="28">
        <v>20</v>
      </c>
      <c r="CN178" s="26">
        <v>5.0000000000000002E-5</v>
      </c>
      <c r="CO178" s="28">
        <v>1</v>
      </c>
      <c r="CP178" s="28">
        <v>200</v>
      </c>
      <c r="CQ178" s="26">
        <v>4.9999999999999998E-7</v>
      </c>
      <c r="CR178" s="26">
        <f t="shared" si="234"/>
        <v>4.9999999999999998E-7</v>
      </c>
      <c r="CS178" s="26">
        <f t="shared" si="235"/>
        <v>1.9999999999999997E-2</v>
      </c>
      <c r="CT178" s="7">
        <v>14.3772740700489</v>
      </c>
      <c r="CU178" s="7">
        <v>236.794372688691</v>
      </c>
      <c r="CV178" s="7">
        <v>135.57018035757301</v>
      </c>
      <c r="CW178" s="7">
        <v>236.794372688691</v>
      </c>
      <c r="CX178" s="7">
        <v>102078.973690222</v>
      </c>
      <c r="CY178" s="7">
        <v>509.29581789406501</v>
      </c>
      <c r="CZ178" s="7">
        <f t="shared" si="236"/>
        <v>609.15892573495501</v>
      </c>
      <c r="DB178" s="28">
        <v>20</v>
      </c>
      <c r="DC178" s="26">
        <v>5.0000000000000002E-5</v>
      </c>
      <c r="DD178" s="28">
        <v>2</v>
      </c>
      <c r="DE178" s="28">
        <v>200</v>
      </c>
      <c r="DF178" s="26">
        <v>4.9999999999999998E-7</v>
      </c>
      <c r="DG178" s="26">
        <f t="shared" si="237"/>
        <v>9.9999999999999995E-7</v>
      </c>
      <c r="DH178" s="26">
        <f t="shared" si="238"/>
        <v>3.9999999999999994E-2</v>
      </c>
      <c r="DI178" s="7">
        <v>14.691678649405301</v>
      </c>
      <c r="DJ178" s="7">
        <v>233.64718966736299</v>
      </c>
      <c r="DK178" s="7">
        <v>131.72072797829401</v>
      </c>
      <c r="DL178" s="7">
        <v>233.64718966736299</v>
      </c>
      <c r="DM178" s="7">
        <v>51039.486845111103</v>
      </c>
      <c r="DN178" s="7">
        <v>509.29581789406501</v>
      </c>
      <c r="DO178" s="7">
        <f t="shared" si="239"/>
        <v>599.01510731302005</v>
      </c>
      <c r="DQ178" s="28">
        <v>20</v>
      </c>
      <c r="DR178" s="26">
        <v>5.0000000000000002E-5</v>
      </c>
      <c r="DS178" s="28">
        <v>15</v>
      </c>
      <c r="DT178" s="28">
        <v>300</v>
      </c>
      <c r="DU178" s="26">
        <v>2.4999999999999999E-7</v>
      </c>
      <c r="DV178" s="26">
        <f t="shared" si="240"/>
        <v>3.7499999999999997E-6</v>
      </c>
      <c r="DW178" s="26">
        <f t="shared" si="241"/>
        <v>0.14999999999999997</v>
      </c>
      <c r="DX178" s="7">
        <v>27.247663722828602</v>
      </c>
      <c r="DY178" s="7">
        <v>141.30482192536101</v>
      </c>
      <c r="DZ178" s="7">
        <v>71.560155029152398</v>
      </c>
      <c r="EA178" s="7">
        <v>141.30482192536101</v>
      </c>
      <c r="EB178" s="7">
        <v>6805.2649126814904</v>
      </c>
      <c r="EC178" s="7">
        <v>305.57749073643902</v>
      </c>
      <c r="ED178" s="7">
        <f t="shared" si="242"/>
        <v>354.16979887987441</v>
      </c>
    </row>
    <row r="179" spans="1:134" x14ac:dyDescent="0.4">
      <c r="A179" s="28">
        <v>25</v>
      </c>
      <c r="B179" s="26">
        <v>1.0000000000000001E-5</v>
      </c>
      <c r="C179" s="28">
        <v>0.2</v>
      </c>
      <c r="D179" s="28">
        <v>30</v>
      </c>
      <c r="E179" s="26">
        <v>4.9999999999999998E-7</v>
      </c>
      <c r="F179" s="26">
        <f t="shared" si="216"/>
        <v>9.9999999999999995E-8</v>
      </c>
      <c r="G179" s="26">
        <f t="shared" si="217"/>
        <v>1.9999999999999997E-2</v>
      </c>
      <c r="H179" s="7">
        <v>2.9740480927257198</v>
      </c>
      <c r="I179" s="7">
        <v>5967.7070610572</v>
      </c>
      <c r="J179" s="7">
        <v>4769.5933204541298</v>
      </c>
      <c r="K179" s="7">
        <v>5967.7070610572</v>
      </c>
      <c r="L179" s="7">
        <v>3890230.9388607698</v>
      </c>
      <c r="M179" s="7">
        <v>12732.395447351601</v>
      </c>
      <c r="N179" s="7">
        <f t="shared" si="218"/>
        <v>16705.007442568531</v>
      </c>
      <c r="P179" s="28">
        <v>25</v>
      </c>
      <c r="Q179" s="26">
        <v>3.0000000000000001E-5</v>
      </c>
      <c r="R179" s="28">
        <v>0.2</v>
      </c>
      <c r="S179" s="28">
        <v>30</v>
      </c>
      <c r="T179" s="26">
        <v>4.9999999999999998E-7</v>
      </c>
      <c r="U179" s="26">
        <f t="shared" si="219"/>
        <v>9.9999999999999995E-8</v>
      </c>
      <c r="V179" s="26">
        <f t="shared" si="220"/>
        <v>6.6666666666666662E-3</v>
      </c>
      <c r="W179" s="7">
        <v>4.9566243339173699</v>
      </c>
      <c r="X179" s="7">
        <v>1989.2356869965699</v>
      </c>
      <c r="Y179" s="7">
        <v>1589.86444015137</v>
      </c>
      <c r="Z179" s="7">
        <v>1989.2356869965699</v>
      </c>
      <c r="AA179" s="7">
        <v>1296743.6482743199</v>
      </c>
      <c r="AB179" s="7">
        <v>1414.7106052612901</v>
      </c>
      <c r="AC179" s="7">
        <f t="shared" si="221"/>
        <v>5568.3358141445096</v>
      </c>
      <c r="AE179" s="28">
        <v>25</v>
      </c>
      <c r="AF179" s="26">
        <v>5.0000000000000002E-5</v>
      </c>
      <c r="AG179" s="28">
        <v>0.2</v>
      </c>
      <c r="AH179" s="28">
        <v>30</v>
      </c>
      <c r="AI179" s="26">
        <v>4.9999999999999998E-7</v>
      </c>
      <c r="AJ179" s="26">
        <f t="shared" si="222"/>
        <v>9.9999999999999995E-8</v>
      </c>
      <c r="AK179" s="26">
        <f t="shared" si="223"/>
        <v>3.9999999999999992E-3</v>
      </c>
      <c r="AL179" s="7">
        <v>5.7237128018224404</v>
      </c>
      <c r="AM179" s="7">
        <v>1193.54141200751</v>
      </c>
      <c r="AN179" s="7">
        <v>953.91866409082502</v>
      </c>
      <c r="AO179" s="7">
        <v>1193.54141200751</v>
      </c>
      <c r="AP179" s="7">
        <v>778046.205790887</v>
      </c>
      <c r="AQ179" s="7">
        <v>509.29581789406501</v>
      </c>
      <c r="AR179" s="7">
        <f t="shared" si="224"/>
        <v>3341.0014881058451</v>
      </c>
      <c r="AT179" s="28">
        <v>25</v>
      </c>
      <c r="AU179" s="26">
        <v>1.0000000000000001E-5</v>
      </c>
      <c r="AV179" s="28">
        <v>0.2</v>
      </c>
      <c r="AW179" s="28">
        <v>200</v>
      </c>
      <c r="AX179" s="26">
        <v>4.9999999999999998E-7</v>
      </c>
      <c r="AY179" s="26">
        <f t="shared" si="225"/>
        <v>9.9999999999999995E-8</v>
      </c>
      <c r="AZ179" s="26">
        <f t="shared" si="226"/>
        <v>1.9999999999999997E-2</v>
      </c>
      <c r="BA179" s="7">
        <v>4.4623164611230299</v>
      </c>
      <c r="BB179" s="7">
        <v>904.92261526204402</v>
      </c>
      <c r="BC179" s="7">
        <v>729.47946385146201</v>
      </c>
      <c r="BD179" s="7">
        <v>904.92261526204402</v>
      </c>
      <c r="BE179" s="7">
        <v>3890230.9388607698</v>
      </c>
      <c r="BF179" s="7">
        <v>12732.395447351601</v>
      </c>
      <c r="BG179" s="7">
        <f t="shared" si="227"/>
        <v>2539.3246943755503</v>
      </c>
      <c r="BI179" s="28">
        <v>25</v>
      </c>
      <c r="BJ179" s="26">
        <v>1.0000000000000001E-5</v>
      </c>
      <c r="BK179" s="28">
        <v>0.5</v>
      </c>
      <c r="BL179" s="28">
        <v>200</v>
      </c>
      <c r="BM179" s="26">
        <v>4.9999999999999998E-7</v>
      </c>
      <c r="BN179" s="26">
        <f t="shared" si="228"/>
        <v>2.4999999999999999E-7</v>
      </c>
      <c r="BO179" s="26">
        <f t="shared" si="229"/>
        <v>4.9999999999999996E-2</v>
      </c>
      <c r="BP179" s="7">
        <v>4.51157861944621</v>
      </c>
      <c r="BQ179" s="7">
        <v>902.31159397251201</v>
      </c>
      <c r="BR179" s="7">
        <v>725.70943403112403</v>
      </c>
      <c r="BS179" s="7">
        <v>902.31159397251201</v>
      </c>
      <c r="BT179" s="7">
        <v>1556092.3755443101</v>
      </c>
      <c r="BU179" s="7">
        <v>12732.395447351601</v>
      </c>
      <c r="BV179" s="7">
        <f t="shared" si="230"/>
        <v>2530.3326219761479</v>
      </c>
      <c r="BX179" s="28">
        <v>25</v>
      </c>
      <c r="BY179" s="26">
        <v>5.0000000000000002E-5</v>
      </c>
      <c r="BZ179" s="28">
        <v>0.5</v>
      </c>
      <c r="CA179" s="28">
        <v>200</v>
      </c>
      <c r="CB179" s="26">
        <v>4.9999999999999998E-7</v>
      </c>
      <c r="CC179" s="26">
        <f t="shared" si="231"/>
        <v>2.4999999999999999E-7</v>
      </c>
      <c r="CD179" s="26">
        <f t="shared" si="232"/>
        <v>9.9999999999999985E-3</v>
      </c>
      <c r="CE179" s="7">
        <v>16.354868307723901</v>
      </c>
      <c r="CF179" s="7">
        <v>180.46231878283399</v>
      </c>
      <c r="CG179" s="7">
        <v>145.14188680622499</v>
      </c>
      <c r="CH179" s="7">
        <v>180.46231878283399</v>
      </c>
      <c r="CI179" s="7">
        <v>311218.48231635499</v>
      </c>
      <c r="CJ179" s="7">
        <v>509.29581789406501</v>
      </c>
      <c r="CK179" s="7">
        <f t="shared" si="233"/>
        <v>506.06652437189302</v>
      </c>
      <c r="CM179" s="28">
        <v>25</v>
      </c>
      <c r="CN179" s="26">
        <v>5.0000000000000002E-5</v>
      </c>
      <c r="CO179" s="28">
        <v>1</v>
      </c>
      <c r="CP179" s="28">
        <v>200</v>
      </c>
      <c r="CQ179" s="26">
        <v>4.9999999999999998E-7</v>
      </c>
      <c r="CR179" s="26">
        <f t="shared" si="234"/>
        <v>4.9999999999999998E-7</v>
      </c>
      <c r="CS179" s="26">
        <f t="shared" si="235"/>
        <v>1.9999999999999997E-2</v>
      </c>
      <c r="CT179" s="7">
        <v>16.466297054147301</v>
      </c>
      <c r="CU179" s="7">
        <v>179.60025764253999</v>
      </c>
      <c r="CV179" s="7">
        <v>143.90240734913101</v>
      </c>
      <c r="CW179" s="7">
        <v>179.60025764253999</v>
      </c>
      <c r="CX179" s="7">
        <v>155609.241158177</v>
      </c>
      <c r="CY179" s="7">
        <v>509.29581789406501</v>
      </c>
      <c r="CZ179" s="7">
        <f t="shared" si="236"/>
        <v>503.10292263421098</v>
      </c>
      <c r="DB179" s="28">
        <v>25</v>
      </c>
      <c r="DC179" s="26">
        <v>5.0000000000000002E-5</v>
      </c>
      <c r="DD179" s="28">
        <v>2</v>
      </c>
      <c r="DE179" s="28">
        <v>200</v>
      </c>
      <c r="DF179" s="26">
        <v>4.9999999999999998E-7</v>
      </c>
      <c r="DG179" s="26">
        <f t="shared" si="237"/>
        <v>9.9999999999999995E-7</v>
      </c>
      <c r="DH179" s="26">
        <f t="shared" si="238"/>
        <v>3.9999999999999994E-2</v>
      </c>
      <c r="DI179" s="7">
        <v>16.688196609659599</v>
      </c>
      <c r="DJ179" s="7">
        <v>177.90643586546901</v>
      </c>
      <c r="DK179" s="7">
        <v>141.48598257191699</v>
      </c>
      <c r="DL179" s="7">
        <v>177.90643586546901</v>
      </c>
      <c r="DM179" s="7">
        <v>77804.620579088703</v>
      </c>
      <c r="DN179" s="7">
        <v>509.29581789406501</v>
      </c>
      <c r="DO179" s="7">
        <f t="shared" si="239"/>
        <v>497.29885430285503</v>
      </c>
      <c r="DQ179" s="28">
        <v>25</v>
      </c>
      <c r="DR179" s="26">
        <v>5.0000000000000002E-5</v>
      </c>
      <c r="DS179" s="28">
        <v>15</v>
      </c>
      <c r="DT179" s="28">
        <v>300</v>
      </c>
      <c r="DU179" s="26">
        <v>2.4999999999999999E-7</v>
      </c>
      <c r="DV179" s="26">
        <f t="shared" si="240"/>
        <v>3.7499999999999997E-6</v>
      </c>
      <c r="DW179" s="26">
        <f t="shared" si="241"/>
        <v>0.14999999999999997</v>
      </c>
      <c r="DX179" s="7">
        <v>29.506057260409399</v>
      </c>
      <c r="DY179" s="7">
        <v>110.42994925436599</v>
      </c>
      <c r="DZ179" s="7">
        <v>83.155364315094602</v>
      </c>
      <c r="EA179" s="7">
        <v>110.42994925436599</v>
      </c>
      <c r="EB179" s="7">
        <v>10373.949410545199</v>
      </c>
      <c r="EC179" s="7">
        <v>305.57749073643902</v>
      </c>
      <c r="ED179" s="7">
        <f t="shared" si="242"/>
        <v>304.01526282382656</v>
      </c>
    </row>
    <row r="180" spans="1:134" x14ac:dyDescent="0.4">
      <c r="A180" s="28">
        <v>30</v>
      </c>
      <c r="B180" s="26">
        <v>1.0000000000000001E-5</v>
      </c>
      <c r="C180" s="28">
        <v>0.2</v>
      </c>
      <c r="D180" s="28">
        <v>30</v>
      </c>
      <c r="E180" s="26">
        <v>4.9999999999999998E-7</v>
      </c>
      <c r="F180" s="26">
        <f t="shared" si="216"/>
        <v>9.9999999999999995E-8</v>
      </c>
      <c r="G180" s="26">
        <f t="shared" si="217"/>
        <v>1.9999999999999997E-2</v>
      </c>
      <c r="H180" s="7">
        <v>3.31287701878956</v>
      </c>
      <c r="I180" s="7">
        <v>4807.3324198337996</v>
      </c>
      <c r="J180" s="7">
        <v>4988.6125859415297</v>
      </c>
      <c r="K180" s="7">
        <v>4807.3324198337996</v>
      </c>
      <c r="L180" s="7">
        <v>5893089.4851508904</v>
      </c>
      <c r="M180" s="7">
        <v>12732.395447351601</v>
      </c>
      <c r="N180" s="7">
        <f t="shared" si="218"/>
        <v>14603.277425609129</v>
      </c>
      <c r="P180" s="28">
        <v>30</v>
      </c>
      <c r="Q180" s="26">
        <v>3.0000000000000001E-5</v>
      </c>
      <c r="R180" s="28">
        <v>0.2</v>
      </c>
      <c r="S180" s="28">
        <v>30</v>
      </c>
      <c r="T180" s="26">
        <v>4.9999999999999998E-7</v>
      </c>
      <c r="U180" s="26">
        <f t="shared" si="219"/>
        <v>9.9999999999999995E-8</v>
      </c>
      <c r="V180" s="26">
        <f t="shared" si="220"/>
        <v>6.6666666666666662E-3</v>
      </c>
      <c r="W180" s="7">
        <v>5.7320025604251201</v>
      </c>
      <c r="X180" s="7">
        <v>1602.4441399274999</v>
      </c>
      <c r="Y180" s="7">
        <v>1662.87086198051</v>
      </c>
      <c r="Z180" s="7">
        <v>1602.4441399274999</v>
      </c>
      <c r="AA180" s="7">
        <v>1964363.1651242101</v>
      </c>
      <c r="AB180" s="7">
        <v>1414.7106052612901</v>
      </c>
      <c r="AC180" s="7">
        <f t="shared" si="221"/>
        <v>4867.7591418355096</v>
      </c>
      <c r="AE180" s="28">
        <v>30</v>
      </c>
      <c r="AF180" s="26">
        <v>5.0000000000000002E-5</v>
      </c>
      <c r="AG180" s="28">
        <v>0.2</v>
      </c>
      <c r="AH180" s="28">
        <v>30</v>
      </c>
      <c r="AI180" s="26">
        <v>4.9999999999999998E-7</v>
      </c>
      <c r="AJ180" s="26">
        <f t="shared" si="222"/>
        <v>9.9999999999999995E-8</v>
      </c>
      <c r="AK180" s="26">
        <f t="shared" si="223"/>
        <v>3.9999999999999992E-3</v>
      </c>
      <c r="AL180" s="7">
        <v>6.71624837693322</v>
      </c>
      <c r="AM180" s="7">
        <v>961.46648381169098</v>
      </c>
      <c r="AN180" s="7">
        <v>997.72251718830603</v>
      </c>
      <c r="AO180" s="7">
        <v>961.46648381169098</v>
      </c>
      <c r="AP180" s="7">
        <v>1178617.9279219799</v>
      </c>
      <c r="AQ180" s="7">
        <v>509.29581789406501</v>
      </c>
      <c r="AR180" s="7">
        <f t="shared" si="224"/>
        <v>2920.655484811688</v>
      </c>
      <c r="AT180" s="28">
        <v>30</v>
      </c>
      <c r="AU180" s="26">
        <v>1.0000000000000001E-5</v>
      </c>
      <c r="AV180" s="28">
        <v>0.2</v>
      </c>
      <c r="AW180" s="28">
        <v>200</v>
      </c>
      <c r="AX180" s="26">
        <v>4.9999999999999998E-7</v>
      </c>
      <c r="AY180" s="26">
        <f t="shared" si="225"/>
        <v>9.9999999999999995E-8</v>
      </c>
      <c r="AZ180" s="26">
        <f t="shared" si="226"/>
        <v>1.9999999999999997E-2</v>
      </c>
      <c r="BA180" s="7">
        <v>4.7858787544651697</v>
      </c>
      <c r="BB180" s="7">
        <v>727.37388968977803</v>
      </c>
      <c r="BC180" s="7">
        <v>758.42598130330396</v>
      </c>
      <c r="BD180" s="7">
        <v>727.37388968977803</v>
      </c>
      <c r="BE180" s="7">
        <v>5893089.4851508904</v>
      </c>
      <c r="BF180" s="7">
        <v>12732.395447351601</v>
      </c>
      <c r="BG180" s="7">
        <f t="shared" si="227"/>
        <v>2213.1737606828601</v>
      </c>
      <c r="BI180" s="28">
        <v>30</v>
      </c>
      <c r="BJ180" s="26">
        <v>1.0000000000000001E-5</v>
      </c>
      <c r="BK180" s="28">
        <v>0.5</v>
      </c>
      <c r="BL180" s="28">
        <v>200</v>
      </c>
      <c r="BM180" s="26">
        <v>4.9999999999999998E-7</v>
      </c>
      <c r="BN180" s="26">
        <f t="shared" si="228"/>
        <v>2.4999999999999999E-7</v>
      </c>
      <c r="BO180" s="26">
        <f t="shared" si="229"/>
        <v>4.9999999999999996E-2</v>
      </c>
      <c r="BP180" s="7">
        <v>4.8204802123566797</v>
      </c>
      <c r="BQ180" s="7">
        <v>725.70064173773096</v>
      </c>
      <c r="BR180" s="7">
        <v>755.71672459466504</v>
      </c>
      <c r="BS180" s="7">
        <v>725.70064173773096</v>
      </c>
      <c r="BT180" s="7">
        <v>2357235.7940603602</v>
      </c>
      <c r="BU180" s="7">
        <v>12732.395447351601</v>
      </c>
      <c r="BV180" s="7">
        <f t="shared" si="230"/>
        <v>2207.118008070127</v>
      </c>
      <c r="BX180" s="28">
        <v>30</v>
      </c>
      <c r="BY180" s="26">
        <v>5.0000000000000002E-5</v>
      </c>
      <c r="BZ180" s="28">
        <v>0.5</v>
      </c>
      <c r="CA180" s="28">
        <v>200</v>
      </c>
      <c r="CB180" s="26">
        <v>4.9999999999999998E-7</v>
      </c>
      <c r="CC180" s="26">
        <f t="shared" si="231"/>
        <v>2.4999999999999999E-7</v>
      </c>
      <c r="CD180" s="26">
        <f t="shared" si="232"/>
        <v>9.9999999999999985E-3</v>
      </c>
      <c r="CE180" s="7">
        <v>18.1165860632854</v>
      </c>
      <c r="CF180" s="7">
        <v>145.140128338708</v>
      </c>
      <c r="CG180" s="7">
        <v>151.143344918933</v>
      </c>
      <c r="CH180" s="7">
        <v>145.140128338708</v>
      </c>
      <c r="CI180" s="7">
        <v>471447.17116879002</v>
      </c>
      <c r="CJ180" s="7">
        <v>509.29581789406501</v>
      </c>
      <c r="CK180" s="7">
        <f t="shared" si="233"/>
        <v>441.42360159634899</v>
      </c>
      <c r="CM180" s="28">
        <v>30</v>
      </c>
      <c r="CN180" s="26">
        <v>5.0000000000000002E-5</v>
      </c>
      <c r="CO180" s="28">
        <v>1</v>
      </c>
      <c r="CP180" s="28">
        <v>200</v>
      </c>
      <c r="CQ180" s="26">
        <v>4.9999999999999998E-7</v>
      </c>
      <c r="CR180" s="26">
        <f t="shared" si="234"/>
        <v>4.9999999999999998E-7</v>
      </c>
      <c r="CS180" s="26">
        <f t="shared" si="235"/>
        <v>1.9999999999999997E-2</v>
      </c>
      <c r="CT180" s="7">
        <v>18.197316776618099</v>
      </c>
      <c r="CU180" s="7">
        <v>144.58638467526899</v>
      </c>
      <c r="CV180" s="7">
        <v>150.24883810203599</v>
      </c>
      <c r="CW180" s="7">
        <v>144.58638467526899</v>
      </c>
      <c r="CX180" s="7">
        <v>235723.58558439501</v>
      </c>
      <c r="CY180" s="7">
        <v>509.29581789406501</v>
      </c>
      <c r="CZ180" s="7">
        <f t="shared" si="236"/>
        <v>439.42160745257399</v>
      </c>
      <c r="DB180" s="28">
        <v>30</v>
      </c>
      <c r="DC180" s="26">
        <v>5.0000000000000002E-5</v>
      </c>
      <c r="DD180" s="28">
        <v>2</v>
      </c>
      <c r="DE180" s="28">
        <v>200</v>
      </c>
      <c r="DF180" s="26">
        <v>4.9999999999999998E-7</v>
      </c>
      <c r="DG180" s="26">
        <f t="shared" si="237"/>
        <v>9.9999999999999995E-7</v>
      </c>
      <c r="DH180" s="26">
        <f t="shared" si="238"/>
        <v>3.9999999999999994E-2</v>
      </c>
      <c r="DI180" s="7">
        <v>18.358222319019202</v>
      </c>
      <c r="DJ180" s="7">
        <v>143.493651420682</v>
      </c>
      <c r="DK180" s="7">
        <v>148.49131311393799</v>
      </c>
      <c r="DL180" s="7">
        <v>143.493651420682</v>
      </c>
      <c r="DM180" s="7">
        <v>117861.792792198</v>
      </c>
      <c r="DN180" s="7">
        <v>509.29581789406501</v>
      </c>
      <c r="DO180" s="7">
        <f t="shared" si="239"/>
        <v>435.47861595530196</v>
      </c>
      <c r="DQ180" s="28">
        <v>30</v>
      </c>
      <c r="DR180" s="26">
        <v>5.0000000000000002E-5</v>
      </c>
      <c r="DS180" s="28">
        <v>15</v>
      </c>
      <c r="DT180" s="28">
        <v>300</v>
      </c>
      <c r="DU180" s="26">
        <v>2.4999999999999999E-7</v>
      </c>
      <c r="DV180" s="26">
        <f t="shared" si="240"/>
        <v>3.7499999999999997E-6</v>
      </c>
      <c r="DW180" s="26">
        <f t="shared" si="241"/>
        <v>0.14999999999999997</v>
      </c>
      <c r="DX180" s="7">
        <v>31.56739766111</v>
      </c>
      <c r="DY180" s="7">
        <v>90.265822408235607</v>
      </c>
      <c r="DZ180" s="7">
        <v>90.525422516156297</v>
      </c>
      <c r="EA180" s="7">
        <v>90.265822408235607</v>
      </c>
      <c r="EB180" s="7">
        <v>15714.905705626299</v>
      </c>
      <c r="EC180" s="7">
        <v>305.57749073643902</v>
      </c>
      <c r="ED180" s="7">
        <f t="shared" si="242"/>
        <v>271.05706733262753</v>
      </c>
    </row>
    <row r="181" spans="1:134" x14ac:dyDescent="0.4">
      <c r="A181" s="28">
        <v>35</v>
      </c>
      <c r="B181" s="26">
        <v>1.0000000000000001E-5</v>
      </c>
      <c r="C181" s="28">
        <v>0.2</v>
      </c>
      <c r="D181" s="28">
        <v>30</v>
      </c>
      <c r="E181" s="26">
        <v>4.9999999999999998E-7</v>
      </c>
      <c r="F181" s="26">
        <f t="shared" si="216"/>
        <v>9.9999999999999995E-8</v>
      </c>
      <c r="G181" s="26">
        <f t="shared" si="217"/>
        <v>1.9999999999999997E-2</v>
      </c>
      <c r="H181" s="7">
        <v>3.6110535297745399</v>
      </c>
      <c r="I181" s="7">
        <v>3984.07853527202</v>
      </c>
      <c r="J181" s="7">
        <v>5168.7820727017497</v>
      </c>
      <c r="K181" s="7">
        <v>3984.07853527202</v>
      </c>
      <c r="L181" s="7">
        <v>8973470.5022608098</v>
      </c>
      <c r="M181" s="7">
        <v>12732.395447351601</v>
      </c>
      <c r="N181" s="7">
        <f t="shared" si="218"/>
        <v>13136.939143245789</v>
      </c>
      <c r="P181" s="28">
        <v>35</v>
      </c>
      <c r="Q181" s="26">
        <v>3.0000000000000001E-5</v>
      </c>
      <c r="R181" s="28">
        <v>0.2</v>
      </c>
      <c r="S181" s="28">
        <v>30</v>
      </c>
      <c r="T181" s="26">
        <v>4.9999999999999998E-7</v>
      </c>
      <c r="U181" s="26">
        <f t="shared" si="219"/>
        <v>9.9999999999999995E-8</v>
      </c>
      <c r="V181" s="26">
        <f t="shared" si="220"/>
        <v>6.6666666666666662E-3</v>
      </c>
      <c r="W181" s="7">
        <v>6.4337122290573197</v>
      </c>
      <c r="X181" s="7">
        <v>1328.02617841029</v>
      </c>
      <c r="Y181" s="7">
        <v>1722.9273575672501</v>
      </c>
      <c r="Z181" s="7">
        <v>1328.02617841029</v>
      </c>
      <c r="AA181" s="7">
        <v>2991156.8397606201</v>
      </c>
      <c r="AB181" s="7">
        <v>1414.7106052612901</v>
      </c>
      <c r="AC181" s="7">
        <f t="shared" si="221"/>
        <v>4378.9797143878295</v>
      </c>
      <c r="AE181" s="28">
        <v>35</v>
      </c>
      <c r="AF181" s="26">
        <v>5.0000000000000002E-5</v>
      </c>
      <c r="AG181" s="28">
        <v>0.2</v>
      </c>
      <c r="AH181" s="28">
        <v>30</v>
      </c>
      <c r="AI181" s="26">
        <v>4.9999999999999998E-7</v>
      </c>
      <c r="AJ181" s="26">
        <f t="shared" si="222"/>
        <v>9.9999999999999995E-8</v>
      </c>
      <c r="AK181" s="26">
        <f t="shared" si="223"/>
        <v>3.9999999999999992E-3</v>
      </c>
      <c r="AL181" s="7">
        <v>7.6291057870225396</v>
      </c>
      <c r="AM181" s="7">
        <v>796.81570693005597</v>
      </c>
      <c r="AN181" s="7">
        <v>1033.7564145403501</v>
      </c>
      <c r="AO181" s="7">
        <v>796.81570693005597</v>
      </c>
      <c r="AP181" s="7">
        <v>1794694.1518928199</v>
      </c>
      <c r="AQ181" s="7">
        <v>509.29581789406501</v>
      </c>
      <c r="AR181" s="7">
        <f t="shared" si="224"/>
        <v>2627.3878284004622</v>
      </c>
      <c r="AT181" s="28">
        <v>35</v>
      </c>
      <c r="AU181" s="26">
        <v>1.0000000000000001E-5</v>
      </c>
      <c r="AV181" s="28">
        <v>0.2</v>
      </c>
      <c r="AW181" s="28">
        <v>200</v>
      </c>
      <c r="AX181" s="26">
        <v>4.9999999999999998E-7</v>
      </c>
      <c r="AY181" s="26">
        <f t="shared" si="225"/>
        <v>9.9999999999999995E-8</v>
      </c>
      <c r="AZ181" s="26">
        <f t="shared" si="226"/>
        <v>1.9999999999999997E-2</v>
      </c>
      <c r="BA181" s="7">
        <v>5.0714226493272498</v>
      </c>
      <c r="BB181" s="7">
        <v>602.00500937137394</v>
      </c>
      <c r="BC181" s="7">
        <v>783.15203621901901</v>
      </c>
      <c r="BD181" s="7">
        <v>602.00500937137394</v>
      </c>
      <c r="BE181" s="7">
        <v>8973470.5022608098</v>
      </c>
      <c r="BF181" s="7">
        <v>12732.395447351601</v>
      </c>
      <c r="BG181" s="7">
        <f t="shared" si="227"/>
        <v>1987.1620549617669</v>
      </c>
      <c r="BI181" s="28">
        <v>35</v>
      </c>
      <c r="BJ181" s="26">
        <v>1.0000000000000001E-5</v>
      </c>
      <c r="BK181" s="28">
        <v>0.5</v>
      </c>
      <c r="BL181" s="28">
        <v>200</v>
      </c>
      <c r="BM181" s="26">
        <v>4.9999999999999998E-7</v>
      </c>
      <c r="BN181" s="26">
        <f t="shared" si="228"/>
        <v>2.4999999999999999E-7</v>
      </c>
      <c r="BO181" s="26">
        <f t="shared" si="229"/>
        <v>4.9999999999999996E-2</v>
      </c>
      <c r="BP181" s="7">
        <v>5.0954395884624297</v>
      </c>
      <c r="BQ181" s="7">
        <v>600.83500597989303</v>
      </c>
      <c r="BR181" s="7">
        <v>781.06268252331097</v>
      </c>
      <c r="BS181" s="7">
        <v>600.83500597989303</v>
      </c>
      <c r="BT181" s="7">
        <v>3589388.20090432</v>
      </c>
      <c r="BU181" s="7">
        <v>12732.395447351601</v>
      </c>
      <c r="BV181" s="7">
        <f t="shared" si="230"/>
        <v>1982.732694483097</v>
      </c>
      <c r="BX181" s="28">
        <v>35</v>
      </c>
      <c r="BY181" s="26">
        <v>5.0000000000000002E-5</v>
      </c>
      <c r="BZ181" s="28">
        <v>0.5</v>
      </c>
      <c r="CA181" s="28">
        <v>200</v>
      </c>
      <c r="CB181" s="26">
        <v>4.9999999999999998E-7</v>
      </c>
      <c r="CC181" s="26">
        <f t="shared" si="231"/>
        <v>2.4999999999999999E-7</v>
      </c>
      <c r="CD181" s="26">
        <f t="shared" si="232"/>
        <v>9.9999999999999985E-3</v>
      </c>
      <c r="CE181" s="7">
        <v>19.654540440067901</v>
      </c>
      <c r="CF181" s="7">
        <v>120.167001188906</v>
      </c>
      <c r="CG181" s="7">
        <v>156.21253650466201</v>
      </c>
      <c r="CH181" s="7">
        <v>120.167001188906</v>
      </c>
      <c r="CI181" s="7">
        <v>717877.66075713001</v>
      </c>
      <c r="CJ181" s="7">
        <v>509.29581789406501</v>
      </c>
      <c r="CK181" s="7">
        <f t="shared" si="233"/>
        <v>396.54653888247401</v>
      </c>
      <c r="CM181" s="28">
        <v>35</v>
      </c>
      <c r="CN181" s="26">
        <v>5.0000000000000002E-5</v>
      </c>
      <c r="CO181" s="28">
        <v>1</v>
      </c>
      <c r="CP181" s="28">
        <v>200</v>
      </c>
      <c r="CQ181" s="26">
        <v>4.9999999999999998E-7</v>
      </c>
      <c r="CR181" s="26">
        <f t="shared" si="234"/>
        <v>4.9999999999999998E-7</v>
      </c>
      <c r="CS181" s="26">
        <f t="shared" si="235"/>
        <v>1.9999999999999997E-2</v>
      </c>
      <c r="CT181" s="7">
        <v>19.713563892402099</v>
      </c>
      <c r="CU181" s="7">
        <v>119.779274796552</v>
      </c>
      <c r="CV181" s="7">
        <v>155.521045898078</v>
      </c>
      <c r="CW181" s="7">
        <v>119.779274796552</v>
      </c>
      <c r="CX181" s="7">
        <v>358938.83037856501</v>
      </c>
      <c r="CY181" s="7">
        <v>509.29581789406501</v>
      </c>
      <c r="CZ181" s="7">
        <f t="shared" si="236"/>
        <v>395.07959549118198</v>
      </c>
      <c r="DB181" s="28">
        <v>35</v>
      </c>
      <c r="DC181" s="26">
        <v>5.0000000000000002E-5</v>
      </c>
      <c r="DD181" s="28">
        <v>2</v>
      </c>
      <c r="DE181" s="28">
        <v>200</v>
      </c>
      <c r="DF181" s="26">
        <v>4.9999999999999998E-7</v>
      </c>
      <c r="DG181" s="26">
        <f t="shared" si="237"/>
        <v>9.9999999999999995E-7</v>
      </c>
      <c r="DH181" s="26">
        <f t="shared" si="238"/>
        <v>3.9999999999999994E-2</v>
      </c>
      <c r="DI181" s="7">
        <v>19.831247895132499</v>
      </c>
      <c r="DJ181" s="7">
        <v>119.01223137089301</v>
      </c>
      <c r="DK181" s="7">
        <v>154.156369850555</v>
      </c>
      <c r="DL181" s="7">
        <v>119.01223137089301</v>
      </c>
      <c r="DM181" s="7">
        <v>179469.41518928201</v>
      </c>
      <c r="DN181" s="7">
        <v>509.29581789406501</v>
      </c>
      <c r="DO181" s="7">
        <f t="shared" si="239"/>
        <v>392.18083259234101</v>
      </c>
      <c r="DQ181" s="28">
        <v>35</v>
      </c>
      <c r="DR181" s="26">
        <v>5.0000000000000002E-5</v>
      </c>
      <c r="DS181" s="28">
        <v>15</v>
      </c>
      <c r="DT181" s="28">
        <v>300</v>
      </c>
      <c r="DU181" s="26">
        <v>2.4999999999999999E-7</v>
      </c>
      <c r="DV181" s="26">
        <f t="shared" si="240"/>
        <v>3.7499999999999997E-6</v>
      </c>
      <c r="DW181" s="26">
        <f t="shared" si="241"/>
        <v>0.14999999999999997</v>
      </c>
      <c r="DX181" s="7">
        <v>33.5062727237069</v>
      </c>
      <c r="DY181" s="7">
        <v>75.5008244304708</v>
      </c>
      <c r="DZ181" s="7">
        <v>96.032312732024195</v>
      </c>
      <c r="EA181" s="7">
        <v>75.5008244304708</v>
      </c>
      <c r="EB181" s="7">
        <v>23929.255358571001</v>
      </c>
      <c r="EC181" s="7">
        <v>305.57749073643902</v>
      </c>
      <c r="ED181" s="7">
        <f t="shared" si="242"/>
        <v>247.0339615929658</v>
      </c>
    </row>
    <row r="182" spans="1:134" x14ac:dyDescent="0.4">
      <c r="A182" s="28">
        <v>40</v>
      </c>
      <c r="B182" s="26">
        <v>1.0000000000000001E-5</v>
      </c>
      <c r="C182" s="28">
        <v>0.2</v>
      </c>
      <c r="D182" s="28">
        <v>30</v>
      </c>
      <c r="E182" s="26">
        <v>4.9999999999999998E-7</v>
      </c>
      <c r="F182" s="26">
        <f t="shared" si="216"/>
        <v>9.9999999999999995E-8</v>
      </c>
      <c r="G182" s="26">
        <f t="shared" si="217"/>
        <v>1.9999999999999997E-2</v>
      </c>
      <c r="H182" s="7">
        <v>3.8807126345379599</v>
      </c>
      <c r="I182" s="7">
        <v>3352.9677929484601</v>
      </c>
      <c r="J182" s="7">
        <v>5323.5334580216904</v>
      </c>
      <c r="K182" s="7">
        <v>3352.9677929484601</v>
      </c>
      <c r="L182" s="7">
        <v>13908939.478979601</v>
      </c>
      <c r="M182" s="7">
        <v>12732.395447351601</v>
      </c>
      <c r="N182" s="7">
        <f t="shared" si="218"/>
        <v>12029.469043918611</v>
      </c>
      <c r="P182" s="28">
        <v>40</v>
      </c>
      <c r="Q182" s="26">
        <v>3.0000000000000001E-5</v>
      </c>
      <c r="R182" s="28">
        <v>0.2</v>
      </c>
      <c r="S182" s="28">
        <v>30</v>
      </c>
      <c r="T182" s="26">
        <v>4.9999999999999998E-7</v>
      </c>
      <c r="U182" s="26">
        <f t="shared" si="219"/>
        <v>9.9999999999999995E-8</v>
      </c>
      <c r="V182" s="26">
        <f t="shared" si="220"/>
        <v>6.6666666666666662E-3</v>
      </c>
      <c r="W182" s="7">
        <v>7.0830112112041297</v>
      </c>
      <c r="X182" s="7">
        <v>1117.6559309715101</v>
      </c>
      <c r="Y182" s="7">
        <v>1774.5111526738999</v>
      </c>
      <c r="Z182" s="7">
        <v>1117.6559309715101</v>
      </c>
      <c r="AA182" s="7">
        <v>4636313.1689486196</v>
      </c>
      <c r="AB182" s="7">
        <v>1414.7106052612901</v>
      </c>
      <c r="AC182" s="7">
        <f t="shared" si="221"/>
        <v>4009.8230146169199</v>
      </c>
      <c r="AE182" s="28">
        <v>40</v>
      </c>
      <c r="AF182" s="26">
        <v>5.0000000000000002E-5</v>
      </c>
      <c r="AG182" s="28">
        <v>0.2</v>
      </c>
      <c r="AH182" s="28">
        <v>30</v>
      </c>
      <c r="AI182" s="26">
        <v>4.9999999999999998E-7</v>
      </c>
      <c r="AJ182" s="26">
        <f t="shared" si="222"/>
        <v>9.9999999999999995E-8</v>
      </c>
      <c r="AK182" s="26">
        <f t="shared" si="223"/>
        <v>3.9999999999999992E-3</v>
      </c>
      <c r="AL182" s="7">
        <v>8.4854737673350105</v>
      </c>
      <c r="AM182" s="7">
        <v>670.59355848720395</v>
      </c>
      <c r="AN182" s="7">
        <v>1064.70669160434</v>
      </c>
      <c r="AO182" s="7">
        <v>670.59355848720395</v>
      </c>
      <c r="AP182" s="7">
        <v>2781787.9800138599</v>
      </c>
      <c r="AQ182" s="7">
        <v>509.29581789406501</v>
      </c>
      <c r="AR182" s="7">
        <f t="shared" si="224"/>
        <v>2405.8938085787481</v>
      </c>
      <c r="AT182" s="28">
        <v>40</v>
      </c>
      <c r="AU182" s="26">
        <v>1.0000000000000001E-5</v>
      </c>
      <c r="AV182" s="28">
        <v>0.2</v>
      </c>
      <c r="AW182" s="28">
        <v>200</v>
      </c>
      <c r="AX182" s="26">
        <v>4.9999999999999998E-7</v>
      </c>
      <c r="AY182" s="26">
        <f t="shared" si="225"/>
        <v>9.9999999999999995E-8</v>
      </c>
      <c r="AZ182" s="26">
        <f t="shared" si="226"/>
        <v>1.9999999999999997E-2</v>
      </c>
      <c r="BA182" s="7">
        <v>5.32945571672896</v>
      </c>
      <c r="BB182" s="7">
        <v>506.171357939058</v>
      </c>
      <c r="BC182" s="7">
        <v>804.808472591532</v>
      </c>
      <c r="BD182" s="7">
        <v>506.171357939058</v>
      </c>
      <c r="BE182" s="7">
        <v>13908939.478979601</v>
      </c>
      <c r="BF182" s="7">
        <v>12732.395447351601</v>
      </c>
      <c r="BG182" s="7">
        <f t="shared" si="227"/>
        <v>1817.1511884696479</v>
      </c>
      <c r="BI182" s="28">
        <v>40</v>
      </c>
      <c r="BJ182" s="26">
        <v>1.0000000000000001E-5</v>
      </c>
      <c r="BK182" s="28">
        <v>0.5</v>
      </c>
      <c r="BL182" s="28">
        <v>200</v>
      </c>
      <c r="BM182" s="26">
        <v>4.9999999999999998E-7</v>
      </c>
      <c r="BN182" s="26">
        <f t="shared" si="228"/>
        <v>2.4999999999999999E-7</v>
      </c>
      <c r="BO182" s="26">
        <f t="shared" si="229"/>
        <v>4.9999999999999996E-2</v>
      </c>
      <c r="BP182" s="7">
        <v>5.3457660607307398</v>
      </c>
      <c r="BQ182" s="7">
        <v>505.31296257696903</v>
      </c>
      <c r="BR182" s="7">
        <v>803.13685140779603</v>
      </c>
      <c r="BS182" s="7">
        <v>505.31296257696903</v>
      </c>
      <c r="BT182" s="7">
        <v>5563575.7915918296</v>
      </c>
      <c r="BU182" s="7">
        <v>12732.395447351601</v>
      </c>
      <c r="BV182" s="7">
        <f t="shared" si="230"/>
        <v>1813.7627765617342</v>
      </c>
      <c r="BX182" s="28">
        <v>40</v>
      </c>
      <c r="BY182" s="26">
        <v>5.0000000000000002E-5</v>
      </c>
      <c r="BZ182" s="28">
        <v>0.5</v>
      </c>
      <c r="CA182" s="28">
        <v>200</v>
      </c>
      <c r="CB182" s="26">
        <v>4.9999999999999998E-7</v>
      </c>
      <c r="CC182" s="26">
        <f t="shared" si="231"/>
        <v>2.4999999999999999E-7</v>
      </c>
      <c r="CD182" s="26">
        <f t="shared" si="232"/>
        <v>9.9999999999999985E-3</v>
      </c>
      <c r="CE182" s="7">
        <v>21.036525761046001</v>
      </c>
      <c r="CF182" s="7">
        <v>101.06259250957299</v>
      </c>
      <c r="CG182" s="7">
        <v>160.627370281559</v>
      </c>
      <c r="CH182" s="7">
        <v>101.06259250957299</v>
      </c>
      <c r="CI182" s="7">
        <v>1112715.19200554</v>
      </c>
      <c r="CJ182" s="7">
        <v>509.29581789406501</v>
      </c>
      <c r="CK182" s="7">
        <f t="shared" si="233"/>
        <v>362.75255530070496</v>
      </c>
      <c r="CM182" s="28">
        <v>40</v>
      </c>
      <c r="CN182" s="26">
        <v>5.0000000000000002E-5</v>
      </c>
      <c r="CO182" s="28">
        <v>1</v>
      </c>
      <c r="CP182" s="28">
        <v>200</v>
      </c>
      <c r="CQ182" s="26">
        <v>4.9999999999999998E-7</v>
      </c>
      <c r="CR182" s="26">
        <f t="shared" si="234"/>
        <v>4.9999999999999998E-7</v>
      </c>
      <c r="CS182" s="26">
        <f t="shared" si="235"/>
        <v>1.9999999999999997E-2</v>
      </c>
      <c r="CT182" s="7">
        <v>21.0797116359727</v>
      </c>
      <c r="CU182" s="7">
        <v>100.77787314708399</v>
      </c>
      <c r="CV182" s="7">
        <v>160.073267279547</v>
      </c>
      <c r="CW182" s="7">
        <v>100.77787314708399</v>
      </c>
      <c r="CX182" s="7">
        <v>556357.59600277198</v>
      </c>
      <c r="CY182" s="7">
        <v>509.29581789406501</v>
      </c>
      <c r="CZ182" s="7">
        <f t="shared" si="236"/>
        <v>361.62901357371499</v>
      </c>
      <c r="DB182" s="28">
        <v>40</v>
      </c>
      <c r="DC182" s="26">
        <v>5.0000000000000002E-5</v>
      </c>
      <c r="DD182" s="28">
        <v>2</v>
      </c>
      <c r="DE182" s="28">
        <v>200</v>
      </c>
      <c r="DF182" s="26">
        <v>4.9999999999999998E-7</v>
      </c>
      <c r="DG182" s="26">
        <f t="shared" si="237"/>
        <v>9.9999999999999995E-7</v>
      </c>
      <c r="DH182" s="26">
        <f t="shared" si="238"/>
        <v>3.9999999999999994E-2</v>
      </c>
      <c r="DI182" s="7">
        <v>21.165831377825999</v>
      </c>
      <c r="DJ182" s="7">
        <v>100.213668542356</v>
      </c>
      <c r="DK182" s="7">
        <v>158.97655523681999</v>
      </c>
      <c r="DL182" s="7">
        <v>100.213668542356</v>
      </c>
      <c r="DM182" s="7">
        <v>278178.79800138599</v>
      </c>
      <c r="DN182" s="7">
        <v>509.29581789406501</v>
      </c>
      <c r="DO182" s="7">
        <f t="shared" si="239"/>
        <v>359.403892321532</v>
      </c>
      <c r="DQ182" s="28">
        <v>40</v>
      </c>
      <c r="DR182" s="26">
        <v>5.0000000000000002E-5</v>
      </c>
      <c r="DS182" s="28">
        <v>15</v>
      </c>
      <c r="DT182" s="28">
        <v>300</v>
      </c>
      <c r="DU182" s="26">
        <v>2.4999999999999999E-7</v>
      </c>
      <c r="DV182" s="26">
        <f t="shared" si="240"/>
        <v>3.7499999999999997E-6</v>
      </c>
      <c r="DW182" s="26">
        <f t="shared" si="241"/>
        <v>0.14999999999999997</v>
      </c>
      <c r="DX182" s="7">
        <v>35.351770839239201</v>
      </c>
      <c r="DY182" s="7">
        <v>63.957630951740299</v>
      </c>
      <c r="DZ182" s="7">
        <v>100.479958515748</v>
      </c>
      <c r="EA182" s="7">
        <v>63.957630951740299</v>
      </c>
      <c r="EB182" s="7">
        <v>37090.5064001848</v>
      </c>
      <c r="EC182" s="7">
        <v>305.57749073643902</v>
      </c>
      <c r="ED182" s="7">
        <f t="shared" si="242"/>
        <v>228.39522041922859</v>
      </c>
    </row>
    <row r="183" spans="1:134" x14ac:dyDescent="0.4">
      <c r="A183" s="28">
        <v>45</v>
      </c>
      <c r="B183" s="26">
        <v>1.0000000000000001E-5</v>
      </c>
      <c r="C183" s="28">
        <v>0.2</v>
      </c>
      <c r="D183" s="28">
        <v>30</v>
      </c>
      <c r="E183" s="26">
        <v>4.9999999999999998E-7</v>
      </c>
      <c r="F183" s="26">
        <f t="shared" si="216"/>
        <v>9.9999999999999995E-8</v>
      </c>
      <c r="G183" s="26">
        <f t="shared" si="217"/>
        <v>1.9999999999999997E-2</v>
      </c>
      <c r="H183" s="7">
        <v>4.1287246425153299</v>
      </c>
      <c r="I183" s="7">
        <v>2844.9728255004802</v>
      </c>
      <c r="J183" s="7">
        <v>5459.8455675855203</v>
      </c>
      <c r="K183" s="7">
        <v>2844.9728255004802</v>
      </c>
      <c r="L183" s="7">
        <v>22314016.336053099</v>
      </c>
      <c r="M183" s="7">
        <v>12732.395447351601</v>
      </c>
      <c r="N183" s="7">
        <f t="shared" si="218"/>
        <v>11149.791218586481</v>
      </c>
      <c r="P183" s="28">
        <v>45</v>
      </c>
      <c r="Q183" s="26">
        <v>3.0000000000000001E-5</v>
      </c>
      <c r="R183" s="28">
        <v>0.2</v>
      </c>
      <c r="S183" s="28">
        <v>30</v>
      </c>
      <c r="T183" s="26">
        <v>4.9999999999999998E-7</v>
      </c>
      <c r="U183" s="26">
        <f t="shared" si="219"/>
        <v>9.9999999999999995E-8</v>
      </c>
      <c r="V183" s="26">
        <f t="shared" si="220"/>
        <v>6.6666666666666662E-3</v>
      </c>
      <c r="W183" s="7">
        <v>7.6920400493713803</v>
      </c>
      <c r="X183" s="7">
        <v>948.32427515736799</v>
      </c>
      <c r="Y183" s="7">
        <v>1819.94852252851</v>
      </c>
      <c r="Z183" s="7">
        <v>948.32427515736799</v>
      </c>
      <c r="AA183" s="7">
        <v>7438005.4604388904</v>
      </c>
      <c r="AB183" s="7">
        <v>1414.7106052612901</v>
      </c>
      <c r="AC183" s="7">
        <f t="shared" si="221"/>
        <v>3716.5970728432458</v>
      </c>
      <c r="AE183" s="28">
        <v>45</v>
      </c>
      <c r="AF183" s="26">
        <v>5.0000000000000002E-5</v>
      </c>
      <c r="AG183" s="28">
        <v>0.2</v>
      </c>
      <c r="AH183" s="28">
        <v>30</v>
      </c>
      <c r="AI183" s="26">
        <v>4.9999999999999998E-7</v>
      </c>
      <c r="AJ183" s="26">
        <f t="shared" si="222"/>
        <v>9.9999999999999995E-8</v>
      </c>
      <c r="AK183" s="26">
        <f t="shared" si="223"/>
        <v>3.9999999999999992E-3</v>
      </c>
      <c r="AL183" s="7">
        <v>9.2985329082926995</v>
      </c>
      <c r="AM183" s="7">
        <v>568.99456501435202</v>
      </c>
      <c r="AN183" s="7">
        <v>1091.9691135170999</v>
      </c>
      <c r="AO183" s="7">
        <v>568.99456501435202</v>
      </c>
      <c r="AP183" s="7">
        <v>4462803.4040061999</v>
      </c>
      <c r="AQ183" s="7">
        <v>509.29581789406501</v>
      </c>
      <c r="AR183" s="7">
        <f t="shared" si="224"/>
        <v>2229.9582435458042</v>
      </c>
      <c r="AT183" s="28">
        <v>45</v>
      </c>
      <c r="AU183" s="26">
        <v>1.0000000000000001E-5</v>
      </c>
      <c r="AV183" s="28">
        <v>0.2</v>
      </c>
      <c r="AW183" s="28">
        <v>200</v>
      </c>
      <c r="AX183" s="26">
        <v>4.9999999999999998E-7</v>
      </c>
      <c r="AY183" s="26">
        <f t="shared" si="225"/>
        <v>9.9999999999999995E-8</v>
      </c>
      <c r="AZ183" s="26">
        <f t="shared" si="226"/>
        <v>1.9999999999999997E-2</v>
      </c>
      <c r="BA183" s="7">
        <v>5.5662143593418802</v>
      </c>
      <c r="BB183" s="7">
        <v>429.182314820393</v>
      </c>
      <c r="BC183" s="7">
        <v>824.10906225483302</v>
      </c>
      <c r="BD183" s="7">
        <v>429.182314820393</v>
      </c>
      <c r="BE183" s="7">
        <v>22314016.336053099</v>
      </c>
      <c r="BF183" s="7">
        <v>12732.395447351601</v>
      </c>
      <c r="BG183" s="7">
        <f t="shared" si="227"/>
        <v>1682.4736918956191</v>
      </c>
      <c r="BI183" s="28">
        <v>45</v>
      </c>
      <c r="BJ183" s="26">
        <v>1.0000000000000001E-5</v>
      </c>
      <c r="BK183" s="28">
        <v>0.5</v>
      </c>
      <c r="BL183" s="28">
        <v>200</v>
      </c>
      <c r="BM183" s="26">
        <v>4.9999999999999998E-7</v>
      </c>
      <c r="BN183" s="26">
        <f t="shared" si="228"/>
        <v>2.4999999999999999E-7</v>
      </c>
      <c r="BO183" s="26">
        <f t="shared" si="229"/>
        <v>4.9999999999999996E-2</v>
      </c>
      <c r="BP183" s="7">
        <v>5.5769047068267597</v>
      </c>
      <c r="BQ183" s="7">
        <v>428.53449983983199</v>
      </c>
      <c r="BR183" s="7">
        <v>822.74419088845502</v>
      </c>
      <c r="BS183" s="7">
        <v>428.53449983983199</v>
      </c>
      <c r="BT183" s="7">
        <v>8925606.5344212595</v>
      </c>
      <c r="BU183" s="7">
        <v>12732.395447351601</v>
      </c>
      <c r="BV183" s="7">
        <f t="shared" si="230"/>
        <v>1679.8131905681191</v>
      </c>
      <c r="BX183" s="28">
        <v>45</v>
      </c>
      <c r="BY183" s="26">
        <v>5.0000000000000002E-5</v>
      </c>
      <c r="BZ183" s="28">
        <v>0.5</v>
      </c>
      <c r="CA183" s="28">
        <v>200</v>
      </c>
      <c r="CB183" s="26">
        <v>4.9999999999999998E-7</v>
      </c>
      <c r="CC183" s="26">
        <f t="shared" si="231"/>
        <v>2.4999999999999999E-7</v>
      </c>
      <c r="CD183" s="26">
        <f t="shared" si="232"/>
        <v>9.9999999999999985E-3</v>
      </c>
      <c r="CE183" s="7">
        <v>22.3008267816253</v>
      </c>
      <c r="CF183" s="7">
        <v>85.706899963102501</v>
      </c>
      <c r="CG183" s="7">
        <v>164.54883817769101</v>
      </c>
      <c r="CH183" s="7">
        <v>85.706899963102501</v>
      </c>
      <c r="CI183" s="7">
        <v>1785121.3616024801</v>
      </c>
      <c r="CJ183" s="7">
        <v>509.29581789406501</v>
      </c>
      <c r="CK183" s="7">
        <f t="shared" si="233"/>
        <v>335.96263810389598</v>
      </c>
      <c r="CM183" s="28">
        <v>45</v>
      </c>
      <c r="CN183" s="26">
        <v>5.0000000000000002E-5</v>
      </c>
      <c r="CO183" s="28">
        <v>1</v>
      </c>
      <c r="CP183" s="28">
        <v>200</v>
      </c>
      <c r="CQ183" s="26">
        <v>4.9999999999999998E-7</v>
      </c>
      <c r="CR183" s="26">
        <f t="shared" si="234"/>
        <v>4.9999999999999998E-7</v>
      </c>
      <c r="CS183" s="26">
        <f t="shared" si="235"/>
        <v>1.9999999999999997E-2</v>
      </c>
      <c r="CT183" s="7">
        <v>22.332270836657202</v>
      </c>
      <c r="CU183" s="7">
        <v>85.491887514072303</v>
      </c>
      <c r="CV183" s="7">
        <v>164.095913900619</v>
      </c>
      <c r="CW183" s="7">
        <v>85.491887514072303</v>
      </c>
      <c r="CX183" s="7">
        <v>892560.68080124003</v>
      </c>
      <c r="CY183" s="7">
        <v>509.29581789406501</v>
      </c>
      <c r="CZ183" s="7">
        <f t="shared" si="236"/>
        <v>335.07968892876357</v>
      </c>
      <c r="DB183" s="28">
        <v>45</v>
      </c>
      <c r="DC183" s="26">
        <v>5.0000000000000002E-5</v>
      </c>
      <c r="DD183" s="28">
        <v>2</v>
      </c>
      <c r="DE183" s="28">
        <v>200</v>
      </c>
      <c r="DF183" s="26">
        <v>4.9999999999999998E-7</v>
      </c>
      <c r="DG183" s="26">
        <f t="shared" si="237"/>
        <v>9.9999999999999995E-7</v>
      </c>
      <c r="DH183" s="26">
        <f t="shared" si="238"/>
        <v>3.9999999999999994E-2</v>
      </c>
      <c r="DI183" s="7">
        <v>22.3949777545334</v>
      </c>
      <c r="DJ183" s="7">
        <v>85.065299620820397</v>
      </c>
      <c r="DK183" s="7">
        <v>163.197611169178</v>
      </c>
      <c r="DL183" s="7">
        <v>85.065299620820397</v>
      </c>
      <c r="DM183" s="7">
        <v>446280.34040062001</v>
      </c>
      <c r="DN183" s="7">
        <v>509.29581789406501</v>
      </c>
      <c r="DO183" s="7">
        <f t="shared" si="239"/>
        <v>333.32821041081877</v>
      </c>
      <c r="DQ183" s="28">
        <v>45</v>
      </c>
      <c r="DR183" s="26">
        <v>5.0000000000000002E-5</v>
      </c>
      <c r="DS183" s="28">
        <v>15</v>
      </c>
      <c r="DT183" s="28">
        <v>300</v>
      </c>
      <c r="DU183" s="26">
        <v>2.4999999999999999E-7</v>
      </c>
      <c r="DV183" s="26">
        <f t="shared" si="240"/>
        <v>3.7499999999999997E-6</v>
      </c>
      <c r="DW183" s="26">
        <f t="shared" si="241"/>
        <v>0.14999999999999997</v>
      </c>
      <c r="DX183" s="7">
        <v>37.118379964143003</v>
      </c>
      <c r="DY183" s="7">
        <v>54.539450656433999</v>
      </c>
      <c r="DZ183" s="7">
        <v>104.236562937325</v>
      </c>
      <c r="EA183" s="7">
        <v>54.539450656433999</v>
      </c>
      <c r="EB183" s="7">
        <v>59504.045386749298</v>
      </c>
      <c r="EC183" s="7">
        <v>305.57749073643902</v>
      </c>
      <c r="ED183" s="7">
        <f t="shared" si="242"/>
        <v>213.31546425019297</v>
      </c>
    </row>
    <row r="184" spans="1:134" x14ac:dyDescent="0.4">
      <c r="A184" s="28">
        <v>50</v>
      </c>
      <c r="B184" s="26">
        <v>1.0000000000000001E-5</v>
      </c>
      <c r="C184" s="28">
        <v>0.2</v>
      </c>
      <c r="D184" s="28">
        <v>30</v>
      </c>
      <c r="E184" s="26">
        <v>4.9999999999999998E-7</v>
      </c>
      <c r="F184" s="26">
        <f t="shared" si="216"/>
        <v>9.9999999999999995E-8</v>
      </c>
      <c r="G184" s="26">
        <f t="shared" si="217"/>
        <v>1.9999999999999997E-2</v>
      </c>
      <c r="H184" s="7">
        <v>4.3594874808818798</v>
      </c>
      <c r="I184" s="7">
        <v>2422.0764785389101</v>
      </c>
      <c r="J184" s="7">
        <v>5581.9822447758097</v>
      </c>
      <c r="K184" s="7">
        <v>2422.0764785389101</v>
      </c>
      <c r="L184" s="7">
        <v>38032949.861855596</v>
      </c>
      <c r="M184" s="7">
        <v>12732.395447351601</v>
      </c>
      <c r="N184" s="7">
        <f t="shared" si="218"/>
        <v>10426.135201853631</v>
      </c>
      <c r="P184" s="28">
        <v>50</v>
      </c>
      <c r="Q184" s="26">
        <v>3.0000000000000001E-5</v>
      </c>
      <c r="R184" s="28">
        <v>0.2</v>
      </c>
      <c r="S184" s="28">
        <v>30</v>
      </c>
      <c r="T184" s="26">
        <v>4.9999999999999998E-7</v>
      </c>
      <c r="U184" s="26">
        <f t="shared" si="219"/>
        <v>9.9999999999999995E-8</v>
      </c>
      <c r="V184" s="26">
        <f t="shared" si="220"/>
        <v>6.6666666666666662E-3</v>
      </c>
      <c r="W184" s="7">
        <v>8.2686354168622707</v>
      </c>
      <c r="X184" s="7">
        <v>807.35882617166396</v>
      </c>
      <c r="Y184" s="7">
        <v>1860.6607482586001</v>
      </c>
      <c r="Z184" s="7">
        <v>807.35882617166396</v>
      </c>
      <c r="AA184" s="7">
        <v>12677649.9784535</v>
      </c>
      <c r="AB184" s="7">
        <v>1414.7106052612901</v>
      </c>
      <c r="AC184" s="7">
        <f t="shared" si="221"/>
        <v>3475.3784006019282</v>
      </c>
      <c r="AE184" s="28">
        <v>50</v>
      </c>
      <c r="AF184" s="26">
        <v>5.0000000000000002E-5</v>
      </c>
      <c r="AG184" s="28">
        <v>0.2</v>
      </c>
      <c r="AH184" s="28">
        <v>30</v>
      </c>
      <c r="AI184" s="26">
        <v>4.9999999999999998E-7</v>
      </c>
      <c r="AJ184" s="26">
        <f t="shared" si="222"/>
        <v>9.9999999999999995E-8</v>
      </c>
      <c r="AK184" s="26">
        <f t="shared" si="223"/>
        <v>3.9999999999999992E-3</v>
      </c>
      <c r="AL184" s="7">
        <v>10.076768614514499</v>
      </c>
      <c r="AM184" s="7">
        <v>484.41529563550102</v>
      </c>
      <c r="AN184" s="7">
        <v>1116.3964489551599</v>
      </c>
      <c r="AO184" s="7">
        <v>484.41529563550102</v>
      </c>
      <c r="AP184" s="7">
        <v>7606590.1945190197</v>
      </c>
      <c r="AQ184" s="7">
        <v>509.29581789406501</v>
      </c>
      <c r="AR184" s="7">
        <f t="shared" si="224"/>
        <v>2085.227040226162</v>
      </c>
      <c r="AT184" s="28">
        <v>50</v>
      </c>
      <c r="AU184" s="26">
        <v>1.0000000000000001E-5</v>
      </c>
      <c r="AV184" s="28">
        <v>0.2</v>
      </c>
      <c r="AW184" s="28">
        <v>200</v>
      </c>
      <c r="AX184" s="26">
        <v>4.9999999999999998E-7</v>
      </c>
      <c r="AY184" s="26">
        <f t="shared" si="225"/>
        <v>9.9999999999999995E-8</v>
      </c>
      <c r="AZ184" s="26">
        <f t="shared" si="226"/>
        <v>1.9999999999999997E-2</v>
      </c>
      <c r="BA184" s="7">
        <v>5.7858286147895903</v>
      </c>
      <c r="BB184" s="7">
        <v>365.18105956717</v>
      </c>
      <c r="BC184" s="7">
        <v>841.53641728653497</v>
      </c>
      <c r="BD184" s="7">
        <v>365.18105956717</v>
      </c>
      <c r="BE184" s="7">
        <v>38032949.861855596</v>
      </c>
      <c r="BF184" s="7">
        <v>12732.395447351601</v>
      </c>
      <c r="BG184" s="7">
        <f t="shared" si="227"/>
        <v>1571.898536420875</v>
      </c>
      <c r="BI184" s="28">
        <v>50</v>
      </c>
      <c r="BJ184" s="26">
        <v>1.0000000000000001E-5</v>
      </c>
      <c r="BK184" s="28">
        <v>0.5</v>
      </c>
      <c r="BL184" s="28">
        <v>200</v>
      </c>
      <c r="BM184" s="26">
        <v>4.9999999999999998E-7</v>
      </c>
      <c r="BN184" s="26">
        <f t="shared" si="228"/>
        <v>2.4999999999999999E-7</v>
      </c>
      <c r="BO184" s="26">
        <f t="shared" si="229"/>
        <v>4.9999999999999996E-2</v>
      </c>
      <c r="BP184" s="7">
        <v>5.7924471441005396</v>
      </c>
      <c r="BQ184" s="7">
        <v>364.68421056947602</v>
      </c>
      <c r="BR184" s="7">
        <v>840.41004328064798</v>
      </c>
      <c r="BS184" s="7">
        <v>364.68421056947602</v>
      </c>
      <c r="BT184" s="7">
        <v>15213179.944742201</v>
      </c>
      <c r="BU184" s="7">
        <v>12732.395447351601</v>
      </c>
      <c r="BV184" s="7">
        <f t="shared" si="230"/>
        <v>1569.7784644195999</v>
      </c>
      <c r="BX184" s="28">
        <v>50</v>
      </c>
      <c r="BY184" s="26">
        <v>5.0000000000000002E-5</v>
      </c>
      <c r="BZ184" s="28">
        <v>0.5</v>
      </c>
      <c r="CA184" s="28">
        <v>200</v>
      </c>
      <c r="CB184" s="26">
        <v>4.9999999999999998E-7</v>
      </c>
      <c r="CC184" s="26">
        <f t="shared" si="231"/>
        <v>2.4999999999999999E-7</v>
      </c>
      <c r="CD184" s="26">
        <f t="shared" si="232"/>
        <v>9.9999999999999985E-3</v>
      </c>
      <c r="CE184" s="7">
        <v>23.471885158898399</v>
      </c>
      <c r="CF184" s="7">
        <v>72.936842109798505</v>
      </c>
      <c r="CG184" s="7">
        <v>168.08200865613</v>
      </c>
      <c r="CH184" s="7">
        <v>72.936842109798505</v>
      </c>
      <c r="CI184" s="7">
        <v>3042636.0778076099</v>
      </c>
      <c r="CJ184" s="7">
        <v>509.29581789406501</v>
      </c>
      <c r="CK184" s="7">
        <f t="shared" si="233"/>
        <v>313.95569287572698</v>
      </c>
      <c r="CM184" s="28">
        <v>50</v>
      </c>
      <c r="CN184" s="26">
        <v>5.0000000000000002E-5</v>
      </c>
      <c r="CO184" s="28">
        <v>1</v>
      </c>
      <c r="CP184" s="28">
        <v>200</v>
      </c>
      <c r="CQ184" s="26">
        <v>4.9999999999999998E-7</v>
      </c>
      <c r="CR184" s="26">
        <f t="shared" si="234"/>
        <v>4.9999999999999998E-7</v>
      </c>
      <c r="CS184" s="26">
        <f t="shared" si="235"/>
        <v>1.9999999999999997E-2</v>
      </c>
      <c r="CT184" s="7">
        <v>23.4945631622105</v>
      </c>
      <c r="CU184" s="7">
        <v>72.771853396363895</v>
      </c>
      <c r="CV184" s="7">
        <v>167.707917393011</v>
      </c>
      <c r="CW184" s="7">
        <v>72.771853396363895</v>
      </c>
      <c r="CX184" s="7">
        <v>1521318.0389038101</v>
      </c>
      <c r="CY184" s="7">
        <v>509.29581789406501</v>
      </c>
      <c r="CZ184" s="7">
        <f t="shared" si="236"/>
        <v>313.25162418573882</v>
      </c>
      <c r="DB184" s="28">
        <v>50</v>
      </c>
      <c r="DC184" s="26">
        <v>5.0000000000000002E-5</v>
      </c>
      <c r="DD184" s="28">
        <v>2</v>
      </c>
      <c r="DE184" s="28">
        <v>200</v>
      </c>
      <c r="DF184" s="26">
        <v>4.9999999999999998E-7</v>
      </c>
      <c r="DG184" s="26">
        <f t="shared" si="237"/>
        <v>9.9999999999999995E-7</v>
      </c>
      <c r="DH184" s="26">
        <f t="shared" si="238"/>
        <v>3.9999999999999994E-2</v>
      </c>
      <c r="DI184" s="7">
        <v>23.5397863726728</v>
      </c>
      <c r="DJ184" s="7">
        <v>72.444208829560395</v>
      </c>
      <c r="DK184" s="7">
        <v>166.964817403171</v>
      </c>
      <c r="DL184" s="7">
        <v>72.444208829560395</v>
      </c>
      <c r="DM184" s="7">
        <v>760659.01945190295</v>
      </c>
      <c r="DN184" s="7">
        <v>509.29581789406501</v>
      </c>
      <c r="DO184" s="7">
        <f t="shared" si="239"/>
        <v>311.85323506229179</v>
      </c>
      <c r="DQ184" s="28">
        <v>50</v>
      </c>
      <c r="DR184" s="26">
        <v>5.0000000000000002E-5</v>
      </c>
      <c r="DS184" s="28">
        <v>15</v>
      </c>
      <c r="DT184" s="28">
        <v>300</v>
      </c>
      <c r="DU184" s="26">
        <v>2.4999999999999999E-7</v>
      </c>
      <c r="DV184" s="26">
        <f t="shared" si="240"/>
        <v>3.7499999999999997E-6</v>
      </c>
      <c r="DW184" s="26">
        <f t="shared" si="241"/>
        <v>0.14999999999999997</v>
      </c>
      <c r="DX184" s="7">
        <v>38.8152201831981</v>
      </c>
      <c r="DY184" s="7">
        <v>46.620018473906597</v>
      </c>
      <c r="DZ184" s="7">
        <v>107.50242472112301</v>
      </c>
      <c r="EA184" s="7">
        <v>46.620018473906597</v>
      </c>
      <c r="EB184" s="7">
        <v>101421.202593587</v>
      </c>
      <c r="EC184" s="7">
        <v>305.57749073643902</v>
      </c>
      <c r="ED184" s="7">
        <f t="shared" si="242"/>
        <v>200.74246166893619</v>
      </c>
    </row>
    <row r="185" spans="1:134" x14ac:dyDescent="0.4">
      <c r="A185" s="28">
        <v>55.000000000000007</v>
      </c>
      <c r="B185" s="26">
        <v>1.0000000000000001E-5</v>
      </c>
      <c r="C185" s="28">
        <v>0.2</v>
      </c>
      <c r="D185" s="28">
        <v>30</v>
      </c>
      <c r="E185" s="26">
        <v>4.9999999999999998E-7</v>
      </c>
      <c r="F185" s="26">
        <f t="shared" si="216"/>
        <v>9.9999999999999995E-8</v>
      </c>
      <c r="G185" s="26">
        <f t="shared" si="217"/>
        <v>1.9999999999999997E-2</v>
      </c>
      <c r="H185" s="7">
        <v>4.5760479210601703</v>
      </c>
      <c r="I185" s="7">
        <v>2061.2283400943002</v>
      </c>
      <c r="J185" s="7">
        <v>5692.8014386926097</v>
      </c>
      <c r="K185" s="7">
        <v>2061.2283400943002</v>
      </c>
      <c r="L185" s="7">
        <v>72349793.874809399</v>
      </c>
      <c r="M185" s="7">
        <v>12732.395447351601</v>
      </c>
      <c r="N185" s="7">
        <f t="shared" si="218"/>
        <v>9815.2581188812092</v>
      </c>
      <c r="P185" s="28">
        <v>55.000000000000007</v>
      </c>
      <c r="Q185" s="26">
        <v>3.0000000000000001E-5</v>
      </c>
      <c r="R185" s="28">
        <v>0.2</v>
      </c>
      <c r="S185" s="28">
        <v>30</v>
      </c>
      <c r="T185" s="26">
        <v>4.9999999999999998E-7</v>
      </c>
      <c r="U185" s="26">
        <f t="shared" si="219"/>
        <v>9.9999999999999995E-8</v>
      </c>
      <c r="V185" s="26">
        <f t="shared" si="220"/>
        <v>6.6666666666666662E-3</v>
      </c>
      <c r="W185" s="7">
        <v>8.8182664378625208</v>
      </c>
      <c r="X185" s="7">
        <v>687.07611335802699</v>
      </c>
      <c r="Y185" s="7">
        <v>1897.6004795642</v>
      </c>
      <c r="Z185" s="7">
        <v>687.07611335802699</v>
      </c>
      <c r="AA185" s="7">
        <v>24116597.9983452</v>
      </c>
      <c r="AB185" s="7">
        <v>1414.7106052612901</v>
      </c>
      <c r="AC185" s="7">
        <f t="shared" si="221"/>
        <v>3271.7527062802537</v>
      </c>
      <c r="AE185" s="28">
        <v>55.000000000000007</v>
      </c>
      <c r="AF185" s="26">
        <v>5.0000000000000002E-5</v>
      </c>
      <c r="AG185" s="28">
        <v>0.2</v>
      </c>
      <c r="AH185" s="28">
        <v>30</v>
      </c>
      <c r="AI185" s="26">
        <v>4.9999999999999998E-7</v>
      </c>
      <c r="AJ185" s="26">
        <f t="shared" si="222"/>
        <v>9.9999999999999995E-8</v>
      </c>
      <c r="AK185" s="26">
        <f t="shared" si="223"/>
        <v>3.9999999999999992E-3</v>
      </c>
      <c r="AL185" s="7">
        <v>10.826094527238199</v>
      </c>
      <c r="AM185" s="7">
        <v>412.24566795777702</v>
      </c>
      <c r="AN185" s="7">
        <v>1138.5602877385199</v>
      </c>
      <c r="AO185" s="7">
        <v>412.24566795777702</v>
      </c>
      <c r="AP185" s="7">
        <v>14469959.1382923</v>
      </c>
      <c r="AQ185" s="7">
        <v>509.29581789406501</v>
      </c>
      <c r="AR185" s="7">
        <f t="shared" si="224"/>
        <v>1963.0516236540739</v>
      </c>
      <c r="AT185" s="28">
        <v>55.000000000000007</v>
      </c>
      <c r="AU185" s="26">
        <v>1.0000000000000001E-5</v>
      </c>
      <c r="AV185" s="28">
        <v>0.2</v>
      </c>
      <c r="AW185" s="28">
        <v>200</v>
      </c>
      <c r="AX185" s="26">
        <v>4.9999999999999998E-7</v>
      </c>
      <c r="AY185" s="26">
        <f t="shared" si="225"/>
        <v>9.9999999999999995E-8</v>
      </c>
      <c r="AZ185" s="26">
        <f t="shared" si="226"/>
        <v>1.9999999999999997E-2</v>
      </c>
      <c r="BA185" s="7">
        <v>5.9912295173976604</v>
      </c>
      <c r="BB185" s="7">
        <v>310.62949089263498</v>
      </c>
      <c r="BC185" s="7">
        <v>857.43494866405695</v>
      </c>
      <c r="BD185" s="7">
        <v>310.62949089263498</v>
      </c>
      <c r="BE185" s="7">
        <v>72349793.874809399</v>
      </c>
      <c r="BF185" s="7">
        <v>12732.395447351601</v>
      </c>
      <c r="BG185" s="7">
        <f t="shared" si="227"/>
        <v>1478.6939304493269</v>
      </c>
      <c r="BI185" s="28">
        <v>55.000000000000007</v>
      </c>
      <c r="BJ185" s="26">
        <v>1.0000000000000001E-5</v>
      </c>
      <c r="BK185" s="28">
        <v>0.5</v>
      </c>
      <c r="BL185" s="28">
        <v>200</v>
      </c>
      <c r="BM185" s="26">
        <v>4.9999999999999998E-7</v>
      </c>
      <c r="BN185" s="26">
        <f t="shared" si="228"/>
        <v>2.4999999999999999E-7</v>
      </c>
      <c r="BO185" s="26">
        <f t="shared" si="229"/>
        <v>4.9999999999999996E-2</v>
      </c>
      <c r="BP185" s="7">
        <v>5.9949531716325399</v>
      </c>
      <c r="BQ185" s="7">
        <v>310.245574031601</v>
      </c>
      <c r="BR185" s="7">
        <v>856.50167124423206</v>
      </c>
      <c r="BS185" s="7">
        <v>310.245574031601</v>
      </c>
      <c r="BT185" s="7">
        <v>28939917.5499238</v>
      </c>
      <c r="BU185" s="7">
        <v>12732.395447351601</v>
      </c>
      <c r="BV185" s="7">
        <f t="shared" si="230"/>
        <v>1476.9928193074338</v>
      </c>
      <c r="BX185" s="28">
        <v>55.000000000000007</v>
      </c>
      <c r="BY185" s="26">
        <v>5.0000000000000002E-5</v>
      </c>
      <c r="BZ185" s="28">
        <v>0.5</v>
      </c>
      <c r="CA185" s="28">
        <v>200</v>
      </c>
      <c r="CB185" s="26">
        <v>4.9999999999999998E-7</v>
      </c>
      <c r="CC185" s="26">
        <f t="shared" si="231"/>
        <v>2.4999999999999999E-7</v>
      </c>
      <c r="CD185" s="26">
        <f t="shared" si="232"/>
        <v>9.9999999999999985E-3</v>
      </c>
      <c r="CE185" s="7">
        <v>24.5665670226945</v>
      </c>
      <c r="CF185" s="7">
        <v>62.049114802860501</v>
      </c>
      <c r="CG185" s="7">
        <v>171.30033424884601</v>
      </c>
      <c r="CH185" s="7">
        <v>62.049114802860501</v>
      </c>
      <c r="CI185" s="7">
        <v>5787983.6553169098</v>
      </c>
      <c r="CJ185" s="7">
        <v>509.29581789406501</v>
      </c>
      <c r="CK185" s="7">
        <f t="shared" si="233"/>
        <v>295.39856385456704</v>
      </c>
      <c r="CM185" s="28">
        <v>55.000000000000007</v>
      </c>
      <c r="CN185" s="26">
        <v>5.0000000000000002E-5</v>
      </c>
      <c r="CO185" s="28">
        <v>1</v>
      </c>
      <c r="CP185" s="28">
        <v>200</v>
      </c>
      <c r="CQ185" s="26">
        <v>4.9999999999999998E-7</v>
      </c>
      <c r="CR185" s="26">
        <f t="shared" si="234"/>
        <v>4.9999999999999998E-7</v>
      </c>
      <c r="CS185" s="26">
        <f t="shared" si="235"/>
        <v>1.9999999999999997E-2</v>
      </c>
      <c r="CT185" s="7">
        <v>24.582712798832301</v>
      </c>
      <c r="CU185" s="7">
        <v>61.921576216120698</v>
      </c>
      <c r="CV185" s="7">
        <v>170.99017320176</v>
      </c>
      <c r="CW185" s="7">
        <v>61.921576216120698</v>
      </c>
      <c r="CX185" s="7">
        <v>2893991.8276584502</v>
      </c>
      <c r="CY185" s="7">
        <v>509.29581789406501</v>
      </c>
      <c r="CZ185" s="7">
        <f t="shared" si="236"/>
        <v>294.83332563400137</v>
      </c>
      <c r="DB185" s="28">
        <v>55.000000000000007</v>
      </c>
      <c r="DC185" s="26">
        <v>5.0000000000000002E-5</v>
      </c>
      <c r="DD185" s="28">
        <v>2</v>
      </c>
      <c r="DE185" s="28">
        <v>200</v>
      </c>
      <c r="DF185" s="26">
        <v>4.9999999999999998E-7</v>
      </c>
      <c r="DG185" s="26">
        <f t="shared" si="237"/>
        <v>9.9999999999999995E-7</v>
      </c>
      <c r="DH185" s="26">
        <f t="shared" si="238"/>
        <v>3.9999999999999994E-2</v>
      </c>
      <c r="DI185" s="7">
        <v>24.6149061823068</v>
      </c>
      <c r="DJ185" s="7">
        <v>61.6681127663864</v>
      </c>
      <c r="DK185" s="7">
        <v>170.373319720317</v>
      </c>
      <c r="DL185" s="7">
        <v>61.6681127663864</v>
      </c>
      <c r="DM185" s="7">
        <v>1446995.91382923</v>
      </c>
      <c r="DN185" s="7">
        <v>509.29581789406501</v>
      </c>
      <c r="DO185" s="7">
        <f t="shared" si="239"/>
        <v>293.7095452530898</v>
      </c>
      <c r="DQ185" s="28">
        <v>55.000000000000007</v>
      </c>
      <c r="DR185" s="26">
        <v>5.0000000000000002E-5</v>
      </c>
      <c r="DS185" s="28">
        <v>15</v>
      </c>
      <c r="DT185" s="28">
        <v>300</v>
      </c>
      <c r="DU185" s="26">
        <v>2.4999999999999999E-7</v>
      </c>
      <c r="DV185" s="26">
        <f t="shared" si="240"/>
        <v>3.7499999999999997E-6</v>
      </c>
      <c r="DW185" s="26">
        <f t="shared" si="241"/>
        <v>0.14999999999999997</v>
      </c>
      <c r="DX185" s="7">
        <v>40.449284314656197</v>
      </c>
      <c r="DY185" s="7">
        <v>39.809859656104699</v>
      </c>
      <c r="DZ185" s="7">
        <v>110.399385072318</v>
      </c>
      <c r="EA185" s="7">
        <v>39.809859656104699</v>
      </c>
      <c r="EB185" s="7">
        <v>192932.78851056399</v>
      </c>
      <c r="EC185" s="7">
        <v>305.57749073643902</v>
      </c>
      <c r="ED185" s="7">
        <f t="shared" si="242"/>
        <v>190.0191043845274</v>
      </c>
    </row>
    <row r="186" spans="1:134" x14ac:dyDescent="0.4">
      <c r="A186" s="28">
        <v>60</v>
      </c>
      <c r="B186" s="26">
        <v>1.0000000000000001E-5</v>
      </c>
      <c r="C186" s="28">
        <v>0.2</v>
      </c>
      <c r="D186" s="28">
        <v>30</v>
      </c>
      <c r="E186" s="26">
        <v>4.9999999999999998E-7</v>
      </c>
      <c r="F186" s="26">
        <f t="shared" si="216"/>
        <v>9.9999999999999995E-8</v>
      </c>
      <c r="G186" s="26">
        <f t="shared" si="217"/>
        <v>1.9999999999999997E-2</v>
      </c>
      <c r="H186" s="7">
        <v>4.7806393849086399</v>
      </c>
      <c r="I186" s="7">
        <v>1747.4582681561301</v>
      </c>
      <c r="J186" s="7">
        <v>5794.3371345962596</v>
      </c>
      <c r="K186" s="7">
        <v>1747.4582681561301</v>
      </c>
      <c r="L186" s="7">
        <v>173207643.02618799</v>
      </c>
      <c r="M186" s="7">
        <v>12732.395447351601</v>
      </c>
      <c r="N186" s="7">
        <f t="shared" si="218"/>
        <v>9289.2536709085198</v>
      </c>
      <c r="P186" s="28">
        <v>60</v>
      </c>
      <c r="Q186" s="26">
        <v>3.0000000000000001E-5</v>
      </c>
      <c r="R186" s="28">
        <v>0.2</v>
      </c>
      <c r="S186" s="28">
        <v>30</v>
      </c>
      <c r="T186" s="26">
        <v>4.9999999999999998E-7</v>
      </c>
      <c r="U186" s="26">
        <f t="shared" si="219"/>
        <v>9.9999999999999995E-8</v>
      </c>
      <c r="V186" s="26">
        <f t="shared" si="220"/>
        <v>6.6666666666666662E-3</v>
      </c>
      <c r="W186" s="7">
        <v>9.3449647790495192</v>
      </c>
      <c r="X186" s="7">
        <v>582.48608937969198</v>
      </c>
      <c r="Y186" s="7">
        <v>1931.4457115320899</v>
      </c>
      <c r="Z186" s="7">
        <v>582.48608937969198</v>
      </c>
      <c r="AA186" s="7">
        <v>57735881.0752545</v>
      </c>
      <c r="AB186" s="7">
        <v>1414.7106052612901</v>
      </c>
      <c r="AC186" s="7">
        <f t="shared" si="221"/>
        <v>3096.4178902914737</v>
      </c>
      <c r="AE186" s="28">
        <v>60</v>
      </c>
      <c r="AF186" s="26">
        <v>5.0000000000000002E-5</v>
      </c>
      <c r="AG186" s="28">
        <v>0.2</v>
      </c>
      <c r="AH186" s="28">
        <v>30</v>
      </c>
      <c r="AI186" s="26">
        <v>4.9999999999999998E-7</v>
      </c>
      <c r="AJ186" s="26">
        <f t="shared" si="222"/>
        <v>9.9999999999999995E-8</v>
      </c>
      <c r="AK186" s="26">
        <f t="shared" si="223"/>
        <v>3.9999999999999992E-3</v>
      </c>
      <c r="AL186" s="7">
        <v>11.550867040019901</v>
      </c>
      <c r="AM186" s="7">
        <v>349.491653579706</v>
      </c>
      <c r="AN186" s="7">
        <v>1158.86742691925</v>
      </c>
      <c r="AO186" s="7">
        <v>349.491653579706</v>
      </c>
      <c r="AP186" s="7">
        <v>34641529.208382502</v>
      </c>
      <c r="AQ186" s="7">
        <v>509.29581789406501</v>
      </c>
      <c r="AR186" s="7">
        <f t="shared" si="224"/>
        <v>1857.8507340786621</v>
      </c>
      <c r="AT186" s="28">
        <v>60</v>
      </c>
      <c r="AU186" s="26">
        <v>1.0000000000000001E-5</v>
      </c>
      <c r="AV186" s="28">
        <v>0.2</v>
      </c>
      <c r="AW186" s="28">
        <v>200</v>
      </c>
      <c r="AX186" s="26">
        <v>4.9999999999999998E-7</v>
      </c>
      <c r="AY186" s="26">
        <f t="shared" si="225"/>
        <v>9.9999999999999995E-8</v>
      </c>
      <c r="AZ186" s="26">
        <f t="shared" si="226"/>
        <v>1.9999999999999997E-2</v>
      </c>
      <c r="BA186" s="7">
        <v>6.18460295125033</v>
      </c>
      <c r="BB186" s="7">
        <v>263.235986756096</v>
      </c>
      <c r="BC186" s="7">
        <v>872.060132412553</v>
      </c>
      <c r="BD186" s="7">
        <v>263.235986756096</v>
      </c>
      <c r="BE186" s="7">
        <v>173207643.02618799</v>
      </c>
      <c r="BF186" s="7">
        <v>12732.395447351601</v>
      </c>
      <c r="BG186" s="7">
        <f t="shared" si="227"/>
        <v>1398.5321059247451</v>
      </c>
      <c r="BI186" s="28">
        <v>60</v>
      </c>
      <c r="BJ186" s="26">
        <v>1.0000000000000001E-5</v>
      </c>
      <c r="BK186" s="28">
        <v>0.5</v>
      </c>
      <c r="BL186" s="28">
        <v>200</v>
      </c>
      <c r="BM186" s="26">
        <v>4.9999999999999998E-7</v>
      </c>
      <c r="BN186" s="26">
        <f t="shared" si="228"/>
        <v>2.4999999999999999E-7</v>
      </c>
      <c r="BO186" s="26">
        <f t="shared" si="229"/>
        <v>4.9999999999999996E-2</v>
      </c>
      <c r="BP186" s="7">
        <v>6.1863558602712896</v>
      </c>
      <c r="BQ186" s="7">
        <v>262.93930247937197</v>
      </c>
      <c r="BR186" s="7">
        <v>871.287964463192</v>
      </c>
      <c r="BS186" s="7">
        <v>262.93930247937197</v>
      </c>
      <c r="BT186" s="7">
        <v>69283057.210475206</v>
      </c>
      <c r="BU186" s="7">
        <v>12732.395447351601</v>
      </c>
      <c r="BV186" s="7">
        <f t="shared" si="230"/>
        <v>1397.1665694219359</v>
      </c>
      <c r="BX186" s="28">
        <v>60</v>
      </c>
      <c r="BY186" s="26">
        <v>5.0000000000000002E-5</v>
      </c>
      <c r="BZ186" s="28">
        <v>0.5</v>
      </c>
      <c r="CA186" s="28">
        <v>200</v>
      </c>
      <c r="CB186" s="26">
        <v>4.9999999999999998E-7</v>
      </c>
      <c r="CC186" s="26">
        <f t="shared" si="231"/>
        <v>2.4999999999999999E-7</v>
      </c>
      <c r="CD186" s="26">
        <f t="shared" si="232"/>
        <v>9.9999999999999985E-3</v>
      </c>
      <c r="CE186" s="7">
        <v>25.597163515861801</v>
      </c>
      <c r="CF186" s="7">
        <v>52.5878604929581</v>
      </c>
      <c r="CG186" s="7">
        <v>174.257592892638</v>
      </c>
      <c r="CH186" s="7">
        <v>52.5878604929581</v>
      </c>
      <c r="CI186" s="7">
        <v>13856611.683352999</v>
      </c>
      <c r="CJ186" s="7">
        <v>509.29581789406501</v>
      </c>
      <c r="CK186" s="7">
        <f t="shared" si="233"/>
        <v>279.4333138785542</v>
      </c>
      <c r="CM186" s="28">
        <v>60</v>
      </c>
      <c r="CN186" s="26">
        <v>5.0000000000000002E-5</v>
      </c>
      <c r="CO186" s="28">
        <v>1</v>
      </c>
      <c r="CP186" s="28">
        <v>200</v>
      </c>
      <c r="CQ186" s="26">
        <v>4.9999999999999998E-7</v>
      </c>
      <c r="CR186" s="26">
        <f t="shared" si="234"/>
        <v>4.9999999999999998E-7</v>
      </c>
      <c r="CS186" s="26">
        <f t="shared" si="235"/>
        <v>1.9999999999999997E-2</v>
      </c>
      <c r="CT186" s="7">
        <v>25.608515096213001</v>
      </c>
      <c r="CU186" s="7">
        <v>52.489267736237203</v>
      </c>
      <c r="CV186" s="7">
        <v>174.00084097458901</v>
      </c>
      <c r="CW186" s="7">
        <v>52.489267736237203</v>
      </c>
      <c r="CX186" s="7">
        <v>6928305.8416764997</v>
      </c>
      <c r="CY186" s="7">
        <v>509.29581789406501</v>
      </c>
      <c r="CZ186" s="7">
        <f t="shared" si="236"/>
        <v>278.97937644706343</v>
      </c>
      <c r="DB186" s="28">
        <v>60</v>
      </c>
      <c r="DC186" s="26">
        <v>5.0000000000000002E-5</v>
      </c>
      <c r="DD186" s="28">
        <v>2</v>
      </c>
      <c r="DE186" s="28">
        <v>200</v>
      </c>
      <c r="DF186" s="26">
        <v>4.9999999999999998E-7</v>
      </c>
      <c r="DG186" s="26">
        <f t="shared" si="237"/>
        <v>9.9999999999999995E-7</v>
      </c>
      <c r="DH186" s="26">
        <f t="shared" si="238"/>
        <v>3.9999999999999994E-2</v>
      </c>
      <c r="DI186" s="7">
        <v>25.631145664736302</v>
      </c>
      <c r="DJ186" s="7">
        <v>52.293206867341603</v>
      </c>
      <c r="DK186" s="7">
        <v>173.489713442035</v>
      </c>
      <c r="DL186" s="7">
        <v>52.293206867341603</v>
      </c>
      <c r="DM186" s="7">
        <v>3464152.9208382498</v>
      </c>
      <c r="DN186" s="7">
        <v>509.29581789406501</v>
      </c>
      <c r="DO186" s="7">
        <f t="shared" si="239"/>
        <v>278.07612717671822</v>
      </c>
      <c r="DQ186" s="28">
        <v>60</v>
      </c>
      <c r="DR186" s="26">
        <v>5.0000000000000002E-5</v>
      </c>
      <c r="DS186" s="28">
        <v>15</v>
      </c>
      <c r="DT186" s="28">
        <v>300</v>
      </c>
      <c r="DU186" s="26">
        <v>2.4999999999999999E-7</v>
      </c>
      <c r="DV186" s="26">
        <f t="shared" si="240"/>
        <v>3.7499999999999997E-6</v>
      </c>
      <c r="DW186" s="26">
        <f t="shared" si="241"/>
        <v>0.14999999999999997</v>
      </c>
      <c r="DX186" s="7">
        <v>42.026867657761898</v>
      </c>
      <c r="DY186" s="7">
        <v>33.851188115179603</v>
      </c>
      <c r="DZ186" s="7">
        <v>113.007558882322</v>
      </c>
      <c r="EA186" s="7">
        <v>33.851188115179603</v>
      </c>
      <c r="EB186" s="7">
        <v>461887.05611176701</v>
      </c>
      <c r="EC186" s="7">
        <v>305.57749073643902</v>
      </c>
      <c r="ED186" s="7">
        <f t="shared" si="242"/>
        <v>180.70993511268122</v>
      </c>
    </row>
    <row r="187" spans="1:134" x14ac:dyDescent="0.4">
      <c r="A187" s="28">
        <v>65</v>
      </c>
      <c r="B187" s="26">
        <v>1.0000000000000001E-5</v>
      </c>
      <c r="C187" s="28">
        <v>0.2</v>
      </c>
      <c r="D187" s="28">
        <v>30</v>
      </c>
      <c r="E187" s="26">
        <v>4.9999999999999998E-7</v>
      </c>
      <c r="F187" s="26">
        <f t="shared" si="216"/>
        <v>9.9999999999999995E-8</v>
      </c>
      <c r="G187" s="26">
        <f t="shared" si="217"/>
        <v>1.9999999999999997E-2</v>
      </c>
      <c r="H187" s="7">
        <v>4.9749814495408602</v>
      </c>
      <c r="I187" s="7">
        <v>1470.52695643265</v>
      </c>
      <c r="J187" s="7">
        <v>5888.0994972997396</v>
      </c>
      <c r="K187" s="7">
        <v>1470.52695643265</v>
      </c>
      <c r="L187" s="7">
        <v>859463306.304919</v>
      </c>
      <c r="M187" s="7">
        <v>12732.395447351601</v>
      </c>
      <c r="N187" s="7">
        <f t="shared" si="218"/>
        <v>8829.1534101650395</v>
      </c>
      <c r="P187" s="28">
        <v>65</v>
      </c>
      <c r="Q187" s="26">
        <v>3.0000000000000001E-5</v>
      </c>
      <c r="R187" s="28">
        <v>0.2</v>
      </c>
      <c r="S187" s="28">
        <v>30</v>
      </c>
      <c r="T187" s="26">
        <v>4.9999999999999998E-7</v>
      </c>
      <c r="U187" s="26">
        <f t="shared" si="219"/>
        <v>9.9999999999999995E-8</v>
      </c>
      <c r="V187" s="26">
        <f t="shared" si="220"/>
        <v>6.6666666666666662E-3</v>
      </c>
      <c r="W187" s="7">
        <v>9.8518368223091599</v>
      </c>
      <c r="X187" s="7">
        <v>490.175652139448</v>
      </c>
      <c r="Y187" s="7">
        <v>1962.6998324332501</v>
      </c>
      <c r="Z187" s="7">
        <v>490.175652139448</v>
      </c>
      <c r="AA187" s="7">
        <v>286487768.88169003</v>
      </c>
      <c r="AB187" s="7">
        <v>1414.7106052612901</v>
      </c>
      <c r="AC187" s="7">
        <f t="shared" si="221"/>
        <v>2943.0511367121462</v>
      </c>
      <c r="AE187" s="28">
        <v>65</v>
      </c>
      <c r="AF187" s="26">
        <v>5.0000000000000002E-5</v>
      </c>
      <c r="AG187" s="28">
        <v>0.2</v>
      </c>
      <c r="AH187" s="28">
        <v>30</v>
      </c>
      <c r="AI187" s="26">
        <v>4.9999999999999998E-7</v>
      </c>
      <c r="AJ187" s="26">
        <f t="shared" si="222"/>
        <v>9.9999999999999995E-8</v>
      </c>
      <c r="AK187" s="26">
        <f t="shared" si="223"/>
        <v>3.9999999999999992E-3</v>
      </c>
      <c r="AL187" s="7">
        <v>12.254440845282099</v>
      </c>
      <c r="AM187" s="7">
        <v>294.10539124333502</v>
      </c>
      <c r="AN187" s="7">
        <v>1177.6198994599499</v>
      </c>
      <c r="AO187" s="7">
        <v>294.10539124333502</v>
      </c>
      <c r="AP187" s="7">
        <v>171892662.28655201</v>
      </c>
      <c r="AQ187" s="7">
        <v>509.29581789406501</v>
      </c>
      <c r="AR187" s="7">
        <f t="shared" si="224"/>
        <v>1765.8306819466197</v>
      </c>
      <c r="AT187" s="28">
        <v>65</v>
      </c>
      <c r="AU187" s="26">
        <v>1.0000000000000001E-5</v>
      </c>
      <c r="AV187" s="28">
        <v>0.2</v>
      </c>
      <c r="AW187" s="28">
        <v>200</v>
      </c>
      <c r="AX187" s="26">
        <v>4.9999999999999998E-7</v>
      </c>
      <c r="AY187" s="26">
        <f t="shared" si="225"/>
        <v>9.9999999999999995E-8</v>
      </c>
      <c r="AZ187" s="26">
        <f t="shared" si="226"/>
        <v>1.9999999999999997E-2</v>
      </c>
      <c r="BA187" s="7">
        <v>6.3676528575187801</v>
      </c>
      <c r="BB187" s="7">
        <v>221.436390808456</v>
      </c>
      <c r="BC187" s="7">
        <v>885.60719905590599</v>
      </c>
      <c r="BD187" s="7">
        <v>221.436390808456</v>
      </c>
      <c r="BE187" s="7">
        <v>859463306.304919</v>
      </c>
      <c r="BF187" s="7">
        <v>12732.395447351601</v>
      </c>
      <c r="BG187" s="7">
        <f t="shared" si="227"/>
        <v>1328.4799806728181</v>
      </c>
      <c r="BI187" s="28">
        <v>65</v>
      </c>
      <c r="BJ187" s="26">
        <v>1.0000000000000001E-5</v>
      </c>
      <c r="BK187" s="28">
        <v>0.5</v>
      </c>
      <c r="BL187" s="28">
        <v>200</v>
      </c>
      <c r="BM187" s="26">
        <v>4.9999999999999998E-7</v>
      </c>
      <c r="BN187" s="26">
        <f t="shared" si="228"/>
        <v>2.4999999999999999E-7</v>
      </c>
      <c r="BO187" s="26">
        <f t="shared" si="229"/>
        <v>4.9999999999999996E-2</v>
      </c>
      <c r="BP187" s="7">
        <v>6.3682096139214801</v>
      </c>
      <c r="BQ187" s="7">
        <v>221.20879187134</v>
      </c>
      <c r="BR187" s="7">
        <v>884.97259280428204</v>
      </c>
      <c r="BS187" s="7">
        <v>221.20879187134</v>
      </c>
      <c r="BT187" s="7">
        <v>343785322.52196801</v>
      </c>
      <c r="BU187" s="7">
        <v>12732.395447351601</v>
      </c>
      <c r="BV187" s="7">
        <f t="shared" si="230"/>
        <v>1327.390176546962</v>
      </c>
      <c r="BX187" s="28">
        <v>65</v>
      </c>
      <c r="BY187" s="26">
        <v>5.0000000000000002E-5</v>
      </c>
      <c r="BZ187" s="28">
        <v>0.5</v>
      </c>
      <c r="CA187" s="28">
        <v>200</v>
      </c>
      <c r="CB187" s="26">
        <v>4.9999999999999998E-7</v>
      </c>
      <c r="CC187" s="26">
        <f t="shared" si="231"/>
        <v>2.4999999999999999E-7</v>
      </c>
      <c r="CD187" s="26">
        <f t="shared" si="232"/>
        <v>9.9999999999999985E-3</v>
      </c>
      <c r="CE187" s="7">
        <v>26.573030935616998</v>
      </c>
      <c r="CF187" s="7">
        <v>44.241758371824098</v>
      </c>
      <c r="CG187" s="7">
        <v>176.99451856085599</v>
      </c>
      <c r="CH187" s="7">
        <v>44.241758371824098</v>
      </c>
      <c r="CI187" s="7">
        <v>68757064.914620593</v>
      </c>
      <c r="CJ187" s="7">
        <v>509.29581789406501</v>
      </c>
      <c r="CK187" s="7">
        <f t="shared" si="233"/>
        <v>265.4780353045042</v>
      </c>
      <c r="CM187" s="28">
        <v>65</v>
      </c>
      <c r="CN187" s="26">
        <v>5.0000000000000002E-5</v>
      </c>
      <c r="CO187" s="28">
        <v>1</v>
      </c>
      <c r="CP187" s="28">
        <v>200</v>
      </c>
      <c r="CQ187" s="26">
        <v>4.9999999999999998E-7</v>
      </c>
      <c r="CR187" s="26">
        <f t="shared" si="234"/>
        <v>4.9999999999999998E-7</v>
      </c>
      <c r="CS187" s="26">
        <f t="shared" si="235"/>
        <v>1.9999999999999997E-2</v>
      </c>
      <c r="CT187" s="7">
        <v>26.5810291075829</v>
      </c>
      <c r="CU187" s="7">
        <v>44.166101596649497</v>
      </c>
      <c r="CV187" s="7">
        <v>176.783417824277</v>
      </c>
      <c r="CW187" s="7">
        <v>44.166101596649497</v>
      </c>
      <c r="CX187" s="7">
        <v>34378532.457310297</v>
      </c>
      <c r="CY187" s="7">
        <v>509.29581789406501</v>
      </c>
      <c r="CZ187" s="7">
        <f t="shared" si="236"/>
        <v>265.11562101757602</v>
      </c>
      <c r="DB187" s="28">
        <v>65</v>
      </c>
      <c r="DC187" s="26">
        <v>5.0000000000000002E-5</v>
      </c>
      <c r="DD187" s="28">
        <v>2</v>
      </c>
      <c r="DE187" s="28">
        <v>200</v>
      </c>
      <c r="DF187" s="26">
        <v>4.9999999999999998E-7</v>
      </c>
      <c r="DG187" s="26">
        <f t="shared" si="237"/>
        <v>9.9999999999999995E-7</v>
      </c>
      <c r="DH187" s="26">
        <f t="shared" si="238"/>
        <v>3.9999999999999994E-2</v>
      </c>
      <c r="DI187" s="7">
        <v>26.596972170928399</v>
      </c>
      <c r="DJ187" s="7">
        <v>44.0155689113517</v>
      </c>
      <c r="DK187" s="7">
        <v>176.36283833637401</v>
      </c>
      <c r="DL187" s="7">
        <v>44.0155689113517</v>
      </c>
      <c r="DM187" s="7">
        <v>17189266.2286552</v>
      </c>
      <c r="DN187" s="7">
        <v>509.29581789406501</v>
      </c>
      <c r="DO187" s="7">
        <f t="shared" si="239"/>
        <v>264.3939761590774</v>
      </c>
      <c r="DQ187" s="28">
        <v>65</v>
      </c>
      <c r="DR187" s="26">
        <v>5.0000000000000002E-5</v>
      </c>
      <c r="DS187" s="28">
        <v>15</v>
      </c>
      <c r="DT187" s="28">
        <v>300</v>
      </c>
      <c r="DU187" s="26">
        <v>2.4999999999999999E-7</v>
      </c>
      <c r="DV187" s="26">
        <f t="shared" si="240"/>
        <v>3.7499999999999997E-6</v>
      </c>
      <c r="DW187" s="26">
        <f t="shared" si="241"/>
        <v>0.14999999999999997</v>
      </c>
      <c r="DX187" s="7">
        <v>43.555001649678303</v>
      </c>
      <c r="DY187" s="7">
        <v>28.565057936355299</v>
      </c>
      <c r="DZ187" s="7">
        <v>115.382714159923</v>
      </c>
      <c r="EA187" s="7">
        <v>28.565057936355299</v>
      </c>
      <c r="EB187" s="7">
        <v>2291902.16382069</v>
      </c>
      <c r="EC187" s="7">
        <v>305.57749073643902</v>
      </c>
      <c r="ED187" s="7">
        <f t="shared" si="242"/>
        <v>172.51283003263359</v>
      </c>
    </row>
    <row r="188" spans="1:134" x14ac:dyDescent="0.4">
      <c r="A188" s="28">
        <v>70</v>
      </c>
      <c r="B188" s="26">
        <v>1.0000000000000001E-5</v>
      </c>
      <c r="C188" s="28">
        <v>0.2</v>
      </c>
      <c r="D188" s="28">
        <v>30</v>
      </c>
      <c r="E188" s="26">
        <v>4.9999999999999998E-7</v>
      </c>
      <c r="F188" s="26">
        <f t="shared" si="216"/>
        <v>9.9999999999999995E-8</v>
      </c>
      <c r="G188" s="26">
        <f t="shared" si="217"/>
        <v>1.9999999999999997E-2</v>
      </c>
      <c r="H188" s="7">
        <v>5.1605430581341203</v>
      </c>
      <c r="I188" s="7">
        <v>1223.14114606982</v>
      </c>
      <c r="J188" s="7">
        <v>5975.2459753258199</v>
      </c>
      <c r="K188" s="7">
        <v>1223.14114606982</v>
      </c>
      <c r="L188" s="7" t="s">
        <v>94</v>
      </c>
      <c r="M188" s="7">
        <v>12732.395447351601</v>
      </c>
      <c r="N188" s="7">
        <f t="shared" si="218"/>
        <v>8421.5282674654591</v>
      </c>
      <c r="P188" s="28">
        <v>70</v>
      </c>
      <c r="Q188" s="26">
        <v>3.0000000000000001E-5</v>
      </c>
      <c r="R188" s="28">
        <v>0.2</v>
      </c>
      <c r="S188" s="28">
        <v>30</v>
      </c>
      <c r="T188" s="26">
        <v>4.9999999999999998E-7</v>
      </c>
      <c r="U188" s="26">
        <f t="shared" si="219"/>
        <v>9.9999999999999995E-8</v>
      </c>
      <c r="V188" s="26">
        <f t="shared" si="220"/>
        <v>6.6666666666666662E-3</v>
      </c>
      <c r="W188" s="7">
        <v>10.3414524650827</v>
      </c>
      <c r="X188" s="7">
        <v>407.71371535265399</v>
      </c>
      <c r="Y188" s="7">
        <v>1991.7486584419401</v>
      </c>
      <c r="Z188" s="7">
        <v>407.71371535265399</v>
      </c>
      <c r="AA188" s="7" t="s">
        <v>94</v>
      </c>
      <c r="AB188" s="7">
        <v>1414.7106052612901</v>
      </c>
      <c r="AC188" s="7">
        <f t="shared" si="221"/>
        <v>2807.1760891472481</v>
      </c>
      <c r="AE188" s="28">
        <v>70</v>
      </c>
      <c r="AF188" s="26">
        <v>5.0000000000000002E-5</v>
      </c>
      <c r="AG188" s="28">
        <v>0.2</v>
      </c>
      <c r="AH188" s="28">
        <v>30</v>
      </c>
      <c r="AI188" s="26">
        <v>4.9999999999999998E-7</v>
      </c>
      <c r="AJ188" s="26">
        <f t="shared" si="222"/>
        <v>9.9999999999999995E-8</v>
      </c>
      <c r="AK188" s="26">
        <f t="shared" si="223"/>
        <v>3.9999999999999992E-3</v>
      </c>
      <c r="AL188" s="7">
        <v>12.939582263533699</v>
      </c>
      <c r="AM188" s="7">
        <v>244.62822917813699</v>
      </c>
      <c r="AN188" s="7">
        <v>1195.0491950651599</v>
      </c>
      <c r="AO188" s="7">
        <v>244.62822917813699</v>
      </c>
      <c r="AP188" s="7" t="s">
        <v>94</v>
      </c>
      <c r="AQ188" s="7">
        <v>509.29581789406501</v>
      </c>
      <c r="AR188" s="7">
        <f t="shared" si="224"/>
        <v>1684.3056534214338</v>
      </c>
      <c r="AT188" s="28">
        <v>70</v>
      </c>
      <c r="AU188" s="26">
        <v>1.0000000000000001E-5</v>
      </c>
      <c r="AV188" s="28">
        <v>0.2</v>
      </c>
      <c r="AW188" s="28">
        <v>200</v>
      </c>
      <c r="AX188" s="26">
        <v>4.9999999999999998E-7</v>
      </c>
      <c r="AY188" s="26">
        <f t="shared" si="225"/>
        <v>9.9999999999999995E-8</v>
      </c>
      <c r="AZ188" s="26">
        <f t="shared" si="226"/>
        <v>1.9999999999999997E-2</v>
      </c>
      <c r="BA188" s="7">
        <v>6.5418476534158296</v>
      </c>
      <c r="BB188" s="7">
        <v>184.11844341766201</v>
      </c>
      <c r="BC188" s="7">
        <v>898.22894938474894</v>
      </c>
      <c r="BD188" s="7">
        <v>184.11844341766201</v>
      </c>
      <c r="BE188" s="7" t="s">
        <v>94</v>
      </c>
      <c r="BF188" s="7">
        <v>12732.395447351601</v>
      </c>
      <c r="BG188" s="7">
        <f t="shared" si="227"/>
        <v>1266.465836220073</v>
      </c>
      <c r="BI188" s="28">
        <v>70</v>
      </c>
      <c r="BJ188" s="26">
        <v>1.0000000000000001E-5</v>
      </c>
      <c r="BK188" s="28">
        <v>0.5</v>
      </c>
      <c r="BL188" s="28">
        <v>200</v>
      </c>
      <c r="BM188" s="26">
        <v>4.9999999999999998E-7</v>
      </c>
      <c r="BN188" s="26">
        <f t="shared" si="228"/>
        <v>2.4999999999999999E-7</v>
      </c>
      <c r="BO188" s="26">
        <f t="shared" si="229"/>
        <v>4.9999999999999996E-2</v>
      </c>
      <c r="BP188" s="7">
        <v>6.5420577713148003</v>
      </c>
      <c r="BQ188" s="7">
        <v>183.946660682919</v>
      </c>
      <c r="BR188" s="7">
        <v>897.71395999315905</v>
      </c>
      <c r="BS188" s="7">
        <v>183.946660682919</v>
      </c>
      <c r="BT188" s="7" t="s">
        <v>94</v>
      </c>
      <c r="BU188" s="7">
        <v>12732.395447351601</v>
      </c>
      <c r="BV188" s="7">
        <f t="shared" si="230"/>
        <v>1265.6072813589969</v>
      </c>
      <c r="BX188" s="28">
        <v>70</v>
      </c>
      <c r="BY188" s="26">
        <v>5.0000000000000002E-5</v>
      </c>
      <c r="BZ188" s="28">
        <v>0.5</v>
      </c>
      <c r="CA188" s="28">
        <v>200</v>
      </c>
      <c r="CB188" s="26">
        <v>4.9999999999999998E-7</v>
      </c>
      <c r="CC188" s="26">
        <f t="shared" si="231"/>
        <v>2.4999999999999999E-7</v>
      </c>
      <c r="CD188" s="26">
        <f t="shared" si="232"/>
        <v>9.9999999999999985E-3</v>
      </c>
      <c r="CE188" s="7">
        <v>27.501770676174399</v>
      </c>
      <c r="CF188" s="7">
        <v>36.7893321345583</v>
      </c>
      <c r="CG188" s="7">
        <v>179.542791998632</v>
      </c>
      <c r="CH188" s="7">
        <v>36.7893321345583</v>
      </c>
      <c r="CI188" s="7" t="s">
        <v>94</v>
      </c>
      <c r="CJ188" s="7">
        <v>509.29581789406501</v>
      </c>
      <c r="CK188" s="7">
        <f t="shared" si="233"/>
        <v>253.12145626774858</v>
      </c>
      <c r="CM188" s="28">
        <v>70</v>
      </c>
      <c r="CN188" s="26">
        <v>5.0000000000000002E-5</v>
      </c>
      <c r="CO188" s="28">
        <v>1</v>
      </c>
      <c r="CP188" s="28">
        <v>200</v>
      </c>
      <c r="CQ188" s="26">
        <v>4.9999999999999998E-7</v>
      </c>
      <c r="CR188" s="26">
        <f t="shared" si="234"/>
        <v>4.9999999999999998E-7</v>
      </c>
      <c r="CS188" s="26">
        <f t="shared" si="235"/>
        <v>1.9999999999999997E-2</v>
      </c>
      <c r="CT188" s="7">
        <v>27.5079485037196</v>
      </c>
      <c r="CU188" s="7">
        <v>36.732214141098297</v>
      </c>
      <c r="CV188" s="7">
        <v>179.37142238436701</v>
      </c>
      <c r="CW188" s="7">
        <v>36.732214141098297</v>
      </c>
      <c r="CX188" s="7" t="s">
        <v>94</v>
      </c>
      <c r="CY188" s="7">
        <v>509.29581789406501</v>
      </c>
      <c r="CZ188" s="7">
        <f t="shared" si="236"/>
        <v>252.8358506665636</v>
      </c>
      <c r="DB188" s="28">
        <v>70</v>
      </c>
      <c r="DC188" s="26">
        <v>5.0000000000000002E-5</v>
      </c>
      <c r="DD188" s="28">
        <v>2</v>
      </c>
      <c r="DE188" s="28">
        <v>200</v>
      </c>
      <c r="DF188" s="26">
        <v>4.9999999999999998E-7</v>
      </c>
      <c r="DG188" s="26">
        <f t="shared" si="237"/>
        <v>9.9999999999999995E-7</v>
      </c>
      <c r="DH188" s="26">
        <f t="shared" si="238"/>
        <v>3.9999999999999994E-2</v>
      </c>
      <c r="DI188" s="7">
        <v>27.5202656736279</v>
      </c>
      <c r="DJ188" s="7">
        <v>36.618511090650998</v>
      </c>
      <c r="DK188" s="7">
        <v>179.02977916857401</v>
      </c>
      <c r="DL188" s="7">
        <v>36.618511090650998</v>
      </c>
      <c r="DM188" s="7" t="s">
        <v>94</v>
      </c>
      <c r="DN188" s="7">
        <v>509.29581789406501</v>
      </c>
      <c r="DO188" s="7">
        <f t="shared" si="239"/>
        <v>252.266801349876</v>
      </c>
      <c r="DQ188" s="28">
        <v>70</v>
      </c>
      <c r="DR188" s="26">
        <v>5.0000000000000002E-5</v>
      </c>
      <c r="DS188" s="28">
        <v>15</v>
      </c>
      <c r="DT188" s="28">
        <v>300</v>
      </c>
      <c r="DU188" s="26">
        <v>2.4999999999999999E-7</v>
      </c>
      <c r="DV188" s="26">
        <f t="shared" si="240"/>
        <v>3.7499999999999997E-6</v>
      </c>
      <c r="DW188" s="26">
        <f t="shared" si="241"/>
        <v>0.14999999999999997</v>
      </c>
      <c r="DX188" s="7">
        <v>45.048844817303397</v>
      </c>
      <c r="DY188" s="7">
        <v>23.8224846510956</v>
      </c>
      <c r="DZ188" s="7">
        <v>117.565391453988</v>
      </c>
      <c r="EA188" s="7">
        <v>23.8224846510956</v>
      </c>
      <c r="EB188" s="7" t="s">
        <v>94</v>
      </c>
      <c r="EC188" s="7">
        <v>305.57749073643902</v>
      </c>
      <c r="ED188" s="7">
        <f t="shared" si="242"/>
        <v>165.2103607561792</v>
      </c>
    </row>
    <row r="189" spans="1:134" x14ac:dyDescent="0.4">
      <c r="B189" s="26"/>
      <c r="E189" s="26"/>
      <c r="F189" s="26"/>
      <c r="G189" s="26"/>
      <c r="Q189" s="26"/>
      <c r="T189" s="26"/>
      <c r="U189" s="26"/>
      <c r="V189" s="26"/>
      <c r="AF189" s="26"/>
      <c r="AI189" s="26"/>
      <c r="AJ189" s="26"/>
      <c r="AK189" s="26"/>
      <c r="AU189" s="26"/>
      <c r="AX189" s="26"/>
      <c r="AY189" s="26"/>
      <c r="AZ189" s="26"/>
      <c r="BJ189" s="26"/>
      <c r="BM189" s="26"/>
      <c r="BN189" s="26"/>
      <c r="BO189" s="26"/>
      <c r="BY189" s="26"/>
      <c r="CB189" s="26"/>
      <c r="CC189" s="26"/>
      <c r="CD189" s="26"/>
      <c r="CN189" s="26"/>
      <c r="CQ189" s="26"/>
      <c r="CR189" s="26"/>
      <c r="CS189" s="26"/>
      <c r="DC189" s="26"/>
      <c r="DF189" s="26"/>
      <c r="DG189" s="26"/>
      <c r="DH189" s="26"/>
      <c r="DR189" s="26"/>
      <c r="DU189" s="26"/>
      <c r="DV189" s="26"/>
      <c r="DW189" s="26"/>
    </row>
    <row r="190" spans="1:134" s="36" customFormat="1" ht="47.25" x14ac:dyDescent="0.4">
      <c r="A190" s="53" t="s">
        <v>69</v>
      </c>
      <c r="B190" s="54" t="s">
        <v>93</v>
      </c>
      <c r="C190" s="39" t="s">
        <v>73</v>
      </c>
      <c r="D190" s="39" t="s">
        <v>98</v>
      </c>
      <c r="E190" s="39" t="s">
        <v>97</v>
      </c>
      <c r="F190" s="39" t="s">
        <v>99</v>
      </c>
      <c r="G190" s="39" t="s">
        <v>96</v>
      </c>
      <c r="H190" s="37" t="s">
        <v>60</v>
      </c>
      <c r="I190" s="37" t="s">
        <v>100</v>
      </c>
      <c r="J190" s="37" t="s">
        <v>101</v>
      </c>
      <c r="K190" s="37" t="s">
        <v>102</v>
      </c>
      <c r="L190" s="37" t="s">
        <v>103</v>
      </c>
      <c r="M190" s="37" t="s">
        <v>65</v>
      </c>
      <c r="N190" s="37" t="s">
        <v>68</v>
      </c>
      <c r="O190" s="55"/>
      <c r="P190" s="53" t="s">
        <v>69</v>
      </c>
      <c r="Q190" s="54" t="s">
        <v>93</v>
      </c>
      <c r="R190" s="39" t="s">
        <v>73</v>
      </c>
      <c r="S190" s="39" t="s">
        <v>98</v>
      </c>
      <c r="T190" s="39" t="s">
        <v>97</v>
      </c>
      <c r="U190" s="39" t="s">
        <v>99</v>
      </c>
      <c r="V190" s="39" t="s">
        <v>96</v>
      </c>
      <c r="W190" s="37" t="s">
        <v>60</v>
      </c>
      <c r="X190" s="37" t="s">
        <v>100</v>
      </c>
      <c r="Y190" s="37" t="s">
        <v>101</v>
      </c>
      <c r="Z190" s="37" t="s">
        <v>102</v>
      </c>
      <c r="AA190" s="37" t="s">
        <v>103</v>
      </c>
      <c r="AB190" s="37" t="s">
        <v>65</v>
      </c>
      <c r="AC190" s="37" t="s">
        <v>68</v>
      </c>
      <c r="AD190" s="55"/>
      <c r="AE190" s="53" t="s">
        <v>69</v>
      </c>
      <c r="AF190" s="54" t="s">
        <v>93</v>
      </c>
      <c r="AG190" s="39" t="s">
        <v>73</v>
      </c>
      <c r="AH190" s="39" t="s">
        <v>98</v>
      </c>
      <c r="AI190" s="39" t="s">
        <v>97</v>
      </c>
      <c r="AJ190" s="39" t="s">
        <v>99</v>
      </c>
      <c r="AK190" s="39" t="s">
        <v>96</v>
      </c>
      <c r="AL190" s="37" t="s">
        <v>60</v>
      </c>
      <c r="AM190" s="37" t="s">
        <v>100</v>
      </c>
      <c r="AN190" s="37" t="s">
        <v>101</v>
      </c>
      <c r="AO190" s="37" t="s">
        <v>102</v>
      </c>
      <c r="AP190" s="37" t="s">
        <v>103</v>
      </c>
      <c r="AQ190" s="37" t="s">
        <v>65</v>
      </c>
      <c r="AR190" s="37" t="s">
        <v>68</v>
      </c>
      <c r="AS190" s="55"/>
      <c r="AT190" s="53" t="s">
        <v>69</v>
      </c>
      <c r="AU190" s="54" t="s">
        <v>93</v>
      </c>
      <c r="AV190" s="39" t="s">
        <v>73</v>
      </c>
      <c r="AW190" s="39" t="s">
        <v>98</v>
      </c>
      <c r="AX190" s="39" t="s">
        <v>97</v>
      </c>
      <c r="AY190" s="39" t="s">
        <v>99</v>
      </c>
      <c r="AZ190" s="39" t="s">
        <v>96</v>
      </c>
      <c r="BA190" s="37" t="s">
        <v>60</v>
      </c>
      <c r="BB190" s="37" t="s">
        <v>100</v>
      </c>
      <c r="BC190" s="37" t="s">
        <v>101</v>
      </c>
      <c r="BD190" s="37" t="s">
        <v>102</v>
      </c>
      <c r="BE190" s="37" t="s">
        <v>103</v>
      </c>
      <c r="BF190" s="37" t="s">
        <v>65</v>
      </c>
      <c r="BG190" s="37" t="s">
        <v>68</v>
      </c>
      <c r="BH190" s="55"/>
      <c r="BI190" s="53" t="s">
        <v>69</v>
      </c>
      <c r="BJ190" s="54" t="s">
        <v>93</v>
      </c>
      <c r="BK190" s="39" t="s">
        <v>73</v>
      </c>
      <c r="BL190" s="39" t="s">
        <v>98</v>
      </c>
      <c r="BM190" s="39" t="s">
        <v>97</v>
      </c>
      <c r="BN190" s="39" t="s">
        <v>99</v>
      </c>
      <c r="BO190" s="39" t="s">
        <v>96</v>
      </c>
      <c r="BP190" s="37" t="s">
        <v>60</v>
      </c>
      <c r="BQ190" s="37" t="s">
        <v>100</v>
      </c>
      <c r="BR190" s="37" t="s">
        <v>101</v>
      </c>
      <c r="BS190" s="37" t="s">
        <v>102</v>
      </c>
      <c r="BT190" s="37" t="s">
        <v>103</v>
      </c>
      <c r="BU190" s="37" t="s">
        <v>65</v>
      </c>
      <c r="BV190" s="37" t="s">
        <v>68</v>
      </c>
      <c r="BW190" s="55"/>
      <c r="BX190" s="53" t="s">
        <v>69</v>
      </c>
      <c r="BY190" s="54" t="s">
        <v>93</v>
      </c>
      <c r="BZ190" s="39" t="s">
        <v>73</v>
      </c>
      <c r="CA190" s="39" t="s">
        <v>98</v>
      </c>
      <c r="CB190" s="39" t="s">
        <v>97</v>
      </c>
      <c r="CC190" s="39" t="s">
        <v>99</v>
      </c>
      <c r="CD190" s="39" t="s">
        <v>96</v>
      </c>
      <c r="CE190" s="37" t="s">
        <v>60</v>
      </c>
      <c r="CF190" s="37" t="s">
        <v>100</v>
      </c>
      <c r="CG190" s="37" t="s">
        <v>101</v>
      </c>
      <c r="CH190" s="37" t="s">
        <v>102</v>
      </c>
      <c r="CI190" s="37" t="s">
        <v>103</v>
      </c>
      <c r="CJ190" s="37" t="s">
        <v>65</v>
      </c>
      <c r="CK190" s="37" t="s">
        <v>68</v>
      </c>
      <c r="CL190" s="55"/>
      <c r="CM190" s="53" t="s">
        <v>69</v>
      </c>
      <c r="CN190" s="54" t="s">
        <v>93</v>
      </c>
      <c r="CO190" s="39" t="s">
        <v>73</v>
      </c>
      <c r="CP190" s="39" t="s">
        <v>98</v>
      </c>
      <c r="CQ190" s="39" t="s">
        <v>97</v>
      </c>
      <c r="CR190" s="39" t="s">
        <v>99</v>
      </c>
      <c r="CS190" s="39" t="s">
        <v>96</v>
      </c>
      <c r="CT190" s="37" t="s">
        <v>60</v>
      </c>
      <c r="CU190" s="37" t="s">
        <v>100</v>
      </c>
      <c r="CV190" s="37" t="s">
        <v>101</v>
      </c>
      <c r="CW190" s="37" t="s">
        <v>102</v>
      </c>
      <c r="CX190" s="37" t="s">
        <v>103</v>
      </c>
      <c r="CY190" s="37" t="s">
        <v>65</v>
      </c>
      <c r="CZ190" s="37" t="s">
        <v>68</v>
      </c>
      <c r="DA190" s="55"/>
      <c r="DB190" s="53" t="s">
        <v>69</v>
      </c>
      <c r="DC190" s="54" t="s">
        <v>93</v>
      </c>
      <c r="DD190" s="39" t="s">
        <v>73</v>
      </c>
      <c r="DE190" s="39" t="s">
        <v>98</v>
      </c>
      <c r="DF190" s="39" t="s">
        <v>97</v>
      </c>
      <c r="DG190" s="39" t="s">
        <v>99</v>
      </c>
      <c r="DH190" s="39" t="s">
        <v>96</v>
      </c>
      <c r="DI190" s="37" t="s">
        <v>60</v>
      </c>
      <c r="DJ190" s="37" t="s">
        <v>100</v>
      </c>
      <c r="DK190" s="37" t="s">
        <v>101</v>
      </c>
      <c r="DL190" s="37" t="s">
        <v>102</v>
      </c>
      <c r="DM190" s="37" t="s">
        <v>103</v>
      </c>
      <c r="DN190" s="37" t="s">
        <v>65</v>
      </c>
      <c r="DO190" s="37" t="s">
        <v>68</v>
      </c>
      <c r="DP190" s="55"/>
      <c r="DQ190" s="53" t="s">
        <v>69</v>
      </c>
      <c r="DR190" s="54" t="s">
        <v>93</v>
      </c>
      <c r="DS190" s="39" t="s">
        <v>73</v>
      </c>
      <c r="DT190" s="39" t="s">
        <v>98</v>
      </c>
      <c r="DU190" s="39" t="s">
        <v>97</v>
      </c>
      <c r="DV190" s="39" t="s">
        <v>99</v>
      </c>
      <c r="DW190" s="39" t="s">
        <v>96</v>
      </c>
      <c r="DX190" s="37" t="s">
        <v>60</v>
      </c>
      <c r="DY190" s="37" t="s">
        <v>100</v>
      </c>
      <c r="DZ190" s="37" t="s">
        <v>101</v>
      </c>
      <c r="EA190" s="37" t="s">
        <v>102</v>
      </c>
      <c r="EB190" s="37" t="s">
        <v>103</v>
      </c>
      <c r="EC190" s="37" t="s">
        <v>65</v>
      </c>
      <c r="ED190" s="37" t="s">
        <v>68</v>
      </c>
    </row>
    <row r="191" spans="1:134" x14ac:dyDescent="0.4">
      <c r="A191" s="28">
        <v>1</v>
      </c>
      <c r="B191" s="26">
        <v>1.0000000000000001E-5</v>
      </c>
      <c r="C191" s="28">
        <v>0.2</v>
      </c>
      <c r="D191" s="28">
        <v>30</v>
      </c>
      <c r="E191" s="26">
        <v>7.5000000000000002E-7</v>
      </c>
      <c r="F191" s="26">
        <f t="shared" ref="F191:F209" si="243">C191*E191</f>
        <v>1.5000000000000002E-7</v>
      </c>
      <c r="G191" s="26">
        <f t="shared" ref="G191:G209" si="244">F191/(B191/2)</f>
        <v>3.0000000000000002E-2</v>
      </c>
      <c r="H191" s="7">
        <v>0.223120126347744</v>
      </c>
      <c r="I191" s="7">
        <v>20967.675665585699</v>
      </c>
      <c r="J191" s="7">
        <v>750067.42850576504</v>
      </c>
      <c r="K191" s="7">
        <v>20967.675665585699</v>
      </c>
      <c r="L191" s="7">
        <v>246455.34799285</v>
      </c>
      <c r="M191" s="7">
        <v>20371.832715762601</v>
      </c>
      <c r="N191" s="7">
        <f t="shared" ref="N191:N209" si="245">I191+J191+K191</f>
        <v>792002.77983693639</v>
      </c>
      <c r="P191" s="28">
        <v>1</v>
      </c>
      <c r="Q191" s="26">
        <v>3.0000000000000001E-5</v>
      </c>
      <c r="R191" s="28">
        <v>0.2</v>
      </c>
      <c r="S191" s="28">
        <v>30</v>
      </c>
      <c r="T191" s="26">
        <v>7.5000000000000002E-7</v>
      </c>
      <c r="U191" s="26">
        <f t="shared" ref="U191:U209" si="246">R191*T191</f>
        <v>1.5000000000000002E-7</v>
      </c>
      <c r="V191" s="26">
        <f t="shared" ref="V191:V209" si="247">U191/(Q191/2)</f>
        <v>0.01</v>
      </c>
      <c r="W191" s="7">
        <v>0.22483816266541601</v>
      </c>
      <c r="X191" s="7">
        <v>6989.2252213633501</v>
      </c>
      <c r="Y191" s="7">
        <v>250022.476149864</v>
      </c>
      <c r="Z191" s="7">
        <v>6989.2252213633501</v>
      </c>
      <c r="AA191" s="7">
        <v>82151.782666878105</v>
      </c>
      <c r="AB191" s="7">
        <v>2263.53696841807</v>
      </c>
      <c r="AC191" s="7">
        <f t="shared" ref="AC191:AC209" si="248">X191+Y191+Z191</f>
        <v>264000.92659259069</v>
      </c>
      <c r="AE191" s="28">
        <v>1</v>
      </c>
      <c r="AF191" s="26">
        <v>5.0000000000000002E-5</v>
      </c>
      <c r="AG191" s="28">
        <v>0.2</v>
      </c>
      <c r="AH191" s="28">
        <v>30</v>
      </c>
      <c r="AI191" s="26">
        <v>7.5000000000000002E-7</v>
      </c>
      <c r="AJ191" s="26">
        <f t="shared" ref="AJ191:AJ209" si="249">AG191*AI191</f>
        <v>1.5000000000000002E-7</v>
      </c>
      <c r="AK191" s="26">
        <f t="shared" ref="AK191:AK209" si="250">AJ191/(AF191/2)</f>
        <v>6.0000000000000001E-3</v>
      </c>
      <c r="AL191" s="7">
        <v>0.22519576707637001</v>
      </c>
      <c r="AM191" s="7">
        <v>4193.5351285970401</v>
      </c>
      <c r="AN191" s="7">
        <v>150013.48553139099</v>
      </c>
      <c r="AO191" s="7">
        <v>4193.5351285970401</v>
      </c>
      <c r="AP191" s="7">
        <v>49291.069622095303</v>
      </c>
      <c r="AQ191" s="7">
        <v>814.87330863050397</v>
      </c>
      <c r="AR191" s="7">
        <f t="shared" ref="AR191:AR209" si="251">AM191+AN191+AO191</f>
        <v>158400.5557885851</v>
      </c>
      <c r="AT191" s="28">
        <v>1</v>
      </c>
      <c r="AU191" s="26">
        <v>1.0000000000000001E-5</v>
      </c>
      <c r="AV191" s="28">
        <v>0.2</v>
      </c>
      <c r="AW191" s="28">
        <v>200</v>
      </c>
      <c r="AX191" s="26">
        <v>7.5000000000000002E-7</v>
      </c>
      <c r="AY191" s="26">
        <f t="shared" ref="AY191:AY209" si="252">AV191*AX191</f>
        <v>1.5000000000000002E-7</v>
      </c>
      <c r="AZ191" s="26">
        <f t="shared" ref="AZ191:AZ209" si="253">AY191/(AU191/2)</f>
        <v>3.0000000000000002E-2</v>
      </c>
      <c r="BA191" s="7">
        <v>0.22523885987971501</v>
      </c>
      <c r="BB191" s="7">
        <v>4345.3623253436699</v>
      </c>
      <c r="BC191" s="7">
        <v>750067.42850576504</v>
      </c>
      <c r="BD191" s="7">
        <v>4345.3623253436699</v>
      </c>
      <c r="BE191" s="7">
        <v>246455.34799285</v>
      </c>
      <c r="BF191" s="7">
        <v>20371.832715762601</v>
      </c>
      <c r="BG191" s="7">
        <f t="shared" ref="BG191:BG209" si="254">BB191+BC191+BD191</f>
        <v>758758.15315645235</v>
      </c>
      <c r="BI191" s="28">
        <v>1</v>
      </c>
      <c r="BJ191" s="26">
        <v>1.0000000000000001E-5</v>
      </c>
      <c r="BK191" s="28">
        <v>0.5</v>
      </c>
      <c r="BL191" s="28">
        <v>200</v>
      </c>
      <c r="BM191" s="26">
        <v>7.5000000000000002E-7</v>
      </c>
      <c r="BN191" s="26">
        <f t="shared" ref="BN191:BN209" si="255">BK191*BM191</f>
        <v>3.7500000000000001E-7</v>
      </c>
      <c r="BO191" s="26">
        <f t="shared" ref="BO191:BO209" si="256">BN191/(BJ191/2)</f>
        <v>7.4999999999999997E-2</v>
      </c>
      <c r="BP191" s="7">
        <v>0.55224108566220298</v>
      </c>
      <c r="BQ191" s="7">
        <v>3764.12485338133</v>
      </c>
      <c r="BR191" s="7">
        <v>300026.97140230599</v>
      </c>
      <c r="BS191" s="7">
        <v>3764.12485338133</v>
      </c>
      <c r="BT191" s="7">
        <v>98582.139197140001</v>
      </c>
      <c r="BU191" s="7">
        <v>20371.832715762601</v>
      </c>
      <c r="BV191" s="7">
        <f t="shared" ref="BV191:BV209" si="257">BQ191+BR191+BS191</f>
        <v>307555.2211090686</v>
      </c>
      <c r="BX191" s="28">
        <v>1</v>
      </c>
      <c r="BY191" s="26">
        <v>5.0000000000000002E-5</v>
      </c>
      <c r="BZ191" s="28">
        <v>0.5</v>
      </c>
      <c r="CA191" s="28">
        <v>200</v>
      </c>
      <c r="CB191" s="26">
        <v>7.5000000000000002E-7</v>
      </c>
      <c r="CC191" s="26">
        <f t="shared" ref="CC191:CC209" si="258">BZ191*CB191</f>
        <v>3.7500000000000001E-7</v>
      </c>
      <c r="CD191" s="26">
        <f t="shared" ref="CD191:CD209" si="259">CC191/(BY191/2)</f>
        <v>1.4999999999999999E-2</v>
      </c>
      <c r="CE191" s="7">
        <v>0.56481889761384096</v>
      </c>
      <c r="CF191" s="7">
        <v>752.82497001808497</v>
      </c>
      <c r="CG191" s="7">
        <v>60005.394212556603</v>
      </c>
      <c r="CH191" s="7">
        <v>752.82497001808497</v>
      </c>
      <c r="CI191" s="7">
        <v>19716.427848838099</v>
      </c>
      <c r="CJ191" s="7">
        <v>814.87330863050397</v>
      </c>
      <c r="CK191" s="7">
        <f t="shared" ref="CK191:CK209" si="260">CF191+CG191+CH191</f>
        <v>61511.044152592767</v>
      </c>
      <c r="CM191" s="28">
        <v>1</v>
      </c>
      <c r="CN191" s="26">
        <v>5.0000000000000002E-5</v>
      </c>
      <c r="CO191" s="28">
        <v>1</v>
      </c>
      <c r="CP191" s="28">
        <v>200</v>
      </c>
      <c r="CQ191" s="26">
        <v>7.5000000000000002E-7</v>
      </c>
      <c r="CR191" s="26">
        <f t="shared" ref="CR191:CR209" si="261">CO191*CQ191</f>
        <v>7.5000000000000002E-7</v>
      </c>
      <c r="CS191" s="26">
        <f t="shared" ref="CS191:CS209" si="262">CR191/(CN191/2)</f>
        <v>0.03</v>
      </c>
      <c r="CT191" s="7">
        <v>1.1182821634972999</v>
      </c>
      <c r="CU191" s="7">
        <v>665.23311259709499</v>
      </c>
      <c r="CV191" s="7">
        <v>30002.697106278301</v>
      </c>
      <c r="CW191" s="7">
        <v>665.23311259709499</v>
      </c>
      <c r="CX191" s="7">
        <v>9858.2139244190694</v>
      </c>
      <c r="CY191" s="7">
        <v>814.87330863050397</v>
      </c>
      <c r="CZ191" s="7">
        <f t="shared" ref="CZ191:CZ209" si="263">CU191+CV191+CW191</f>
        <v>31333.163331472493</v>
      </c>
      <c r="DB191" s="28">
        <v>1</v>
      </c>
      <c r="DC191" s="26">
        <v>5.0000000000000002E-5</v>
      </c>
      <c r="DD191" s="28">
        <v>2</v>
      </c>
      <c r="DE191" s="28">
        <v>200</v>
      </c>
      <c r="DF191" s="26">
        <v>7.5000000000000002E-7</v>
      </c>
      <c r="DG191" s="26">
        <f t="shared" ref="DG191:DG209" si="264">DD191*DF191</f>
        <v>1.5E-6</v>
      </c>
      <c r="DH191" s="26">
        <f t="shared" ref="DH191:DH209" si="265">DG191/(DC191/2)</f>
        <v>0.06</v>
      </c>
      <c r="DI191" s="7">
        <v>2.1987565068278898</v>
      </c>
      <c r="DJ191" s="7">
        <v>578.22973015081095</v>
      </c>
      <c r="DK191" s="7">
        <v>15001.3485531391</v>
      </c>
      <c r="DL191" s="7">
        <v>578.22973015081095</v>
      </c>
      <c r="DM191" s="7">
        <v>4929.1069622095301</v>
      </c>
      <c r="DN191" s="7">
        <v>814.87330863050397</v>
      </c>
      <c r="DO191" s="7">
        <f t="shared" ref="DO191:DO209" si="266">DJ191+DK191+DL191</f>
        <v>16157.808013440723</v>
      </c>
      <c r="DQ191" s="28">
        <v>1</v>
      </c>
      <c r="DR191" s="26">
        <v>5.0000000000000002E-5</v>
      </c>
      <c r="DS191" s="28">
        <v>15</v>
      </c>
      <c r="DT191" s="28">
        <v>300</v>
      </c>
      <c r="DU191" s="26">
        <v>4.9999999999999998E-7</v>
      </c>
      <c r="DV191" s="26">
        <f t="shared" ref="DV191:DV209" si="267">DS191*DU191</f>
        <v>7.4999999999999993E-6</v>
      </c>
      <c r="DW191" s="26">
        <f t="shared" ref="DW191:DW209" si="268">DV191/(DR191/2)</f>
        <v>0.29999999999999993</v>
      </c>
      <c r="DX191" s="7">
        <v>15.3180033872649</v>
      </c>
      <c r="DY191" s="7">
        <v>254.539230510376</v>
      </c>
      <c r="DZ191" s="7">
        <v>2000.1798070852201</v>
      </c>
      <c r="EA191" s="7">
        <v>254.539230510376</v>
      </c>
      <c r="EB191" s="7">
        <v>657.21426162793796</v>
      </c>
      <c r="EC191" s="7">
        <v>509.29581789406501</v>
      </c>
      <c r="ED191" s="7">
        <f t="shared" ref="ED191:ED209" si="269">DY191+DZ191+EA191</f>
        <v>2509.2582681059721</v>
      </c>
    </row>
    <row r="192" spans="1:134" x14ac:dyDescent="0.4">
      <c r="A192" s="28">
        <v>2</v>
      </c>
      <c r="B192" s="26">
        <v>1.0000000000000001E-5</v>
      </c>
      <c r="C192" s="28">
        <v>0.2</v>
      </c>
      <c r="D192" s="28">
        <v>30</v>
      </c>
      <c r="E192" s="26">
        <v>7.5000000000000002E-7</v>
      </c>
      <c r="F192" s="26">
        <f t="shared" si="243"/>
        <v>1.5000000000000002E-7</v>
      </c>
      <c r="G192" s="26">
        <f t="shared" si="244"/>
        <v>3.0000000000000002E-2</v>
      </c>
      <c r="H192" s="7">
        <v>0.25221957808585399</v>
      </c>
      <c r="I192" s="7">
        <v>20967.675665585699</v>
      </c>
      <c r="J192" s="7">
        <v>482013.76177816797</v>
      </c>
      <c r="K192" s="7">
        <v>20967.675665585699</v>
      </c>
      <c r="L192" s="7">
        <v>339325.67523914197</v>
      </c>
      <c r="M192" s="7">
        <v>20371.832715762601</v>
      </c>
      <c r="N192" s="7">
        <f t="shared" si="245"/>
        <v>523949.11310933932</v>
      </c>
      <c r="P192" s="28">
        <v>2</v>
      </c>
      <c r="Q192" s="26">
        <v>3.0000000000000001E-5</v>
      </c>
      <c r="R192" s="28">
        <v>0.2</v>
      </c>
      <c r="S192" s="28">
        <v>30</v>
      </c>
      <c r="T192" s="26">
        <v>7.5000000000000002E-7</v>
      </c>
      <c r="U192" s="26">
        <f t="shared" si="246"/>
        <v>1.5000000000000002E-7</v>
      </c>
      <c r="V192" s="26">
        <f t="shared" si="247"/>
        <v>0.01</v>
      </c>
      <c r="W192" s="7">
        <v>0.25700349998324501</v>
      </c>
      <c r="X192" s="7">
        <v>6989.2252213633501</v>
      </c>
      <c r="Y192" s="7">
        <v>160671.25390733199</v>
      </c>
      <c r="Z192" s="7">
        <v>6989.2252213633501</v>
      </c>
      <c r="AA192" s="7">
        <v>113108.558420806</v>
      </c>
      <c r="AB192" s="7">
        <v>2263.53696841807</v>
      </c>
      <c r="AC192" s="7">
        <f t="shared" si="248"/>
        <v>174649.70435005872</v>
      </c>
      <c r="AE192" s="28">
        <v>2</v>
      </c>
      <c r="AF192" s="26">
        <v>5.0000000000000002E-5</v>
      </c>
      <c r="AG192" s="28">
        <v>0.2</v>
      </c>
      <c r="AH192" s="28">
        <v>30</v>
      </c>
      <c r="AI192" s="26">
        <v>7.5000000000000002E-7</v>
      </c>
      <c r="AJ192" s="26">
        <f t="shared" si="249"/>
        <v>1.5000000000000002E-7</v>
      </c>
      <c r="AK192" s="26">
        <f t="shared" si="250"/>
        <v>6.0000000000000001E-3</v>
      </c>
      <c r="AL192" s="7">
        <v>0.25801889449464399</v>
      </c>
      <c r="AM192" s="7">
        <v>4193.5351285970401</v>
      </c>
      <c r="AN192" s="7">
        <v>96402.752185872101</v>
      </c>
      <c r="AO192" s="7">
        <v>4193.5351285970401</v>
      </c>
      <c r="AP192" s="7">
        <v>67865.135118168895</v>
      </c>
      <c r="AQ192" s="7">
        <v>814.87330863050397</v>
      </c>
      <c r="AR192" s="7">
        <f t="shared" si="251"/>
        <v>104789.82244306618</v>
      </c>
      <c r="AT192" s="28">
        <v>2</v>
      </c>
      <c r="AU192" s="26">
        <v>1.0000000000000001E-5</v>
      </c>
      <c r="AV192" s="28">
        <v>0.2</v>
      </c>
      <c r="AW192" s="28">
        <v>200</v>
      </c>
      <c r="AX192" s="26">
        <v>7.5000000000000002E-7</v>
      </c>
      <c r="AY192" s="26">
        <f t="shared" si="252"/>
        <v>1.5000000000000002E-7</v>
      </c>
      <c r="AZ192" s="26">
        <f t="shared" si="253"/>
        <v>3.0000000000000002E-2</v>
      </c>
      <c r="BA192" s="7">
        <v>0.25814171959097598</v>
      </c>
      <c r="BB192" s="7">
        <v>4345.3623253436699</v>
      </c>
      <c r="BC192" s="7">
        <v>482013.76177816797</v>
      </c>
      <c r="BD192" s="7">
        <v>4345.3623253436699</v>
      </c>
      <c r="BE192" s="7">
        <v>339325.67523914197</v>
      </c>
      <c r="BF192" s="7">
        <v>20371.832715762601</v>
      </c>
      <c r="BG192" s="7">
        <f t="shared" si="254"/>
        <v>490704.48642885528</v>
      </c>
      <c r="BI192" s="28">
        <v>2</v>
      </c>
      <c r="BJ192" s="26">
        <v>1.0000000000000001E-5</v>
      </c>
      <c r="BK192" s="28">
        <v>0.5</v>
      </c>
      <c r="BL192" s="28">
        <v>200</v>
      </c>
      <c r="BM192" s="26">
        <v>7.5000000000000002E-7</v>
      </c>
      <c r="BN192" s="26">
        <f t="shared" si="255"/>
        <v>3.7500000000000001E-7</v>
      </c>
      <c r="BO192" s="26">
        <f t="shared" si="256"/>
        <v>7.4999999999999997E-2</v>
      </c>
      <c r="BP192" s="7">
        <v>0.61562601543710904</v>
      </c>
      <c r="BQ192" s="7">
        <v>3764.12485338133</v>
      </c>
      <c r="BR192" s="7">
        <v>192805.50471126701</v>
      </c>
      <c r="BS192" s="7">
        <v>3764.12485338133</v>
      </c>
      <c r="BT192" s="7">
        <v>135730.270095657</v>
      </c>
      <c r="BU192" s="7">
        <v>20371.832715762601</v>
      </c>
      <c r="BV192" s="7">
        <f t="shared" si="257"/>
        <v>200333.75441802968</v>
      </c>
      <c r="BX192" s="28">
        <v>2</v>
      </c>
      <c r="BY192" s="26">
        <v>5.0000000000000002E-5</v>
      </c>
      <c r="BZ192" s="28">
        <v>0.5</v>
      </c>
      <c r="CA192" s="28">
        <v>200</v>
      </c>
      <c r="CB192" s="26">
        <v>7.5000000000000002E-7</v>
      </c>
      <c r="CC192" s="26">
        <f t="shared" si="258"/>
        <v>3.7500000000000001E-7</v>
      </c>
      <c r="CD192" s="26">
        <f t="shared" si="259"/>
        <v>1.4999999999999999E-2</v>
      </c>
      <c r="CE192" s="7">
        <v>0.65029606193671297</v>
      </c>
      <c r="CF192" s="7">
        <v>752.82497001808497</v>
      </c>
      <c r="CG192" s="7">
        <v>38561.1008743489</v>
      </c>
      <c r="CH192" s="7">
        <v>752.82497001808497</v>
      </c>
      <c r="CI192" s="7">
        <v>27146.0540472676</v>
      </c>
      <c r="CJ192" s="7">
        <v>814.87330863050397</v>
      </c>
      <c r="CK192" s="7">
        <f t="shared" si="260"/>
        <v>40066.750814385065</v>
      </c>
      <c r="CM192" s="28">
        <v>2</v>
      </c>
      <c r="CN192" s="26">
        <v>5.0000000000000002E-5</v>
      </c>
      <c r="CO192" s="28">
        <v>1</v>
      </c>
      <c r="CP192" s="28">
        <v>200</v>
      </c>
      <c r="CQ192" s="26">
        <v>7.5000000000000002E-7</v>
      </c>
      <c r="CR192" s="26">
        <f t="shared" si="261"/>
        <v>7.5000000000000002E-7</v>
      </c>
      <c r="CS192" s="26">
        <f t="shared" si="262"/>
        <v>0.03</v>
      </c>
      <c r="CT192" s="7">
        <v>1.2684820777491499</v>
      </c>
      <c r="CU192" s="7">
        <v>665.23311259709499</v>
      </c>
      <c r="CV192" s="7">
        <v>19280.550437174399</v>
      </c>
      <c r="CW192" s="7">
        <v>665.23311259709499</v>
      </c>
      <c r="CX192" s="7">
        <v>13573.0270236338</v>
      </c>
      <c r="CY192" s="7">
        <v>814.87330863050397</v>
      </c>
      <c r="CZ192" s="7">
        <f t="shared" si="263"/>
        <v>20611.016662368591</v>
      </c>
      <c r="DB192" s="28">
        <v>2</v>
      </c>
      <c r="DC192" s="26">
        <v>5.0000000000000002E-5</v>
      </c>
      <c r="DD192" s="28">
        <v>2</v>
      </c>
      <c r="DE192" s="28">
        <v>200</v>
      </c>
      <c r="DF192" s="26">
        <v>7.5000000000000002E-7</v>
      </c>
      <c r="DG192" s="26">
        <f t="shared" si="264"/>
        <v>1.5E-6</v>
      </c>
      <c r="DH192" s="26">
        <f t="shared" si="265"/>
        <v>0.06</v>
      </c>
      <c r="DI192" s="7">
        <v>2.43590657337058</v>
      </c>
      <c r="DJ192" s="7">
        <v>578.22973015081095</v>
      </c>
      <c r="DK192" s="7">
        <v>9640.2752185872196</v>
      </c>
      <c r="DL192" s="7">
        <v>578.22973015081095</v>
      </c>
      <c r="DM192" s="7">
        <v>6786.5135118168901</v>
      </c>
      <c r="DN192" s="7">
        <v>814.87330863050397</v>
      </c>
      <c r="DO192" s="7">
        <f t="shared" si="266"/>
        <v>10796.734678888843</v>
      </c>
      <c r="DQ192" s="28">
        <v>2</v>
      </c>
      <c r="DR192" s="26">
        <v>5.0000000000000002E-5</v>
      </c>
      <c r="DS192" s="28">
        <v>15</v>
      </c>
      <c r="DT192" s="28">
        <v>300</v>
      </c>
      <c r="DU192" s="26">
        <v>4.9999999999999998E-7</v>
      </c>
      <c r="DV192" s="26">
        <f t="shared" si="267"/>
        <v>7.4999999999999993E-6</v>
      </c>
      <c r="DW192" s="26">
        <f t="shared" si="268"/>
        <v>0.29999999999999993</v>
      </c>
      <c r="DX192" s="7">
        <v>15.6170059968217</v>
      </c>
      <c r="DY192" s="7">
        <v>254.539230510376</v>
      </c>
      <c r="DZ192" s="7">
        <v>1285.37002914496</v>
      </c>
      <c r="EA192" s="7">
        <v>254.539230510376</v>
      </c>
      <c r="EB192" s="7">
        <v>904.86846824225199</v>
      </c>
      <c r="EC192" s="7">
        <v>509.29581789406501</v>
      </c>
      <c r="ED192" s="7">
        <f t="shared" si="269"/>
        <v>1794.448490165712</v>
      </c>
    </row>
    <row r="193" spans="1:134" x14ac:dyDescent="0.4">
      <c r="A193" s="28">
        <v>4</v>
      </c>
      <c r="B193" s="26">
        <v>1.0000000000000001E-5</v>
      </c>
      <c r="C193" s="28">
        <v>0.2</v>
      </c>
      <c r="D193" s="28">
        <v>30</v>
      </c>
      <c r="E193" s="26">
        <v>7.5000000000000002E-7</v>
      </c>
      <c r="F193" s="26">
        <f t="shared" si="243"/>
        <v>1.5000000000000002E-7</v>
      </c>
      <c r="G193" s="26">
        <f t="shared" si="244"/>
        <v>3.0000000000000002E-2</v>
      </c>
      <c r="H193" s="7">
        <v>0.32712587754095301</v>
      </c>
      <c r="I193" s="7">
        <v>20967.675665585699</v>
      </c>
      <c r="J193" s="7">
        <v>269259.42550450901</v>
      </c>
      <c r="K193" s="7">
        <v>20967.675665585699</v>
      </c>
      <c r="L193" s="7">
        <v>496205.96663466899</v>
      </c>
      <c r="M193" s="7">
        <v>20371.832715762601</v>
      </c>
      <c r="N193" s="7">
        <f t="shared" si="245"/>
        <v>311194.77683568036</v>
      </c>
      <c r="P193" s="28">
        <v>4</v>
      </c>
      <c r="Q193" s="26">
        <v>3.0000000000000001E-5</v>
      </c>
      <c r="R193" s="28">
        <v>0.2</v>
      </c>
      <c r="S193" s="28">
        <v>30</v>
      </c>
      <c r="T193" s="26">
        <v>7.5000000000000002E-7</v>
      </c>
      <c r="U193" s="26">
        <f t="shared" si="246"/>
        <v>1.5000000000000002E-7</v>
      </c>
      <c r="V193" s="26">
        <f t="shared" si="247"/>
        <v>0.01</v>
      </c>
      <c r="W193" s="7">
        <v>0.34313221581051501</v>
      </c>
      <c r="X193" s="7">
        <v>6989.2252213633501</v>
      </c>
      <c r="Y193" s="7">
        <v>89753.141816112096</v>
      </c>
      <c r="Z193" s="7">
        <v>6989.2252213633501</v>
      </c>
      <c r="AA193" s="7">
        <v>165401.98890513901</v>
      </c>
      <c r="AB193" s="7">
        <v>2263.53696841807</v>
      </c>
      <c r="AC193" s="7">
        <f t="shared" si="248"/>
        <v>103731.59225883879</v>
      </c>
      <c r="AE193" s="28">
        <v>4</v>
      </c>
      <c r="AF193" s="26">
        <v>5.0000000000000002E-5</v>
      </c>
      <c r="AG193" s="28">
        <v>0.2</v>
      </c>
      <c r="AH193" s="28">
        <v>30</v>
      </c>
      <c r="AI193" s="26">
        <v>7.5000000000000002E-7</v>
      </c>
      <c r="AJ193" s="26">
        <f t="shared" si="249"/>
        <v>1.5000000000000002E-7</v>
      </c>
      <c r="AK193" s="26">
        <f t="shared" si="250"/>
        <v>6.0000000000000001E-3</v>
      </c>
      <c r="AL193" s="7">
        <v>0.34666023248299799</v>
      </c>
      <c r="AM193" s="7">
        <v>4193.5351285970401</v>
      </c>
      <c r="AN193" s="7">
        <v>53851.884931140201</v>
      </c>
      <c r="AO193" s="7">
        <v>4193.5351285970401</v>
      </c>
      <c r="AP193" s="7">
        <v>99241.193570966701</v>
      </c>
      <c r="AQ193" s="7">
        <v>814.87330863050397</v>
      </c>
      <c r="AR193" s="7">
        <f t="shared" si="251"/>
        <v>62238.955188334279</v>
      </c>
      <c r="AT193" s="28">
        <v>4</v>
      </c>
      <c r="AU193" s="26">
        <v>1.0000000000000001E-5</v>
      </c>
      <c r="AV193" s="28">
        <v>0.2</v>
      </c>
      <c r="AW193" s="28">
        <v>200</v>
      </c>
      <c r="AX193" s="26">
        <v>7.5000000000000002E-7</v>
      </c>
      <c r="AY193" s="26">
        <f t="shared" si="252"/>
        <v>1.5000000000000002E-7</v>
      </c>
      <c r="AZ193" s="26">
        <f t="shared" si="253"/>
        <v>3.0000000000000002E-2</v>
      </c>
      <c r="BA193" s="7">
        <v>0.34709021507905702</v>
      </c>
      <c r="BB193" s="7">
        <v>4345.3623253436699</v>
      </c>
      <c r="BC193" s="7">
        <v>269259.42550450901</v>
      </c>
      <c r="BD193" s="7">
        <v>4345.3623253436699</v>
      </c>
      <c r="BE193" s="7">
        <v>496205.96663466899</v>
      </c>
      <c r="BF193" s="7">
        <v>20371.832715762601</v>
      </c>
      <c r="BG193" s="7">
        <f t="shared" si="254"/>
        <v>277950.15015519632</v>
      </c>
      <c r="BI193" s="28">
        <v>4</v>
      </c>
      <c r="BJ193" s="26">
        <v>1.0000000000000001E-5</v>
      </c>
      <c r="BK193" s="28">
        <v>0.5</v>
      </c>
      <c r="BL193" s="28">
        <v>200</v>
      </c>
      <c r="BM193" s="26">
        <v>7.5000000000000002E-7</v>
      </c>
      <c r="BN193" s="26">
        <f t="shared" si="255"/>
        <v>3.7500000000000001E-7</v>
      </c>
      <c r="BO193" s="26">
        <f t="shared" si="256"/>
        <v>7.4999999999999997E-2</v>
      </c>
      <c r="BP193" s="7">
        <v>0.77118714499059005</v>
      </c>
      <c r="BQ193" s="7">
        <v>3764.12485338133</v>
      </c>
      <c r="BR193" s="7">
        <v>107703.770201803</v>
      </c>
      <c r="BS193" s="7">
        <v>3764.12485338133</v>
      </c>
      <c r="BT193" s="7">
        <v>198482.38665386799</v>
      </c>
      <c r="BU193" s="7">
        <v>20371.832715762601</v>
      </c>
      <c r="BV193" s="7">
        <f t="shared" si="257"/>
        <v>115232.01990856566</v>
      </c>
      <c r="BX193" s="28">
        <v>4</v>
      </c>
      <c r="BY193" s="26">
        <v>5.0000000000000002E-5</v>
      </c>
      <c r="BZ193" s="28">
        <v>0.5</v>
      </c>
      <c r="CA193" s="28">
        <v>200</v>
      </c>
      <c r="CB193" s="26">
        <v>7.5000000000000002E-7</v>
      </c>
      <c r="CC193" s="26">
        <f t="shared" si="258"/>
        <v>3.7500000000000001E-7</v>
      </c>
      <c r="CD193" s="26">
        <f t="shared" si="259"/>
        <v>1.4999999999999999E-2</v>
      </c>
      <c r="CE193" s="7">
        <v>0.88526978281666602</v>
      </c>
      <c r="CF193" s="7">
        <v>752.82497001808497</v>
      </c>
      <c r="CG193" s="7">
        <v>21540.753972456099</v>
      </c>
      <c r="CH193" s="7">
        <v>752.82497001808497</v>
      </c>
      <c r="CI193" s="7">
        <v>39696.477428386701</v>
      </c>
      <c r="CJ193" s="7">
        <v>814.87330863050397</v>
      </c>
      <c r="CK193" s="7">
        <f t="shared" si="260"/>
        <v>23046.403912492271</v>
      </c>
      <c r="CM193" s="28">
        <v>4</v>
      </c>
      <c r="CN193" s="26">
        <v>5.0000000000000002E-5</v>
      </c>
      <c r="CO193" s="28">
        <v>1</v>
      </c>
      <c r="CP193" s="28">
        <v>200</v>
      </c>
      <c r="CQ193" s="26">
        <v>7.5000000000000002E-7</v>
      </c>
      <c r="CR193" s="26">
        <f t="shared" si="261"/>
        <v>7.5000000000000002E-7</v>
      </c>
      <c r="CS193" s="26">
        <f t="shared" si="262"/>
        <v>0.03</v>
      </c>
      <c r="CT193" s="7">
        <v>1.6598091526957399</v>
      </c>
      <c r="CU193" s="7">
        <v>665.23311259709499</v>
      </c>
      <c r="CV193" s="7">
        <v>10770.376986228001</v>
      </c>
      <c r="CW193" s="7">
        <v>665.23311259709499</v>
      </c>
      <c r="CX193" s="7">
        <v>19848.2387141933</v>
      </c>
      <c r="CY193" s="7">
        <v>814.87330863050397</v>
      </c>
      <c r="CZ193" s="7">
        <f t="shared" si="263"/>
        <v>12100.843211422191</v>
      </c>
      <c r="DB193" s="28">
        <v>4</v>
      </c>
      <c r="DC193" s="26">
        <v>5.0000000000000002E-5</v>
      </c>
      <c r="DD193" s="28">
        <v>2</v>
      </c>
      <c r="DE193" s="28">
        <v>200</v>
      </c>
      <c r="DF193" s="26">
        <v>7.5000000000000002E-7</v>
      </c>
      <c r="DG193" s="26">
        <f t="shared" si="264"/>
        <v>1.5E-6</v>
      </c>
      <c r="DH193" s="26">
        <f t="shared" si="265"/>
        <v>0.06</v>
      </c>
      <c r="DI193" s="7">
        <v>3.00598316372428</v>
      </c>
      <c r="DJ193" s="7">
        <v>578.22973015081095</v>
      </c>
      <c r="DK193" s="7">
        <v>5385.1884931140203</v>
      </c>
      <c r="DL193" s="7">
        <v>578.22973015081095</v>
      </c>
      <c r="DM193" s="7">
        <v>9924.1193570966698</v>
      </c>
      <c r="DN193" s="7">
        <v>814.87330863050397</v>
      </c>
      <c r="DO193" s="7">
        <f t="shared" si="266"/>
        <v>6541.6479534156415</v>
      </c>
      <c r="DQ193" s="28">
        <v>4</v>
      </c>
      <c r="DR193" s="26">
        <v>5.0000000000000002E-5</v>
      </c>
      <c r="DS193" s="28">
        <v>15</v>
      </c>
      <c r="DT193" s="28">
        <v>300</v>
      </c>
      <c r="DU193" s="26">
        <v>4.9999999999999998E-7</v>
      </c>
      <c r="DV193" s="26">
        <f t="shared" si="267"/>
        <v>7.4999999999999993E-6</v>
      </c>
      <c r="DW193" s="26">
        <f t="shared" si="268"/>
        <v>0.29999999999999993</v>
      </c>
      <c r="DX193" s="7">
        <v>16.179235104111001</v>
      </c>
      <c r="DY193" s="7">
        <v>254.539230510376</v>
      </c>
      <c r="DZ193" s="7">
        <v>718.02513241520205</v>
      </c>
      <c r="EA193" s="7">
        <v>254.539230510376</v>
      </c>
      <c r="EB193" s="7">
        <v>1323.2159142795599</v>
      </c>
      <c r="EC193" s="7">
        <v>509.29581789406501</v>
      </c>
      <c r="ED193" s="7">
        <f t="shared" si="269"/>
        <v>1227.1035934359541</v>
      </c>
    </row>
    <row r="194" spans="1:134" x14ac:dyDescent="0.4">
      <c r="A194" s="28">
        <v>6</v>
      </c>
      <c r="B194" s="26">
        <v>1.0000000000000001E-5</v>
      </c>
      <c r="C194" s="28">
        <v>0.2</v>
      </c>
      <c r="D194" s="28">
        <v>30</v>
      </c>
      <c r="E194" s="26">
        <v>7.5000000000000002E-7</v>
      </c>
      <c r="F194" s="26">
        <f t="shared" si="243"/>
        <v>1.5000000000000002E-7</v>
      </c>
      <c r="G194" s="26">
        <f t="shared" si="244"/>
        <v>3.0000000000000002E-2</v>
      </c>
      <c r="H194" s="7">
        <v>0.42867676156132201</v>
      </c>
      <c r="I194" s="7">
        <v>20967.675665585699</v>
      </c>
      <c r="J194" s="7">
        <v>165780.67944707401</v>
      </c>
      <c r="K194" s="7">
        <v>20967.675665585699</v>
      </c>
      <c r="L194" s="7">
        <v>651465.34785778704</v>
      </c>
      <c r="M194" s="7">
        <v>20371.832715762601</v>
      </c>
      <c r="N194" s="7">
        <f t="shared" si="245"/>
        <v>207716.03077824542</v>
      </c>
      <c r="P194" s="28">
        <v>6</v>
      </c>
      <c r="Q194" s="26">
        <v>3.0000000000000001E-5</v>
      </c>
      <c r="R194" s="28">
        <v>0.2</v>
      </c>
      <c r="S194" s="28">
        <v>30</v>
      </c>
      <c r="T194" s="26">
        <v>7.5000000000000002E-7</v>
      </c>
      <c r="U194" s="26">
        <f t="shared" si="246"/>
        <v>1.5000000000000002E-7</v>
      </c>
      <c r="V194" s="26">
        <f t="shared" si="247"/>
        <v>0.01</v>
      </c>
      <c r="W194" s="7">
        <v>0.46676647800802101</v>
      </c>
      <c r="X194" s="7">
        <v>6989.2252213633501</v>
      </c>
      <c r="Y194" s="7">
        <v>55260.226463633997</v>
      </c>
      <c r="Z194" s="7">
        <v>6989.2252213633501</v>
      </c>
      <c r="AA194" s="7">
        <v>217155.11601730101</v>
      </c>
      <c r="AB194" s="7">
        <v>2263.53696841807</v>
      </c>
      <c r="AC194" s="7">
        <f t="shared" si="248"/>
        <v>69238.676906360692</v>
      </c>
      <c r="AE194" s="28">
        <v>6</v>
      </c>
      <c r="AF194" s="26">
        <v>5.0000000000000002E-5</v>
      </c>
      <c r="AG194" s="28">
        <v>0.2</v>
      </c>
      <c r="AH194" s="28">
        <v>30</v>
      </c>
      <c r="AI194" s="26">
        <v>7.5000000000000002E-7</v>
      </c>
      <c r="AJ194" s="26">
        <f t="shared" si="249"/>
        <v>1.5000000000000002E-7</v>
      </c>
      <c r="AK194" s="26">
        <f t="shared" si="250"/>
        <v>6.0000000000000001E-3</v>
      </c>
      <c r="AL194" s="7">
        <v>0.475534708776439</v>
      </c>
      <c r="AM194" s="7">
        <v>4193.5351285970401</v>
      </c>
      <c r="AN194" s="7">
        <v>33156.135719653299</v>
      </c>
      <c r="AO194" s="7">
        <v>4193.5351285970401</v>
      </c>
      <c r="AP194" s="7">
        <v>130293.0701582</v>
      </c>
      <c r="AQ194" s="7">
        <v>814.87330863050397</v>
      </c>
      <c r="AR194" s="7">
        <f t="shared" si="251"/>
        <v>41543.205976847377</v>
      </c>
      <c r="AT194" s="28">
        <v>6</v>
      </c>
      <c r="AU194" s="26">
        <v>1.0000000000000001E-5</v>
      </c>
      <c r="AV194" s="28">
        <v>0.2</v>
      </c>
      <c r="AW194" s="28">
        <v>200</v>
      </c>
      <c r="AX194" s="26">
        <v>7.5000000000000002E-7</v>
      </c>
      <c r="AY194" s="26">
        <f t="shared" si="252"/>
        <v>1.5000000000000002E-7</v>
      </c>
      <c r="AZ194" s="26">
        <f t="shared" si="253"/>
        <v>3.0000000000000002E-2</v>
      </c>
      <c r="BA194" s="7">
        <v>0.47661297285479398</v>
      </c>
      <c r="BB194" s="7">
        <v>4345.3623253436699</v>
      </c>
      <c r="BC194" s="7">
        <v>165780.67944707401</v>
      </c>
      <c r="BD194" s="7">
        <v>4345.3623253436699</v>
      </c>
      <c r="BE194" s="7">
        <v>651465.34785778704</v>
      </c>
      <c r="BF194" s="7">
        <v>20371.832715762601</v>
      </c>
      <c r="BG194" s="7">
        <f t="shared" si="254"/>
        <v>174471.40409776138</v>
      </c>
      <c r="BI194" s="28">
        <v>6</v>
      </c>
      <c r="BJ194" s="26">
        <v>1.0000000000000001E-5</v>
      </c>
      <c r="BK194" s="28">
        <v>0.5</v>
      </c>
      <c r="BL194" s="28">
        <v>200</v>
      </c>
      <c r="BM194" s="26">
        <v>7.5000000000000002E-7</v>
      </c>
      <c r="BN194" s="26">
        <f t="shared" si="255"/>
        <v>3.7500000000000001E-7</v>
      </c>
      <c r="BO194" s="26">
        <f t="shared" si="256"/>
        <v>7.4999999999999997E-2</v>
      </c>
      <c r="BP194" s="7">
        <v>0.96877596393354404</v>
      </c>
      <c r="BQ194" s="7">
        <v>3764.12485338133</v>
      </c>
      <c r="BR194" s="7">
        <v>66312.271778829701</v>
      </c>
      <c r="BS194" s="7">
        <v>3764.12485338133</v>
      </c>
      <c r="BT194" s="7">
        <v>260586.139143115</v>
      </c>
      <c r="BU194" s="7">
        <v>20371.832715762601</v>
      </c>
      <c r="BV194" s="7">
        <f t="shared" si="257"/>
        <v>73840.52148559237</v>
      </c>
      <c r="BX194" s="28">
        <v>6</v>
      </c>
      <c r="BY194" s="26">
        <v>5.0000000000000002E-5</v>
      </c>
      <c r="BZ194" s="28">
        <v>0.5</v>
      </c>
      <c r="CA194" s="28">
        <v>200</v>
      </c>
      <c r="CB194" s="26">
        <v>7.5000000000000002E-7</v>
      </c>
      <c r="CC194" s="26">
        <f t="shared" si="258"/>
        <v>3.7500000000000001E-7</v>
      </c>
      <c r="CD194" s="26">
        <f t="shared" si="259"/>
        <v>1.4999999999999999E-2</v>
      </c>
      <c r="CE194" s="7">
        <v>1.2362855418215699</v>
      </c>
      <c r="CF194" s="7">
        <v>752.82497001808497</v>
      </c>
      <c r="CG194" s="7">
        <v>13262.454287861299</v>
      </c>
      <c r="CH194" s="7">
        <v>752.82497001808497</v>
      </c>
      <c r="CI194" s="7">
        <v>52117.228063280199</v>
      </c>
      <c r="CJ194" s="7">
        <v>814.87330863050397</v>
      </c>
      <c r="CK194" s="7">
        <f t="shared" si="260"/>
        <v>14768.104227897471</v>
      </c>
      <c r="CM194" s="28">
        <v>6</v>
      </c>
      <c r="CN194" s="26">
        <v>5.0000000000000002E-5</v>
      </c>
      <c r="CO194" s="28">
        <v>1</v>
      </c>
      <c r="CP194" s="28">
        <v>200</v>
      </c>
      <c r="CQ194" s="26">
        <v>7.5000000000000002E-7</v>
      </c>
      <c r="CR194" s="26">
        <f t="shared" si="261"/>
        <v>7.5000000000000002E-7</v>
      </c>
      <c r="CS194" s="26">
        <f t="shared" si="262"/>
        <v>0.03</v>
      </c>
      <c r="CT194" s="7">
        <v>2.1995099650690002</v>
      </c>
      <c r="CU194" s="7">
        <v>665.23311259709499</v>
      </c>
      <c r="CV194" s="7">
        <v>6631.2271439306596</v>
      </c>
      <c r="CW194" s="7">
        <v>665.23311259709499</v>
      </c>
      <c r="CX194" s="7">
        <v>26058.6140316401</v>
      </c>
      <c r="CY194" s="7">
        <v>814.87330863050397</v>
      </c>
      <c r="CZ194" s="7">
        <f t="shared" si="263"/>
        <v>7961.6933691248496</v>
      </c>
      <c r="DB194" s="28">
        <v>6</v>
      </c>
      <c r="DC194" s="26">
        <v>5.0000000000000002E-5</v>
      </c>
      <c r="DD194" s="28">
        <v>2</v>
      </c>
      <c r="DE194" s="28">
        <v>200</v>
      </c>
      <c r="DF194" s="26">
        <v>7.5000000000000002E-7</v>
      </c>
      <c r="DG194" s="26">
        <f t="shared" si="264"/>
        <v>1.5E-6</v>
      </c>
      <c r="DH194" s="26">
        <f t="shared" si="265"/>
        <v>0.06</v>
      </c>
      <c r="DI194" s="7">
        <v>3.7107417547048098</v>
      </c>
      <c r="DJ194" s="7">
        <v>578.22973015081095</v>
      </c>
      <c r="DK194" s="7">
        <v>3315.6135719653298</v>
      </c>
      <c r="DL194" s="7">
        <v>578.22973015081095</v>
      </c>
      <c r="DM194" s="7">
        <v>13029.307015820101</v>
      </c>
      <c r="DN194" s="7">
        <v>814.87330863050397</v>
      </c>
      <c r="DO194" s="7">
        <f t="shared" si="266"/>
        <v>4472.0730322669515</v>
      </c>
      <c r="DQ194" s="28">
        <v>6</v>
      </c>
      <c r="DR194" s="26">
        <v>5.0000000000000002E-5</v>
      </c>
      <c r="DS194" s="28">
        <v>15</v>
      </c>
      <c r="DT194" s="28">
        <v>300</v>
      </c>
      <c r="DU194" s="26">
        <v>4.9999999999999998E-7</v>
      </c>
      <c r="DV194" s="26">
        <f t="shared" si="267"/>
        <v>7.4999999999999993E-6</v>
      </c>
      <c r="DW194" s="26">
        <f t="shared" si="268"/>
        <v>0.29999999999999993</v>
      </c>
      <c r="DX194" s="7">
        <v>16.705175109771499</v>
      </c>
      <c r="DY194" s="7">
        <v>254.539230510376</v>
      </c>
      <c r="DZ194" s="7">
        <v>442.08180959537702</v>
      </c>
      <c r="EA194" s="7">
        <v>254.539230510376</v>
      </c>
      <c r="EB194" s="7">
        <v>1737.24093544267</v>
      </c>
      <c r="EC194" s="7">
        <v>509.29581789406501</v>
      </c>
      <c r="ED194" s="7">
        <f t="shared" si="269"/>
        <v>951.16027061612908</v>
      </c>
    </row>
    <row r="195" spans="1:134" x14ac:dyDescent="0.4">
      <c r="A195" s="28">
        <v>8</v>
      </c>
      <c r="B195" s="26">
        <v>1.0000000000000001E-5</v>
      </c>
      <c r="C195" s="28">
        <v>0.2</v>
      </c>
      <c r="D195" s="28">
        <v>30</v>
      </c>
      <c r="E195" s="26">
        <v>7.5000000000000002E-7</v>
      </c>
      <c r="F195" s="26">
        <f t="shared" si="243"/>
        <v>1.5000000000000002E-7</v>
      </c>
      <c r="G195" s="26">
        <f t="shared" si="244"/>
        <v>3.0000000000000002E-2</v>
      </c>
      <c r="H195" s="7">
        <v>0.56688599514351701</v>
      </c>
      <c r="I195" s="7">
        <v>20967.675665585699</v>
      </c>
      <c r="J195" s="7">
        <v>100396.196898707</v>
      </c>
      <c r="K195" s="7">
        <v>20967.675665585699</v>
      </c>
      <c r="L195" s="7">
        <v>821154.82400854595</v>
      </c>
      <c r="M195" s="7">
        <v>20371.832715762601</v>
      </c>
      <c r="N195" s="7">
        <f t="shared" si="245"/>
        <v>142331.54822987839</v>
      </c>
      <c r="P195" s="28">
        <v>8</v>
      </c>
      <c r="Q195" s="26">
        <v>3.0000000000000001E-5</v>
      </c>
      <c r="R195" s="28">
        <v>0.2</v>
      </c>
      <c r="S195" s="28">
        <v>30</v>
      </c>
      <c r="T195" s="26">
        <v>7.5000000000000002E-7</v>
      </c>
      <c r="U195" s="26">
        <f t="shared" si="246"/>
        <v>1.5000000000000002E-7</v>
      </c>
      <c r="V195" s="26">
        <f t="shared" si="247"/>
        <v>0.01</v>
      </c>
      <c r="W195" s="7">
        <v>0.64764198042038001</v>
      </c>
      <c r="X195" s="7">
        <v>6989.2252213633501</v>
      </c>
      <c r="Y195" s="7">
        <v>33465.398947511501</v>
      </c>
      <c r="Z195" s="7">
        <v>6989.2252213633501</v>
      </c>
      <c r="AA195" s="7">
        <v>273718.27480960399</v>
      </c>
      <c r="AB195" s="7">
        <v>2263.53696841807</v>
      </c>
      <c r="AC195" s="7">
        <f t="shared" si="248"/>
        <v>47443.849390238196</v>
      </c>
      <c r="AE195" s="28">
        <v>8</v>
      </c>
      <c r="AF195" s="26">
        <v>5.0000000000000002E-5</v>
      </c>
      <c r="AG195" s="28">
        <v>0.2</v>
      </c>
      <c r="AH195" s="28">
        <v>30</v>
      </c>
      <c r="AI195" s="26">
        <v>7.5000000000000002E-7</v>
      </c>
      <c r="AJ195" s="26">
        <f t="shared" si="249"/>
        <v>1.5000000000000002E-7</v>
      </c>
      <c r="AK195" s="26">
        <f t="shared" si="250"/>
        <v>6.0000000000000001E-3</v>
      </c>
      <c r="AL195" s="7">
        <v>0.66729162608220605</v>
      </c>
      <c r="AM195" s="7">
        <v>4193.5351285970401</v>
      </c>
      <c r="AN195" s="7">
        <v>20079.239209979802</v>
      </c>
      <c r="AO195" s="7">
        <v>4193.5351285970401</v>
      </c>
      <c r="AP195" s="7">
        <v>164230.96607182099</v>
      </c>
      <c r="AQ195" s="7">
        <v>814.87330863050397</v>
      </c>
      <c r="AR195" s="7">
        <f t="shared" si="251"/>
        <v>28466.30946717388</v>
      </c>
      <c r="AT195" s="28">
        <v>8</v>
      </c>
      <c r="AU195" s="26">
        <v>1.0000000000000001E-5</v>
      </c>
      <c r="AV195" s="28">
        <v>0.2</v>
      </c>
      <c r="AW195" s="28">
        <v>200</v>
      </c>
      <c r="AX195" s="26">
        <v>7.5000000000000002E-7</v>
      </c>
      <c r="AY195" s="26">
        <f t="shared" si="252"/>
        <v>1.5000000000000002E-7</v>
      </c>
      <c r="AZ195" s="26">
        <f t="shared" si="253"/>
        <v>3.0000000000000002E-2</v>
      </c>
      <c r="BA195" s="7">
        <v>0.66973700222196697</v>
      </c>
      <c r="BB195" s="7">
        <v>4345.3623253436699</v>
      </c>
      <c r="BC195" s="7">
        <v>100396.196898707</v>
      </c>
      <c r="BD195" s="7">
        <v>4345.3623253436699</v>
      </c>
      <c r="BE195" s="7">
        <v>821154.82400854595</v>
      </c>
      <c r="BF195" s="7">
        <v>20371.832715762601</v>
      </c>
      <c r="BG195" s="7">
        <f t="shared" si="254"/>
        <v>109086.92154939433</v>
      </c>
      <c r="BI195" s="28">
        <v>8</v>
      </c>
      <c r="BJ195" s="26">
        <v>1.0000000000000001E-5</v>
      </c>
      <c r="BK195" s="28">
        <v>0.5</v>
      </c>
      <c r="BL195" s="28">
        <v>200</v>
      </c>
      <c r="BM195" s="26">
        <v>7.5000000000000002E-7</v>
      </c>
      <c r="BN195" s="26">
        <f t="shared" si="255"/>
        <v>3.7500000000000001E-7</v>
      </c>
      <c r="BO195" s="26">
        <f t="shared" si="256"/>
        <v>7.4999999999999997E-2</v>
      </c>
      <c r="BP195" s="7">
        <v>1.21801999446434</v>
      </c>
      <c r="BQ195" s="7">
        <v>3764.12485338133</v>
      </c>
      <c r="BR195" s="7">
        <v>40158.478759482699</v>
      </c>
      <c r="BS195" s="7">
        <v>3764.12485338133</v>
      </c>
      <c r="BT195" s="7">
        <v>328461.92960341799</v>
      </c>
      <c r="BU195" s="7">
        <v>20371.832715762601</v>
      </c>
      <c r="BV195" s="7">
        <f t="shared" si="257"/>
        <v>47686.728466245353</v>
      </c>
      <c r="BX195" s="28">
        <v>8</v>
      </c>
      <c r="BY195" s="26">
        <v>5.0000000000000002E-5</v>
      </c>
      <c r="BZ195" s="28">
        <v>0.5</v>
      </c>
      <c r="CA195" s="28">
        <v>200</v>
      </c>
      <c r="CB195" s="26">
        <v>7.5000000000000002E-7</v>
      </c>
      <c r="CC195" s="26">
        <f t="shared" si="258"/>
        <v>3.7500000000000001E-7</v>
      </c>
      <c r="CD195" s="26">
        <f t="shared" si="259"/>
        <v>1.4999999999999999E-2</v>
      </c>
      <c r="CE195" s="7">
        <v>1.77823603325418</v>
      </c>
      <c r="CF195" s="7">
        <v>752.82497001808497</v>
      </c>
      <c r="CG195" s="7">
        <v>8031.6956839919103</v>
      </c>
      <c r="CH195" s="7">
        <v>752.82497001808497</v>
      </c>
      <c r="CI195" s="7">
        <v>65692.386428728598</v>
      </c>
      <c r="CJ195" s="7">
        <v>814.87330863050397</v>
      </c>
      <c r="CK195" s="7">
        <f t="shared" si="260"/>
        <v>9537.3456240280793</v>
      </c>
      <c r="CM195" s="28">
        <v>8</v>
      </c>
      <c r="CN195" s="26">
        <v>5.0000000000000002E-5</v>
      </c>
      <c r="CO195" s="28">
        <v>1</v>
      </c>
      <c r="CP195" s="28">
        <v>200</v>
      </c>
      <c r="CQ195" s="26">
        <v>7.5000000000000002E-7</v>
      </c>
      <c r="CR195" s="26">
        <f t="shared" si="261"/>
        <v>7.5000000000000002E-7</v>
      </c>
      <c r="CS195" s="26">
        <f t="shared" si="262"/>
        <v>0.03</v>
      </c>
      <c r="CT195" s="7">
        <v>2.9496987099049501</v>
      </c>
      <c r="CU195" s="7">
        <v>665.23311259709499</v>
      </c>
      <c r="CV195" s="7">
        <v>4015.8478419959501</v>
      </c>
      <c r="CW195" s="7">
        <v>665.23311259709499</v>
      </c>
      <c r="CX195" s="7">
        <v>32846.193214364299</v>
      </c>
      <c r="CY195" s="7">
        <v>814.87330863050397</v>
      </c>
      <c r="CZ195" s="7">
        <f t="shared" si="263"/>
        <v>5346.3140671901401</v>
      </c>
      <c r="DB195" s="28">
        <v>8</v>
      </c>
      <c r="DC195" s="26">
        <v>5.0000000000000002E-5</v>
      </c>
      <c r="DD195" s="28">
        <v>2</v>
      </c>
      <c r="DE195" s="28">
        <v>200</v>
      </c>
      <c r="DF195" s="26">
        <v>7.5000000000000002E-7</v>
      </c>
      <c r="DG195" s="26">
        <f t="shared" si="264"/>
        <v>1.5E-6</v>
      </c>
      <c r="DH195" s="26">
        <f t="shared" si="265"/>
        <v>0.06</v>
      </c>
      <c r="DI195" s="7">
        <v>4.5737337055021596</v>
      </c>
      <c r="DJ195" s="7">
        <v>578.22973015081095</v>
      </c>
      <c r="DK195" s="7">
        <v>2007.9239209979801</v>
      </c>
      <c r="DL195" s="7">
        <v>578.22973015081095</v>
      </c>
      <c r="DM195" s="7">
        <v>16423.096607182099</v>
      </c>
      <c r="DN195" s="7">
        <v>814.87330863050397</v>
      </c>
      <c r="DO195" s="7">
        <f t="shared" si="266"/>
        <v>3164.3833812996022</v>
      </c>
      <c r="DQ195" s="28">
        <v>8</v>
      </c>
      <c r="DR195" s="26">
        <v>5.0000000000000002E-5</v>
      </c>
      <c r="DS195" s="28">
        <v>15</v>
      </c>
      <c r="DT195" s="28">
        <v>300</v>
      </c>
      <c r="DU195" s="26">
        <v>4.9999999999999998E-7</v>
      </c>
      <c r="DV195" s="26">
        <f t="shared" si="267"/>
        <v>7.4999999999999993E-6</v>
      </c>
      <c r="DW195" s="26">
        <f t="shared" si="268"/>
        <v>0.29999999999999993</v>
      </c>
      <c r="DX195" s="7">
        <v>17.2043100977195</v>
      </c>
      <c r="DY195" s="7">
        <v>254.539230510376</v>
      </c>
      <c r="DZ195" s="7">
        <v>267.723189466397</v>
      </c>
      <c r="EA195" s="7">
        <v>254.539230510376</v>
      </c>
      <c r="EB195" s="7">
        <v>2189.7462142909499</v>
      </c>
      <c r="EC195" s="7">
        <v>509.29581789406501</v>
      </c>
      <c r="ED195" s="7">
        <f t="shared" si="269"/>
        <v>776.801650487149</v>
      </c>
    </row>
    <row r="196" spans="1:134" x14ac:dyDescent="0.4">
      <c r="A196" s="28">
        <v>10</v>
      </c>
      <c r="B196" s="26">
        <v>1.0000000000000001E-5</v>
      </c>
      <c r="C196" s="28">
        <v>0.2</v>
      </c>
      <c r="D196" s="28">
        <v>30</v>
      </c>
      <c r="E196" s="26">
        <v>7.5000000000000002E-7</v>
      </c>
      <c r="F196" s="26">
        <f t="shared" si="243"/>
        <v>1.5000000000000002E-7</v>
      </c>
      <c r="G196" s="26">
        <f t="shared" si="244"/>
        <v>3.0000000000000002E-2</v>
      </c>
      <c r="H196" s="7">
        <v>0.75977217143560405</v>
      </c>
      <c r="I196" s="7">
        <v>20967.675665585699</v>
      </c>
      <c r="J196" s="7">
        <v>53826.312121005001</v>
      </c>
      <c r="K196" s="7">
        <v>20967.675665585699</v>
      </c>
      <c r="L196" s="7">
        <v>1014751.21705289</v>
      </c>
      <c r="M196" s="7">
        <v>20371.832715762601</v>
      </c>
      <c r="N196" s="7">
        <f t="shared" si="245"/>
        <v>95761.663452176406</v>
      </c>
      <c r="P196" s="28">
        <v>10</v>
      </c>
      <c r="Q196" s="26">
        <v>3.0000000000000001E-5</v>
      </c>
      <c r="R196" s="28">
        <v>0.2</v>
      </c>
      <c r="S196" s="28">
        <v>30</v>
      </c>
      <c r="T196" s="26">
        <v>7.5000000000000002E-7</v>
      </c>
      <c r="U196" s="26">
        <f t="shared" si="246"/>
        <v>1.5000000000000002E-7</v>
      </c>
      <c r="V196" s="26">
        <f t="shared" si="247"/>
        <v>0.01</v>
      </c>
      <c r="W196" s="7">
        <v>0.92613226654464498</v>
      </c>
      <c r="X196" s="7">
        <v>6989.2252213633501</v>
      </c>
      <c r="Y196" s="7">
        <v>17942.1040216109</v>
      </c>
      <c r="Z196" s="7">
        <v>6989.2252213633501</v>
      </c>
      <c r="AA196" s="7">
        <v>338250.40599296999</v>
      </c>
      <c r="AB196" s="7">
        <v>2263.53696841807</v>
      </c>
      <c r="AC196" s="7">
        <f t="shared" si="248"/>
        <v>31920.554464337602</v>
      </c>
      <c r="AE196" s="28">
        <v>10</v>
      </c>
      <c r="AF196" s="26">
        <v>5.0000000000000002E-5</v>
      </c>
      <c r="AG196" s="28">
        <v>0.2</v>
      </c>
      <c r="AH196" s="28">
        <v>30</v>
      </c>
      <c r="AI196" s="26">
        <v>7.5000000000000002E-7</v>
      </c>
      <c r="AJ196" s="26">
        <f t="shared" si="249"/>
        <v>1.5000000000000002E-7</v>
      </c>
      <c r="AK196" s="26">
        <f t="shared" si="250"/>
        <v>6.0000000000000001E-3</v>
      </c>
      <c r="AL196" s="7">
        <v>0.96984116054709402</v>
      </c>
      <c r="AM196" s="7">
        <v>4193.5351285970401</v>
      </c>
      <c r="AN196" s="7">
        <v>10765.2622544394</v>
      </c>
      <c r="AO196" s="7">
        <v>4193.5351285970401</v>
      </c>
      <c r="AP196" s="7">
        <v>202950.24620916101</v>
      </c>
      <c r="AQ196" s="7">
        <v>814.87330863050397</v>
      </c>
      <c r="AR196" s="7">
        <f t="shared" si="251"/>
        <v>19152.332511633478</v>
      </c>
      <c r="AT196" s="28">
        <v>10</v>
      </c>
      <c r="AU196" s="26">
        <v>1.0000000000000001E-5</v>
      </c>
      <c r="AV196" s="28">
        <v>0.2</v>
      </c>
      <c r="AW196" s="28">
        <v>200</v>
      </c>
      <c r="AX196" s="26">
        <v>7.5000000000000002E-7</v>
      </c>
      <c r="AY196" s="26">
        <f t="shared" si="252"/>
        <v>1.5000000000000002E-7</v>
      </c>
      <c r="AZ196" s="26">
        <f t="shared" si="253"/>
        <v>3.0000000000000002E-2</v>
      </c>
      <c r="BA196" s="7">
        <v>0.97537638152914596</v>
      </c>
      <c r="BB196" s="7">
        <v>4345.3623253436699</v>
      </c>
      <c r="BC196" s="7">
        <v>53826.312121005001</v>
      </c>
      <c r="BD196" s="7">
        <v>4345.3623253436699</v>
      </c>
      <c r="BE196" s="7">
        <v>1014751.21705289</v>
      </c>
      <c r="BF196" s="7">
        <v>20371.832715762601</v>
      </c>
      <c r="BG196" s="7">
        <f t="shared" si="254"/>
        <v>62517.036771692336</v>
      </c>
      <c r="BI196" s="28">
        <v>10</v>
      </c>
      <c r="BJ196" s="26">
        <v>1.0000000000000001E-5</v>
      </c>
      <c r="BK196" s="28">
        <v>0.5</v>
      </c>
      <c r="BL196" s="28">
        <v>200</v>
      </c>
      <c r="BM196" s="26">
        <v>7.5000000000000002E-7</v>
      </c>
      <c r="BN196" s="26">
        <f t="shared" si="255"/>
        <v>3.7500000000000001E-7</v>
      </c>
      <c r="BO196" s="26">
        <f t="shared" si="256"/>
        <v>7.4999999999999997E-2</v>
      </c>
      <c r="BP196" s="7">
        <v>1.53485058368548</v>
      </c>
      <c r="BQ196" s="7">
        <v>3764.12485338133</v>
      </c>
      <c r="BR196" s="7">
        <v>21530.524848402001</v>
      </c>
      <c r="BS196" s="7">
        <v>3764.12485338133</v>
      </c>
      <c r="BT196" s="7">
        <v>405900.48682115501</v>
      </c>
      <c r="BU196" s="7">
        <v>20371.832715762601</v>
      </c>
      <c r="BV196" s="7">
        <f t="shared" si="257"/>
        <v>29058.774555164662</v>
      </c>
      <c r="BX196" s="28">
        <v>10</v>
      </c>
      <c r="BY196" s="26">
        <v>5.0000000000000002E-5</v>
      </c>
      <c r="BZ196" s="28">
        <v>0.5</v>
      </c>
      <c r="CA196" s="28">
        <v>200</v>
      </c>
      <c r="CB196" s="26">
        <v>7.5000000000000002E-7</v>
      </c>
      <c r="CC196" s="26">
        <f t="shared" si="258"/>
        <v>3.7500000000000001E-7</v>
      </c>
      <c r="CD196" s="26">
        <f t="shared" si="259"/>
        <v>1.4999999999999999E-2</v>
      </c>
      <c r="CE196" s="7">
        <v>2.6821304289532502</v>
      </c>
      <c r="CF196" s="7">
        <v>752.82497001808497</v>
      </c>
      <c r="CG196" s="7">
        <v>4306.1049017757796</v>
      </c>
      <c r="CH196" s="7">
        <v>752.82497001808497</v>
      </c>
      <c r="CI196" s="7">
        <v>81180.098483664406</v>
      </c>
      <c r="CJ196" s="7">
        <v>814.87330863050397</v>
      </c>
      <c r="CK196" s="7">
        <f t="shared" si="260"/>
        <v>5811.7548418119495</v>
      </c>
      <c r="CM196" s="28">
        <v>10</v>
      </c>
      <c r="CN196" s="26">
        <v>5.0000000000000002E-5</v>
      </c>
      <c r="CO196" s="28">
        <v>1</v>
      </c>
      <c r="CP196" s="28">
        <v>200</v>
      </c>
      <c r="CQ196" s="26">
        <v>7.5000000000000002E-7</v>
      </c>
      <c r="CR196" s="26">
        <f t="shared" si="261"/>
        <v>7.5000000000000002E-7</v>
      </c>
      <c r="CS196" s="26">
        <f t="shared" si="262"/>
        <v>0.03</v>
      </c>
      <c r="CT196" s="7">
        <v>4.0260600231377701</v>
      </c>
      <c r="CU196" s="7">
        <v>665.23311259709499</v>
      </c>
      <c r="CV196" s="7">
        <v>2153.0524508878898</v>
      </c>
      <c r="CW196" s="7">
        <v>665.23311259709499</v>
      </c>
      <c r="CX196" s="7">
        <v>40590.049241832203</v>
      </c>
      <c r="CY196" s="7">
        <v>814.87330863050397</v>
      </c>
      <c r="CZ196" s="7">
        <f t="shared" si="263"/>
        <v>3483.5186760820798</v>
      </c>
      <c r="DB196" s="28">
        <v>10</v>
      </c>
      <c r="DC196" s="26">
        <v>5.0000000000000002E-5</v>
      </c>
      <c r="DD196" s="28">
        <v>2</v>
      </c>
      <c r="DE196" s="28">
        <v>200</v>
      </c>
      <c r="DF196" s="26">
        <v>7.5000000000000002E-7</v>
      </c>
      <c r="DG196" s="26">
        <f t="shared" si="264"/>
        <v>1.5E-6</v>
      </c>
      <c r="DH196" s="26">
        <f t="shared" si="265"/>
        <v>0.06</v>
      </c>
      <c r="DI196" s="7">
        <v>5.63407812782678</v>
      </c>
      <c r="DJ196" s="7">
        <v>578.22973015081095</v>
      </c>
      <c r="DK196" s="7">
        <v>1076.5262254439399</v>
      </c>
      <c r="DL196" s="7">
        <v>578.22973015081095</v>
      </c>
      <c r="DM196" s="7">
        <v>20295.024620916101</v>
      </c>
      <c r="DN196" s="7">
        <v>814.87330863050397</v>
      </c>
      <c r="DO196" s="7">
        <f t="shared" si="266"/>
        <v>2232.985685745562</v>
      </c>
      <c r="DQ196" s="28">
        <v>10</v>
      </c>
      <c r="DR196" s="26">
        <v>5.0000000000000002E-5</v>
      </c>
      <c r="DS196" s="28">
        <v>15</v>
      </c>
      <c r="DT196" s="28">
        <v>300</v>
      </c>
      <c r="DU196" s="26">
        <v>4.9999999999999998E-7</v>
      </c>
      <c r="DV196" s="26">
        <f t="shared" si="267"/>
        <v>7.4999999999999993E-6</v>
      </c>
      <c r="DW196" s="26">
        <f t="shared" si="268"/>
        <v>0.29999999999999993</v>
      </c>
      <c r="DX196" s="7">
        <v>17.696578599169001</v>
      </c>
      <c r="DY196" s="7">
        <v>254.539230510376</v>
      </c>
      <c r="DZ196" s="7">
        <v>143.53683005919299</v>
      </c>
      <c r="EA196" s="7">
        <v>254.539230510376</v>
      </c>
      <c r="EB196" s="7">
        <v>2706.0032827888099</v>
      </c>
      <c r="EC196" s="7">
        <v>509.29581789406501</v>
      </c>
      <c r="ED196" s="7">
        <f t="shared" si="269"/>
        <v>652.615291079945</v>
      </c>
    </row>
    <row r="197" spans="1:134" x14ac:dyDescent="0.4">
      <c r="A197" s="28">
        <v>12</v>
      </c>
      <c r="B197" s="26">
        <v>1.0000000000000001E-5</v>
      </c>
      <c r="C197" s="28">
        <v>0.2</v>
      </c>
      <c r="D197" s="28">
        <v>30</v>
      </c>
      <c r="E197" s="26">
        <v>7.5000000000000002E-7</v>
      </c>
      <c r="F197" s="26">
        <f t="shared" si="243"/>
        <v>1.5000000000000002E-7</v>
      </c>
      <c r="G197" s="26">
        <f t="shared" si="244"/>
        <v>3.0000000000000002E-2</v>
      </c>
      <c r="H197" s="7">
        <v>1.04179230027531</v>
      </c>
      <c r="I197" s="7">
        <v>20967.675665585699</v>
      </c>
      <c r="J197" s="7">
        <v>18265.061724746</v>
      </c>
      <c r="K197" s="7">
        <v>20967.675665585699</v>
      </c>
      <c r="L197" s="7">
        <v>1222830.0672564299</v>
      </c>
      <c r="M197" s="7">
        <v>20371.832715762601</v>
      </c>
      <c r="N197" s="7">
        <f t="shared" si="245"/>
        <v>60200.413055917394</v>
      </c>
      <c r="P197" s="28">
        <v>12</v>
      </c>
      <c r="Q197" s="26">
        <v>3.0000000000000001E-5</v>
      </c>
      <c r="R197" s="28">
        <v>0.2</v>
      </c>
      <c r="S197" s="28">
        <v>30</v>
      </c>
      <c r="T197" s="26">
        <v>7.5000000000000002E-7</v>
      </c>
      <c r="U197" s="26">
        <f t="shared" si="246"/>
        <v>1.5000000000000002E-7</v>
      </c>
      <c r="V197" s="26">
        <f t="shared" si="247"/>
        <v>0.01</v>
      </c>
      <c r="W197" s="7">
        <v>1.3960782440364501</v>
      </c>
      <c r="X197" s="7">
        <v>6989.2252213633501</v>
      </c>
      <c r="Y197" s="7">
        <v>6088.3538895246002</v>
      </c>
      <c r="Z197" s="7">
        <v>6989.2252213633501</v>
      </c>
      <c r="AA197" s="7">
        <v>407610.02322415198</v>
      </c>
      <c r="AB197" s="7">
        <v>2263.53696841807</v>
      </c>
      <c r="AC197" s="7">
        <f t="shared" si="248"/>
        <v>20066.8043322513</v>
      </c>
      <c r="AE197" s="28">
        <v>12</v>
      </c>
      <c r="AF197" s="26">
        <v>5.0000000000000002E-5</v>
      </c>
      <c r="AG197" s="28">
        <v>0.2</v>
      </c>
      <c r="AH197" s="28">
        <v>30</v>
      </c>
      <c r="AI197" s="26">
        <v>7.5000000000000002E-7</v>
      </c>
      <c r="AJ197" s="26">
        <f t="shared" si="249"/>
        <v>1.5000000000000002E-7</v>
      </c>
      <c r="AK197" s="26">
        <f t="shared" si="250"/>
        <v>6.0000000000000001E-3</v>
      </c>
      <c r="AL197" s="7">
        <v>1.50072643725418</v>
      </c>
      <c r="AM197" s="7">
        <v>4193.5351285970401</v>
      </c>
      <c r="AN197" s="7">
        <v>3653.01217518762</v>
      </c>
      <c r="AO197" s="7">
        <v>4193.5351285970401</v>
      </c>
      <c r="AP197" s="7">
        <v>244566.02075291699</v>
      </c>
      <c r="AQ197" s="7">
        <v>814.87330863050397</v>
      </c>
      <c r="AR197" s="7">
        <f t="shared" si="251"/>
        <v>12040.0824323817</v>
      </c>
      <c r="AT197" s="28">
        <v>12</v>
      </c>
      <c r="AU197" s="26">
        <v>1.0000000000000001E-5</v>
      </c>
      <c r="AV197" s="28">
        <v>0.2</v>
      </c>
      <c r="AW197" s="28">
        <v>200</v>
      </c>
      <c r="AX197" s="26">
        <v>7.5000000000000002E-7</v>
      </c>
      <c r="AY197" s="26">
        <f t="shared" si="252"/>
        <v>1.5000000000000002E-7</v>
      </c>
      <c r="AZ197" s="26">
        <f t="shared" si="253"/>
        <v>3.0000000000000002E-2</v>
      </c>
      <c r="BA197" s="7">
        <v>1.51436612798815</v>
      </c>
      <c r="BB197" s="7">
        <v>4345.3623253436699</v>
      </c>
      <c r="BC197" s="7">
        <v>18265.061724746</v>
      </c>
      <c r="BD197" s="7">
        <v>4345.3623253436699</v>
      </c>
      <c r="BE197" s="7">
        <v>1222830.0672564299</v>
      </c>
      <c r="BF197" s="7">
        <v>20371.832715762601</v>
      </c>
      <c r="BG197" s="7">
        <f t="shared" si="254"/>
        <v>26955.786375433341</v>
      </c>
      <c r="BI197" s="28">
        <v>12</v>
      </c>
      <c r="BJ197" s="26">
        <v>1.0000000000000001E-5</v>
      </c>
      <c r="BK197" s="28">
        <v>0.5</v>
      </c>
      <c r="BL197" s="28">
        <v>200</v>
      </c>
      <c r="BM197" s="26">
        <v>7.5000000000000002E-7</v>
      </c>
      <c r="BN197" s="26">
        <f t="shared" si="255"/>
        <v>3.7500000000000001E-7</v>
      </c>
      <c r="BO197" s="26">
        <f t="shared" si="256"/>
        <v>7.4999999999999997E-2</v>
      </c>
      <c r="BP197" s="7">
        <v>1.94648464674957</v>
      </c>
      <c r="BQ197" s="7">
        <v>3764.12485338133</v>
      </c>
      <c r="BR197" s="7">
        <v>7306.0246898983996</v>
      </c>
      <c r="BS197" s="7">
        <v>3764.12485338133</v>
      </c>
      <c r="BT197" s="7">
        <v>489132.02690256998</v>
      </c>
      <c r="BU197" s="7">
        <v>20371.832715762601</v>
      </c>
      <c r="BV197" s="7">
        <f t="shared" si="257"/>
        <v>14834.27439666106</v>
      </c>
      <c r="BX197" s="28">
        <v>12</v>
      </c>
      <c r="BY197" s="26">
        <v>5.0000000000000002E-5</v>
      </c>
      <c r="BZ197" s="28">
        <v>0.5</v>
      </c>
      <c r="CA197" s="28">
        <v>200</v>
      </c>
      <c r="CB197" s="26">
        <v>7.5000000000000002E-7</v>
      </c>
      <c r="CC197" s="26">
        <f t="shared" si="258"/>
        <v>3.7500000000000001E-7</v>
      </c>
      <c r="CD197" s="26">
        <f t="shared" si="259"/>
        <v>1.4999999999999999E-2</v>
      </c>
      <c r="CE197" s="7">
        <v>4.4253617519881896</v>
      </c>
      <c r="CF197" s="7">
        <v>752.82497001808497</v>
      </c>
      <c r="CG197" s="7">
        <v>1461.2048700750499</v>
      </c>
      <c r="CH197" s="7">
        <v>752.82497001808497</v>
      </c>
      <c r="CI197" s="7">
        <v>97826.408301166695</v>
      </c>
      <c r="CJ197" s="7">
        <v>814.87330863050397</v>
      </c>
      <c r="CK197" s="7">
        <f t="shared" si="260"/>
        <v>2966.8548101112201</v>
      </c>
      <c r="CM197" s="28">
        <v>12</v>
      </c>
      <c r="CN197" s="26">
        <v>5.0000000000000002E-5</v>
      </c>
      <c r="CO197" s="28">
        <v>1</v>
      </c>
      <c r="CP197" s="28">
        <v>200</v>
      </c>
      <c r="CQ197" s="26">
        <v>7.5000000000000002E-7</v>
      </c>
      <c r="CR197" s="26">
        <f t="shared" si="261"/>
        <v>7.5000000000000002E-7</v>
      </c>
      <c r="CS197" s="26">
        <f t="shared" si="262"/>
        <v>0.03</v>
      </c>
      <c r="CT197" s="7">
        <v>5.6612809442124501</v>
      </c>
      <c r="CU197" s="7">
        <v>665.23311259709499</v>
      </c>
      <c r="CV197" s="7">
        <v>730.60243503752497</v>
      </c>
      <c r="CW197" s="7">
        <v>665.23311259709499</v>
      </c>
      <c r="CX197" s="7">
        <v>48913.204150583399</v>
      </c>
      <c r="CY197" s="7">
        <v>814.87330863050397</v>
      </c>
      <c r="CZ197" s="7">
        <f t="shared" si="263"/>
        <v>2061.0686602317151</v>
      </c>
      <c r="DB197" s="28">
        <v>12</v>
      </c>
      <c r="DC197" s="26">
        <v>5.0000000000000002E-5</v>
      </c>
      <c r="DD197" s="28">
        <v>2</v>
      </c>
      <c r="DE197" s="28">
        <v>200</v>
      </c>
      <c r="DF197" s="26">
        <v>7.5000000000000002E-7</v>
      </c>
      <c r="DG197" s="26">
        <f t="shared" si="264"/>
        <v>1.5E-6</v>
      </c>
      <c r="DH197" s="26">
        <f t="shared" si="265"/>
        <v>0.06</v>
      </c>
      <c r="DI197" s="7">
        <v>6.9593140205449302</v>
      </c>
      <c r="DJ197" s="7">
        <v>578.22973015081095</v>
      </c>
      <c r="DK197" s="7">
        <v>365.301217518763</v>
      </c>
      <c r="DL197" s="7">
        <v>578.22973015081095</v>
      </c>
      <c r="DM197" s="7">
        <v>24456.602075291699</v>
      </c>
      <c r="DN197" s="7">
        <v>814.87330863050397</v>
      </c>
      <c r="DO197" s="7">
        <f t="shared" si="266"/>
        <v>1521.7606778203849</v>
      </c>
      <c r="DQ197" s="28">
        <v>12</v>
      </c>
      <c r="DR197" s="26">
        <v>5.0000000000000002E-5</v>
      </c>
      <c r="DS197" s="28">
        <v>15</v>
      </c>
      <c r="DT197" s="28">
        <v>300</v>
      </c>
      <c r="DU197" s="26">
        <v>4.9999999999999998E-7</v>
      </c>
      <c r="DV197" s="26">
        <f t="shared" si="267"/>
        <v>7.4999999999999993E-6</v>
      </c>
      <c r="DW197" s="26">
        <f t="shared" si="268"/>
        <v>0.29999999999999993</v>
      </c>
      <c r="DX197" s="7">
        <v>18.283042019631299</v>
      </c>
      <c r="DY197" s="7">
        <v>254.539230510376</v>
      </c>
      <c r="DZ197" s="7">
        <v>48.7068290025016</v>
      </c>
      <c r="EA197" s="7">
        <v>254.539230510376</v>
      </c>
      <c r="EB197" s="7">
        <v>3260.8802767055599</v>
      </c>
      <c r="EC197" s="7">
        <v>509.29581789406501</v>
      </c>
      <c r="ED197" s="7">
        <f t="shared" si="269"/>
        <v>557.78529002325354</v>
      </c>
    </row>
    <row r="198" spans="1:134" x14ac:dyDescent="0.4">
      <c r="A198" s="28">
        <v>15</v>
      </c>
      <c r="B198" s="26">
        <v>1.0000000000000001E-5</v>
      </c>
      <c r="C198" s="28">
        <v>0.2</v>
      </c>
      <c r="D198" s="28">
        <v>30</v>
      </c>
      <c r="E198" s="26">
        <v>7.5000000000000002E-7</v>
      </c>
      <c r="F198" s="26">
        <f t="shared" si="243"/>
        <v>1.5000000000000002E-7</v>
      </c>
      <c r="G198" s="26">
        <f t="shared" si="244"/>
        <v>3.0000000000000002E-2</v>
      </c>
      <c r="H198" s="7">
        <v>1.5686526177114399</v>
      </c>
      <c r="I198" s="7">
        <v>12481.634129420599</v>
      </c>
      <c r="J198" s="7">
        <v>3828.3041509332402</v>
      </c>
      <c r="K198" s="7">
        <v>12481.634129420599</v>
      </c>
      <c r="L198" s="7">
        <v>1641861.5249040499</v>
      </c>
      <c r="M198" s="7">
        <v>20371.832715762601</v>
      </c>
      <c r="N198" s="7">
        <f t="shared" si="245"/>
        <v>28791.572409774439</v>
      </c>
      <c r="P198" s="28">
        <v>15</v>
      </c>
      <c r="Q198" s="26">
        <v>3.0000000000000001E-5</v>
      </c>
      <c r="R198" s="28">
        <v>0.2</v>
      </c>
      <c r="S198" s="28">
        <v>30</v>
      </c>
      <c r="T198" s="26">
        <v>7.5000000000000002E-7</v>
      </c>
      <c r="U198" s="26">
        <f t="shared" si="246"/>
        <v>1.5000000000000002E-7</v>
      </c>
      <c r="V198" s="26">
        <f t="shared" si="247"/>
        <v>0.01</v>
      </c>
      <c r="W198" s="7">
        <v>2.5333571794627199</v>
      </c>
      <c r="X198" s="7">
        <v>4160.5447097236602</v>
      </c>
      <c r="Y198" s="7">
        <v>1276.1013836444099</v>
      </c>
      <c r="Z198" s="7">
        <v>4160.5447097236602</v>
      </c>
      <c r="AA198" s="7">
        <v>547287.17553344101</v>
      </c>
      <c r="AB198" s="7">
        <v>2263.53696841807</v>
      </c>
      <c r="AC198" s="7">
        <f t="shared" si="248"/>
        <v>9597.1908030917293</v>
      </c>
      <c r="AE198" s="28">
        <v>15</v>
      </c>
      <c r="AF198" s="26">
        <v>5.0000000000000002E-5</v>
      </c>
      <c r="AG198" s="28">
        <v>0.2</v>
      </c>
      <c r="AH198" s="28">
        <v>30</v>
      </c>
      <c r="AI198" s="26">
        <v>7.5000000000000002E-7</v>
      </c>
      <c r="AJ198" s="26">
        <f t="shared" si="249"/>
        <v>1.5000000000000002E-7</v>
      </c>
      <c r="AK198" s="26">
        <f t="shared" si="250"/>
        <v>6.0000000000000001E-3</v>
      </c>
      <c r="AL198" s="7">
        <v>2.8965429202384101</v>
      </c>
      <c r="AM198" s="7">
        <v>2496.32682512977</v>
      </c>
      <c r="AN198" s="7">
        <v>765.66083018664904</v>
      </c>
      <c r="AO198" s="7">
        <v>2496.32682512977</v>
      </c>
      <c r="AP198" s="7">
        <v>328372.31010722602</v>
      </c>
      <c r="AQ198" s="7">
        <v>814.87330863050397</v>
      </c>
      <c r="AR198" s="7">
        <f t="shared" si="251"/>
        <v>5758.314480446189</v>
      </c>
      <c r="AT198" s="28">
        <v>15</v>
      </c>
      <c r="AU198" s="26">
        <v>1.0000000000000001E-5</v>
      </c>
      <c r="AV198" s="28">
        <v>0.2</v>
      </c>
      <c r="AW198" s="28">
        <v>200</v>
      </c>
      <c r="AX198" s="26">
        <v>7.5000000000000002E-7</v>
      </c>
      <c r="AY198" s="26">
        <f t="shared" si="252"/>
        <v>1.5000000000000002E-7</v>
      </c>
      <c r="AZ198" s="26">
        <f t="shared" si="253"/>
        <v>3.0000000000000002E-2</v>
      </c>
      <c r="BA198" s="7">
        <v>2.3754075051852599</v>
      </c>
      <c r="BB198" s="7">
        <v>1941.00035424731</v>
      </c>
      <c r="BC198" s="7">
        <v>642.33504314082199</v>
      </c>
      <c r="BD198" s="7">
        <v>1941.00035424731</v>
      </c>
      <c r="BE198" s="7">
        <v>1641861.5249040499</v>
      </c>
      <c r="BF198" s="7">
        <v>20371.832715762601</v>
      </c>
      <c r="BG198" s="7">
        <f t="shared" si="254"/>
        <v>4524.3357516354426</v>
      </c>
      <c r="BI198" s="28">
        <v>15</v>
      </c>
      <c r="BJ198" s="26">
        <v>1.0000000000000001E-5</v>
      </c>
      <c r="BK198" s="28">
        <v>0.5</v>
      </c>
      <c r="BL198" s="28">
        <v>200</v>
      </c>
      <c r="BM198" s="26">
        <v>7.5000000000000002E-7</v>
      </c>
      <c r="BN198" s="26">
        <f t="shared" si="255"/>
        <v>3.7500000000000001E-7</v>
      </c>
      <c r="BO198" s="26">
        <f t="shared" si="256"/>
        <v>7.4999999999999997E-2</v>
      </c>
      <c r="BP198" s="7">
        <v>2.4739568910043901</v>
      </c>
      <c r="BQ198" s="7">
        <v>1921.9637593119501</v>
      </c>
      <c r="BR198" s="7">
        <v>622.78773017584695</v>
      </c>
      <c r="BS198" s="7">
        <v>1921.9637593119501</v>
      </c>
      <c r="BT198" s="7">
        <v>656744.60996161995</v>
      </c>
      <c r="BU198" s="7">
        <v>20371.832715762601</v>
      </c>
      <c r="BV198" s="7">
        <f t="shared" si="257"/>
        <v>4466.7152487997464</v>
      </c>
      <c r="BX198" s="28">
        <v>15</v>
      </c>
      <c r="BY198" s="26">
        <v>5.0000000000000002E-5</v>
      </c>
      <c r="BZ198" s="28">
        <v>0.5</v>
      </c>
      <c r="CA198" s="28">
        <v>200</v>
      </c>
      <c r="CB198" s="26">
        <v>7.5000000000000002E-7</v>
      </c>
      <c r="CC198" s="26">
        <f t="shared" si="258"/>
        <v>3.7500000000000001E-7</v>
      </c>
      <c r="CD198" s="26">
        <f t="shared" si="259"/>
        <v>1.4999999999999999E-2</v>
      </c>
      <c r="CE198" s="7">
        <v>8.4543092516219804</v>
      </c>
      <c r="CF198" s="7">
        <v>384.39275181655802</v>
      </c>
      <c r="CG198" s="7">
        <v>124.557546035169</v>
      </c>
      <c r="CH198" s="7">
        <v>384.39275181655802</v>
      </c>
      <c r="CI198" s="7">
        <v>131348.92404288999</v>
      </c>
      <c r="CJ198" s="7">
        <v>814.87330863050397</v>
      </c>
      <c r="CK198" s="7">
        <f t="shared" si="260"/>
        <v>893.34304966828495</v>
      </c>
      <c r="CM198" s="28">
        <v>15</v>
      </c>
      <c r="CN198" s="26">
        <v>5.0000000000000002E-5</v>
      </c>
      <c r="CO198" s="28">
        <v>1</v>
      </c>
      <c r="CP198" s="28">
        <v>200</v>
      </c>
      <c r="CQ198" s="26">
        <v>7.5000000000000002E-7</v>
      </c>
      <c r="CR198" s="26">
        <f t="shared" si="261"/>
        <v>7.5000000000000002E-7</v>
      </c>
      <c r="CS198" s="26">
        <f t="shared" si="262"/>
        <v>0.03</v>
      </c>
      <c r="CT198" s="7">
        <v>8.6737712289116704</v>
      </c>
      <c r="CU198" s="7">
        <v>378.32091509688701</v>
      </c>
      <c r="CV198" s="7">
        <v>118.54503217394399</v>
      </c>
      <c r="CW198" s="7">
        <v>378.32091509688701</v>
      </c>
      <c r="CX198" s="7">
        <v>65674.462021445201</v>
      </c>
      <c r="CY198" s="7">
        <v>814.87330863050397</v>
      </c>
      <c r="CZ198" s="7">
        <f t="shared" si="263"/>
        <v>875.18686236771805</v>
      </c>
      <c r="DB198" s="28">
        <v>15</v>
      </c>
      <c r="DC198" s="26">
        <v>5.0000000000000002E-5</v>
      </c>
      <c r="DD198" s="28">
        <v>2</v>
      </c>
      <c r="DE198" s="28">
        <v>200</v>
      </c>
      <c r="DF198" s="26">
        <v>7.5000000000000002E-7</v>
      </c>
      <c r="DG198" s="26">
        <f t="shared" si="264"/>
        <v>1.5E-6</v>
      </c>
      <c r="DH198" s="26">
        <f t="shared" si="265"/>
        <v>0.06</v>
      </c>
      <c r="DI198" s="7">
        <v>9.1036514657171903</v>
      </c>
      <c r="DJ198" s="7">
        <v>367.08848561923799</v>
      </c>
      <c r="DK198" s="7">
        <v>108.10811969663401</v>
      </c>
      <c r="DL198" s="7">
        <v>367.08848561923799</v>
      </c>
      <c r="DM198" s="7">
        <v>32837.2310107226</v>
      </c>
      <c r="DN198" s="7">
        <v>814.87330863050397</v>
      </c>
      <c r="DO198" s="7">
        <f t="shared" si="266"/>
        <v>842.28509093511002</v>
      </c>
      <c r="DQ198" s="28">
        <v>15</v>
      </c>
      <c r="DR198" s="26">
        <v>5.0000000000000002E-5</v>
      </c>
      <c r="DS198" s="28">
        <v>15</v>
      </c>
      <c r="DT198" s="28">
        <v>300</v>
      </c>
      <c r="DU198" s="26">
        <v>4.9999999999999998E-7</v>
      </c>
      <c r="DV198" s="26">
        <f t="shared" si="267"/>
        <v>7.4999999999999993E-6</v>
      </c>
      <c r="DW198" s="26">
        <f t="shared" si="268"/>
        <v>0.29999999999999993</v>
      </c>
      <c r="DX198" s="7">
        <v>19.050756864563802</v>
      </c>
      <c r="DY198" s="7">
        <v>202.84957985735099</v>
      </c>
      <c r="DZ198" s="7">
        <v>42.287816140325297</v>
      </c>
      <c r="EA198" s="7">
        <v>202.84957985735099</v>
      </c>
      <c r="EB198" s="7">
        <v>4378.2974680963498</v>
      </c>
      <c r="EC198" s="7">
        <v>509.29581789406501</v>
      </c>
      <c r="ED198" s="7">
        <f t="shared" si="269"/>
        <v>447.98697585502725</v>
      </c>
    </row>
    <row r="199" spans="1:134" x14ac:dyDescent="0.4">
      <c r="A199" s="28">
        <v>20</v>
      </c>
      <c r="B199" s="26">
        <v>1.0000000000000001E-5</v>
      </c>
      <c r="C199" s="28">
        <v>0.2</v>
      </c>
      <c r="D199" s="28">
        <v>30</v>
      </c>
      <c r="E199" s="26">
        <v>7.5000000000000002E-7</v>
      </c>
      <c r="F199" s="26">
        <f t="shared" si="243"/>
        <v>1.5000000000000002E-7</v>
      </c>
      <c r="G199" s="26">
        <f t="shared" si="244"/>
        <v>3.0000000000000002E-2</v>
      </c>
      <c r="H199" s="7">
        <v>1.93529841765703</v>
      </c>
      <c r="I199" s="7">
        <v>7857.7524727739301</v>
      </c>
      <c r="J199" s="7">
        <v>4475.4086280782203</v>
      </c>
      <c r="K199" s="7">
        <v>7857.7524727739301</v>
      </c>
      <c r="L199" s="7">
        <v>2551974.2921694499</v>
      </c>
      <c r="M199" s="7">
        <v>20371.832715762601</v>
      </c>
      <c r="N199" s="7">
        <f t="shared" si="245"/>
        <v>20190.91357362608</v>
      </c>
      <c r="P199" s="28">
        <v>20</v>
      </c>
      <c r="Q199" s="26">
        <v>3.0000000000000001E-5</v>
      </c>
      <c r="R199" s="28">
        <v>0.2</v>
      </c>
      <c r="S199" s="28">
        <v>30</v>
      </c>
      <c r="T199" s="26">
        <v>7.5000000000000002E-7</v>
      </c>
      <c r="U199" s="26">
        <f t="shared" si="246"/>
        <v>1.5000000000000002E-7</v>
      </c>
      <c r="V199" s="26">
        <f t="shared" si="247"/>
        <v>0.01</v>
      </c>
      <c r="W199" s="7">
        <v>3.45553188658752</v>
      </c>
      <c r="X199" s="7">
        <v>2619.2508242245099</v>
      </c>
      <c r="Y199" s="7">
        <v>1491.80287602607</v>
      </c>
      <c r="Z199" s="7">
        <v>2619.2508242245099</v>
      </c>
      <c r="AA199" s="7">
        <v>850658.09849467594</v>
      </c>
      <c r="AB199" s="7">
        <v>2263.53696841807</v>
      </c>
      <c r="AC199" s="7">
        <f t="shared" si="248"/>
        <v>6730.3045244750901</v>
      </c>
      <c r="AE199" s="28">
        <v>20</v>
      </c>
      <c r="AF199" s="26">
        <v>5.0000000000000002E-5</v>
      </c>
      <c r="AG199" s="28">
        <v>0.2</v>
      </c>
      <c r="AH199" s="28">
        <v>30</v>
      </c>
      <c r="AI199" s="26">
        <v>7.5000000000000002E-7</v>
      </c>
      <c r="AJ199" s="26">
        <f t="shared" si="249"/>
        <v>1.5000000000000002E-7</v>
      </c>
      <c r="AK199" s="26">
        <f t="shared" si="250"/>
        <v>6.0000000000000001E-3</v>
      </c>
      <c r="AL199" s="7">
        <v>4.1092788261618596</v>
      </c>
      <c r="AM199" s="7">
        <v>1571.5504942513201</v>
      </c>
      <c r="AN199" s="7">
        <v>895.08172561564299</v>
      </c>
      <c r="AO199" s="7">
        <v>1571.5504942513201</v>
      </c>
      <c r="AP199" s="7">
        <v>510394.86845111102</v>
      </c>
      <c r="AQ199" s="7">
        <v>814.87330863050397</v>
      </c>
      <c r="AR199" s="7">
        <f t="shared" si="251"/>
        <v>4038.182714118283</v>
      </c>
      <c r="AT199" s="28">
        <v>20</v>
      </c>
      <c r="AU199" s="26">
        <v>1.0000000000000001E-5</v>
      </c>
      <c r="AV199" s="28">
        <v>0.2</v>
      </c>
      <c r="AW199" s="28">
        <v>200</v>
      </c>
      <c r="AX199" s="26">
        <v>7.5000000000000002E-7</v>
      </c>
      <c r="AY199" s="26">
        <f t="shared" si="252"/>
        <v>1.5000000000000002E-7</v>
      </c>
      <c r="AZ199" s="26">
        <f t="shared" si="253"/>
        <v>3.0000000000000002E-2</v>
      </c>
      <c r="BA199" s="7">
        <v>2.67282976959364</v>
      </c>
      <c r="BB199" s="7">
        <v>1196.98361424428</v>
      </c>
      <c r="BC199" s="7">
        <v>694.07852984949898</v>
      </c>
      <c r="BD199" s="7">
        <v>1196.98361424428</v>
      </c>
      <c r="BE199" s="7">
        <v>2551974.2921694499</v>
      </c>
      <c r="BF199" s="7">
        <v>20371.832715762601</v>
      </c>
      <c r="BG199" s="7">
        <f t="shared" si="254"/>
        <v>3088.0457583380589</v>
      </c>
      <c r="BI199" s="28">
        <v>20</v>
      </c>
      <c r="BJ199" s="26">
        <v>1.0000000000000001E-5</v>
      </c>
      <c r="BK199" s="28">
        <v>0.5</v>
      </c>
      <c r="BL199" s="28">
        <v>200</v>
      </c>
      <c r="BM199" s="26">
        <v>7.5000000000000002E-7</v>
      </c>
      <c r="BN199" s="26">
        <f t="shared" si="255"/>
        <v>3.7500000000000001E-7</v>
      </c>
      <c r="BO199" s="26">
        <f t="shared" si="256"/>
        <v>7.4999999999999997E-2</v>
      </c>
      <c r="BP199" s="7">
        <v>2.7414892985702601</v>
      </c>
      <c r="BQ199" s="7">
        <v>1192.0586917390101</v>
      </c>
      <c r="BR199" s="7">
        <v>687.90288040570601</v>
      </c>
      <c r="BS199" s="7">
        <v>1192.0586917390101</v>
      </c>
      <c r="BT199" s="7">
        <v>1020789.71686778</v>
      </c>
      <c r="BU199" s="7">
        <v>20371.832715762601</v>
      </c>
      <c r="BV199" s="7">
        <f t="shared" si="257"/>
        <v>3072.0202638837263</v>
      </c>
      <c r="BX199" s="28">
        <v>20</v>
      </c>
      <c r="BY199" s="26">
        <v>5.0000000000000002E-5</v>
      </c>
      <c r="BZ199" s="28">
        <v>0.5</v>
      </c>
      <c r="CA199" s="28">
        <v>200</v>
      </c>
      <c r="CB199" s="26">
        <v>7.5000000000000002E-7</v>
      </c>
      <c r="CC199" s="26">
        <f t="shared" si="258"/>
        <v>3.7500000000000001E-7</v>
      </c>
      <c r="CD199" s="26">
        <f t="shared" si="259"/>
        <v>1.4999999999999999E-2</v>
      </c>
      <c r="CE199" s="7">
        <v>10.3774246609422</v>
      </c>
      <c r="CF199" s="7">
        <v>238.41173833028401</v>
      </c>
      <c r="CG199" s="7">
        <v>137.580576081141</v>
      </c>
      <c r="CH199" s="7">
        <v>238.41173833028401</v>
      </c>
      <c r="CI199" s="7">
        <v>204157.947380445</v>
      </c>
      <c r="CJ199" s="7">
        <v>814.87330863050397</v>
      </c>
      <c r="CK199" s="7">
        <f t="shared" si="260"/>
        <v>614.40405274170905</v>
      </c>
      <c r="CM199" s="28">
        <v>20</v>
      </c>
      <c r="CN199" s="26">
        <v>5.0000000000000002E-5</v>
      </c>
      <c r="CO199" s="28">
        <v>1</v>
      </c>
      <c r="CP199" s="28">
        <v>200</v>
      </c>
      <c r="CQ199" s="26">
        <v>7.5000000000000002E-7</v>
      </c>
      <c r="CR199" s="26">
        <f t="shared" si="261"/>
        <v>7.5000000000000002E-7</v>
      </c>
      <c r="CS199" s="26">
        <f t="shared" si="262"/>
        <v>0.03</v>
      </c>
      <c r="CT199" s="7">
        <v>10.5143024769392</v>
      </c>
      <c r="CU199" s="7">
        <v>236.794372688691</v>
      </c>
      <c r="CV199" s="7">
        <v>135.57018035757301</v>
      </c>
      <c r="CW199" s="7">
        <v>236.794372688691</v>
      </c>
      <c r="CX199" s="7">
        <v>102078.973690222</v>
      </c>
      <c r="CY199" s="7">
        <v>814.87330863050397</v>
      </c>
      <c r="CZ199" s="7">
        <f t="shared" si="263"/>
        <v>609.15892573495501</v>
      </c>
      <c r="DB199" s="28">
        <v>20</v>
      </c>
      <c r="DC199" s="26">
        <v>5.0000000000000002E-5</v>
      </c>
      <c r="DD199" s="28">
        <v>2</v>
      </c>
      <c r="DE199" s="28">
        <v>200</v>
      </c>
      <c r="DF199" s="26">
        <v>7.5000000000000002E-7</v>
      </c>
      <c r="DG199" s="26">
        <f t="shared" si="264"/>
        <v>1.5E-6</v>
      </c>
      <c r="DH199" s="26">
        <f t="shared" si="265"/>
        <v>0.06</v>
      </c>
      <c r="DI199" s="7">
        <v>10.7867909328316</v>
      </c>
      <c r="DJ199" s="7">
        <v>233.64718966736299</v>
      </c>
      <c r="DK199" s="7">
        <v>131.72072797829401</v>
      </c>
      <c r="DL199" s="7">
        <v>233.64718966736299</v>
      </c>
      <c r="DM199" s="7">
        <v>51039.486845111103</v>
      </c>
      <c r="DN199" s="7">
        <v>814.87330863050397</v>
      </c>
      <c r="DO199" s="7">
        <f t="shared" si="266"/>
        <v>599.01510731302005</v>
      </c>
      <c r="DQ199" s="28">
        <v>20</v>
      </c>
      <c r="DR199" s="26">
        <v>5.0000000000000002E-5</v>
      </c>
      <c r="DS199" s="28">
        <v>15</v>
      </c>
      <c r="DT199" s="28">
        <v>300</v>
      </c>
      <c r="DU199" s="26">
        <v>4.9999999999999998E-7</v>
      </c>
      <c r="DV199" s="26">
        <f t="shared" si="267"/>
        <v>7.4999999999999993E-6</v>
      </c>
      <c r="DW199" s="26">
        <f t="shared" si="268"/>
        <v>0.29999999999999993</v>
      </c>
      <c r="DX199" s="7">
        <v>20.165183735424499</v>
      </c>
      <c r="DY199" s="7">
        <v>141.30482192536101</v>
      </c>
      <c r="DZ199" s="7">
        <v>71.560155029152398</v>
      </c>
      <c r="EA199" s="7">
        <v>141.30482192536101</v>
      </c>
      <c r="EB199" s="7">
        <v>6805.2649126814904</v>
      </c>
      <c r="EC199" s="7">
        <v>509.29581789406501</v>
      </c>
      <c r="ED199" s="7">
        <f t="shared" si="269"/>
        <v>354.16979887987441</v>
      </c>
    </row>
    <row r="200" spans="1:134" x14ac:dyDescent="0.4">
      <c r="A200" s="28">
        <v>25</v>
      </c>
      <c r="B200" s="26">
        <v>1.0000000000000001E-5</v>
      </c>
      <c r="C200" s="28">
        <v>0.2</v>
      </c>
      <c r="D200" s="28">
        <v>30</v>
      </c>
      <c r="E200" s="26">
        <v>7.5000000000000002E-7</v>
      </c>
      <c r="F200" s="26">
        <f t="shared" si="243"/>
        <v>1.5000000000000002E-7</v>
      </c>
      <c r="G200" s="26">
        <f t="shared" si="244"/>
        <v>3.0000000000000002E-2</v>
      </c>
      <c r="H200" s="7">
        <v>2.1915613901770699</v>
      </c>
      <c r="I200" s="7">
        <v>5967.7070610572</v>
      </c>
      <c r="J200" s="7">
        <v>4769.5933204541298</v>
      </c>
      <c r="K200" s="7">
        <v>5967.7070610572</v>
      </c>
      <c r="L200" s="7">
        <v>3890230.9388607698</v>
      </c>
      <c r="M200" s="7">
        <v>20371.832715762601</v>
      </c>
      <c r="N200" s="7">
        <f t="shared" si="245"/>
        <v>16705.007442568531</v>
      </c>
      <c r="P200" s="28">
        <v>25</v>
      </c>
      <c r="Q200" s="26">
        <v>3.0000000000000001E-5</v>
      </c>
      <c r="R200" s="28">
        <v>0.2</v>
      </c>
      <c r="S200" s="28">
        <v>30</v>
      </c>
      <c r="T200" s="26">
        <v>7.5000000000000002E-7</v>
      </c>
      <c r="U200" s="26">
        <f t="shared" si="246"/>
        <v>1.5000000000000002E-7</v>
      </c>
      <c r="V200" s="26">
        <f t="shared" si="247"/>
        <v>0.01</v>
      </c>
      <c r="W200" s="7">
        <v>4.1284772617037397</v>
      </c>
      <c r="X200" s="7">
        <v>1989.2356869965699</v>
      </c>
      <c r="Y200" s="7">
        <v>1589.86444015137</v>
      </c>
      <c r="Z200" s="7">
        <v>1989.2356869965699</v>
      </c>
      <c r="AA200" s="7">
        <v>1296743.6482743199</v>
      </c>
      <c r="AB200" s="7">
        <v>2263.53696841807</v>
      </c>
      <c r="AC200" s="7">
        <f t="shared" si="248"/>
        <v>5568.3358141445096</v>
      </c>
      <c r="AE200" s="28">
        <v>25</v>
      </c>
      <c r="AF200" s="26">
        <v>5.0000000000000002E-5</v>
      </c>
      <c r="AG200" s="28">
        <v>0.2</v>
      </c>
      <c r="AH200" s="28">
        <v>30</v>
      </c>
      <c r="AI200" s="26">
        <v>7.5000000000000002E-7</v>
      </c>
      <c r="AJ200" s="26">
        <f t="shared" si="249"/>
        <v>1.5000000000000002E-7</v>
      </c>
      <c r="AK200" s="26">
        <f t="shared" si="250"/>
        <v>6.0000000000000001E-3</v>
      </c>
      <c r="AL200" s="7">
        <v>5.0239018045276804</v>
      </c>
      <c r="AM200" s="7">
        <v>1193.54141200751</v>
      </c>
      <c r="AN200" s="7">
        <v>953.91866409082502</v>
      </c>
      <c r="AO200" s="7">
        <v>1193.54141200751</v>
      </c>
      <c r="AP200" s="7">
        <v>778046.205790887</v>
      </c>
      <c r="AQ200" s="7">
        <v>814.87330863050397</v>
      </c>
      <c r="AR200" s="7">
        <f t="shared" si="251"/>
        <v>3341.0014881058451</v>
      </c>
      <c r="AT200" s="28">
        <v>25</v>
      </c>
      <c r="AU200" s="26">
        <v>1.0000000000000001E-5</v>
      </c>
      <c r="AV200" s="28">
        <v>0.2</v>
      </c>
      <c r="AW200" s="28">
        <v>200</v>
      </c>
      <c r="AX200" s="26">
        <v>7.5000000000000002E-7</v>
      </c>
      <c r="AY200" s="26">
        <f t="shared" si="252"/>
        <v>1.5000000000000002E-7</v>
      </c>
      <c r="AZ200" s="26">
        <f t="shared" si="253"/>
        <v>3.0000000000000002E-2</v>
      </c>
      <c r="BA200" s="7">
        <v>2.8983790324932701</v>
      </c>
      <c r="BB200" s="7">
        <v>904.92261526204402</v>
      </c>
      <c r="BC200" s="7">
        <v>729.47946385146201</v>
      </c>
      <c r="BD200" s="7">
        <v>904.92261526204402</v>
      </c>
      <c r="BE200" s="7">
        <v>3890230.9388607698</v>
      </c>
      <c r="BF200" s="7">
        <v>20371.832715762601</v>
      </c>
      <c r="BG200" s="7">
        <f t="shared" si="254"/>
        <v>2539.3246943755503</v>
      </c>
      <c r="BI200" s="28">
        <v>25</v>
      </c>
      <c r="BJ200" s="26">
        <v>1.0000000000000001E-5</v>
      </c>
      <c r="BK200" s="28">
        <v>0.5</v>
      </c>
      <c r="BL200" s="28">
        <v>200</v>
      </c>
      <c r="BM200" s="26">
        <v>7.5000000000000002E-7</v>
      </c>
      <c r="BN200" s="26">
        <f t="shared" si="255"/>
        <v>3.7500000000000001E-7</v>
      </c>
      <c r="BO200" s="26">
        <f t="shared" si="256"/>
        <v>7.4999999999999997E-2</v>
      </c>
      <c r="BP200" s="7">
        <v>2.9468137709257198</v>
      </c>
      <c r="BQ200" s="7">
        <v>902.31159397251201</v>
      </c>
      <c r="BR200" s="7">
        <v>725.70943403112403</v>
      </c>
      <c r="BS200" s="7">
        <v>902.31159397251201</v>
      </c>
      <c r="BT200" s="7">
        <v>1556092.3755443101</v>
      </c>
      <c r="BU200" s="7">
        <v>20371.832715762601</v>
      </c>
      <c r="BV200" s="7">
        <f t="shared" si="257"/>
        <v>2530.3326219761479</v>
      </c>
      <c r="BX200" s="28">
        <v>25</v>
      </c>
      <c r="BY200" s="26">
        <v>5.0000000000000002E-5</v>
      </c>
      <c r="BZ200" s="28">
        <v>0.5</v>
      </c>
      <c r="CA200" s="28">
        <v>200</v>
      </c>
      <c r="CB200" s="26">
        <v>7.5000000000000002E-7</v>
      </c>
      <c r="CC200" s="26">
        <f t="shared" si="258"/>
        <v>3.7500000000000001E-7</v>
      </c>
      <c r="CD200" s="26">
        <f t="shared" si="259"/>
        <v>1.4999999999999999E-2</v>
      </c>
      <c r="CE200" s="7">
        <v>11.6977985774085</v>
      </c>
      <c r="CF200" s="7">
        <v>180.46231878283399</v>
      </c>
      <c r="CG200" s="7">
        <v>145.14188680622499</v>
      </c>
      <c r="CH200" s="7">
        <v>180.46231878283399</v>
      </c>
      <c r="CI200" s="7">
        <v>311218.48231635499</v>
      </c>
      <c r="CJ200" s="7">
        <v>814.87330863050397</v>
      </c>
      <c r="CK200" s="7">
        <f t="shared" si="260"/>
        <v>506.06652437189302</v>
      </c>
      <c r="CM200" s="28">
        <v>25</v>
      </c>
      <c r="CN200" s="26">
        <v>5.0000000000000002E-5</v>
      </c>
      <c r="CO200" s="28">
        <v>1</v>
      </c>
      <c r="CP200" s="28">
        <v>200</v>
      </c>
      <c r="CQ200" s="26">
        <v>7.5000000000000002E-7</v>
      </c>
      <c r="CR200" s="26">
        <f t="shared" si="261"/>
        <v>7.5000000000000002E-7</v>
      </c>
      <c r="CS200" s="26">
        <f t="shared" si="262"/>
        <v>0.03</v>
      </c>
      <c r="CT200" s="7">
        <v>11.793673752569401</v>
      </c>
      <c r="CU200" s="7">
        <v>179.60025764253999</v>
      </c>
      <c r="CV200" s="7">
        <v>143.90240734913101</v>
      </c>
      <c r="CW200" s="7">
        <v>179.60025764253999</v>
      </c>
      <c r="CX200" s="7">
        <v>155609.241158177</v>
      </c>
      <c r="CY200" s="7">
        <v>814.87330863050397</v>
      </c>
      <c r="CZ200" s="7">
        <f t="shared" si="263"/>
        <v>503.10292263421098</v>
      </c>
      <c r="DB200" s="28">
        <v>25</v>
      </c>
      <c r="DC200" s="26">
        <v>5.0000000000000002E-5</v>
      </c>
      <c r="DD200" s="28">
        <v>2</v>
      </c>
      <c r="DE200" s="28">
        <v>200</v>
      </c>
      <c r="DF200" s="26">
        <v>7.5000000000000002E-7</v>
      </c>
      <c r="DG200" s="26">
        <f t="shared" si="264"/>
        <v>1.5E-6</v>
      </c>
      <c r="DH200" s="26">
        <f t="shared" si="265"/>
        <v>0.06</v>
      </c>
      <c r="DI200" s="7">
        <v>11.984883681386</v>
      </c>
      <c r="DJ200" s="7">
        <v>177.90643586546901</v>
      </c>
      <c r="DK200" s="7">
        <v>141.48598257191699</v>
      </c>
      <c r="DL200" s="7">
        <v>177.90643586546901</v>
      </c>
      <c r="DM200" s="7">
        <v>77804.620579088703</v>
      </c>
      <c r="DN200" s="7">
        <v>814.87330863050397</v>
      </c>
      <c r="DO200" s="7">
        <f t="shared" si="266"/>
        <v>497.29885430285503</v>
      </c>
      <c r="DQ200" s="28">
        <v>25</v>
      </c>
      <c r="DR200" s="26">
        <v>5.0000000000000002E-5</v>
      </c>
      <c r="DS200" s="28">
        <v>15</v>
      </c>
      <c r="DT200" s="28">
        <v>300</v>
      </c>
      <c r="DU200" s="26">
        <v>4.9999999999999998E-7</v>
      </c>
      <c r="DV200" s="26">
        <f t="shared" si="267"/>
        <v>7.4999999999999993E-6</v>
      </c>
      <c r="DW200" s="26">
        <f t="shared" si="268"/>
        <v>0.29999999999999993</v>
      </c>
      <c r="DX200" s="7">
        <v>21.1534022561084</v>
      </c>
      <c r="DY200" s="7">
        <v>110.42994925436599</v>
      </c>
      <c r="DZ200" s="7">
        <v>83.155364315094602</v>
      </c>
      <c r="EA200" s="7">
        <v>110.42994925436599</v>
      </c>
      <c r="EB200" s="7">
        <v>10373.949410545199</v>
      </c>
      <c r="EC200" s="7">
        <v>509.29581789406501</v>
      </c>
      <c r="ED200" s="7">
        <f t="shared" si="269"/>
        <v>304.01526282382656</v>
      </c>
    </row>
    <row r="201" spans="1:134" x14ac:dyDescent="0.4">
      <c r="A201" s="28">
        <v>30</v>
      </c>
      <c r="B201" s="26">
        <v>1.0000000000000001E-5</v>
      </c>
      <c r="C201" s="28">
        <v>0.2</v>
      </c>
      <c r="D201" s="28">
        <v>30</v>
      </c>
      <c r="E201" s="26">
        <v>7.5000000000000002E-7</v>
      </c>
      <c r="F201" s="26">
        <f t="shared" si="243"/>
        <v>1.5000000000000002E-7</v>
      </c>
      <c r="G201" s="26">
        <f t="shared" si="244"/>
        <v>3.0000000000000002E-2</v>
      </c>
      <c r="H201" s="7">
        <v>2.4045124281656101</v>
      </c>
      <c r="I201" s="7">
        <v>4807.3324198337996</v>
      </c>
      <c r="J201" s="7">
        <v>4988.6125859415297</v>
      </c>
      <c r="K201" s="7">
        <v>4807.3324198337996</v>
      </c>
      <c r="L201" s="7">
        <v>5893089.4851508904</v>
      </c>
      <c r="M201" s="7">
        <v>20371.832715762601</v>
      </c>
      <c r="N201" s="7">
        <f t="shared" si="245"/>
        <v>14603.277425609129</v>
      </c>
      <c r="P201" s="28">
        <v>30</v>
      </c>
      <c r="Q201" s="26">
        <v>3.0000000000000001E-5</v>
      </c>
      <c r="R201" s="28">
        <v>0.2</v>
      </c>
      <c r="S201" s="28">
        <v>30</v>
      </c>
      <c r="T201" s="26">
        <v>7.5000000000000002E-7</v>
      </c>
      <c r="U201" s="26">
        <f t="shared" si="246"/>
        <v>1.5000000000000002E-7</v>
      </c>
      <c r="V201" s="26">
        <f t="shared" si="247"/>
        <v>0.01</v>
      </c>
      <c r="W201" s="7">
        <v>4.70026855656414</v>
      </c>
      <c r="X201" s="7">
        <v>1602.4441399274999</v>
      </c>
      <c r="Y201" s="7">
        <v>1662.87086198051</v>
      </c>
      <c r="Z201" s="7">
        <v>1602.4441399274999</v>
      </c>
      <c r="AA201" s="7">
        <v>1964363.1651242101</v>
      </c>
      <c r="AB201" s="7">
        <v>2263.53696841807</v>
      </c>
      <c r="AC201" s="7">
        <f t="shared" si="248"/>
        <v>4867.7591418355096</v>
      </c>
      <c r="AE201" s="28">
        <v>30</v>
      </c>
      <c r="AF201" s="26">
        <v>5.0000000000000002E-5</v>
      </c>
      <c r="AG201" s="28">
        <v>0.2</v>
      </c>
      <c r="AH201" s="28">
        <v>30</v>
      </c>
      <c r="AI201" s="26">
        <v>7.5000000000000002E-7</v>
      </c>
      <c r="AJ201" s="26">
        <f t="shared" si="249"/>
        <v>1.5000000000000002E-7</v>
      </c>
      <c r="AK201" s="26">
        <f t="shared" si="250"/>
        <v>6.0000000000000001E-3</v>
      </c>
      <c r="AL201" s="7">
        <v>5.8172079423626402</v>
      </c>
      <c r="AM201" s="7">
        <v>961.46648381169098</v>
      </c>
      <c r="AN201" s="7">
        <v>997.72251718830603</v>
      </c>
      <c r="AO201" s="7">
        <v>961.46648381169098</v>
      </c>
      <c r="AP201" s="7">
        <v>1178617.9279219799</v>
      </c>
      <c r="AQ201" s="7">
        <v>814.87330863050397</v>
      </c>
      <c r="AR201" s="7">
        <f t="shared" si="251"/>
        <v>2920.655484811688</v>
      </c>
      <c r="AT201" s="28">
        <v>30</v>
      </c>
      <c r="AU201" s="26">
        <v>1.0000000000000001E-5</v>
      </c>
      <c r="AV201" s="28">
        <v>0.2</v>
      </c>
      <c r="AW201" s="28">
        <v>200</v>
      </c>
      <c r="AX201" s="26">
        <v>7.5000000000000002E-7</v>
      </c>
      <c r="AY201" s="26">
        <f t="shared" si="252"/>
        <v>1.5000000000000002E-7</v>
      </c>
      <c r="AZ201" s="26">
        <f t="shared" si="253"/>
        <v>3.0000000000000002E-2</v>
      </c>
      <c r="BA201" s="7">
        <v>3.0915964662138999</v>
      </c>
      <c r="BB201" s="7">
        <v>727.37388968977803</v>
      </c>
      <c r="BC201" s="7">
        <v>758.42598130330396</v>
      </c>
      <c r="BD201" s="7">
        <v>727.37388968977803</v>
      </c>
      <c r="BE201" s="7">
        <v>5893089.4851508904</v>
      </c>
      <c r="BF201" s="7">
        <v>20371.832715762601</v>
      </c>
      <c r="BG201" s="7">
        <f t="shared" si="254"/>
        <v>2213.1737606828601</v>
      </c>
      <c r="BI201" s="28">
        <v>30</v>
      </c>
      <c r="BJ201" s="26">
        <v>1.0000000000000001E-5</v>
      </c>
      <c r="BK201" s="28">
        <v>0.5</v>
      </c>
      <c r="BL201" s="28">
        <v>200</v>
      </c>
      <c r="BM201" s="26">
        <v>7.5000000000000002E-7</v>
      </c>
      <c r="BN201" s="26">
        <f t="shared" si="255"/>
        <v>3.7500000000000001E-7</v>
      </c>
      <c r="BO201" s="26">
        <f t="shared" si="256"/>
        <v>7.4999999999999997E-2</v>
      </c>
      <c r="BP201" s="7">
        <v>3.1255882114700602</v>
      </c>
      <c r="BQ201" s="7">
        <v>725.70064173773096</v>
      </c>
      <c r="BR201" s="7">
        <v>755.71672459466504</v>
      </c>
      <c r="BS201" s="7">
        <v>725.70064173773096</v>
      </c>
      <c r="BT201" s="7">
        <v>2357235.7940603602</v>
      </c>
      <c r="BU201" s="7">
        <v>20371.832715762601</v>
      </c>
      <c r="BV201" s="7">
        <f t="shared" si="257"/>
        <v>2207.118008070127</v>
      </c>
      <c r="BX201" s="28">
        <v>30</v>
      </c>
      <c r="BY201" s="26">
        <v>5.0000000000000002E-5</v>
      </c>
      <c r="BZ201" s="28">
        <v>0.5</v>
      </c>
      <c r="CA201" s="28">
        <v>200</v>
      </c>
      <c r="CB201" s="26">
        <v>7.5000000000000002E-7</v>
      </c>
      <c r="CC201" s="26">
        <f t="shared" si="258"/>
        <v>3.7500000000000001E-7</v>
      </c>
      <c r="CD201" s="26">
        <f t="shared" si="259"/>
        <v>1.4999999999999999E-2</v>
      </c>
      <c r="CE201" s="7">
        <v>12.7872998478267</v>
      </c>
      <c r="CF201" s="7">
        <v>145.140128338708</v>
      </c>
      <c r="CG201" s="7">
        <v>151.143344918933</v>
      </c>
      <c r="CH201" s="7">
        <v>145.140128338708</v>
      </c>
      <c r="CI201" s="7">
        <v>471447.17116879002</v>
      </c>
      <c r="CJ201" s="7">
        <v>814.87330863050397</v>
      </c>
      <c r="CK201" s="7">
        <f t="shared" si="260"/>
        <v>441.42360159634899</v>
      </c>
      <c r="CM201" s="28">
        <v>30</v>
      </c>
      <c r="CN201" s="26">
        <v>5.0000000000000002E-5</v>
      </c>
      <c r="CO201" s="28">
        <v>1</v>
      </c>
      <c r="CP201" s="28">
        <v>200</v>
      </c>
      <c r="CQ201" s="26">
        <v>7.5000000000000002E-7</v>
      </c>
      <c r="CR201" s="26">
        <f t="shared" si="261"/>
        <v>7.5000000000000002E-7</v>
      </c>
      <c r="CS201" s="26">
        <f t="shared" si="262"/>
        <v>0.03</v>
      </c>
      <c r="CT201" s="7">
        <v>12.8555495775146</v>
      </c>
      <c r="CU201" s="7">
        <v>144.58638467526899</v>
      </c>
      <c r="CV201" s="7">
        <v>150.24883810203599</v>
      </c>
      <c r="CW201" s="7">
        <v>144.58638467526899</v>
      </c>
      <c r="CX201" s="7">
        <v>235723.58558439501</v>
      </c>
      <c r="CY201" s="7">
        <v>814.87330863050397</v>
      </c>
      <c r="CZ201" s="7">
        <f t="shared" si="263"/>
        <v>439.42160745257399</v>
      </c>
      <c r="DB201" s="28">
        <v>30</v>
      </c>
      <c r="DC201" s="26">
        <v>5.0000000000000002E-5</v>
      </c>
      <c r="DD201" s="28">
        <v>2</v>
      </c>
      <c r="DE201" s="28">
        <v>200</v>
      </c>
      <c r="DF201" s="26">
        <v>7.5000000000000002E-7</v>
      </c>
      <c r="DG201" s="26">
        <f t="shared" si="264"/>
        <v>1.5E-6</v>
      </c>
      <c r="DH201" s="26">
        <f t="shared" si="265"/>
        <v>0.06</v>
      </c>
      <c r="DI201" s="7">
        <v>12.991743567711699</v>
      </c>
      <c r="DJ201" s="7">
        <v>143.493651420682</v>
      </c>
      <c r="DK201" s="7">
        <v>148.49131311393799</v>
      </c>
      <c r="DL201" s="7">
        <v>143.493651420682</v>
      </c>
      <c r="DM201" s="7">
        <v>117861.792792198</v>
      </c>
      <c r="DN201" s="7">
        <v>814.87330863050397</v>
      </c>
      <c r="DO201" s="7">
        <f t="shared" si="266"/>
        <v>435.47861595530196</v>
      </c>
      <c r="DQ201" s="28">
        <v>30</v>
      </c>
      <c r="DR201" s="26">
        <v>5.0000000000000002E-5</v>
      </c>
      <c r="DS201" s="28">
        <v>15</v>
      </c>
      <c r="DT201" s="28">
        <v>300</v>
      </c>
      <c r="DU201" s="26">
        <v>4.9999999999999998E-7</v>
      </c>
      <c r="DV201" s="26">
        <f t="shared" si="267"/>
        <v>7.4999999999999993E-6</v>
      </c>
      <c r="DW201" s="26">
        <f t="shared" si="268"/>
        <v>0.29999999999999993</v>
      </c>
      <c r="DX201" s="7">
        <v>22.124472307613299</v>
      </c>
      <c r="DY201" s="7">
        <v>90.265822408235607</v>
      </c>
      <c r="DZ201" s="7">
        <v>90.525422516156297</v>
      </c>
      <c r="EA201" s="7">
        <v>90.265822408235607</v>
      </c>
      <c r="EB201" s="7">
        <v>15714.905705626299</v>
      </c>
      <c r="EC201" s="7">
        <v>509.29581789406501</v>
      </c>
      <c r="ED201" s="7">
        <f t="shared" si="269"/>
        <v>271.05706733262753</v>
      </c>
    </row>
    <row r="202" spans="1:134" x14ac:dyDescent="0.4">
      <c r="A202" s="28">
        <v>35</v>
      </c>
      <c r="B202" s="26">
        <v>1.0000000000000001E-5</v>
      </c>
      <c r="C202" s="28">
        <v>0.2</v>
      </c>
      <c r="D202" s="28">
        <v>30</v>
      </c>
      <c r="E202" s="26">
        <v>7.5000000000000002E-7</v>
      </c>
      <c r="F202" s="26">
        <f t="shared" si="243"/>
        <v>1.5000000000000002E-7</v>
      </c>
      <c r="G202" s="26">
        <f t="shared" si="244"/>
        <v>3.0000000000000002E-2</v>
      </c>
      <c r="H202" s="7">
        <v>2.5914563946619902</v>
      </c>
      <c r="I202" s="7">
        <v>3984.07853527202</v>
      </c>
      <c r="J202" s="7">
        <v>5168.7820727017497</v>
      </c>
      <c r="K202" s="7">
        <v>3984.07853527202</v>
      </c>
      <c r="L202" s="7">
        <v>8973470.5022608098</v>
      </c>
      <c r="M202" s="7">
        <v>20371.832715762601</v>
      </c>
      <c r="N202" s="7">
        <f t="shared" si="245"/>
        <v>13136.939143245789</v>
      </c>
      <c r="P202" s="28">
        <v>35</v>
      </c>
      <c r="Q202" s="26">
        <v>3.0000000000000001E-5</v>
      </c>
      <c r="R202" s="28">
        <v>0.2</v>
      </c>
      <c r="S202" s="28">
        <v>30</v>
      </c>
      <c r="T202" s="26">
        <v>7.5000000000000002E-7</v>
      </c>
      <c r="U202" s="26">
        <f t="shared" si="246"/>
        <v>1.5000000000000002E-7</v>
      </c>
      <c r="V202" s="26">
        <f t="shared" si="247"/>
        <v>0.01</v>
      </c>
      <c r="W202" s="7">
        <v>5.2102802426060402</v>
      </c>
      <c r="X202" s="7">
        <v>1328.02617841029</v>
      </c>
      <c r="Y202" s="7">
        <v>1722.9273575672501</v>
      </c>
      <c r="Z202" s="7">
        <v>1328.02617841029</v>
      </c>
      <c r="AA202" s="7">
        <v>2991156.8397606201</v>
      </c>
      <c r="AB202" s="7">
        <v>2263.53696841807</v>
      </c>
      <c r="AC202" s="7">
        <f t="shared" si="248"/>
        <v>4378.9797143878295</v>
      </c>
      <c r="AE202" s="28">
        <v>35</v>
      </c>
      <c r="AF202" s="26">
        <v>5.0000000000000002E-5</v>
      </c>
      <c r="AG202" s="28">
        <v>0.2</v>
      </c>
      <c r="AH202" s="28">
        <v>30</v>
      </c>
      <c r="AI202" s="26">
        <v>7.5000000000000002E-7</v>
      </c>
      <c r="AJ202" s="26">
        <f t="shared" si="249"/>
        <v>1.5000000000000002E-7</v>
      </c>
      <c r="AK202" s="26">
        <f t="shared" si="250"/>
        <v>6.0000000000000001E-3</v>
      </c>
      <c r="AL202" s="7">
        <v>6.5360904935188904</v>
      </c>
      <c r="AM202" s="7">
        <v>796.81570693005597</v>
      </c>
      <c r="AN202" s="7">
        <v>1033.7564145403501</v>
      </c>
      <c r="AO202" s="7">
        <v>796.81570693005597</v>
      </c>
      <c r="AP202" s="7">
        <v>1794694.1518928199</v>
      </c>
      <c r="AQ202" s="7">
        <v>814.87330863050397</v>
      </c>
      <c r="AR202" s="7">
        <f t="shared" si="251"/>
        <v>2627.3878284004622</v>
      </c>
      <c r="AT202" s="28">
        <v>35</v>
      </c>
      <c r="AU202" s="26">
        <v>1.0000000000000001E-5</v>
      </c>
      <c r="AV202" s="28">
        <v>0.2</v>
      </c>
      <c r="AW202" s="28">
        <v>200</v>
      </c>
      <c r="AX202" s="26">
        <v>7.5000000000000002E-7</v>
      </c>
      <c r="AY202" s="26">
        <f t="shared" si="252"/>
        <v>1.5000000000000002E-7</v>
      </c>
      <c r="AZ202" s="26">
        <f t="shared" si="253"/>
        <v>3.0000000000000002E-2</v>
      </c>
      <c r="BA202" s="7">
        <v>3.2636105576448999</v>
      </c>
      <c r="BB202" s="7">
        <v>602.00500937137394</v>
      </c>
      <c r="BC202" s="7">
        <v>783.15203621901901</v>
      </c>
      <c r="BD202" s="7">
        <v>602.00500937137394</v>
      </c>
      <c r="BE202" s="7">
        <v>8973470.5022608098</v>
      </c>
      <c r="BF202" s="7">
        <v>20371.832715762601</v>
      </c>
      <c r="BG202" s="7">
        <f t="shared" si="254"/>
        <v>1987.1620549617669</v>
      </c>
      <c r="BI202" s="28">
        <v>35</v>
      </c>
      <c r="BJ202" s="26">
        <v>1.0000000000000001E-5</v>
      </c>
      <c r="BK202" s="28">
        <v>0.5</v>
      </c>
      <c r="BL202" s="28">
        <v>200</v>
      </c>
      <c r="BM202" s="26">
        <v>7.5000000000000002E-7</v>
      </c>
      <c r="BN202" s="26">
        <f t="shared" si="255"/>
        <v>3.7500000000000001E-7</v>
      </c>
      <c r="BO202" s="26">
        <f t="shared" si="256"/>
        <v>7.4999999999999997E-2</v>
      </c>
      <c r="BP202" s="7">
        <v>3.2871483175085401</v>
      </c>
      <c r="BQ202" s="7">
        <v>600.83500597989303</v>
      </c>
      <c r="BR202" s="7">
        <v>781.06268252331097</v>
      </c>
      <c r="BS202" s="7">
        <v>600.83500597989303</v>
      </c>
      <c r="BT202" s="7">
        <v>3589388.20090432</v>
      </c>
      <c r="BU202" s="7">
        <v>20371.832715762601</v>
      </c>
      <c r="BV202" s="7">
        <f t="shared" si="257"/>
        <v>1982.732694483097</v>
      </c>
      <c r="BX202" s="28">
        <v>35</v>
      </c>
      <c r="BY202" s="26">
        <v>5.0000000000000002E-5</v>
      </c>
      <c r="BZ202" s="28">
        <v>0.5</v>
      </c>
      <c r="CA202" s="28">
        <v>200</v>
      </c>
      <c r="CB202" s="26">
        <v>7.5000000000000002E-7</v>
      </c>
      <c r="CC202" s="26">
        <f t="shared" si="258"/>
        <v>3.7500000000000001E-7</v>
      </c>
      <c r="CD202" s="26">
        <f t="shared" si="259"/>
        <v>1.4999999999999999E-2</v>
      </c>
      <c r="CE202" s="7">
        <v>13.7381517445935</v>
      </c>
      <c r="CF202" s="7">
        <v>120.167001188906</v>
      </c>
      <c r="CG202" s="7">
        <v>156.21253650466201</v>
      </c>
      <c r="CH202" s="7">
        <v>120.167001188906</v>
      </c>
      <c r="CI202" s="7">
        <v>717877.66075713001</v>
      </c>
      <c r="CJ202" s="7">
        <v>814.87330863050397</v>
      </c>
      <c r="CK202" s="7">
        <f t="shared" si="260"/>
        <v>396.54653888247401</v>
      </c>
      <c r="CM202" s="28">
        <v>35</v>
      </c>
      <c r="CN202" s="26">
        <v>5.0000000000000002E-5</v>
      </c>
      <c r="CO202" s="28">
        <v>1</v>
      </c>
      <c r="CP202" s="28">
        <v>200</v>
      </c>
      <c r="CQ202" s="26">
        <v>7.5000000000000002E-7</v>
      </c>
      <c r="CR202" s="26">
        <f t="shared" si="261"/>
        <v>7.5000000000000002E-7</v>
      </c>
      <c r="CS202" s="26">
        <f t="shared" si="262"/>
        <v>0.03</v>
      </c>
      <c r="CT202" s="7">
        <v>13.7867451124598</v>
      </c>
      <c r="CU202" s="7">
        <v>119.779274796552</v>
      </c>
      <c r="CV202" s="7">
        <v>155.521045898078</v>
      </c>
      <c r="CW202" s="7">
        <v>119.779274796552</v>
      </c>
      <c r="CX202" s="7">
        <v>358938.83037856501</v>
      </c>
      <c r="CY202" s="7">
        <v>814.87330863050397</v>
      </c>
      <c r="CZ202" s="7">
        <f t="shared" si="263"/>
        <v>395.07959549118198</v>
      </c>
      <c r="DB202" s="28">
        <v>35</v>
      </c>
      <c r="DC202" s="26">
        <v>5.0000000000000002E-5</v>
      </c>
      <c r="DD202" s="28">
        <v>2</v>
      </c>
      <c r="DE202" s="28">
        <v>200</v>
      </c>
      <c r="DF202" s="26">
        <v>7.5000000000000002E-7</v>
      </c>
      <c r="DG202" s="26">
        <f t="shared" si="264"/>
        <v>1.5E-6</v>
      </c>
      <c r="DH202" s="26">
        <f t="shared" si="265"/>
        <v>0.06</v>
      </c>
      <c r="DI202" s="7">
        <v>13.883736555062599</v>
      </c>
      <c r="DJ202" s="7">
        <v>119.01223137089301</v>
      </c>
      <c r="DK202" s="7">
        <v>154.156369850555</v>
      </c>
      <c r="DL202" s="7">
        <v>119.01223137089301</v>
      </c>
      <c r="DM202" s="7">
        <v>179469.41518928201</v>
      </c>
      <c r="DN202" s="7">
        <v>814.87330863050397</v>
      </c>
      <c r="DO202" s="7">
        <f t="shared" si="266"/>
        <v>392.18083259234101</v>
      </c>
      <c r="DQ202" s="28">
        <v>35</v>
      </c>
      <c r="DR202" s="26">
        <v>5.0000000000000002E-5</v>
      </c>
      <c r="DS202" s="28">
        <v>15</v>
      </c>
      <c r="DT202" s="28">
        <v>300</v>
      </c>
      <c r="DU202" s="26">
        <v>4.9999999999999998E-7</v>
      </c>
      <c r="DV202" s="26">
        <f t="shared" si="267"/>
        <v>7.4999999999999993E-6</v>
      </c>
      <c r="DW202" s="26">
        <f t="shared" si="268"/>
        <v>0.29999999999999993</v>
      </c>
      <c r="DX202" s="7">
        <v>23.093212045469599</v>
      </c>
      <c r="DY202" s="7">
        <v>75.5008244304708</v>
      </c>
      <c r="DZ202" s="7">
        <v>96.032312732024195</v>
      </c>
      <c r="EA202" s="7">
        <v>75.5008244304708</v>
      </c>
      <c r="EB202" s="7">
        <v>23929.255358571001</v>
      </c>
      <c r="EC202" s="7">
        <v>509.29581789406501</v>
      </c>
      <c r="ED202" s="7">
        <f t="shared" si="269"/>
        <v>247.0339615929658</v>
      </c>
    </row>
    <row r="203" spans="1:134" x14ac:dyDescent="0.4">
      <c r="A203" s="28">
        <v>40</v>
      </c>
      <c r="B203" s="26">
        <v>1.0000000000000001E-5</v>
      </c>
      <c r="C203" s="28">
        <v>0.2</v>
      </c>
      <c r="D203" s="28">
        <v>30</v>
      </c>
      <c r="E203" s="26">
        <v>7.5000000000000002E-7</v>
      </c>
      <c r="F203" s="26">
        <f t="shared" si="243"/>
        <v>1.5000000000000002E-7</v>
      </c>
      <c r="G203" s="26">
        <f t="shared" si="244"/>
        <v>3.0000000000000002E-2</v>
      </c>
      <c r="H203" s="7">
        <v>2.7601895479988401</v>
      </c>
      <c r="I203" s="7">
        <v>3352.9677929484601</v>
      </c>
      <c r="J203" s="7">
        <v>5323.5334580216904</v>
      </c>
      <c r="K203" s="7">
        <v>3352.9677929484601</v>
      </c>
      <c r="L203" s="7">
        <v>13908939.478979601</v>
      </c>
      <c r="M203" s="7">
        <v>20371.832715762601</v>
      </c>
      <c r="N203" s="7">
        <f t="shared" si="245"/>
        <v>12029.469043918611</v>
      </c>
      <c r="P203" s="28">
        <v>40</v>
      </c>
      <c r="Q203" s="26">
        <v>3.0000000000000001E-5</v>
      </c>
      <c r="R203" s="28">
        <v>0.2</v>
      </c>
      <c r="S203" s="28">
        <v>30</v>
      </c>
      <c r="T203" s="26">
        <v>7.5000000000000002E-7</v>
      </c>
      <c r="U203" s="26">
        <f t="shared" si="246"/>
        <v>1.5000000000000002E-7</v>
      </c>
      <c r="V203" s="26">
        <f t="shared" si="247"/>
        <v>0.01</v>
      </c>
      <c r="W203" s="7">
        <v>5.6765538541843998</v>
      </c>
      <c r="X203" s="7">
        <v>1117.6559309715101</v>
      </c>
      <c r="Y203" s="7">
        <v>1774.5111526738999</v>
      </c>
      <c r="Z203" s="7">
        <v>1117.6559309715101</v>
      </c>
      <c r="AA203" s="7">
        <v>4636313.1689486196</v>
      </c>
      <c r="AB203" s="7">
        <v>2263.53696841807</v>
      </c>
      <c r="AC203" s="7">
        <f t="shared" si="248"/>
        <v>4009.8230146169199</v>
      </c>
      <c r="AE203" s="28">
        <v>40</v>
      </c>
      <c r="AF203" s="26">
        <v>5.0000000000000002E-5</v>
      </c>
      <c r="AG203" s="28">
        <v>0.2</v>
      </c>
      <c r="AH203" s="28">
        <v>30</v>
      </c>
      <c r="AI203" s="26">
        <v>7.5000000000000002E-7</v>
      </c>
      <c r="AJ203" s="26">
        <f t="shared" si="249"/>
        <v>1.5000000000000002E-7</v>
      </c>
      <c r="AK203" s="26">
        <f t="shared" si="250"/>
        <v>6.0000000000000001E-3</v>
      </c>
      <c r="AL203" s="7">
        <v>7.20201865746417</v>
      </c>
      <c r="AM203" s="7">
        <v>670.59355848720395</v>
      </c>
      <c r="AN203" s="7">
        <v>1064.70669160434</v>
      </c>
      <c r="AO203" s="7">
        <v>670.59355848720395</v>
      </c>
      <c r="AP203" s="7">
        <v>2781787.9800138599</v>
      </c>
      <c r="AQ203" s="7">
        <v>814.87330863050397</v>
      </c>
      <c r="AR203" s="7">
        <f t="shared" si="251"/>
        <v>2405.8938085787481</v>
      </c>
      <c r="AT203" s="28">
        <v>40</v>
      </c>
      <c r="AU203" s="26">
        <v>1.0000000000000001E-5</v>
      </c>
      <c r="AV203" s="28">
        <v>0.2</v>
      </c>
      <c r="AW203" s="28">
        <v>200</v>
      </c>
      <c r="AX203" s="26">
        <v>7.5000000000000002E-7</v>
      </c>
      <c r="AY203" s="26">
        <f t="shared" si="252"/>
        <v>1.5000000000000002E-7</v>
      </c>
      <c r="AZ203" s="26">
        <f t="shared" si="253"/>
        <v>3.0000000000000002E-2</v>
      </c>
      <c r="BA203" s="7">
        <v>3.41998391210495</v>
      </c>
      <c r="BB203" s="7">
        <v>506.171357939058</v>
      </c>
      <c r="BC203" s="7">
        <v>804.808472591532</v>
      </c>
      <c r="BD203" s="7">
        <v>506.171357939058</v>
      </c>
      <c r="BE203" s="7">
        <v>13908939.478979601</v>
      </c>
      <c r="BF203" s="7">
        <v>20371.832715762601</v>
      </c>
      <c r="BG203" s="7">
        <f t="shared" si="254"/>
        <v>1817.1511884696479</v>
      </c>
      <c r="BI203" s="28">
        <v>40</v>
      </c>
      <c r="BJ203" s="26">
        <v>1.0000000000000001E-5</v>
      </c>
      <c r="BK203" s="28">
        <v>0.5</v>
      </c>
      <c r="BL203" s="28">
        <v>200</v>
      </c>
      <c r="BM203" s="26">
        <v>7.5000000000000002E-7</v>
      </c>
      <c r="BN203" s="26">
        <f t="shared" si="255"/>
        <v>3.7500000000000001E-7</v>
      </c>
      <c r="BO203" s="26">
        <f t="shared" si="256"/>
        <v>7.4999999999999997E-2</v>
      </c>
      <c r="BP203" s="7">
        <v>3.4359050200636201</v>
      </c>
      <c r="BQ203" s="7">
        <v>505.31296257696903</v>
      </c>
      <c r="BR203" s="7">
        <v>803.13685140779603</v>
      </c>
      <c r="BS203" s="7">
        <v>505.31296257696903</v>
      </c>
      <c r="BT203" s="7">
        <v>5563575.7915918296</v>
      </c>
      <c r="BU203" s="7">
        <v>20371.832715762601</v>
      </c>
      <c r="BV203" s="7">
        <f t="shared" si="257"/>
        <v>1813.7627765617342</v>
      </c>
      <c r="BX203" s="28">
        <v>40</v>
      </c>
      <c r="BY203" s="26">
        <v>5.0000000000000002E-5</v>
      </c>
      <c r="BZ203" s="28">
        <v>0.5</v>
      </c>
      <c r="CA203" s="28">
        <v>200</v>
      </c>
      <c r="CB203" s="26">
        <v>7.5000000000000002E-7</v>
      </c>
      <c r="CC203" s="26">
        <f t="shared" si="258"/>
        <v>3.7500000000000001E-7</v>
      </c>
      <c r="CD203" s="26">
        <f t="shared" si="259"/>
        <v>1.4999999999999999E-2</v>
      </c>
      <c r="CE203" s="7">
        <v>14.592037805279499</v>
      </c>
      <c r="CF203" s="7">
        <v>101.06259250957299</v>
      </c>
      <c r="CG203" s="7">
        <v>160.627370281559</v>
      </c>
      <c r="CH203" s="7">
        <v>101.06259250957299</v>
      </c>
      <c r="CI203" s="7">
        <v>1112715.19200554</v>
      </c>
      <c r="CJ203" s="7">
        <v>814.87330863050397</v>
      </c>
      <c r="CK203" s="7">
        <f t="shared" si="260"/>
        <v>362.75255530070496</v>
      </c>
      <c r="CM203" s="28">
        <v>40</v>
      </c>
      <c r="CN203" s="26">
        <v>5.0000000000000002E-5</v>
      </c>
      <c r="CO203" s="28">
        <v>1</v>
      </c>
      <c r="CP203" s="28">
        <v>200</v>
      </c>
      <c r="CQ203" s="26">
        <v>7.5000000000000002E-7</v>
      </c>
      <c r="CR203" s="26">
        <f t="shared" si="261"/>
        <v>7.5000000000000002E-7</v>
      </c>
      <c r="CS203" s="26">
        <f t="shared" si="262"/>
        <v>0.03</v>
      </c>
      <c r="CT203" s="7">
        <v>14.6263387058462</v>
      </c>
      <c r="CU203" s="7">
        <v>100.77787314708399</v>
      </c>
      <c r="CV203" s="7">
        <v>160.073267279547</v>
      </c>
      <c r="CW203" s="7">
        <v>100.77787314708399</v>
      </c>
      <c r="CX203" s="7">
        <v>556357.59600277198</v>
      </c>
      <c r="CY203" s="7">
        <v>814.87330863050397</v>
      </c>
      <c r="CZ203" s="7">
        <f t="shared" si="263"/>
        <v>361.62901357371499</v>
      </c>
      <c r="DB203" s="28">
        <v>40</v>
      </c>
      <c r="DC203" s="26">
        <v>5.0000000000000002E-5</v>
      </c>
      <c r="DD203" s="28">
        <v>2</v>
      </c>
      <c r="DE203" s="28">
        <v>200</v>
      </c>
      <c r="DF203" s="26">
        <v>7.5000000000000002E-7</v>
      </c>
      <c r="DG203" s="26">
        <f t="shared" si="264"/>
        <v>1.5E-6</v>
      </c>
      <c r="DH203" s="26">
        <f t="shared" si="265"/>
        <v>0.06</v>
      </c>
      <c r="DI203" s="7">
        <v>14.6948072635742</v>
      </c>
      <c r="DJ203" s="7">
        <v>100.213668542356</v>
      </c>
      <c r="DK203" s="7">
        <v>158.97655523681999</v>
      </c>
      <c r="DL203" s="7">
        <v>100.213668542356</v>
      </c>
      <c r="DM203" s="7">
        <v>278178.79800138599</v>
      </c>
      <c r="DN203" s="7">
        <v>814.87330863050397</v>
      </c>
      <c r="DO203" s="7">
        <f t="shared" si="266"/>
        <v>359.403892321532</v>
      </c>
      <c r="DQ203" s="28">
        <v>40</v>
      </c>
      <c r="DR203" s="26">
        <v>5.0000000000000002E-5</v>
      </c>
      <c r="DS203" s="28">
        <v>15</v>
      </c>
      <c r="DT203" s="28">
        <v>300</v>
      </c>
      <c r="DU203" s="26">
        <v>4.9999999999999998E-7</v>
      </c>
      <c r="DV203" s="26">
        <f t="shared" si="267"/>
        <v>7.4999999999999993E-6</v>
      </c>
      <c r="DW203" s="26">
        <f t="shared" si="268"/>
        <v>0.29999999999999993</v>
      </c>
      <c r="DX203" s="7">
        <v>24.056707608376499</v>
      </c>
      <c r="DY203" s="7">
        <v>63.957630951740299</v>
      </c>
      <c r="DZ203" s="7">
        <v>100.479958515748</v>
      </c>
      <c r="EA203" s="7">
        <v>63.957630951740299</v>
      </c>
      <c r="EB203" s="7">
        <v>37090.5064001848</v>
      </c>
      <c r="EC203" s="7">
        <v>509.29581789406501</v>
      </c>
      <c r="ED203" s="7">
        <f t="shared" si="269"/>
        <v>228.39522041922859</v>
      </c>
    </row>
    <row r="204" spans="1:134" x14ac:dyDescent="0.4">
      <c r="A204" s="28">
        <v>45</v>
      </c>
      <c r="B204" s="26">
        <v>1.0000000000000001E-5</v>
      </c>
      <c r="C204" s="28">
        <v>0.2</v>
      </c>
      <c r="D204" s="28">
        <v>30</v>
      </c>
      <c r="E204" s="26">
        <v>7.5000000000000002E-7</v>
      </c>
      <c r="F204" s="26">
        <f t="shared" si="243"/>
        <v>1.5000000000000002E-7</v>
      </c>
      <c r="G204" s="26">
        <f t="shared" si="244"/>
        <v>3.0000000000000002E-2</v>
      </c>
      <c r="H204" s="7">
        <v>2.9151048697586899</v>
      </c>
      <c r="I204" s="7">
        <v>2844.9728255004802</v>
      </c>
      <c r="J204" s="7">
        <v>5459.8455675855203</v>
      </c>
      <c r="K204" s="7">
        <v>2844.9728255004802</v>
      </c>
      <c r="L204" s="7">
        <v>22314016.336053099</v>
      </c>
      <c r="M204" s="7">
        <v>20371.832715762601</v>
      </c>
      <c r="N204" s="7">
        <f t="shared" si="245"/>
        <v>11149.791218586481</v>
      </c>
      <c r="P204" s="28">
        <v>45</v>
      </c>
      <c r="Q204" s="26">
        <v>3.0000000000000001E-5</v>
      </c>
      <c r="R204" s="28">
        <v>0.2</v>
      </c>
      <c r="S204" s="28">
        <v>30</v>
      </c>
      <c r="T204" s="26">
        <v>7.5000000000000002E-7</v>
      </c>
      <c r="U204" s="26">
        <f t="shared" si="246"/>
        <v>1.5000000000000002E-7</v>
      </c>
      <c r="V204" s="26">
        <f t="shared" si="247"/>
        <v>0.01</v>
      </c>
      <c r="W204" s="7">
        <v>6.1093797951380902</v>
      </c>
      <c r="X204" s="7">
        <v>948.32427515736799</v>
      </c>
      <c r="Y204" s="7">
        <v>1819.94852252851</v>
      </c>
      <c r="Z204" s="7">
        <v>948.32427515736799</v>
      </c>
      <c r="AA204" s="7">
        <v>7438005.4604388904</v>
      </c>
      <c r="AB204" s="7">
        <v>2263.53696841807</v>
      </c>
      <c r="AC204" s="7">
        <f t="shared" si="248"/>
        <v>3716.5970728432458</v>
      </c>
      <c r="AE204" s="28">
        <v>45</v>
      </c>
      <c r="AF204" s="26">
        <v>5.0000000000000002E-5</v>
      </c>
      <c r="AG204" s="28">
        <v>0.2</v>
      </c>
      <c r="AH204" s="28">
        <v>30</v>
      </c>
      <c r="AI204" s="26">
        <v>7.5000000000000002E-7</v>
      </c>
      <c r="AJ204" s="26">
        <f t="shared" si="249"/>
        <v>1.5000000000000002E-7</v>
      </c>
      <c r="AK204" s="26">
        <f t="shared" si="250"/>
        <v>6.0000000000000001E-3</v>
      </c>
      <c r="AL204" s="7">
        <v>7.8272517397839403</v>
      </c>
      <c r="AM204" s="7">
        <v>568.99456501435202</v>
      </c>
      <c r="AN204" s="7">
        <v>1091.9691135170999</v>
      </c>
      <c r="AO204" s="7">
        <v>568.99456501435202</v>
      </c>
      <c r="AP204" s="7">
        <v>4462803.4040061999</v>
      </c>
      <c r="AQ204" s="7">
        <v>814.87330863050397</v>
      </c>
      <c r="AR204" s="7">
        <f t="shared" si="251"/>
        <v>2229.9582435458042</v>
      </c>
      <c r="AT204" s="28">
        <v>45</v>
      </c>
      <c r="AU204" s="26">
        <v>1.0000000000000001E-5</v>
      </c>
      <c r="AV204" s="28">
        <v>0.2</v>
      </c>
      <c r="AW204" s="28">
        <v>200</v>
      </c>
      <c r="AX204" s="26">
        <v>7.5000000000000002E-7</v>
      </c>
      <c r="AY204" s="26">
        <f t="shared" si="252"/>
        <v>1.5000000000000002E-7</v>
      </c>
      <c r="AZ204" s="26">
        <f t="shared" si="253"/>
        <v>3.0000000000000002E-2</v>
      </c>
      <c r="BA204" s="7">
        <v>3.56409604611224</v>
      </c>
      <c r="BB204" s="7">
        <v>429.182314820393</v>
      </c>
      <c r="BC204" s="7">
        <v>824.10906225483302</v>
      </c>
      <c r="BD204" s="7">
        <v>429.182314820393</v>
      </c>
      <c r="BE204" s="7">
        <v>22314016.336053099</v>
      </c>
      <c r="BF204" s="7">
        <v>20371.832715762601</v>
      </c>
      <c r="BG204" s="7">
        <f t="shared" si="254"/>
        <v>1682.4736918956191</v>
      </c>
      <c r="BI204" s="28">
        <v>45</v>
      </c>
      <c r="BJ204" s="26">
        <v>1.0000000000000001E-5</v>
      </c>
      <c r="BK204" s="28">
        <v>0.5</v>
      </c>
      <c r="BL204" s="28">
        <v>200</v>
      </c>
      <c r="BM204" s="26">
        <v>7.5000000000000002E-7</v>
      </c>
      <c r="BN204" s="26">
        <f t="shared" si="255"/>
        <v>3.7500000000000001E-7</v>
      </c>
      <c r="BO204" s="26">
        <f t="shared" si="256"/>
        <v>7.4999999999999997E-2</v>
      </c>
      <c r="BP204" s="7">
        <v>3.5744645906089501</v>
      </c>
      <c r="BQ204" s="7">
        <v>428.53449983983199</v>
      </c>
      <c r="BR204" s="7">
        <v>822.74419088845502</v>
      </c>
      <c r="BS204" s="7">
        <v>428.53449983983199</v>
      </c>
      <c r="BT204" s="7">
        <v>8925606.5344212595</v>
      </c>
      <c r="BU204" s="7">
        <v>20371.832715762601</v>
      </c>
      <c r="BV204" s="7">
        <f t="shared" si="257"/>
        <v>1679.8131905681191</v>
      </c>
      <c r="BX204" s="28">
        <v>45</v>
      </c>
      <c r="BY204" s="26">
        <v>5.0000000000000002E-5</v>
      </c>
      <c r="BZ204" s="28">
        <v>0.5</v>
      </c>
      <c r="CA204" s="28">
        <v>200</v>
      </c>
      <c r="CB204" s="26">
        <v>7.5000000000000002E-7</v>
      </c>
      <c r="CC204" s="26">
        <f t="shared" si="258"/>
        <v>3.7500000000000001E-7</v>
      </c>
      <c r="CD204" s="26">
        <f t="shared" si="259"/>
        <v>1.4999999999999999E-2</v>
      </c>
      <c r="CE204" s="7">
        <v>15.372575684765399</v>
      </c>
      <c r="CF204" s="7">
        <v>85.706899963102501</v>
      </c>
      <c r="CG204" s="7">
        <v>164.54883817769101</v>
      </c>
      <c r="CH204" s="7">
        <v>85.706899963102501</v>
      </c>
      <c r="CI204" s="7">
        <v>1785121.3616024801</v>
      </c>
      <c r="CJ204" s="7">
        <v>814.87330863050397</v>
      </c>
      <c r="CK204" s="7">
        <f t="shared" si="260"/>
        <v>335.96263810389598</v>
      </c>
      <c r="CM204" s="28">
        <v>45</v>
      </c>
      <c r="CN204" s="26">
        <v>5.0000000000000002E-5</v>
      </c>
      <c r="CO204" s="28">
        <v>1</v>
      </c>
      <c r="CP204" s="28">
        <v>200</v>
      </c>
      <c r="CQ204" s="26">
        <v>7.5000000000000002E-7</v>
      </c>
      <c r="CR204" s="26">
        <f t="shared" si="261"/>
        <v>7.5000000000000002E-7</v>
      </c>
      <c r="CS204" s="26">
        <f t="shared" si="262"/>
        <v>0.03</v>
      </c>
      <c r="CT204" s="7">
        <v>15.3963852682667</v>
      </c>
      <c r="CU204" s="7">
        <v>85.491887514072303</v>
      </c>
      <c r="CV204" s="7">
        <v>164.095913900619</v>
      </c>
      <c r="CW204" s="7">
        <v>85.491887514072303</v>
      </c>
      <c r="CX204" s="7">
        <v>892560.68080124003</v>
      </c>
      <c r="CY204" s="7">
        <v>814.87330863050397</v>
      </c>
      <c r="CZ204" s="7">
        <f t="shared" si="263"/>
        <v>335.07968892876357</v>
      </c>
      <c r="DB204" s="28">
        <v>45</v>
      </c>
      <c r="DC204" s="26">
        <v>5.0000000000000002E-5</v>
      </c>
      <c r="DD204" s="28">
        <v>2</v>
      </c>
      <c r="DE204" s="28">
        <v>200</v>
      </c>
      <c r="DF204" s="26">
        <v>7.5000000000000002E-7</v>
      </c>
      <c r="DG204" s="26">
        <f t="shared" si="264"/>
        <v>1.5E-6</v>
      </c>
      <c r="DH204" s="26">
        <f t="shared" si="265"/>
        <v>0.06</v>
      </c>
      <c r="DI204" s="7">
        <v>15.443910109810499</v>
      </c>
      <c r="DJ204" s="7">
        <v>85.065299620820397</v>
      </c>
      <c r="DK204" s="7">
        <v>163.197611169178</v>
      </c>
      <c r="DL204" s="7">
        <v>85.065299620820397</v>
      </c>
      <c r="DM204" s="7">
        <v>446280.34040062001</v>
      </c>
      <c r="DN204" s="7">
        <v>814.87330863050397</v>
      </c>
      <c r="DO204" s="7">
        <f t="shared" si="266"/>
        <v>333.32821041081877</v>
      </c>
      <c r="DQ204" s="28">
        <v>45</v>
      </c>
      <c r="DR204" s="26">
        <v>5.0000000000000002E-5</v>
      </c>
      <c r="DS204" s="28">
        <v>15</v>
      </c>
      <c r="DT204" s="28">
        <v>300</v>
      </c>
      <c r="DU204" s="26">
        <v>4.9999999999999998E-7</v>
      </c>
      <c r="DV204" s="26">
        <f t="shared" si="267"/>
        <v>7.4999999999999993E-6</v>
      </c>
      <c r="DW204" s="26">
        <f t="shared" si="268"/>
        <v>0.29999999999999993</v>
      </c>
      <c r="DX204" s="7">
        <v>25.009750127980499</v>
      </c>
      <c r="DY204" s="7">
        <v>54.539450656433999</v>
      </c>
      <c r="DZ204" s="7">
        <v>104.236562937325</v>
      </c>
      <c r="EA204" s="7">
        <v>54.539450656433999</v>
      </c>
      <c r="EB204" s="7">
        <v>59504.045386749298</v>
      </c>
      <c r="EC204" s="7">
        <v>509.29581789406501</v>
      </c>
      <c r="ED204" s="7">
        <f t="shared" si="269"/>
        <v>213.31546425019297</v>
      </c>
    </row>
    <row r="205" spans="1:134" x14ac:dyDescent="0.4">
      <c r="A205" s="28">
        <v>50</v>
      </c>
      <c r="B205" s="26">
        <v>1.0000000000000001E-5</v>
      </c>
      <c r="C205" s="28">
        <v>0.2</v>
      </c>
      <c r="D205" s="28">
        <v>30</v>
      </c>
      <c r="E205" s="26">
        <v>7.5000000000000002E-7</v>
      </c>
      <c r="F205" s="26">
        <f t="shared" si="243"/>
        <v>1.5000000000000002E-7</v>
      </c>
      <c r="G205" s="26">
        <f t="shared" si="244"/>
        <v>3.0000000000000002E-2</v>
      </c>
      <c r="H205" s="7">
        <v>3.0590082134220702</v>
      </c>
      <c r="I205" s="7">
        <v>2422.0764785389101</v>
      </c>
      <c r="J205" s="7">
        <v>5581.9822447758097</v>
      </c>
      <c r="K205" s="7">
        <v>2422.0764785389101</v>
      </c>
      <c r="L205" s="7">
        <v>38032949.861855596</v>
      </c>
      <c r="M205" s="7">
        <v>20371.832715762601</v>
      </c>
      <c r="N205" s="7">
        <f t="shared" si="245"/>
        <v>10426.135201853631</v>
      </c>
      <c r="P205" s="28">
        <v>50</v>
      </c>
      <c r="Q205" s="26">
        <v>3.0000000000000001E-5</v>
      </c>
      <c r="R205" s="28">
        <v>0.2</v>
      </c>
      <c r="S205" s="28">
        <v>30</v>
      </c>
      <c r="T205" s="26">
        <v>7.5000000000000002E-7</v>
      </c>
      <c r="U205" s="26">
        <f t="shared" si="246"/>
        <v>1.5000000000000002E-7</v>
      </c>
      <c r="V205" s="26">
        <f t="shared" si="247"/>
        <v>0.01</v>
      </c>
      <c r="W205" s="7">
        <v>6.5153861158412898</v>
      </c>
      <c r="X205" s="7">
        <v>807.35882617166396</v>
      </c>
      <c r="Y205" s="7">
        <v>1860.6607482586001</v>
      </c>
      <c r="Z205" s="7">
        <v>807.35882617166396</v>
      </c>
      <c r="AA205" s="7">
        <v>12677649.9784535</v>
      </c>
      <c r="AB205" s="7">
        <v>2263.53696841807</v>
      </c>
      <c r="AC205" s="7">
        <f t="shared" si="248"/>
        <v>3475.3784006019282</v>
      </c>
      <c r="AE205" s="28">
        <v>50</v>
      </c>
      <c r="AF205" s="26">
        <v>5.0000000000000002E-5</v>
      </c>
      <c r="AG205" s="28">
        <v>0.2</v>
      </c>
      <c r="AH205" s="28">
        <v>30</v>
      </c>
      <c r="AI205" s="26">
        <v>7.5000000000000002E-7</v>
      </c>
      <c r="AJ205" s="26">
        <f t="shared" si="249"/>
        <v>1.5000000000000002E-7</v>
      </c>
      <c r="AK205" s="26">
        <f t="shared" si="250"/>
        <v>6.0000000000000001E-3</v>
      </c>
      <c r="AL205" s="7">
        <v>8.4197029105040802</v>
      </c>
      <c r="AM205" s="7">
        <v>484.41529563550102</v>
      </c>
      <c r="AN205" s="7">
        <v>1116.3964489551599</v>
      </c>
      <c r="AO205" s="7">
        <v>484.41529563550102</v>
      </c>
      <c r="AP205" s="7">
        <v>7606590.1945190197</v>
      </c>
      <c r="AQ205" s="7">
        <v>814.87330863050397</v>
      </c>
      <c r="AR205" s="7">
        <f t="shared" si="251"/>
        <v>2085.227040226162</v>
      </c>
      <c r="AT205" s="28">
        <v>50</v>
      </c>
      <c r="AU205" s="26">
        <v>1.0000000000000001E-5</v>
      </c>
      <c r="AV205" s="28">
        <v>0.2</v>
      </c>
      <c r="AW205" s="28">
        <v>200</v>
      </c>
      <c r="AX205" s="26">
        <v>7.5000000000000002E-7</v>
      </c>
      <c r="AY205" s="26">
        <f t="shared" si="252"/>
        <v>1.5000000000000002E-7</v>
      </c>
      <c r="AZ205" s="26">
        <f t="shared" si="253"/>
        <v>3.0000000000000002E-2</v>
      </c>
      <c r="BA205" s="7">
        <v>3.6982243436433802</v>
      </c>
      <c r="BB205" s="7">
        <v>365.18105956717</v>
      </c>
      <c r="BC205" s="7">
        <v>841.53641728653497</v>
      </c>
      <c r="BD205" s="7">
        <v>365.18105956717</v>
      </c>
      <c r="BE205" s="7">
        <v>38032949.861855596</v>
      </c>
      <c r="BF205" s="7">
        <v>20371.832715762601</v>
      </c>
      <c r="BG205" s="7">
        <f t="shared" si="254"/>
        <v>1571.898536420875</v>
      </c>
      <c r="BI205" s="28">
        <v>50</v>
      </c>
      <c r="BJ205" s="26">
        <v>1.0000000000000001E-5</v>
      </c>
      <c r="BK205" s="28">
        <v>0.5</v>
      </c>
      <c r="BL205" s="28">
        <v>200</v>
      </c>
      <c r="BM205" s="26">
        <v>7.5000000000000002E-7</v>
      </c>
      <c r="BN205" s="26">
        <f t="shared" si="255"/>
        <v>3.7500000000000001E-7</v>
      </c>
      <c r="BO205" s="26">
        <f t="shared" si="256"/>
        <v>7.4999999999999997E-2</v>
      </c>
      <c r="BP205" s="7">
        <v>3.7045745559122598</v>
      </c>
      <c r="BQ205" s="7">
        <v>364.68421056947602</v>
      </c>
      <c r="BR205" s="7">
        <v>840.41004328064798</v>
      </c>
      <c r="BS205" s="7">
        <v>364.68421056947602</v>
      </c>
      <c r="BT205" s="7">
        <v>15213179.944742201</v>
      </c>
      <c r="BU205" s="7">
        <v>20371.832715762601</v>
      </c>
      <c r="BV205" s="7">
        <f t="shared" si="257"/>
        <v>1569.7784644195999</v>
      </c>
      <c r="BX205" s="28">
        <v>50</v>
      </c>
      <c r="BY205" s="26">
        <v>5.0000000000000002E-5</v>
      </c>
      <c r="BZ205" s="28">
        <v>0.5</v>
      </c>
      <c r="CA205" s="28">
        <v>200</v>
      </c>
      <c r="CB205" s="26">
        <v>7.5000000000000002E-7</v>
      </c>
      <c r="CC205" s="26">
        <f t="shared" si="258"/>
        <v>3.7500000000000001E-7</v>
      </c>
      <c r="CD205" s="26">
        <f t="shared" si="259"/>
        <v>1.4999999999999999E-2</v>
      </c>
      <c r="CE205" s="7">
        <v>16.094891406986399</v>
      </c>
      <c r="CF205" s="7">
        <v>72.936842109798505</v>
      </c>
      <c r="CG205" s="7">
        <v>168.08200865613</v>
      </c>
      <c r="CH205" s="7">
        <v>72.936842109798505</v>
      </c>
      <c r="CI205" s="7">
        <v>3042636.0778076099</v>
      </c>
      <c r="CJ205" s="7">
        <v>814.87330863050397</v>
      </c>
      <c r="CK205" s="7">
        <f t="shared" si="260"/>
        <v>313.95569287572698</v>
      </c>
      <c r="CM205" s="28">
        <v>50</v>
      </c>
      <c r="CN205" s="26">
        <v>5.0000000000000002E-5</v>
      </c>
      <c r="CO205" s="28">
        <v>1</v>
      </c>
      <c r="CP205" s="28">
        <v>200</v>
      </c>
      <c r="CQ205" s="26">
        <v>7.5000000000000002E-7</v>
      </c>
      <c r="CR205" s="26">
        <f t="shared" si="261"/>
        <v>7.5000000000000002E-7</v>
      </c>
      <c r="CS205" s="26">
        <f t="shared" si="262"/>
        <v>0.03</v>
      </c>
      <c r="CT205" s="7">
        <v>16.110995064123699</v>
      </c>
      <c r="CU205" s="7">
        <v>72.771853396363895</v>
      </c>
      <c r="CV205" s="7">
        <v>167.707917393011</v>
      </c>
      <c r="CW205" s="7">
        <v>72.771853396363895</v>
      </c>
      <c r="CX205" s="7">
        <v>1521318.0389038101</v>
      </c>
      <c r="CY205" s="7">
        <v>814.87330863050397</v>
      </c>
      <c r="CZ205" s="7">
        <f t="shared" si="263"/>
        <v>313.25162418573882</v>
      </c>
      <c r="DB205" s="28">
        <v>50</v>
      </c>
      <c r="DC205" s="26">
        <v>5.0000000000000002E-5</v>
      </c>
      <c r="DD205" s="28">
        <v>2</v>
      </c>
      <c r="DE205" s="28">
        <v>200</v>
      </c>
      <c r="DF205" s="26">
        <v>7.5000000000000002E-7</v>
      </c>
      <c r="DG205" s="26">
        <f t="shared" si="264"/>
        <v>1.5E-6</v>
      </c>
      <c r="DH205" s="26">
        <f t="shared" si="265"/>
        <v>0.06</v>
      </c>
      <c r="DI205" s="7">
        <v>16.1431342152143</v>
      </c>
      <c r="DJ205" s="7">
        <v>72.444208829560395</v>
      </c>
      <c r="DK205" s="7">
        <v>166.964817403171</v>
      </c>
      <c r="DL205" s="7">
        <v>72.444208829560395</v>
      </c>
      <c r="DM205" s="7">
        <v>760659.01945190295</v>
      </c>
      <c r="DN205" s="7">
        <v>814.87330863050397</v>
      </c>
      <c r="DO205" s="7">
        <f t="shared" si="266"/>
        <v>311.85323506229179</v>
      </c>
      <c r="DQ205" s="28">
        <v>50</v>
      </c>
      <c r="DR205" s="26">
        <v>5.0000000000000002E-5</v>
      </c>
      <c r="DS205" s="28">
        <v>15</v>
      </c>
      <c r="DT205" s="28">
        <v>300</v>
      </c>
      <c r="DU205" s="26">
        <v>4.9999999999999998E-7</v>
      </c>
      <c r="DV205" s="26">
        <f t="shared" si="267"/>
        <v>7.4999999999999993E-6</v>
      </c>
      <c r="DW205" s="26">
        <f t="shared" si="268"/>
        <v>0.29999999999999993</v>
      </c>
      <c r="DX205" s="7">
        <v>25.948239229101102</v>
      </c>
      <c r="DY205" s="7">
        <v>46.620018473906597</v>
      </c>
      <c r="DZ205" s="7">
        <v>107.50242472112301</v>
      </c>
      <c r="EA205" s="7">
        <v>46.620018473906597</v>
      </c>
      <c r="EB205" s="7">
        <v>101421.202593587</v>
      </c>
      <c r="EC205" s="7">
        <v>509.29581789406501</v>
      </c>
      <c r="ED205" s="7">
        <f t="shared" si="269"/>
        <v>200.74246166893619</v>
      </c>
    </row>
    <row r="206" spans="1:134" x14ac:dyDescent="0.4">
      <c r="A206" s="28">
        <v>55.000000000000007</v>
      </c>
      <c r="B206" s="26">
        <v>1.0000000000000001E-5</v>
      </c>
      <c r="C206" s="28">
        <v>0.2</v>
      </c>
      <c r="D206" s="28">
        <v>30</v>
      </c>
      <c r="E206" s="26">
        <v>7.5000000000000002E-7</v>
      </c>
      <c r="F206" s="26">
        <f t="shared" si="243"/>
        <v>1.5000000000000002E-7</v>
      </c>
      <c r="G206" s="26">
        <f t="shared" si="244"/>
        <v>3.0000000000000002E-2</v>
      </c>
      <c r="H206" s="7">
        <v>3.1938431568849102</v>
      </c>
      <c r="I206" s="7">
        <v>2061.2283400943002</v>
      </c>
      <c r="J206" s="7">
        <v>5692.8014386926097</v>
      </c>
      <c r="K206" s="7">
        <v>2061.2283400943002</v>
      </c>
      <c r="L206" s="7">
        <v>72349793.874809399</v>
      </c>
      <c r="M206" s="7">
        <v>20371.832715762601</v>
      </c>
      <c r="N206" s="7">
        <f t="shared" si="245"/>
        <v>9815.2581188812092</v>
      </c>
      <c r="P206" s="28">
        <v>55.000000000000007</v>
      </c>
      <c r="Q206" s="26">
        <v>3.0000000000000001E-5</v>
      </c>
      <c r="R206" s="28">
        <v>0.2</v>
      </c>
      <c r="S206" s="28">
        <v>30</v>
      </c>
      <c r="T206" s="26">
        <v>7.5000000000000002E-7</v>
      </c>
      <c r="U206" s="26">
        <f t="shared" si="246"/>
        <v>1.5000000000000002E-7</v>
      </c>
      <c r="V206" s="26">
        <f t="shared" si="247"/>
        <v>0.01</v>
      </c>
      <c r="W206" s="7">
        <v>6.8991870167165397</v>
      </c>
      <c r="X206" s="7">
        <v>687.07611335802699</v>
      </c>
      <c r="Y206" s="7">
        <v>1897.6004795642</v>
      </c>
      <c r="Z206" s="7">
        <v>687.07611335802699</v>
      </c>
      <c r="AA206" s="7">
        <v>24116597.9983452</v>
      </c>
      <c r="AB206" s="7">
        <v>2263.53696841807</v>
      </c>
      <c r="AC206" s="7">
        <f t="shared" si="248"/>
        <v>3271.7527062802537</v>
      </c>
      <c r="AE206" s="28">
        <v>55.000000000000007</v>
      </c>
      <c r="AF206" s="26">
        <v>5.0000000000000002E-5</v>
      </c>
      <c r="AG206" s="28">
        <v>0.2</v>
      </c>
      <c r="AH206" s="28">
        <v>30</v>
      </c>
      <c r="AI206" s="26">
        <v>7.5000000000000002E-7</v>
      </c>
      <c r="AJ206" s="26">
        <f t="shared" si="249"/>
        <v>1.5000000000000002E-7</v>
      </c>
      <c r="AK206" s="26">
        <f t="shared" si="250"/>
        <v>6.0000000000000001E-3</v>
      </c>
      <c r="AL206" s="7">
        <v>8.9848949734690606</v>
      </c>
      <c r="AM206" s="7">
        <v>412.24566795777702</v>
      </c>
      <c r="AN206" s="7">
        <v>1138.5602877385199</v>
      </c>
      <c r="AO206" s="7">
        <v>412.24566795777702</v>
      </c>
      <c r="AP206" s="7">
        <v>14469959.1382923</v>
      </c>
      <c r="AQ206" s="7">
        <v>814.87330863050397</v>
      </c>
      <c r="AR206" s="7">
        <f t="shared" si="251"/>
        <v>1963.0516236540739</v>
      </c>
      <c r="AT206" s="28">
        <v>55.000000000000007</v>
      </c>
      <c r="AU206" s="26">
        <v>1.0000000000000001E-5</v>
      </c>
      <c r="AV206" s="28">
        <v>0.2</v>
      </c>
      <c r="AW206" s="28">
        <v>200</v>
      </c>
      <c r="AX206" s="26">
        <v>7.5000000000000002E-7</v>
      </c>
      <c r="AY206" s="26">
        <f t="shared" si="252"/>
        <v>1.5000000000000002E-7</v>
      </c>
      <c r="AZ206" s="26">
        <f t="shared" si="253"/>
        <v>3.0000000000000002E-2</v>
      </c>
      <c r="BA206" s="7">
        <v>3.8240089157319401</v>
      </c>
      <c r="BB206" s="7">
        <v>310.62949089263498</v>
      </c>
      <c r="BC206" s="7">
        <v>857.43494866405695</v>
      </c>
      <c r="BD206" s="7">
        <v>310.62949089263498</v>
      </c>
      <c r="BE206" s="7">
        <v>72349793.874809399</v>
      </c>
      <c r="BF206" s="7">
        <v>20371.832715762601</v>
      </c>
      <c r="BG206" s="7">
        <f t="shared" si="254"/>
        <v>1478.6939304493269</v>
      </c>
      <c r="BI206" s="28">
        <v>55.000000000000007</v>
      </c>
      <c r="BJ206" s="26">
        <v>1.0000000000000001E-5</v>
      </c>
      <c r="BK206" s="28">
        <v>0.5</v>
      </c>
      <c r="BL206" s="28">
        <v>200</v>
      </c>
      <c r="BM206" s="26">
        <v>7.5000000000000002E-7</v>
      </c>
      <c r="BN206" s="26">
        <f t="shared" si="255"/>
        <v>3.7500000000000001E-7</v>
      </c>
      <c r="BO206" s="26">
        <f t="shared" si="256"/>
        <v>7.4999999999999997E-2</v>
      </c>
      <c r="BP206" s="7">
        <v>3.8275084061747502</v>
      </c>
      <c r="BQ206" s="7">
        <v>310.245574031601</v>
      </c>
      <c r="BR206" s="7">
        <v>856.50167124423206</v>
      </c>
      <c r="BS206" s="7">
        <v>310.245574031601</v>
      </c>
      <c r="BT206" s="7">
        <v>28939917.5499238</v>
      </c>
      <c r="BU206" s="7">
        <v>20371.832715762601</v>
      </c>
      <c r="BV206" s="7">
        <f t="shared" si="257"/>
        <v>1476.9928193074338</v>
      </c>
      <c r="BX206" s="28">
        <v>55.000000000000007</v>
      </c>
      <c r="BY206" s="26">
        <v>5.0000000000000002E-5</v>
      </c>
      <c r="BZ206" s="28">
        <v>0.5</v>
      </c>
      <c r="CA206" s="28">
        <v>200</v>
      </c>
      <c r="CB206" s="26">
        <v>7.5000000000000002E-7</v>
      </c>
      <c r="CC206" s="26">
        <f t="shared" si="258"/>
        <v>3.7500000000000001E-7</v>
      </c>
      <c r="CD206" s="26">
        <f t="shared" si="259"/>
        <v>1.4999999999999999E-2</v>
      </c>
      <c r="CE206" s="7">
        <v>16.769455274866498</v>
      </c>
      <c r="CF206" s="7">
        <v>62.049114802860501</v>
      </c>
      <c r="CG206" s="7">
        <v>171.30033424884601</v>
      </c>
      <c r="CH206" s="7">
        <v>62.049114802860501</v>
      </c>
      <c r="CI206" s="7">
        <v>5787983.6553169098</v>
      </c>
      <c r="CJ206" s="7">
        <v>814.87330863050397</v>
      </c>
      <c r="CK206" s="7">
        <f t="shared" si="260"/>
        <v>295.39856385456704</v>
      </c>
      <c r="CM206" s="28">
        <v>55.000000000000007</v>
      </c>
      <c r="CN206" s="26">
        <v>5.0000000000000002E-5</v>
      </c>
      <c r="CO206" s="28">
        <v>1</v>
      </c>
      <c r="CP206" s="28">
        <v>200</v>
      </c>
      <c r="CQ206" s="26">
        <v>7.5000000000000002E-7</v>
      </c>
      <c r="CR206" s="26">
        <f t="shared" si="261"/>
        <v>7.5000000000000002E-7</v>
      </c>
      <c r="CS206" s="26">
        <f t="shared" si="262"/>
        <v>0.03</v>
      </c>
      <c r="CT206" s="7">
        <v>16.779954576577399</v>
      </c>
      <c r="CU206" s="7">
        <v>61.921576216120698</v>
      </c>
      <c r="CV206" s="7">
        <v>170.99017320176</v>
      </c>
      <c r="CW206" s="7">
        <v>61.921576216120698</v>
      </c>
      <c r="CX206" s="7">
        <v>2893991.8276584502</v>
      </c>
      <c r="CY206" s="7">
        <v>814.87330863050397</v>
      </c>
      <c r="CZ206" s="7">
        <f t="shared" si="263"/>
        <v>294.83332563400137</v>
      </c>
      <c r="DB206" s="28">
        <v>55.000000000000007</v>
      </c>
      <c r="DC206" s="26">
        <v>5.0000000000000002E-5</v>
      </c>
      <c r="DD206" s="28">
        <v>2</v>
      </c>
      <c r="DE206" s="28">
        <v>200</v>
      </c>
      <c r="DF206" s="26">
        <v>7.5000000000000002E-7</v>
      </c>
      <c r="DG206" s="26">
        <f t="shared" si="264"/>
        <v>1.5E-6</v>
      </c>
      <c r="DH206" s="26">
        <f t="shared" si="265"/>
        <v>0.06</v>
      </c>
      <c r="DI206" s="7">
        <v>16.800903450092701</v>
      </c>
      <c r="DJ206" s="7">
        <v>61.6681127663864</v>
      </c>
      <c r="DK206" s="7">
        <v>170.373319720317</v>
      </c>
      <c r="DL206" s="7">
        <v>61.6681127663864</v>
      </c>
      <c r="DM206" s="7">
        <v>1446995.91382923</v>
      </c>
      <c r="DN206" s="7">
        <v>814.87330863050397</v>
      </c>
      <c r="DO206" s="7">
        <f t="shared" si="266"/>
        <v>293.7095452530898</v>
      </c>
      <c r="DQ206" s="28">
        <v>55.000000000000007</v>
      </c>
      <c r="DR206" s="26">
        <v>5.0000000000000002E-5</v>
      </c>
      <c r="DS206" s="28">
        <v>15</v>
      </c>
      <c r="DT206" s="28">
        <v>300</v>
      </c>
      <c r="DU206" s="26">
        <v>4.9999999999999998E-7</v>
      </c>
      <c r="DV206" s="26">
        <f t="shared" si="267"/>
        <v>7.4999999999999993E-6</v>
      </c>
      <c r="DW206" s="26">
        <f t="shared" si="268"/>
        <v>0.29999999999999993</v>
      </c>
      <c r="DX206" s="7">
        <v>26.869753360679201</v>
      </c>
      <c r="DY206" s="7">
        <v>39.809859656104699</v>
      </c>
      <c r="DZ206" s="7">
        <v>110.399385072318</v>
      </c>
      <c r="EA206" s="7">
        <v>39.809859656104699</v>
      </c>
      <c r="EB206" s="7">
        <v>192932.78851056399</v>
      </c>
      <c r="EC206" s="7">
        <v>509.29581789406501</v>
      </c>
      <c r="ED206" s="7">
        <f t="shared" si="269"/>
        <v>190.0191043845274</v>
      </c>
    </row>
    <row r="207" spans="1:134" x14ac:dyDescent="0.4">
      <c r="A207" s="28">
        <v>60</v>
      </c>
      <c r="B207" s="26">
        <v>1.0000000000000001E-5</v>
      </c>
      <c r="C207" s="28">
        <v>0.2</v>
      </c>
      <c r="D207" s="28">
        <v>30</v>
      </c>
      <c r="E207" s="26">
        <v>7.5000000000000002E-7</v>
      </c>
      <c r="F207" s="26">
        <f t="shared" si="243"/>
        <v>1.5000000000000002E-7</v>
      </c>
      <c r="G207" s="26">
        <f t="shared" si="244"/>
        <v>3.0000000000000002E-2</v>
      </c>
      <c r="H207" s="7">
        <v>3.3210376344722401</v>
      </c>
      <c r="I207" s="7">
        <v>1747.4582681561301</v>
      </c>
      <c r="J207" s="7">
        <v>5794.3371345962596</v>
      </c>
      <c r="K207" s="7">
        <v>1747.4582681561301</v>
      </c>
      <c r="L207" s="7">
        <v>173207643.02618799</v>
      </c>
      <c r="M207" s="7">
        <v>20371.832715762601</v>
      </c>
      <c r="N207" s="7">
        <f t="shared" si="245"/>
        <v>9289.2536709085198</v>
      </c>
      <c r="P207" s="28">
        <v>60</v>
      </c>
      <c r="Q207" s="26">
        <v>3.0000000000000001E-5</v>
      </c>
      <c r="R207" s="28">
        <v>0.2</v>
      </c>
      <c r="S207" s="28">
        <v>30</v>
      </c>
      <c r="T207" s="26">
        <v>7.5000000000000002E-7</v>
      </c>
      <c r="U207" s="26">
        <f t="shared" si="246"/>
        <v>1.5000000000000002E-7</v>
      </c>
      <c r="V207" s="26">
        <f t="shared" si="247"/>
        <v>0.01</v>
      </c>
      <c r="W207" s="7">
        <v>7.2641759258998801</v>
      </c>
      <c r="X207" s="7">
        <v>582.48608937969198</v>
      </c>
      <c r="Y207" s="7">
        <v>1931.4457115320899</v>
      </c>
      <c r="Z207" s="7">
        <v>582.48608937969198</v>
      </c>
      <c r="AA207" s="7">
        <v>57735881.0752545</v>
      </c>
      <c r="AB207" s="7">
        <v>2263.53696841807</v>
      </c>
      <c r="AC207" s="7">
        <f t="shared" si="248"/>
        <v>3096.4178902914737</v>
      </c>
      <c r="AE207" s="28">
        <v>60</v>
      </c>
      <c r="AF207" s="26">
        <v>5.0000000000000002E-5</v>
      </c>
      <c r="AG207" s="28">
        <v>0.2</v>
      </c>
      <c r="AH207" s="28">
        <v>30</v>
      </c>
      <c r="AI207" s="26">
        <v>7.5000000000000002E-7</v>
      </c>
      <c r="AJ207" s="26">
        <f t="shared" si="249"/>
        <v>1.5000000000000002E-7</v>
      </c>
      <c r="AK207" s="26">
        <f t="shared" si="250"/>
        <v>6.0000000000000001E-3</v>
      </c>
      <c r="AL207" s="7">
        <v>9.5268995064742796</v>
      </c>
      <c r="AM207" s="7">
        <v>349.491653579706</v>
      </c>
      <c r="AN207" s="7">
        <v>1158.86742691925</v>
      </c>
      <c r="AO207" s="7">
        <v>349.491653579706</v>
      </c>
      <c r="AP207" s="7">
        <v>34641529.208382502</v>
      </c>
      <c r="AQ207" s="7">
        <v>814.87330863050397</v>
      </c>
      <c r="AR207" s="7">
        <f t="shared" si="251"/>
        <v>1857.8507340786621</v>
      </c>
      <c r="AT207" s="28">
        <v>60</v>
      </c>
      <c r="AU207" s="26">
        <v>1.0000000000000001E-5</v>
      </c>
      <c r="AV207" s="28">
        <v>0.2</v>
      </c>
      <c r="AW207" s="28">
        <v>200</v>
      </c>
      <c r="AX207" s="26">
        <v>7.5000000000000002E-7</v>
      </c>
      <c r="AY207" s="26">
        <f t="shared" si="252"/>
        <v>1.5000000000000002E-7</v>
      </c>
      <c r="AZ207" s="26">
        <f t="shared" si="253"/>
        <v>3.0000000000000002E-2</v>
      </c>
      <c r="BA207" s="7">
        <v>3.9426904500856899</v>
      </c>
      <c r="BB207" s="7">
        <v>263.235986756096</v>
      </c>
      <c r="BC207" s="7">
        <v>872.060132412553</v>
      </c>
      <c r="BD207" s="7">
        <v>263.235986756096</v>
      </c>
      <c r="BE207" s="7">
        <v>173207643.02618799</v>
      </c>
      <c r="BF207" s="7">
        <v>20371.832715762601</v>
      </c>
      <c r="BG207" s="7">
        <f t="shared" si="254"/>
        <v>1398.5321059247451</v>
      </c>
      <c r="BI207" s="28">
        <v>60</v>
      </c>
      <c r="BJ207" s="26">
        <v>1.0000000000000001E-5</v>
      </c>
      <c r="BK207" s="28">
        <v>0.5</v>
      </c>
      <c r="BL207" s="28">
        <v>200</v>
      </c>
      <c r="BM207" s="26">
        <v>7.5000000000000002E-7</v>
      </c>
      <c r="BN207" s="26">
        <f t="shared" si="255"/>
        <v>3.7500000000000001E-7</v>
      </c>
      <c r="BO207" s="26">
        <f t="shared" si="256"/>
        <v>7.4999999999999997E-2</v>
      </c>
      <c r="BP207" s="7">
        <v>3.9442567398514501</v>
      </c>
      <c r="BQ207" s="7">
        <v>262.93930247937197</v>
      </c>
      <c r="BR207" s="7">
        <v>871.287964463192</v>
      </c>
      <c r="BS207" s="7">
        <v>262.93930247937197</v>
      </c>
      <c r="BT207" s="7">
        <v>69283057.210475206</v>
      </c>
      <c r="BU207" s="7">
        <v>20371.832715762601</v>
      </c>
      <c r="BV207" s="7">
        <f t="shared" si="257"/>
        <v>1397.1665694219359</v>
      </c>
      <c r="BX207" s="28">
        <v>60</v>
      </c>
      <c r="BY207" s="26">
        <v>5.0000000000000002E-5</v>
      </c>
      <c r="BZ207" s="28">
        <v>0.5</v>
      </c>
      <c r="CA207" s="28">
        <v>200</v>
      </c>
      <c r="CB207" s="26">
        <v>7.5000000000000002E-7</v>
      </c>
      <c r="CC207" s="26">
        <f t="shared" si="258"/>
        <v>3.7500000000000001E-7</v>
      </c>
      <c r="CD207" s="26">
        <f t="shared" si="259"/>
        <v>1.4999999999999999E-2</v>
      </c>
      <c r="CE207" s="7">
        <v>17.403923877972801</v>
      </c>
      <c r="CF207" s="7">
        <v>52.5878604929581</v>
      </c>
      <c r="CG207" s="7">
        <v>174.257592892638</v>
      </c>
      <c r="CH207" s="7">
        <v>52.5878604929581</v>
      </c>
      <c r="CI207" s="7">
        <v>13856611.683352999</v>
      </c>
      <c r="CJ207" s="7">
        <v>814.87330863050397</v>
      </c>
      <c r="CK207" s="7">
        <f t="shared" si="260"/>
        <v>279.4333138785542</v>
      </c>
      <c r="CM207" s="28">
        <v>60</v>
      </c>
      <c r="CN207" s="26">
        <v>5.0000000000000002E-5</v>
      </c>
      <c r="CO207" s="28">
        <v>1</v>
      </c>
      <c r="CP207" s="28">
        <v>200</v>
      </c>
      <c r="CQ207" s="26">
        <v>7.5000000000000002E-7</v>
      </c>
      <c r="CR207" s="26">
        <f t="shared" si="261"/>
        <v>7.5000000000000002E-7</v>
      </c>
      <c r="CS207" s="26">
        <f t="shared" si="262"/>
        <v>0.03</v>
      </c>
      <c r="CT207" s="7">
        <v>17.410459949735301</v>
      </c>
      <c r="CU207" s="7">
        <v>52.489267736237203</v>
      </c>
      <c r="CV207" s="7">
        <v>174.00084097458901</v>
      </c>
      <c r="CW207" s="7">
        <v>52.489267736237203</v>
      </c>
      <c r="CX207" s="7">
        <v>6928305.8416764997</v>
      </c>
      <c r="CY207" s="7">
        <v>814.87330863050397</v>
      </c>
      <c r="CZ207" s="7">
        <f t="shared" si="263"/>
        <v>278.97937644706343</v>
      </c>
      <c r="DB207" s="28">
        <v>60</v>
      </c>
      <c r="DC207" s="26">
        <v>5.0000000000000002E-5</v>
      </c>
      <c r="DD207" s="28">
        <v>2</v>
      </c>
      <c r="DE207" s="28">
        <v>200</v>
      </c>
      <c r="DF207" s="26">
        <v>7.5000000000000002E-7</v>
      </c>
      <c r="DG207" s="26">
        <f t="shared" si="264"/>
        <v>1.5E-6</v>
      </c>
      <c r="DH207" s="26">
        <f t="shared" si="265"/>
        <v>0.06</v>
      </c>
      <c r="DI207" s="7">
        <v>17.4234957805768</v>
      </c>
      <c r="DJ207" s="7">
        <v>52.293206867341603</v>
      </c>
      <c r="DK207" s="7">
        <v>173.489713442035</v>
      </c>
      <c r="DL207" s="7">
        <v>52.293206867341603</v>
      </c>
      <c r="DM207" s="7">
        <v>3464152.9208382498</v>
      </c>
      <c r="DN207" s="7">
        <v>814.87330863050397</v>
      </c>
      <c r="DO207" s="7">
        <f t="shared" si="266"/>
        <v>278.07612717671822</v>
      </c>
      <c r="DQ207" s="28">
        <v>60</v>
      </c>
      <c r="DR207" s="26">
        <v>5.0000000000000002E-5</v>
      </c>
      <c r="DS207" s="28">
        <v>15</v>
      </c>
      <c r="DT207" s="28">
        <v>300</v>
      </c>
      <c r="DU207" s="26">
        <v>4.9999999999999998E-7</v>
      </c>
      <c r="DV207" s="26">
        <f t="shared" si="267"/>
        <v>7.4999999999999993E-6</v>
      </c>
      <c r="DW207" s="26">
        <f t="shared" si="268"/>
        <v>0.29999999999999993</v>
      </c>
      <c r="DX207" s="7">
        <v>27.7735883890692</v>
      </c>
      <c r="DY207" s="7">
        <v>33.851188115179603</v>
      </c>
      <c r="DZ207" s="7">
        <v>113.007558882322</v>
      </c>
      <c r="EA207" s="7">
        <v>33.851188115179603</v>
      </c>
      <c r="EB207" s="7">
        <v>461887.05611176701</v>
      </c>
      <c r="EC207" s="7">
        <v>509.29581789406501</v>
      </c>
      <c r="ED207" s="7">
        <f t="shared" si="269"/>
        <v>180.70993511268122</v>
      </c>
    </row>
    <row r="208" spans="1:134" x14ac:dyDescent="0.4">
      <c r="A208" s="28">
        <v>65</v>
      </c>
      <c r="B208" s="26">
        <v>1.0000000000000001E-5</v>
      </c>
      <c r="C208" s="28">
        <v>0.2</v>
      </c>
      <c r="D208" s="28">
        <v>30</v>
      </c>
      <c r="E208" s="26">
        <v>7.5000000000000002E-7</v>
      </c>
      <c r="F208" s="26">
        <f t="shared" si="243"/>
        <v>1.5000000000000002E-7</v>
      </c>
      <c r="G208" s="26">
        <f t="shared" si="244"/>
        <v>3.0000000000000002E-2</v>
      </c>
      <c r="H208" s="7">
        <v>3.4416999803010202</v>
      </c>
      <c r="I208" s="7">
        <v>1470.52695643265</v>
      </c>
      <c r="J208" s="7">
        <v>5888.0994972997396</v>
      </c>
      <c r="K208" s="7">
        <v>1470.52695643265</v>
      </c>
      <c r="L208" s="7">
        <v>859463306.304919</v>
      </c>
      <c r="M208" s="7">
        <v>20371.832715762601</v>
      </c>
      <c r="N208" s="7">
        <f t="shared" si="245"/>
        <v>8829.1534101650395</v>
      </c>
      <c r="P208" s="28">
        <v>65</v>
      </c>
      <c r="Q208" s="26">
        <v>3.0000000000000001E-5</v>
      </c>
      <c r="R208" s="28">
        <v>0.2</v>
      </c>
      <c r="S208" s="28">
        <v>30</v>
      </c>
      <c r="T208" s="26">
        <v>7.5000000000000002E-7</v>
      </c>
      <c r="U208" s="26">
        <f t="shared" si="246"/>
        <v>1.5000000000000002E-7</v>
      </c>
      <c r="V208" s="26">
        <f t="shared" si="247"/>
        <v>0.01</v>
      </c>
      <c r="W208" s="7">
        <v>7.61296391335941</v>
      </c>
      <c r="X208" s="7">
        <v>490.175652139448</v>
      </c>
      <c r="Y208" s="7">
        <v>1962.6998324332501</v>
      </c>
      <c r="Z208" s="7">
        <v>490.175652139448</v>
      </c>
      <c r="AA208" s="7">
        <v>286487768.88169003</v>
      </c>
      <c r="AB208" s="7">
        <v>2263.53696841807</v>
      </c>
      <c r="AC208" s="7">
        <f t="shared" si="248"/>
        <v>2943.0511367121462</v>
      </c>
      <c r="AE208" s="28">
        <v>65</v>
      </c>
      <c r="AF208" s="26">
        <v>5.0000000000000002E-5</v>
      </c>
      <c r="AG208" s="28">
        <v>0.2</v>
      </c>
      <c r="AH208" s="28">
        <v>30</v>
      </c>
      <c r="AI208" s="26">
        <v>7.5000000000000002E-7</v>
      </c>
      <c r="AJ208" s="26">
        <f t="shared" si="249"/>
        <v>1.5000000000000002E-7</v>
      </c>
      <c r="AK208" s="26">
        <f t="shared" si="250"/>
        <v>6.0000000000000001E-3</v>
      </c>
      <c r="AL208" s="7">
        <v>10.0488538147047</v>
      </c>
      <c r="AM208" s="7">
        <v>294.10539124333502</v>
      </c>
      <c r="AN208" s="7">
        <v>1177.6198994599499</v>
      </c>
      <c r="AO208" s="7">
        <v>294.10539124333502</v>
      </c>
      <c r="AP208" s="7">
        <v>171892662.28655201</v>
      </c>
      <c r="AQ208" s="7">
        <v>814.87330863050397</v>
      </c>
      <c r="AR208" s="7">
        <f t="shared" si="251"/>
        <v>1765.8306819466197</v>
      </c>
      <c r="AT208" s="28">
        <v>65</v>
      </c>
      <c r="AU208" s="26">
        <v>1.0000000000000001E-5</v>
      </c>
      <c r="AV208" s="28">
        <v>0.2</v>
      </c>
      <c r="AW208" s="28">
        <v>200</v>
      </c>
      <c r="AX208" s="26">
        <v>7.5000000000000002E-7</v>
      </c>
      <c r="AY208" s="26">
        <f t="shared" si="252"/>
        <v>1.5000000000000002E-7</v>
      </c>
      <c r="AZ208" s="26">
        <f t="shared" si="253"/>
        <v>3.0000000000000002E-2</v>
      </c>
      <c r="BA208" s="7">
        <v>4.05525506395976</v>
      </c>
      <c r="BB208" s="7">
        <v>221.436390808456</v>
      </c>
      <c r="BC208" s="7">
        <v>885.60719905590599</v>
      </c>
      <c r="BD208" s="7">
        <v>221.436390808456</v>
      </c>
      <c r="BE208" s="7">
        <v>859463306.304919</v>
      </c>
      <c r="BF208" s="7">
        <v>20371.832715762601</v>
      </c>
      <c r="BG208" s="7">
        <f t="shared" si="254"/>
        <v>1328.4799806728181</v>
      </c>
      <c r="BI208" s="28">
        <v>65</v>
      </c>
      <c r="BJ208" s="26">
        <v>1.0000000000000001E-5</v>
      </c>
      <c r="BK208" s="28">
        <v>0.5</v>
      </c>
      <c r="BL208" s="28">
        <v>200</v>
      </c>
      <c r="BM208" s="26">
        <v>7.5000000000000002E-7</v>
      </c>
      <c r="BN208" s="26">
        <f t="shared" si="255"/>
        <v>3.7500000000000001E-7</v>
      </c>
      <c r="BO208" s="26">
        <f t="shared" si="256"/>
        <v>7.4999999999999997E-2</v>
      </c>
      <c r="BP208" s="7">
        <v>4.0556578582647598</v>
      </c>
      <c r="BQ208" s="7">
        <v>221.20879187134</v>
      </c>
      <c r="BR208" s="7">
        <v>884.97259280428204</v>
      </c>
      <c r="BS208" s="7">
        <v>221.20879187134</v>
      </c>
      <c r="BT208" s="7">
        <v>343785322.52196801</v>
      </c>
      <c r="BU208" s="7">
        <v>20371.832715762601</v>
      </c>
      <c r="BV208" s="7">
        <f t="shared" si="257"/>
        <v>1327.390176546962</v>
      </c>
      <c r="BX208" s="28">
        <v>65</v>
      </c>
      <c r="BY208" s="26">
        <v>5.0000000000000002E-5</v>
      </c>
      <c r="BZ208" s="28">
        <v>0.5</v>
      </c>
      <c r="CA208" s="28">
        <v>200</v>
      </c>
      <c r="CB208" s="26">
        <v>7.5000000000000002E-7</v>
      </c>
      <c r="CC208" s="26">
        <f t="shared" si="258"/>
        <v>3.7500000000000001E-7</v>
      </c>
      <c r="CD208" s="26">
        <f t="shared" si="259"/>
        <v>1.4999999999999999E-2</v>
      </c>
      <c r="CE208" s="7">
        <v>18.004159209041902</v>
      </c>
      <c r="CF208" s="7">
        <v>44.241758371824098</v>
      </c>
      <c r="CG208" s="7">
        <v>176.99451856085599</v>
      </c>
      <c r="CH208" s="7">
        <v>44.241758371824098</v>
      </c>
      <c r="CI208" s="7">
        <v>68757064.914620593</v>
      </c>
      <c r="CJ208" s="7">
        <v>814.87330863050397</v>
      </c>
      <c r="CK208" s="7">
        <f t="shared" si="260"/>
        <v>265.4780353045042</v>
      </c>
      <c r="CM208" s="28">
        <v>65</v>
      </c>
      <c r="CN208" s="26">
        <v>5.0000000000000002E-5</v>
      </c>
      <c r="CO208" s="28">
        <v>1</v>
      </c>
      <c r="CP208" s="28">
        <v>200</v>
      </c>
      <c r="CQ208" s="26">
        <v>7.5000000000000002E-7</v>
      </c>
      <c r="CR208" s="26">
        <f t="shared" si="261"/>
        <v>7.5000000000000002E-7</v>
      </c>
      <c r="CS208" s="26">
        <f t="shared" si="262"/>
        <v>0.03</v>
      </c>
      <c r="CT208" s="7">
        <v>18.008098871760001</v>
      </c>
      <c r="CU208" s="7">
        <v>44.166101596649497</v>
      </c>
      <c r="CV208" s="7">
        <v>176.783417824277</v>
      </c>
      <c r="CW208" s="7">
        <v>44.166101596649497</v>
      </c>
      <c r="CX208" s="7">
        <v>34378532.457310297</v>
      </c>
      <c r="CY208" s="7">
        <v>814.87330863050397</v>
      </c>
      <c r="CZ208" s="7">
        <f t="shared" si="263"/>
        <v>265.11562101757602</v>
      </c>
      <c r="DB208" s="28">
        <v>65</v>
      </c>
      <c r="DC208" s="26">
        <v>5.0000000000000002E-5</v>
      </c>
      <c r="DD208" s="28">
        <v>2</v>
      </c>
      <c r="DE208" s="28">
        <v>200</v>
      </c>
      <c r="DF208" s="26">
        <v>7.5000000000000002E-7</v>
      </c>
      <c r="DG208" s="26">
        <f t="shared" si="264"/>
        <v>1.5E-6</v>
      </c>
      <c r="DH208" s="26">
        <f t="shared" si="265"/>
        <v>0.06</v>
      </c>
      <c r="DI208" s="7">
        <v>18.015951871914599</v>
      </c>
      <c r="DJ208" s="7">
        <v>44.0155689113517</v>
      </c>
      <c r="DK208" s="7">
        <v>176.36283833637401</v>
      </c>
      <c r="DL208" s="7">
        <v>44.0155689113517</v>
      </c>
      <c r="DM208" s="7">
        <v>17189266.2286552</v>
      </c>
      <c r="DN208" s="7">
        <v>814.87330863050397</v>
      </c>
      <c r="DO208" s="7">
        <f t="shared" si="266"/>
        <v>264.3939761590774</v>
      </c>
      <c r="DQ208" s="28">
        <v>65</v>
      </c>
      <c r="DR208" s="26">
        <v>5.0000000000000002E-5</v>
      </c>
      <c r="DS208" s="28">
        <v>15</v>
      </c>
      <c r="DT208" s="28">
        <v>300</v>
      </c>
      <c r="DU208" s="26">
        <v>4.9999999999999998E-7</v>
      </c>
      <c r="DV208" s="26">
        <f t="shared" si="267"/>
        <v>7.4999999999999993E-6</v>
      </c>
      <c r="DW208" s="26">
        <f t="shared" si="268"/>
        <v>0.29999999999999993</v>
      </c>
      <c r="DX208" s="7">
        <v>28.661397524499002</v>
      </c>
      <c r="DY208" s="7">
        <v>28.565057936355299</v>
      </c>
      <c r="DZ208" s="7">
        <v>115.382714159923</v>
      </c>
      <c r="EA208" s="7">
        <v>28.565057936355299</v>
      </c>
      <c r="EB208" s="7">
        <v>2291902.16382069</v>
      </c>
      <c r="EC208" s="7">
        <v>509.29581789406501</v>
      </c>
      <c r="ED208" s="7">
        <f t="shared" si="269"/>
        <v>172.51283003263359</v>
      </c>
    </row>
    <row r="209" spans="1:134" x14ac:dyDescent="0.4">
      <c r="A209" s="28">
        <v>70</v>
      </c>
      <c r="B209" s="26">
        <v>1.0000000000000001E-5</v>
      </c>
      <c r="C209" s="28">
        <v>0.2</v>
      </c>
      <c r="D209" s="28">
        <v>30</v>
      </c>
      <c r="E209" s="26">
        <v>7.5000000000000002E-7</v>
      </c>
      <c r="F209" s="26">
        <f t="shared" si="243"/>
        <v>1.5000000000000002E-7</v>
      </c>
      <c r="G209" s="26">
        <f t="shared" si="244"/>
        <v>3.0000000000000002E-2</v>
      </c>
      <c r="H209" s="7">
        <v>3.5568213193399298</v>
      </c>
      <c r="I209" s="7">
        <v>1223.14114606982</v>
      </c>
      <c r="J209" s="7">
        <v>5975.2459753258199</v>
      </c>
      <c r="K209" s="7">
        <v>1223.14114606982</v>
      </c>
      <c r="L209" s="7" t="s">
        <v>94</v>
      </c>
      <c r="M209" s="7">
        <v>20371.832715762601</v>
      </c>
      <c r="N209" s="7">
        <f t="shared" si="245"/>
        <v>8421.5282674654591</v>
      </c>
      <c r="P209" s="28">
        <v>70</v>
      </c>
      <c r="Q209" s="26">
        <v>3.0000000000000001E-5</v>
      </c>
      <c r="R209" s="28">
        <v>0.2</v>
      </c>
      <c r="S209" s="28">
        <v>30</v>
      </c>
      <c r="T209" s="26">
        <v>7.5000000000000002E-7</v>
      </c>
      <c r="U209" s="26">
        <f t="shared" si="246"/>
        <v>1.5000000000000002E-7</v>
      </c>
      <c r="V209" s="26">
        <f t="shared" si="247"/>
        <v>0.01</v>
      </c>
      <c r="W209" s="7">
        <v>7.9477251024767703</v>
      </c>
      <c r="X209" s="7">
        <v>407.71371535265399</v>
      </c>
      <c r="Y209" s="7">
        <v>1991.7486584419401</v>
      </c>
      <c r="Z209" s="7">
        <v>407.71371535265399</v>
      </c>
      <c r="AA209" s="7" t="s">
        <v>94</v>
      </c>
      <c r="AB209" s="7">
        <v>2263.53696841807</v>
      </c>
      <c r="AC209" s="7">
        <f t="shared" si="248"/>
        <v>2807.1760891472481</v>
      </c>
      <c r="AE209" s="28">
        <v>70</v>
      </c>
      <c r="AF209" s="26">
        <v>5.0000000000000002E-5</v>
      </c>
      <c r="AG209" s="28">
        <v>0.2</v>
      </c>
      <c r="AH209" s="28">
        <v>30</v>
      </c>
      <c r="AI209" s="26">
        <v>7.5000000000000002E-7</v>
      </c>
      <c r="AJ209" s="26">
        <f t="shared" si="249"/>
        <v>1.5000000000000002E-7</v>
      </c>
      <c r="AK209" s="26">
        <f t="shared" si="250"/>
        <v>6.0000000000000001E-3</v>
      </c>
      <c r="AL209" s="7">
        <v>10.553352502315001</v>
      </c>
      <c r="AM209" s="7">
        <v>244.62822917813699</v>
      </c>
      <c r="AN209" s="7">
        <v>1195.0491950651599</v>
      </c>
      <c r="AO209" s="7">
        <v>244.62822917813699</v>
      </c>
      <c r="AP209" s="7" t="s">
        <v>94</v>
      </c>
      <c r="AQ209" s="7">
        <v>814.87330863050397</v>
      </c>
      <c r="AR209" s="7">
        <f t="shared" si="251"/>
        <v>1684.3056534214338</v>
      </c>
      <c r="AT209" s="28">
        <v>70</v>
      </c>
      <c r="AU209" s="26">
        <v>1.0000000000000001E-5</v>
      </c>
      <c r="AV209" s="28">
        <v>0.2</v>
      </c>
      <c r="AW209" s="28">
        <v>200</v>
      </c>
      <c r="AX209" s="26">
        <v>7.5000000000000002E-7</v>
      </c>
      <c r="AY209" s="26">
        <f t="shared" si="252"/>
        <v>1.5000000000000002E-7</v>
      </c>
      <c r="AZ209" s="26">
        <f t="shared" si="253"/>
        <v>3.0000000000000002E-2</v>
      </c>
      <c r="BA209" s="7">
        <v>4.1626103951812903</v>
      </c>
      <c r="BB209" s="7">
        <v>184.11844341766201</v>
      </c>
      <c r="BC209" s="7">
        <v>898.22894938474894</v>
      </c>
      <c r="BD209" s="7">
        <v>184.11844341766201</v>
      </c>
      <c r="BE209" s="7" t="s">
        <v>94</v>
      </c>
      <c r="BF209" s="7">
        <v>20371.832715762601</v>
      </c>
      <c r="BG209" s="7">
        <f t="shared" si="254"/>
        <v>1266.465836220073</v>
      </c>
      <c r="BI209" s="28">
        <v>70</v>
      </c>
      <c r="BJ209" s="26">
        <v>1.0000000000000001E-5</v>
      </c>
      <c r="BK209" s="28">
        <v>0.5</v>
      </c>
      <c r="BL209" s="28">
        <v>200</v>
      </c>
      <c r="BM209" s="26">
        <v>7.5000000000000002E-7</v>
      </c>
      <c r="BN209" s="26">
        <f t="shared" si="255"/>
        <v>3.7500000000000001E-7</v>
      </c>
      <c r="BO209" s="26">
        <f t="shared" si="256"/>
        <v>7.4999999999999997E-2</v>
      </c>
      <c r="BP209" s="7">
        <v>4.1626954675750403</v>
      </c>
      <c r="BQ209" s="7">
        <v>183.946660682919</v>
      </c>
      <c r="BR209" s="7">
        <v>897.71395999315905</v>
      </c>
      <c r="BS209" s="7">
        <v>183.946660682919</v>
      </c>
      <c r="BT209" s="7" t="s">
        <v>94</v>
      </c>
      <c r="BU209" s="7">
        <v>20371.832715762601</v>
      </c>
      <c r="BV209" s="7">
        <f t="shared" si="257"/>
        <v>1265.6072813589969</v>
      </c>
      <c r="BX209" s="28">
        <v>70</v>
      </c>
      <c r="BY209" s="26">
        <v>5.0000000000000002E-5</v>
      </c>
      <c r="BZ209" s="28">
        <v>0.5</v>
      </c>
      <c r="CA209" s="28">
        <v>200</v>
      </c>
      <c r="CB209" s="26">
        <v>7.5000000000000002E-7</v>
      </c>
      <c r="CC209" s="26">
        <f t="shared" si="258"/>
        <v>3.7500000000000001E-7</v>
      </c>
      <c r="CD209" s="26">
        <f t="shared" si="259"/>
        <v>1.4999999999999999E-2</v>
      </c>
      <c r="CE209" s="7">
        <v>18.575046396141101</v>
      </c>
      <c r="CF209" s="7">
        <v>36.7893321345583</v>
      </c>
      <c r="CG209" s="7">
        <v>179.542791998632</v>
      </c>
      <c r="CH209" s="7">
        <v>36.7893321345583</v>
      </c>
      <c r="CI209" s="7" t="s">
        <v>94</v>
      </c>
      <c r="CJ209" s="7">
        <v>814.87330863050397</v>
      </c>
      <c r="CK209" s="7">
        <f t="shared" si="260"/>
        <v>253.12145626774858</v>
      </c>
      <c r="CM209" s="28">
        <v>70</v>
      </c>
      <c r="CN209" s="26">
        <v>5.0000000000000002E-5</v>
      </c>
      <c r="CO209" s="28">
        <v>1</v>
      </c>
      <c r="CP209" s="28">
        <v>200</v>
      </c>
      <c r="CQ209" s="26">
        <v>7.5000000000000002E-7</v>
      </c>
      <c r="CR209" s="26">
        <f t="shared" si="261"/>
        <v>7.5000000000000002E-7</v>
      </c>
      <c r="CS209" s="26">
        <f t="shared" si="262"/>
        <v>0.03</v>
      </c>
      <c r="CT209" s="7">
        <v>18.577864406710798</v>
      </c>
      <c r="CU209" s="7">
        <v>36.732214141098297</v>
      </c>
      <c r="CV209" s="7">
        <v>179.37142238436701</v>
      </c>
      <c r="CW209" s="7">
        <v>36.732214141098297</v>
      </c>
      <c r="CX209" s="7" t="s">
        <v>94</v>
      </c>
      <c r="CY209" s="7">
        <v>814.87330863050397</v>
      </c>
      <c r="CZ209" s="7">
        <f t="shared" si="263"/>
        <v>252.8358506665636</v>
      </c>
      <c r="DB209" s="28">
        <v>70</v>
      </c>
      <c r="DC209" s="26">
        <v>5.0000000000000002E-5</v>
      </c>
      <c r="DD209" s="28">
        <v>2</v>
      </c>
      <c r="DE209" s="28">
        <v>200</v>
      </c>
      <c r="DF209" s="26">
        <v>7.5000000000000002E-7</v>
      </c>
      <c r="DG209" s="26">
        <f t="shared" si="264"/>
        <v>1.5E-6</v>
      </c>
      <c r="DH209" s="26">
        <f t="shared" si="265"/>
        <v>0.06</v>
      </c>
      <c r="DI209" s="7">
        <v>18.583481646705799</v>
      </c>
      <c r="DJ209" s="7">
        <v>36.618511090650998</v>
      </c>
      <c r="DK209" s="7">
        <v>179.02977916857401</v>
      </c>
      <c r="DL209" s="7">
        <v>36.618511090650998</v>
      </c>
      <c r="DM209" s="7" t="s">
        <v>94</v>
      </c>
      <c r="DN209" s="7">
        <v>814.87330863050397</v>
      </c>
      <c r="DO209" s="7">
        <f t="shared" si="266"/>
        <v>252.266801349876</v>
      </c>
      <c r="DQ209" s="28">
        <v>70</v>
      </c>
      <c r="DR209" s="26">
        <v>5.0000000000000002E-5</v>
      </c>
      <c r="DS209" s="28">
        <v>15</v>
      </c>
      <c r="DT209" s="28">
        <v>300</v>
      </c>
      <c r="DU209" s="26">
        <v>4.9999999999999998E-7</v>
      </c>
      <c r="DV209" s="26">
        <f t="shared" si="267"/>
        <v>7.4999999999999993E-6</v>
      </c>
      <c r="DW209" s="26">
        <f t="shared" si="268"/>
        <v>0.29999999999999993</v>
      </c>
      <c r="DX209" s="7">
        <v>29.544097683315801</v>
      </c>
      <c r="DY209" s="7">
        <v>23.8224846510956</v>
      </c>
      <c r="DZ209" s="7">
        <v>117.565391453988</v>
      </c>
      <c r="EA209" s="7">
        <v>23.8224846510956</v>
      </c>
      <c r="EB209" s="7" t="s">
        <v>94</v>
      </c>
      <c r="EC209" s="7">
        <v>509.29581789406501</v>
      </c>
      <c r="ED209" s="7">
        <f t="shared" si="269"/>
        <v>165.2103607561792</v>
      </c>
    </row>
    <row r="210" spans="1:134" x14ac:dyDescent="0.4">
      <c r="B210" s="26"/>
      <c r="E210" s="26"/>
      <c r="F210" s="26"/>
      <c r="G210" s="26"/>
      <c r="Q210" s="26"/>
      <c r="T210" s="26"/>
      <c r="U210" s="26"/>
      <c r="V210" s="26"/>
      <c r="AF210" s="26"/>
      <c r="AI210" s="26"/>
      <c r="AJ210" s="26"/>
      <c r="AK210" s="26"/>
      <c r="AU210" s="26"/>
      <c r="AX210" s="26"/>
      <c r="AY210" s="26"/>
      <c r="AZ210" s="26"/>
      <c r="BJ210" s="26"/>
      <c r="BM210" s="26"/>
      <c r="BN210" s="26"/>
      <c r="BO210" s="26"/>
      <c r="BY210" s="26"/>
      <c r="CB210" s="26"/>
      <c r="CC210" s="26"/>
      <c r="CD210" s="26"/>
      <c r="CN210" s="26"/>
      <c r="CQ210" s="26"/>
      <c r="CR210" s="26"/>
      <c r="CS210" s="26"/>
      <c r="DC210" s="26"/>
      <c r="DF210" s="26"/>
      <c r="DG210" s="26"/>
      <c r="DH210" s="26"/>
      <c r="DR210" s="26"/>
      <c r="DU210" s="26"/>
      <c r="DV210" s="26"/>
      <c r="DW210" s="26"/>
    </row>
    <row r="211" spans="1:134" s="36" customFormat="1" ht="47.25" x14ac:dyDescent="0.4">
      <c r="A211" s="53" t="s">
        <v>69</v>
      </c>
      <c r="B211" s="54" t="s">
        <v>93</v>
      </c>
      <c r="C211" s="39" t="s">
        <v>73</v>
      </c>
      <c r="D211" s="39" t="s">
        <v>98</v>
      </c>
      <c r="E211" s="39" t="s">
        <v>97</v>
      </c>
      <c r="F211" s="39" t="s">
        <v>99</v>
      </c>
      <c r="G211" s="39" t="s">
        <v>96</v>
      </c>
      <c r="H211" s="37" t="s">
        <v>60</v>
      </c>
      <c r="I211" s="37" t="s">
        <v>100</v>
      </c>
      <c r="J211" s="37" t="s">
        <v>101</v>
      </c>
      <c r="K211" s="37" t="s">
        <v>102</v>
      </c>
      <c r="L211" s="37" t="s">
        <v>103</v>
      </c>
      <c r="M211" s="37" t="s">
        <v>65</v>
      </c>
      <c r="N211" s="37" t="s">
        <v>68</v>
      </c>
      <c r="O211" s="55"/>
      <c r="P211" s="53" t="s">
        <v>69</v>
      </c>
      <c r="Q211" s="54" t="s">
        <v>93</v>
      </c>
      <c r="R211" s="39" t="s">
        <v>73</v>
      </c>
      <c r="S211" s="39" t="s">
        <v>98</v>
      </c>
      <c r="T211" s="39" t="s">
        <v>97</v>
      </c>
      <c r="U211" s="39" t="s">
        <v>99</v>
      </c>
      <c r="V211" s="39" t="s">
        <v>96</v>
      </c>
      <c r="W211" s="37" t="s">
        <v>60</v>
      </c>
      <c r="X211" s="37" t="s">
        <v>100</v>
      </c>
      <c r="Y211" s="37" t="s">
        <v>101</v>
      </c>
      <c r="Z211" s="37" t="s">
        <v>102</v>
      </c>
      <c r="AA211" s="37" t="s">
        <v>103</v>
      </c>
      <c r="AB211" s="37" t="s">
        <v>65</v>
      </c>
      <c r="AC211" s="37" t="s">
        <v>68</v>
      </c>
      <c r="AD211" s="55"/>
      <c r="AE211" s="53" t="s">
        <v>69</v>
      </c>
      <c r="AF211" s="54" t="s">
        <v>93</v>
      </c>
      <c r="AG211" s="39" t="s">
        <v>73</v>
      </c>
      <c r="AH211" s="39" t="s">
        <v>98</v>
      </c>
      <c r="AI211" s="39" t="s">
        <v>97</v>
      </c>
      <c r="AJ211" s="39" t="s">
        <v>99</v>
      </c>
      <c r="AK211" s="39" t="s">
        <v>96</v>
      </c>
      <c r="AL211" s="37" t="s">
        <v>60</v>
      </c>
      <c r="AM211" s="37" t="s">
        <v>100</v>
      </c>
      <c r="AN211" s="37" t="s">
        <v>101</v>
      </c>
      <c r="AO211" s="37" t="s">
        <v>102</v>
      </c>
      <c r="AP211" s="37" t="s">
        <v>103</v>
      </c>
      <c r="AQ211" s="37" t="s">
        <v>65</v>
      </c>
      <c r="AR211" s="37" t="s">
        <v>68</v>
      </c>
      <c r="AS211" s="55"/>
      <c r="AT211" s="53" t="s">
        <v>69</v>
      </c>
      <c r="AU211" s="54" t="s">
        <v>93</v>
      </c>
      <c r="AV211" s="39" t="s">
        <v>73</v>
      </c>
      <c r="AW211" s="39" t="s">
        <v>98</v>
      </c>
      <c r="AX211" s="39" t="s">
        <v>97</v>
      </c>
      <c r="AY211" s="39" t="s">
        <v>99</v>
      </c>
      <c r="AZ211" s="39" t="s">
        <v>96</v>
      </c>
      <c r="BA211" s="37" t="s">
        <v>60</v>
      </c>
      <c r="BB211" s="37" t="s">
        <v>100</v>
      </c>
      <c r="BC211" s="37" t="s">
        <v>101</v>
      </c>
      <c r="BD211" s="37" t="s">
        <v>102</v>
      </c>
      <c r="BE211" s="37" t="s">
        <v>103</v>
      </c>
      <c r="BF211" s="37" t="s">
        <v>65</v>
      </c>
      <c r="BG211" s="37" t="s">
        <v>68</v>
      </c>
      <c r="BH211" s="55"/>
      <c r="BI211" s="53" t="s">
        <v>69</v>
      </c>
      <c r="BJ211" s="54" t="s">
        <v>93</v>
      </c>
      <c r="BK211" s="39" t="s">
        <v>73</v>
      </c>
      <c r="BL211" s="39" t="s">
        <v>98</v>
      </c>
      <c r="BM211" s="39" t="s">
        <v>97</v>
      </c>
      <c r="BN211" s="39" t="s">
        <v>99</v>
      </c>
      <c r="BO211" s="39" t="s">
        <v>96</v>
      </c>
      <c r="BP211" s="37" t="s">
        <v>60</v>
      </c>
      <c r="BQ211" s="37" t="s">
        <v>100</v>
      </c>
      <c r="BR211" s="37" t="s">
        <v>101</v>
      </c>
      <c r="BS211" s="37" t="s">
        <v>102</v>
      </c>
      <c r="BT211" s="37" t="s">
        <v>103</v>
      </c>
      <c r="BU211" s="37" t="s">
        <v>65</v>
      </c>
      <c r="BV211" s="37" t="s">
        <v>68</v>
      </c>
      <c r="BW211" s="55"/>
      <c r="BX211" s="53" t="s">
        <v>69</v>
      </c>
      <c r="BY211" s="54" t="s">
        <v>93</v>
      </c>
      <c r="BZ211" s="39" t="s">
        <v>73</v>
      </c>
      <c r="CA211" s="39" t="s">
        <v>98</v>
      </c>
      <c r="CB211" s="39" t="s">
        <v>97</v>
      </c>
      <c r="CC211" s="39" t="s">
        <v>99</v>
      </c>
      <c r="CD211" s="39" t="s">
        <v>96</v>
      </c>
      <c r="CE211" s="37" t="s">
        <v>60</v>
      </c>
      <c r="CF211" s="37" t="s">
        <v>100</v>
      </c>
      <c r="CG211" s="37" t="s">
        <v>101</v>
      </c>
      <c r="CH211" s="37" t="s">
        <v>102</v>
      </c>
      <c r="CI211" s="37" t="s">
        <v>103</v>
      </c>
      <c r="CJ211" s="37" t="s">
        <v>65</v>
      </c>
      <c r="CK211" s="37" t="s">
        <v>68</v>
      </c>
      <c r="CL211" s="55"/>
      <c r="CM211" s="53" t="s">
        <v>69</v>
      </c>
      <c r="CN211" s="54" t="s">
        <v>93</v>
      </c>
      <c r="CO211" s="39" t="s">
        <v>73</v>
      </c>
      <c r="CP211" s="39" t="s">
        <v>98</v>
      </c>
      <c r="CQ211" s="39" t="s">
        <v>97</v>
      </c>
      <c r="CR211" s="39" t="s">
        <v>99</v>
      </c>
      <c r="CS211" s="39" t="s">
        <v>96</v>
      </c>
      <c r="CT211" s="37" t="s">
        <v>60</v>
      </c>
      <c r="CU211" s="37" t="s">
        <v>100</v>
      </c>
      <c r="CV211" s="37" t="s">
        <v>101</v>
      </c>
      <c r="CW211" s="37" t="s">
        <v>102</v>
      </c>
      <c r="CX211" s="37" t="s">
        <v>103</v>
      </c>
      <c r="CY211" s="37" t="s">
        <v>65</v>
      </c>
      <c r="CZ211" s="37" t="s">
        <v>68</v>
      </c>
      <c r="DA211" s="55"/>
      <c r="DB211" s="53" t="s">
        <v>69</v>
      </c>
      <c r="DC211" s="54" t="s">
        <v>93</v>
      </c>
      <c r="DD211" s="39" t="s">
        <v>73</v>
      </c>
      <c r="DE211" s="39" t="s">
        <v>98</v>
      </c>
      <c r="DF211" s="39" t="s">
        <v>97</v>
      </c>
      <c r="DG211" s="39" t="s">
        <v>99</v>
      </c>
      <c r="DH211" s="39" t="s">
        <v>96</v>
      </c>
      <c r="DI211" s="37" t="s">
        <v>60</v>
      </c>
      <c r="DJ211" s="37" t="s">
        <v>100</v>
      </c>
      <c r="DK211" s="37" t="s">
        <v>101</v>
      </c>
      <c r="DL211" s="37" t="s">
        <v>102</v>
      </c>
      <c r="DM211" s="37" t="s">
        <v>103</v>
      </c>
      <c r="DN211" s="37" t="s">
        <v>65</v>
      </c>
      <c r="DO211" s="37" t="s">
        <v>68</v>
      </c>
      <c r="DP211" s="55"/>
      <c r="DQ211" s="53" t="s">
        <v>69</v>
      </c>
      <c r="DR211" s="54" t="s">
        <v>93</v>
      </c>
      <c r="DS211" s="39" t="s">
        <v>73</v>
      </c>
      <c r="DT211" s="39" t="s">
        <v>98</v>
      </c>
      <c r="DU211" s="39" t="s">
        <v>97</v>
      </c>
      <c r="DV211" s="39" t="s">
        <v>99</v>
      </c>
      <c r="DW211" s="39" t="s">
        <v>96</v>
      </c>
      <c r="DX211" s="37" t="s">
        <v>60</v>
      </c>
      <c r="DY211" s="37" t="s">
        <v>100</v>
      </c>
      <c r="DZ211" s="37" t="s">
        <v>101</v>
      </c>
      <c r="EA211" s="37" t="s">
        <v>102</v>
      </c>
      <c r="EB211" s="37" t="s">
        <v>103</v>
      </c>
      <c r="EC211" s="37" t="s">
        <v>65</v>
      </c>
      <c r="ED211" s="37" t="s">
        <v>68</v>
      </c>
    </row>
    <row r="212" spans="1:134" x14ac:dyDescent="0.4">
      <c r="A212" s="28">
        <v>1</v>
      </c>
      <c r="B212" s="26">
        <v>1.0000000000000001E-5</v>
      </c>
      <c r="C212" s="28">
        <v>0.2</v>
      </c>
      <c r="D212" s="28">
        <v>30</v>
      </c>
      <c r="E212" s="26">
        <v>9.9999999999999995E-7</v>
      </c>
      <c r="F212" s="26">
        <f t="shared" ref="F212:F230" si="270">C212*E212</f>
        <v>1.9999999999999999E-7</v>
      </c>
      <c r="G212" s="26">
        <f t="shared" ref="G212:G230" si="271">F212/(B212/2)</f>
        <v>3.9999999999999994E-2</v>
      </c>
      <c r="H212" s="7">
        <v>0.22250440854105699</v>
      </c>
      <c r="I212" s="7">
        <v>20967.675665585699</v>
      </c>
      <c r="J212" s="7">
        <v>750067.42850576504</v>
      </c>
      <c r="K212" s="7">
        <v>20967.675665585699</v>
      </c>
      <c r="L212" s="7">
        <v>246455.34799285</v>
      </c>
      <c r="M212" s="7">
        <v>25464.790894703299</v>
      </c>
      <c r="N212" s="7">
        <f t="shared" ref="N212:N230" si="272">I212+J212+K212</f>
        <v>792002.77983693639</v>
      </c>
      <c r="P212" s="28">
        <v>1</v>
      </c>
      <c r="Q212" s="26">
        <v>3.0000000000000001E-5</v>
      </c>
      <c r="R212" s="28">
        <v>0.2</v>
      </c>
      <c r="S212" s="28">
        <v>30</v>
      </c>
      <c r="T212" s="26">
        <v>9.9999999999999995E-7</v>
      </c>
      <c r="U212" s="26">
        <f t="shared" ref="U212:U230" si="273">R212*T212</f>
        <v>1.9999999999999999E-7</v>
      </c>
      <c r="V212" s="26">
        <f t="shared" ref="V212:V230" si="274">U212/(Q212/2)</f>
        <v>1.3333333333333332E-2</v>
      </c>
      <c r="W212" s="7">
        <v>0.22461709881598499</v>
      </c>
      <c r="X212" s="7">
        <v>6989.2252213633501</v>
      </c>
      <c r="Y212" s="7">
        <v>250022.476149864</v>
      </c>
      <c r="Z212" s="7">
        <v>6989.2252213633501</v>
      </c>
      <c r="AA212" s="7">
        <v>82151.782666878105</v>
      </c>
      <c r="AB212" s="7">
        <v>2829.4212105225802</v>
      </c>
      <c r="AC212" s="7">
        <f t="shared" ref="AC212:AC230" si="275">X212+Y212+Z212</f>
        <v>264000.92659259069</v>
      </c>
      <c r="AE212" s="28">
        <v>1</v>
      </c>
      <c r="AF212" s="26">
        <v>5.0000000000000002E-5</v>
      </c>
      <c r="AG212" s="28">
        <v>0.2</v>
      </c>
      <c r="AH212" s="28">
        <v>30</v>
      </c>
      <c r="AI212" s="26">
        <v>9.9999999999999995E-7</v>
      </c>
      <c r="AJ212" s="26">
        <f t="shared" ref="AJ212:AJ230" si="276">AG212*AI212</f>
        <v>1.9999999999999999E-7</v>
      </c>
      <c r="AK212" s="26">
        <f t="shared" ref="AK212:AK230" si="277">AJ212/(AF212/2)</f>
        <v>7.9999999999999984E-3</v>
      </c>
      <c r="AL212" s="7">
        <v>0.22506109782168299</v>
      </c>
      <c r="AM212" s="7">
        <v>4193.5351285970401</v>
      </c>
      <c r="AN212" s="7">
        <v>150013.48553139099</v>
      </c>
      <c r="AO212" s="7">
        <v>4193.5351285970401</v>
      </c>
      <c r="AP212" s="7">
        <v>49291.069622095303</v>
      </c>
      <c r="AQ212" s="7">
        <v>1018.59163578813</v>
      </c>
      <c r="AR212" s="7">
        <f t="shared" ref="AR212:AR230" si="278">AM212+AN212+AO212</f>
        <v>158400.5557885851</v>
      </c>
      <c r="AT212" s="28">
        <v>1</v>
      </c>
      <c r="AU212" s="26">
        <v>1.0000000000000001E-5</v>
      </c>
      <c r="AV212" s="28">
        <v>0.2</v>
      </c>
      <c r="AW212" s="28">
        <v>200</v>
      </c>
      <c r="AX212" s="26">
        <v>9.9999999999999995E-7</v>
      </c>
      <c r="AY212" s="26">
        <f t="shared" ref="AY212:AY230" si="279">AV212*AX212</f>
        <v>1.9999999999999999E-7</v>
      </c>
      <c r="AZ212" s="26">
        <f t="shared" ref="AZ212:AZ230" si="280">AY212/(AU212/2)</f>
        <v>3.9999999999999994E-2</v>
      </c>
      <c r="BA212" s="7">
        <v>0.22457120779101999</v>
      </c>
      <c r="BB212" s="7">
        <v>4345.3623253436699</v>
      </c>
      <c r="BC212" s="7">
        <v>750067.42850576504</v>
      </c>
      <c r="BD212" s="7">
        <v>4345.3623253436699</v>
      </c>
      <c r="BE212" s="7">
        <v>246455.34799285</v>
      </c>
      <c r="BF212" s="7">
        <v>25464.790894703299</v>
      </c>
      <c r="BG212" s="7">
        <f t="shared" ref="BG212:BG230" si="281">BB212+BC212+BD212</f>
        <v>758758.15315645235</v>
      </c>
      <c r="BI212" s="28">
        <v>1</v>
      </c>
      <c r="BJ212" s="26">
        <v>1.0000000000000001E-5</v>
      </c>
      <c r="BK212" s="28">
        <v>0.5</v>
      </c>
      <c r="BL212" s="28">
        <v>200</v>
      </c>
      <c r="BM212" s="26">
        <v>9.9999999999999995E-7</v>
      </c>
      <c r="BN212" s="26">
        <f t="shared" ref="BN212:BN230" si="282">BK212*BM212</f>
        <v>4.9999999999999998E-7</v>
      </c>
      <c r="BO212" s="26">
        <f t="shared" ref="BO212:BO230" si="283">BN212/(BJ212/2)</f>
        <v>9.9999999999999992E-2</v>
      </c>
      <c r="BP212" s="7">
        <v>0.54877958520729397</v>
      </c>
      <c r="BQ212" s="7">
        <v>3764.12485338133</v>
      </c>
      <c r="BR212" s="7">
        <v>300026.97140230599</v>
      </c>
      <c r="BS212" s="7">
        <v>3764.12485338133</v>
      </c>
      <c r="BT212" s="7">
        <v>98582.139197140001</v>
      </c>
      <c r="BU212" s="7">
        <v>25464.790894703299</v>
      </c>
      <c r="BV212" s="7">
        <f t="shared" ref="BV212:BV230" si="284">BQ212+BR212+BS212</f>
        <v>307555.2211090686</v>
      </c>
      <c r="BX212" s="28">
        <v>1</v>
      </c>
      <c r="BY212" s="26">
        <v>5.0000000000000002E-5</v>
      </c>
      <c r="BZ212" s="28">
        <v>0.5</v>
      </c>
      <c r="CA212" s="28">
        <v>200</v>
      </c>
      <c r="CB212" s="26">
        <v>9.9999999999999995E-7</v>
      </c>
      <c r="CC212" s="26">
        <f t="shared" ref="CC212:CC230" si="285">BZ212*CB212</f>
        <v>4.9999999999999998E-7</v>
      </c>
      <c r="CD212" s="26">
        <f t="shared" ref="CD212:CD230" si="286">CC212/(BY212/2)</f>
        <v>1.9999999999999997E-2</v>
      </c>
      <c r="CE212" s="7">
        <v>0.56395718240547099</v>
      </c>
      <c r="CF212" s="7">
        <v>752.82497001808497</v>
      </c>
      <c r="CG212" s="7">
        <v>60005.394212556603</v>
      </c>
      <c r="CH212" s="7">
        <v>752.82497001808497</v>
      </c>
      <c r="CI212" s="7">
        <v>19716.427848838099</v>
      </c>
      <c r="CJ212" s="7">
        <v>1018.59163578813</v>
      </c>
      <c r="CK212" s="7">
        <f t="shared" ref="CK212:CK230" si="287">CF212+CG212+CH212</f>
        <v>61511.044152592767</v>
      </c>
      <c r="CM212" s="28">
        <v>1</v>
      </c>
      <c r="CN212" s="26">
        <v>5.0000000000000002E-5</v>
      </c>
      <c r="CO212" s="28">
        <v>1</v>
      </c>
      <c r="CP212" s="28">
        <v>200</v>
      </c>
      <c r="CQ212" s="26">
        <v>9.9999999999999995E-7</v>
      </c>
      <c r="CR212" s="26">
        <f t="shared" ref="CR212:CR230" si="288">CO212*CQ212</f>
        <v>9.9999999999999995E-7</v>
      </c>
      <c r="CS212" s="26">
        <f t="shared" ref="CS212:CS230" si="289">CR212/(CN212/2)</f>
        <v>3.9999999999999994E-2</v>
      </c>
      <c r="CT212" s="7">
        <v>1.1151388264286</v>
      </c>
      <c r="CU212" s="7">
        <v>665.23311259709499</v>
      </c>
      <c r="CV212" s="7">
        <v>30002.697106278301</v>
      </c>
      <c r="CW212" s="7">
        <v>665.23311259709499</v>
      </c>
      <c r="CX212" s="7">
        <v>9858.2139244190694</v>
      </c>
      <c r="CY212" s="7">
        <v>1018.59163578813</v>
      </c>
      <c r="CZ212" s="7">
        <f t="shared" ref="CZ212:CZ230" si="290">CU212+CV212+CW212</f>
        <v>31333.163331472493</v>
      </c>
      <c r="DB212" s="28">
        <v>1</v>
      </c>
      <c r="DC212" s="26">
        <v>5.0000000000000002E-5</v>
      </c>
      <c r="DD212" s="28">
        <v>2</v>
      </c>
      <c r="DE212" s="28">
        <v>200</v>
      </c>
      <c r="DF212" s="26">
        <v>9.9999999999999995E-7</v>
      </c>
      <c r="DG212" s="26">
        <f t="shared" ref="DG212:DG230" si="291">DD212*DF212</f>
        <v>1.9999999999999999E-6</v>
      </c>
      <c r="DH212" s="26">
        <f t="shared" ref="DH212:DH230" si="292">DG212/(DC212/2)</f>
        <v>7.9999999999999988E-2</v>
      </c>
      <c r="DI212" s="7">
        <v>2.18807311599</v>
      </c>
      <c r="DJ212" s="7">
        <v>578.22973015081095</v>
      </c>
      <c r="DK212" s="7">
        <v>15001.3485531391</v>
      </c>
      <c r="DL212" s="7">
        <v>578.22973015081095</v>
      </c>
      <c r="DM212" s="7">
        <v>4929.1069622095301</v>
      </c>
      <c r="DN212" s="7">
        <v>1018.59163578813</v>
      </c>
      <c r="DO212" s="7">
        <f t="shared" ref="DO212:DO230" si="293">DJ212+DK212+DL212</f>
        <v>16157.808013440723</v>
      </c>
      <c r="DQ212" s="28">
        <v>1</v>
      </c>
      <c r="DR212" s="26">
        <v>5.0000000000000002E-5</v>
      </c>
      <c r="DS212" s="28">
        <v>15</v>
      </c>
      <c r="DT212" s="28">
        <v>300</v>
      </c>
      <c r="DU212" s="26">
        <v>7.5000000000000002E-7</v>
      </c>
      <c r="DV212" s="26">
        <f t="shared" ref="DV212:DV230" si="294">DS212*DU212</f>
        <v>1.1250000000000001E-5</v>
      </c>
      <c r="DW212" s="26">
        <f t="shared" ref="DW212:DW230" si="295">DV212/(DR212/2)</f>
        <v>0.45</v>
      </c>
      <c r="DX212" s="7">
        <v>14.962811991870501</v>
      </c>
      <c r="DY212" s="7">
        <v>254.539230510376</v>
      </c>
      <c r="DZ212" s="7">
        <v>2000.1798070852201</v>
      </c>
      <c r="EA212" s="7">
        <v>254.539230510376</v>
      </c>
      <c r="EB212" s="7">
        <v>657.21426162793796</v>
      </c>
      <c r="EC212" s="7">
        <v>814.87330863050397</v>
      </c>
      <c r="ED212" s="7">
        <f t="shared" ref="ED212:ED230" si="296">DY212+DZ212+EA212</f>
        <v>2509.2582681059721</v>
      </c>
    </row>
    <row r="213" spans="1:134" x14ac:dyDescent="0.4">
      <c r="A213" s="28">
        <v>2</v>
      </c>
      <c r="B213" s="26">
        <v>1.0000000000000001E-5</v>
      </c>
      <c r="C213" s="28">
        <v>0.2</v>
      </c>
      <c r="D213" s="28">
        <v>30</v>
      </c>
      <c r="E213" s="26">
        <v>9.9999999999999995E-7</v>
      </c>
      <c r="F213" s="26">
        <f t="shared" si="270"/>
        <v>1.9999999999999999E-7</v>
      </c>
      <c r="G213" s="26">
        <f t="shared" si="271"/>
        <v>3.9999999999999994E-2</v>
      </c>
      <c r="H213" s="7">
        <v>0.25054215694304699</v>
      </c>
      <c r="I213" s="7">
        <v>20967.675665585699</v>
      </c>
      <c r="J213" s="7">
        <v>482013.76177816797</v>
      </c>
      <c r="K213" s="7">
        <v>20967.675665585699</v>
      </c>
      <c r="L213" s="7">
        <v>339325.67523914197</v>
      </c>
      <c r="M213" s="7">
        <v>25464.790894703299</v>
      </c>
      <c r="N213" s="7">
        <f t="shared" si="272"/>
        <v>523949.11310933932</v>
      </c>
      <c r="P213" s="28">
        <v>2</v>
      </c>
      <c r="Q213" s="26">
        <v>3.0000000000000001E-5</v>
      </c>
      <c r="R213" s="28">
        <v>0.2</v>
      </c>
      <c r="S213" s="28">
        <v>30</v>
      </c>
      <c r="T213" s="26">
        <v>9.9999999999999995E-7</v>
      </c>
      <c r="U213" s="26">
        <f t="shared" si="273"/>
        <v>1.9999999999999999E-7</v>
      </c>
      <c r="V213" s="26">
        <f t="shared" si="274"/>
        <v>1.3333333333333332E-2</v>
      </c>
      <c r="W213" s="7">
        <v>0.25637923530908102</v>
      </c>
      <c r="X213" s="7">
        <v>6989.2252213633501</v>
      </c>
      <c r="Y213" s="7">
        <v>160671.25390733199</v>
      </c>
      <c r="Z213" s="7">
        <v>6989.2252213633501</v>
      </c>
      <c r="AA213" s="7">
        <v>113108.558420806</v>
      </c>
      <c r="AB213" s="7">
        <v>2829.4212105225802</v>
      </c>
      <c r="AC213" s="7">
        <f t="shared" si="275"/>
        <v>174649.70435005872</v>
      </c>
      <c r="AE213" s="28">
        <v>2</v>
      </c>
      <c r="AF213" s="26">
        <v>5.0000000000000002E-5</v>
      </c>
      <c r="AG213" s="28">
        <v>0.2</v>
      </c>
      <c r="AH213" s="28">
        <v>30</v>
      </c>
      <c r="AI213" s="26">
        <v>9.9999999999999995E-7</v>
      </c>
      <c r="AJ213" s="26">
        <f t="shared" si="276"/>
        <v>1.9999999999999999E-7</v>
      </c>
      <c r="AK213" s="26">
        <f t="shared" si="277"/>
        <v>7.9999999999999984E-3</v>
      </c>
      <c r="AL213" s="7">
        <v>0.25763570111612999</v>
      </c>
      <c r="AM213" s="7">
        <v>4193.5351285970401</v>
      </c>
      <c r="AN213" s="7">
        <v>96402.752185872101</v>
      </c>
      <c r="AO213" s="7">
        <v>4193.5351285970401</v>
      </c>
      <c r="AP213" s="7">
        <v>67865.135118168895</v>
      </c>
      <c r="AQ213" s="7">
        <v>1018.59163578813</v>
      </c>
      <c r="AR213" s="7">
        <f t="shared" si="278"/>
        <v>104789.82244306618</v>
      </c>
      <c r="AT213" s="28">
        <v>2</v>
      </c>
      <c r="AU213" s="26">
        <v>1.0000000000000001E-5</v>
      </c>
      <c r="AV213" s="28">
        <v>0.2</v>
      </c>
      <c r="AW213" s="28">
        <v>200</v>
      </c>
      <c r="AX213" s="26">
        <v>9.9999999999999995E-7</v>
      </c>
      <c r="AY213" s="26">
        <f t="shared" si="279"/>
        <v>1.9999999999999999E-7</v>
      </c>
      <c r="AZ213" s="26">
        <f t="shared" si="280"/>
        <v>3.9999999999999994E-2</v>
      </c>
      <c r="BA213" s="7">
        <v>0.25624996983680298</v>
      </c>
      <c r="BB213" s="7">
        <v>4345.3623253436699</v>
      </c>
      <c r="BC213" s="7">
        <v>482013.76177816797</v>
      </c>
      <c r="BD213" s="7">
        <v>4345.3623253436699</v>
      </c>
      <c r="BE213" s="7">
        <v>339325.67523914197</v>
      </c>
      <c r="BF213" s="7">
        <v>25464.790894703299</v>
      </c>
      <c r="BG213" s="7">
        <f t="shared" si="281"/>
        <v>490704.48642885528</v>
      </c>
      <c r="BI213" s="28">
        <v>2</v>
      </c>
      <c r="BJ213" s="26">
        <v>1.0000000000000001E-5</v>
      </c>
      <c r="BK213" s="28">
        <v>0.5</v>
      </c>
      <c r="BL213" s="28">
        <v>200</v>
      </c>
      <c r="BM213" s="26">
        <v>9.9999999999999995E-7</v>
      </c>
      <c r="BN213" s="26">
        <f t="shared" si="282"/>
        <v>4.9999999999999998E-7</v>
      </c>
      <c r="BO213" s="26">
        <f t="shared" si="283"/>
        <v>9.9999999999999992E-2</v>
      </c>
      <c r="BP213" s="7">
        <v>0.60663632154464997</v>
      </c>
      <c r="BQ213" s="7">
        <v>3764.12485338133</v>
      </c>
      <c r="BR213" s="7">
        <v>192805.50471126701</v>
      </c>
      <c r="BS213" s="7">
        <v>3764.12485338133</v>
      </c>
      <c r="BT213" s="7">
        <v>135730.270095657</v>
      </c>
      <c r="BU213" s="7">
        <v>25464.790894703299</v>
      </c>
      <c r="BV213" s="7">
        <f t="shared" si="284"/>
        <v>200333.75441802968</v>
      </c>
      <c r="BX213" s="28">
        <v>2</v>
      </c>
      <c r="BY213" s="26">
        <v>5.0000000000000002E-5</v>
      </c>
      <c r="BZ213" s="28">
        <v>0.5</v>
      </c>
      <c r="CA213" s="28">
        <v>200</v>
      </c>
      <c r="CB213" s="26">
        <v>9.9999999999999995E-7</v>
      </c>
      <c r="CC213" s="26">
        <f t="shared" si="285"/>
        <v>4.9999999999999998E-7</v>
      </c>
      <c r="CD213" s="26">
        <f t="shared" si="286"/>
        <v>1.9999999999999997E-2</v>
      </c>
      <c r="CE213" s="7">
        <v>0.647814653266922</v>
      </c>
      <c r="CF213" s="7">
        <v>752.82497001808497</v>
      </c>
      <c r="CG213" s="7">
        <v>38561.1008743489</v>
      </c>
      <c r="CH213" s="7">
        <v>752.82497001808497</v>
      </c>
      <c r="CI213" s="7">
        <v>27146.0540472676</v>
      </c>
      <c r="CJ213" s="7">
        <v>1018.59163578813</v>
      </c>
      <c r="CK213" s="7">
        <f t="shared" si="287"/>
        <v>40066.750814385065</v>
      </c>
      <c r="CM213" s="28">
        <v>2</v>
      </c>
      <c r="CN213" s="26">
        <v>5.0000000000000002E-5</v>
      </c>
      <c r="CO213" s="28">
        <v>1</v>
      </c>
      <c r="CP213" s="28">
        <v>200</v>
      </c>
      <c r="CQ213" s="26">
        <v>9.9999999999999995E-7</v>
      </c>
      <c r="CR213" s="26">
        <f t="shared" si="288"/>
        <v>9.9999999999999995E-7</v>
      </c>
      <c r="CS213" s="26">
        <f t="shared" si="289"/>
        <v>3.9999999999999994E-2</v>
      </c>
      <c r="CT213" s="7">
        <v>1.2598336498407601</v>
      </c>
      <c r="CU213" s="7">
        <v>665.23311259709499</v>
      </c>
      <c r="CV213" s="7">
        <v>19280.550437174399</v>
      </c>
      <c r="CW213" s="7">
        <v>665.23311259709499</v>
      </c>
      <c r="CX213" s="7">
        <v>13573.0270236338</v>
      </c>
      <c r="CY213" s="7">
        <v>1018.59163578813</v>
      </c>
      <c r="CZ213" s="7">
        <f t="shared" si="290"/>
        <v>20611.016662368591</v>
      </c>
      <c r="DB213" s="28">
        <v>2</v>
      </c>
      <c r="DC213" s="26">
        <v>5.0000000000000002E-5</v>
      </c>
      <c r="DD213" s="28">
        <v>2</v>
      </c>
      <c r="DE213" s="28">
        <v>200</v>
      </c>
      <c r="DF213" s="26">
        <v>9.9999999999999995E-7</v>
      </c>
      <c r="DG213" s="26">
        <f t="shared" si="291"/>
        <v>1.9999999999999999E-6</v>
      </c>
      <c r="DH213" s="26">
        <f t="shared" si="292"/>
        <v>7.9999999999999988E-2</v>
      </c>
      <c r="DI213" s="7">
        <v>2.4085908240440701</v>
      </c>
      <c r="DJ213" s="7">
        <v>578.22973015081095</v>
      </c>
      <c r="DK213" s="7">
        <v>9640.2752185872196</v>
      </c>
      <c r="DL213" s="7">
        <v>578.22973015081095</v>
      </c>
      <c r="DM213" s="7">
        <v>6786.5135118168901</v>
      </c>
      <c r="DN213" s="7">
        <v>1018.59163578813</v>
      </c>
      <c r="DO213" s="7">
        <f t="shared" si="293"/>
        <v>10796.734678888843</v>
      </c>
      <c r="DQ213" s="28">
        <v>2</v>
      </c>
      <c r="DR213" s="26">
        <v>5.0000000000000002E-5</v>
      </c>
      <c r="DS213" s="28">
        <v>15</v>
      </c>
      <c r="DT213" s="28">
        <v>300</v>
      </c>
      <c r="DU213" s="26">
        <v>7.5000000000000002E-7</v>
      </c>
      <c r="DV213" s="26">
        <f t="shared" si="294"/>
        <v>1.1250000000000001E-5</v>
      </c>
      <c r="DW213" s="26">
        <f t="shared" si="295"/>
        <v>0.45</v>
      </c>
      <c r="DX213" s="7">
        <v>14.9386192152507</v>
      </c>
      <c r="DY213" s="7">
        <v>254.539230510376</v>
      </c>
      <c r="DZ213" s="7">
        <v>1285.37002914496</v>
      </c>
      <c r="EA213" s="7">
        <v>254.539230510376</v>
      </c>
      <c r="EB213" s="7">
        <v>904.86846824225199</v>
      </c>
      <c r="EC213" s="7">
        <v>814.87330863050397</v>
      </c>
      <c r="ED213" s="7">
        <f t="shared" si="296"/>
        <v>1794.448490165712</v>
      </c>
    </row>
    <row r="214" spans="1:134" x14ac:dyDescent="0.4">
      <c r="A214" s="28">
        <v>4</v>
      </c>
      <c r="B214" s="26">
        <v>1.0000000000000001E-5</v>
      </c>
      <c r="C214" s="28">
        <v>0.2</v>
      </c>
      <c r="D214" s="28">
        <v>30</v>
      </c>
      <c r="E214" s="26">
        <v>9.9999999999999995E-7</v>
      </c>
      <c r="F214" s="26">
        <f t="shared" si="270"/>
        <v>1.9999999999999999E-7</v>
      </c>
      <c r="G214" s="26">
        <f t="shared" si="271"/>
        <v>3.9999999999999994E-2</v>
      </c>
      <c r="H214" s="7">
        <v>0.32174256684196401</v>
      </c>
      <c r="I214" s="7">
        <v>20967.675665585699</v>
      </c>
      <c r="J214" s="7">
        <v>269259.42550450901</v>
      </c>
      <c r="K214" s="7">
        <v>20967.675665585699</v>
      </c>
      <c r="L214" s="7">
        <v>496205.96663466899</v>
      </c>
      <c r="M214" s="7">
        <v>25464.790894703299</v>
      </c>
      <c r="N214" s="7">
        <f t="shared" si="272"/>
        <v>311194.77683568036</v>
      </c>
      <c r="P214" s="28">
        <v>4</v>
      </c>
      <c r="Q214" s="26">
        <v>3.0000000000000001E-5</v>
      </c>
      <c r="R214" s="28">
        <v>0.2</v>
      </c>
      <c r="S214" s="28">
        <v>30</v>
      </c>
      <c r="T214" s="26">
        <v>9.9999999999999995E-7</v>
      </c>
      <c r="U214" s="26">
        <f t="shared" si="273"/>
        <v>1.9999999999999999E-7</v>
      </c>
      <c r="V214" s="26">
        <f t="shared" si="274"/>
        <v>1.3333333333333332E-2</v>
      </c>
      <c r="W214" s="7">
        <v>0.340986520222893</v>
      </c>
      <c r="X214" s="7">
        <v>6989.2252213633501</v>
      </c>
      <c r="Y214" s="7">
        <v>89753.141816112096</v>
      </c>
      <c r="Z214" s="7">
        <v>6989.2252213633501</v>
      </c>
      <c r="AA214" s="7">
        <v>165401.98890513901</v>
      </c>
      <c r="AB214" s="7">
        <v>2829.4212105225802</v>
      </c>
      <c r="AC214" s="7">
        <f t="shared" si="275"/>
        <v>103731.59225883879</v>
      </c>
      <c r="AE214" s="28">
        <v>4</v>
      </c>
      <c r="AF214" s="26">
        <v>5.0000000000000002E-5</v>
      </c>
      <c r="AG214" s="28">
        <v>0.2</v>
      </c>
      <c r="AH214" s="28">
        <v>30</v>
      </c>
      <c r="AI214" s="26">
        <v>9.9999999999999995E-7</v>
      </c>
      <c r="AJ214" s="26">
        <f t="shared" si="276"/>
        <v>1.9999999999999999E-7</v>
      </c>
      <c r="AK214" s="26">
        <f t="shared" si="277"/>
        <v>7.9999999999999984E-3</v>
      </c>
      <c r="AL214" s="7">
        <v>0.34532324908942602</v>
      </c>
      <c r="AM214" s="7">
        <v>4193.5351285970401</v>
      </c>
      <c r="AN214" s="7">
        <v>53851.884931140201</v>
      </c>
      <c r="AO214" s="7">
        <v>4193.5351285970401</v>
      </c>
      <c r="AP214" s="7">
        <v>99241.193570966701</v>
      </c>
      <c r="AQ214" s="7">
        <v>1018.59163578813</v>
      </c>
      <c r="AR214" s="7">
        <f t="shared" si="278"/>
        <v>62238.955188334279</v>
      </c>
      <c r="AT214" s="28">
        <v>4</v>
      </c>
      <c r="AU214" s="26">
        <v>1.0000000000000001E-5</v>
      </c>
      <c r="AV214" s="28">
        <v>0.2</v>
      </c>
      <c r="AW214" s="28">
        <v>200</v>
      </c>
      <c r="AX214" s="26">
        <v>9.9999999999999995E-7</v>
      </c>
      <c r="AY214" s="26">
        <f t="shared" si="279"/>
        <v>1.9999999999999999E-7</v>
      </c>
      <c r="AZ214" s="26">
        <f t="shared" si="280"/>
        <v>3.9999999999999994E-2</v>
      </c>
      <c r="BA214" s="7">
        <v>0.340544408824212</v>
      </c>
      <c r="BB214" s="7">
        <v>4345.3623253436699</v>
      </c>
      <c r="BC214" s="7">
        <v>269259.42550450901</v>
      </c>
      <c r="BD214" s="7">
        <v>4345.3623253436699</v>
      </c>
      <c r="BE214" s="7">
        <v>496205.96663466899</v>
      </c>
      <c r="BF214" s="7">
        <v>25464.790894703299</v>
      </c>
      <c r="BG214" s="7">
        <f t="shared" si="281"/>
        <v>277950.15015519632</v>
      </c>
      <c r="BI214" s="28">
        <v>4</v>
      </c>
      <c r="BJ214" s="26">
        <v>1.0000000000000001E-5</v>
      </c>
      <c r="BK214" s="28">
        <v>0.5</v>
      </c>
      <c r="BL214" s="28">
        <v>200</v>
      </c>
      <c r="BM214" s="26">
        <v>9.9999999999999995E-7</v>
      </c>
      <c r="BN214" s="26">
        <f t="shared" si="282"/>
        <v>4.9999999999999998E-7</v>
      </c>
      <c r="BO214" s="26">
        <f t="shared" si="283"/>
        <v>9.9999999999999992E-2</v>
      </c>
      <c r="BP214" s="7">
        <v>0.74471517145549104</v>
      </c>
      <c r="BQ214" s="7">
        <v>3764.12485338133</v>
      </c>
      <c r="BR214" s="7">
        <v>107703.770201803</v>
      </c>
      <c r="BS214" s="7">
        <v>3764.12485338133</v>
      </c>
      <c r="BT214" s="7">
        <v>198482.38665386799</v>
      </c>
      <c r="BU214" s="7">
        <v>25464.790894703299</v>
      </c>
      <c r="BV214" s="7">
        <f t="shared" si="284"/>
        <v>115232.01990856566</v>
      </c>
      <c r="BX214" s="28">
        <v>4</v>
      </c>
      <c r="BY214" s="26">
        <v>5.0000000000000002E-5</v>
      </c>
      <c r="BZ214" s="28">
        <v>0.5</v>
      </c>
      <c r="CA214" s="28">
        <v>200</v>
      </c>
      <c r="CB214" s="26">
        <v>9.9999999999999995E-7</v>
      </c>
      <c r="CC214" s="26">
        <f t="shared" si="285"/>
        <v>4.9999999999999998E-7</v>
      </c>
      <c r="CD214" s="26">
        <f t="shared" si="286"/>
        <v>1.9999999999999997E-2</v>
      </c>
      <c r="CE214" s="7">
        <v>0.87640237211153005</v>
      </c>
      <c r="CF214" s="7">
        <v>752.82497001808497</v>
      </c>
      <c r="CG214" s="7">
        <v>21540.753972456099</v>
      </c>
      <c r="CH214" s="7">
        <v>752.82497001808497</v>
      </c>
      <c r="CI214" s="7">
        <v>39696.477428386701</v>
      </c>
      <c r="CJ214" s="7">
        <v>1018.59163578813</v>
      </c>
      <c r="CK214" s="7">
        <f t="shared" si="287"/>
        <v>23046.403912492271</v>
      </c>
      <c r="CM214" s="28">
        <v>4</v>
      </c>
      <c r="CN214" s="26">
        <v>5.0000000000000002E-5</v>
      </c>
      <c r="CO214" s="28">
        <v>1</v>
      </c>
      <c r="CP214" s="28">
        <v>200</v>
      </c>
      <c r="CQ214" s="26">
        <v>9.9999999999999995E-7</v>
      </c>
      <c r="CR214" s="26">
        <f t="shared" si="288"/>
        <v>9.9999999999999995E-7</v>
      </c>
      <c r="CS214" s="26">
        <f t="shared" si="289"/>
        <v>3.9999999999999994E-2</v>
      </c>
      <c r="CT214" s="7">
        <v>1.63153524116071</v>
      </c>
      <c r="CU214" s="7">
        <v>665.23311259709499</v>
      </c>
      <c r="CV214" s="7">
        <v>10770.376986228001</v>
      </c>
      <c r="CW214" s="7">
        <v>665.23311259709499</v>
      </c>
      <c r="CX214" s="7">
        <v>19848.2387141933</v>
      </c>
      <c r="CY214" s="7">
        <v>1018.59163578813</v>
      </c>
      <c r="CZ214" s="7">
        <f t="shared" si="290"/>
        <v>12100.843211422191</v>
      </c>
      <c r="DB214" s="28">
        <v>4</v>
      </c>
      <c r="DC214" s="26">
        <v>5.0000000000000002E-5</v>
      </c>
      <c r="DD214" s="28">
        <v>2</v>
      </c>
      <c r="DE214" s="28">
        <v>200</v>
      </c>
      <c r="DF214" s="26">
        <v>9.9999999999999995E-7</v>
      </c>
      <c r="DG214" s="26">
        <f t="shared" si="291"/>
        <v>1.9999999999999999E-6</v>
      </c>
      <c r="DH214" s="26">
        <f t="shared" si="292"/>
        <v>7.9999999999999988E-2</v>
      </c>
      <c r="DI214" s="7">
        <v>2.9276871639886499</v>
      </c>
      <c r="DJ214" s="7">
        <v>578.22973015081095</v>
      </c>
      <c r="DK214" s="7">
        <v>5385.1884931140203</v>
      </c>
      <c r="DL214" s="7">
        <v>578.22973015081095</v>
      </c>
      <c r="DM214" s="7">
        <v>9924.1193570966698</v>
      </c>
      <c r="DN214" s="7">
        <v>1018.59163578813</v>
      </c>
      <c r="DO214" s="7">
        <f t="shared" si="293"/>
        <v>6541.6479534156415</v>
      </c>
      <c r="DQ214" s="28">
        <v>4</v>
      </c>
      <c r="DR214" s="26">
        <v>5.0000000000000002E-5</v>
      </c>
      <c r="DS214" s="28">
        <v>15</v>
      </c>
      <c r="DT214" s="28">
        <v>300</v>
      </c>
      <c r="DU214" s="26">
        <v>7.5000000000000002E-7</v>
      </c>
      <c r="DV214" s="26">
        <f t="shared" si="294"/>
        <v>1.1250000000000001E-5</v>
      </c>
      <c r="DW214" s="26">
        <f t="shared" si="295"/>
        <v>0.45</v>
      </c>
      <c r="DX214" s="7">
        <v>14.895968619413001</v>
      </c>
      <c r="DY214" s="7">
        <v>254.539230510376</v>
      </c>
      <c r="DZ214" s="7">
        <v>718.02513241520205</v>
      </c>
      <c r="EA214" s="7">
        <v>254.539230510376</v>
      </c>
      <c r="EB214" s="7">
        <v>1323.2159142795599</v>
      </c>
      <c r="EC214" s="7">
        <v>814.87330863050397</v>
      </c>
      <c r="ED214" s="7">
        <f t="shared" si="296"/>
        <v>1227.1035934359541</v>
      </c>
    </row>
    <row r="215" spans="1:134" x14ac:dyDescent="0.4">
      <c r="A215" s="28">
        <v>6</v>
      </c>
      <c r="B215" s="26">
        <v>1.0000000000000001E-5</v>
      </c>
      <c r="C215" s="28">
        <v>0.2</v>
      </c>
      <c r="D215" s="28">
        <v>30</v>
      </c>
      <c r="E215" s="26">
        <v>9.9999999999999995E-7</v>
      </c>
      <c r="F215" s="26">
        <f t="shared" si="270"/>
        <v>1.9999999999999999E-7</v>
      </c>
      <c r="G215" s="26">
        <f t="shared" si="271"/>
        <v>3.9999999999999994E-2</v>
      </c>
      <c r="H215" s="7">
        <v>0.41645567238685599</v>
      </c>
      <c r="I215" s="7">
        <v>20967.675665585699</v>
      </c>
      <c r="J215" s="7">
        <v>165780.67944707401</v>
      </c>
      <c r="K215" s="7">
        <v>20967.675665585699</v>
      </c>
      <c r="L215" s="7">
        <v>651465.34785778704</v>
      </c>
      <c r="M215" s="7">
        <v>25464.790894703299</v>
      </c>
      <c r="N215" s="7">
        <f t="shared" si="272"/>
        <v>207716.03077824542</v>
      </c>
      <c r="P215" s="28">
        <v>6</v>
      </c>
      <c r="Q215" s="26">
        <v>3.0000000000000001E-5</v>
      </c>
      <c r="R215" s="28">
        <v>0.2</v>
      </c>
      <c r="S215" s="28">
        <v>30</v>
      </c>
      <c r="T215" s="26">
        <v>9.9999999999999995E-7</v>
      </c>
      <c r="U215" s="26">
        <f t="shared" si="273"/>
        <v>1.9999999999999999E-7</v>
      </c>
      <c r="V215" s="26">
        <f t="shared" si="274"/>
        <v>1.3333333333333332E-2</v>
      </c>
      <c r="W215" s="7">
        <v>0.461501639994361</v>
      </c>
      <c r="X215" s="7">
        <v>6989.2252213633501</v>
      </c>
      <c r="Y215" s="7">
        <v>55260.226463633997</v>
      </c>
      <c r="Z215" s="7">
        <v>6989.2252213633501</v>
      </c>
      <c r="AA215" s="7">
        <v>217155.11601730101</v>
      </c>
      <c r="AB215" s="7">
        <v>2829.4212105225802</v>
      </c>
      <c r="AC215" s="7">
        <f t="shared" si="275"/>
        <v>69238.676906360692</v>
      </c>
      <c r="AE215" s="28">
        <v>6</v>
      </c>
      <c r="AF215" s="26">
        <v>5.0000000000000002E-5</v>
      </c>
      <c r="AG215" s="28">
        <v>0.2</v>
      </c>
      <c r="AH215" s="28">
        <v>30</v>
      </c>
      <c r="AI215" s="26">
        <v>9.9999999999999995E-7</v>
      </c>
      <c r="AJ215" s="26">
        <f t="shared" si="276"/>
        <v>1.9999999999999999E-7</v>
      </c>
      <c r="AK215" s="26">
        <f t="shared" si="277"/>
        <v>7.9999999999999984E-3</v>
      </c>
      <c r="AL215" s="7">
        <v>0.47219538822884299</v>
      </c>
      <c r="AM215" s="7">
        <v>4193.5351285970401</v>
      </c>
      <c r="AN215" s="7">
        <v>33156.135719653299</v>
      </c>
      <c r="AO215" s="7">
        <v>4193.5351285970401</v>
      </c>
      <c r="AP215" s="7">
        <v>130293.0701582</v>
      </c>
      <c r="AQ215" s="7">
        <v>1018.59163578813</v>
      </c>
      <c r="AR215" s="7">
        <f t="shared" si="278"/>
        <v>41543.205976847377</v>
      </c>
      <c r="AT215" s="28">
        <v>6</v>
      </c>
      <c r="AU215" s="26">
        <v>1.0000000000000001E-5</v>
      </c>
      <c r="AV215" s="28">
        <v>0.2</v>
      </c>
      <c r="AW215" s="28">
        <v>200</v>
      </c>
      <c r="AX215" s="26">
        <v>9.9999999999999995E-7</v>
      </c>
      <c r="AY215" s="26">
        <f t="shared" si="279"/>
        <v>1.9999999999999999E-7</v>
      </c>
      <c r="AZ215" s="26">
        <f t="shared" si="280"/>
        <v>3.9999999999999994E-2</v>
      </c>
      <c r="BA215" s="7">
        <v>0.460423135351823</v>
      </c>
      <c r="BB215" s="7">
        <v>4345.3623253436699</v>
      </c>
      <c r="BC215" s="7">
        <v>165780.67944707401</v>
      </c>
      <c r="BD215" s="7">
        <v>4345.3623253436699</v>
      </c>
      <c r="BE215" s="7">
        <v>651465.34785778704</v>
      </c>
      <c r="BF215" s="7">
        <v>25464.790894703299</v>
      </c>
      <c r="BG215" s="7">
        <f t="shared" si="281"/>
        <v>174471.40409776138</v>
      </c>
      <c r="BI215" s="28">
        <v>6</v>
      </c>
      <c r="BJ215" s="26">
        <v>1.0000000000000001E-5</v>
      </c>
      <c r="BK215" s="28">
        <v>0.5</v>
      </c>
      <c r="BL215" s="28">
        <v>200</v>
      </c>
      <c r="BM215" s="26">
        <v>9.9999999999999995E-7</v>
      </c>
      <c r="BN215" s="26">
        <f t="shared" si="282"/>
        <v>4.9999999999999998E-7</v>
      </c>
      <c r="BO215" s="26">
        <f t="shared" si="283"/>
        <v>9.9999999999999992E-2</v>
      </c>
      <c r="BP215" s="7">
        <v>0.91384265536760501</v>
      </c>
      <c r="BQ215" s="7">
        <v>3764.12485338133</v>
      </c>
      <c r="BR215" s="7">
        <v>66312.271778829701</v>
      </c>
      <c r="BS215" s="7">
        <v>3764.12485338133</v>
      </c>
      <c r="BT215" s="7">
        <v>260586.139143115</v>
      </c>
      <c r="BU215" s="7">
        <v>25464.790894703299</v>
      </c>
      <c r="BV215" s="7">
        <f t="shared" si="284"/>
        <v>73840.52148559237</v>
      </c>
      <c r="BX215" s="28">
        <v>6</v>
      </c>
      <c r="BY215" s="26">
        <v>5.0000000000000002E-5</v>
      </c>
      <c r="BZ215" s="28">
        <v>0.5</v>
      </c>
      <c r="CA215" s="28">
        <v>200</v>
      </c>
      <c r="CB215" s="26">
        <v>9.9999999999999995E-7</v>
      </c>
      <c r="CC215" s="26">
        <f t="shared" si="285"/>
        <v>4.9999999999999998E-7</v>
      </c>
      <c r="CD215" s="26">
        <f t="shared" si="286"/>
        <v>1.9999999999999997E-2</v>
      </c>
      <c r="CE215" s="7">
        <v>1.21348589669278</v>
      </c>
      <c r="CF215" s="7">
        <v>752.82497001808497</v>
      </c>
      <c r="CG215" s="7">
        <v>13262.454287861299</v>
      </c>
      <c r="CH215" s="7">
        <v>752.82497001808497</v>
      </c>
      <c r="CI215" s="7">
        <v>52117.228063280199</v>
      </c>
      <c r="CJ215" s="7">
        <v>1018.59163578813</v>
      </c>
      <c r="CK215" s="7">
        <f t="shared" si="287"/>
        <v>14768.104227897471</v>
      </c>
      <c r="CM215" s="28">
        <v>6</v>
      </c>
      <c r="CN215" s="26">
        <v>5.0000000000000002E-5</v>
      </c>
      <c r="CO215" s="28">
        <v>1</v>
      </c>
      <c r="CP215" s="28">
        <v>200</v>
      </c>
      <c r="CQ215" s="26">
        <v>9.9999999999999995E-7</v>
      </c>
      <c r="CR215" s="26">
        <f t="shared" si="288"/>
        <v>9.9999999999999995E-7</v>
      </c>
      <c r="CS215" s="26">
        <f t="shared" si="289"/>
        <v>3.9999999999999994E-2</v>
      </c>
      <c r="CT215" s="7">
        <v>2.1339971982339301</v>
      </c>
      <c r="CU215" s="7">
        <v>665.23311259709499</v>
      </c>
      <c r="CV215" s="7">
        <v>6631.2271439306596</v>
      </c>
      <c r="CW215" s="7">
        <v>665.23311259709499</v>
      </c>
      <c r="CX215" s="7">
        <v>26058.6140316401</v>
      </c>
      <c r="CY215" s="7">
        <v>1018.59163578813</v>
      </c>
      <c r="CZ215" s="7">
        <f t="shared" si="290"/>
        <v>7961.6933691248496</v>
      </c>
      <c r="DB215" s="28">
        <v>6</v>
      </c>
      <c r="DC215" s="26">
        <v>5.0000000000000002E-5</v>
      </c>
      <c r="DD215" s="28">
        <v>2</v>
      </c>
      <c r="DE215" s="28">
        <v>200</v>
      </c>
      <c r="DF215" s="26">
        <v>9.9999999999999995E-7</v>
      </c>
      <c r="DG215" s="26">
        <f t="shared" si="291"/>
        <v>1.9999999999999999E-6</v>
      </c>
      <c r="DH215" s="26">
        <f t="shared" si="292"/>
        <v>7.9999999999999988E-2</v>
      </c>
      <c r="DI215" s="7">
        <v>3.5525549599545201</v>
      </c>
      <c r="DJ215" s="7">
        <v>578.22973015081095</v>
      </c>
      <c r="DK215" s="7">
        <v>3315.6135719653298</v>
      </c>
      <c r="DL215" s="7">
        <v>578.22973015081095</v>
      </c>
      <c r="DM215" s="7">
        <v>13029.307015820101</v>
      </c>
      <c r="DN215" s="7">
        <v>1018.59163578813</v>
      </c>
      <c r="DO215" s="7">
        <f t="shared" si="293"/>
        <v>4472.0730322669515</v>
      </c>
      <c r="DQ215" s="28">
        <v>6</v>
      </c>
      <c r="DR215" s="26">
        <v>5.0000000000000002E-5</v>
      </c>
      <c r="DS215" s="28">
        <v>15</v>
      </c>
      <c r="DT215" s="28">
        <v>300</v>
      </c>
      <c r="DU215" s="26">
        <v>7.5000000000000002E-7</v>
      </c>
      <c r="DV215" s="26">
        <f t="shared" si="294"/>
        <v>1.1250000000000001E-5</v>
      </c>
      <c r="DW215" s="26">
        <f t="shared" si="295"/>
        <v>0.45</v>
      </c>
      <c r="DX215" s="7">
        <v>14.8513517144546</v>
      </c>
      <c r="DY215" s="7">
        <v>254.539230510376</v>
      </c>
      <c r="DZ215" s="7">
        <v>442.08180959537702</v>
      </c>
      <c r="EA215" s="7">
        <v>254.539230510376</v>
      </c>
      <c r="EB215" s="7">
        <v>1737.24093544267</v>
      </c>
      <c r="EC215" s="7">
        <v>814.87330863050397</v>
      </c>
      <c r="ED215" s="7">
        <f t="shared" si="296"/>
        <v>951.16027061612908</v>
      </c>
    </row>
    <row r="216" spans="1:134" x14ac:dyDescent="0.4">
      <c r="A216" s="28">
        <v>8</v>
      </c>
      <c r="B216" s="26">
        <v>1.0000000000000001E-5</v>
      </c>
      <c r="C216" s="28">
        <v>0.2</v>
      </c>
      <c r="D216" s="28">
        <v>30</v>
      </c>
      <c r="E216" s="26">
        <v>9.9999999999999995E-7</v>
      </c>
      <c r="F216" s="26">
        <f t="shared" si="270"/>
        <v>1.9999999999999999E-7</v>
      </c>
      <c r="G216" s="26">
        <f t="shared" si="271"/>
        <v>3.9999999999999994E-2</v>
      </c>
      <c r="H216" s="7">
        <v>0.54245488734009295</v>
      </c>
      <c r="I216" s="7">
        <v>20967.675665585699</v>
      </c>
      <c r="J216" s="7">
        <v>100396.196898707</v>
      </c>
      <c r="K216" s="7">
        <v>20967.675665585699</v>
      </c>
      <c r="L216" s="7">
        <v>821154.82400854595</v>
      </c>
      <c r="M216" s="7">
        <v>25464.790894703299</v>
      </c>
      <c r="N216" s="7">
        <f t="shared" si="272"/>
        <v>142331.54822987839</v>
      </c>
      <c r="P216" s="28">
        <v>8</v>
      </c>
      <c r="Q216" s="26">
        <v>3.0000000000000001E-5</v>
      </c>
      <c r="R216" s="28">
        <v>0.2</v>
      </c>
      <c r="S216" s="28">
        <v>30</v>
      </c>
      <c r="T216" s="26">
        <v>9.9999999999999995E-7</v>
      </c>
      <c r="U216" s="26">
        <f t="shared" si="273"/>
        <v>1.9999999999999999E-7</v>
      </c>
      <c r="V216" s="26">
        <f t="shared" si="274"/>
        <v>1.3333333333333332E-2</v>
      </c>
      <c r="W216" s="7">
        <v>0.63604148622366696</v>
      </c>
      <c r="X216" s="7">
        <v>6989.2252213633501</v>
      </c>
      <c r="Y216" s="7">
        <v>33465.398947511501</v>
      </c>
      <c r="Z216" s="7">
        <v>6989.2252213633501</v>
      </c>
      <c r="AA216" s="7">
        <v>273718.27480960399</v>
      </c>
      <c r="AB216" s="7">
        <v>2829.4212105225802</v>
      </c>
      <c r="AC216" s="7">
        <f t="shared" si="275"/>
        <v>47443.849390238196</v>
      </c>
      <c r="AE216" s="28">
        <v>8</v>
      </c>
      <c r="AF216" s="26">
        <v>5.0000000000000002E-5</v>
      </c>
      <c r="AG216" s="28">
        <v>0.2</v>
      </c>
      <c r="AH216" s="28">
        <v>30</v>
      </c>
      <c r="AI216" s="26">
        <v>9.9999999999999995E-7</v>
      </c>
      <c r="AJ216" s="26">
        <f t="shared" si="276"/>
        <v>1.9999999999999999E-7</v>
      </c>
      <c r="AK216" s="26">
        <f t="shared" si="277"/>
        <v>7.9999999999999984E-3</v>
      </c>
      <c r="AL216" s="7">
        <v>0.65975897148733298</v>
      </c>
      <c r="AM216" s="7">
        <v>4193.5351285970401</v>
      </c>
      <c r="AN216" s="7">
        <v>20079.239209979802</v>
      </c>
      <c r="AO216" s="7">
        <v>4193.5351285970401</v>
      </c>
      <c r="AP216" s="7">
        <v>164230.96607182099</v>
      </c>
      <c r="AQ216" s="7">
        <v>1018.59163578813</v>
      </c>
      <c r="AR216" s="7">
        <f t="shared" si="278"/>
        <v>28466.30946717388</v>
      </c>
      <c r="AT216" s="28">
        <v>8</v>
      </c>
      <c r="AU216" s="26">
        <v>1.0000000000000001E-5</v>
      </c>
      <c r="AV216" s="28">
        <v>0.2</v>
      </c>
      <c r="AW216" s="28">
        <v>200</v>
      </c>
      <c r="AX216" s="26">
        <v>9.9999999999999995E-7</v>
      </c>
      <c r="AY216" s="26">
        <f t="shared" si="279"/>
        <v>1.9999999999999999E-7</v>
      </c>
      <c r="AZ216" s="26">
        <f t="shared" si="280"/>
        <v>3.9999999999999994E-2</v>
      </c>
      <c r="BA216" s="7">
        <v>0.63368312567323004</v>
      </c>
      <c r="BB216" s="7">
        <v>4345.3623253436699</v>
      </c>
      <c r="BC216" s="7">
        <v>100396.196898707</v>
      </c>
      <c r="BD216" s="7">
        <v>4345.3623253436699</v>
      </c>
      <c r="BE216" s="7">
        <v>821154.82400854595</v>
      </c>
      <c r="BF216" s="7">
        <v>25464.790894703299</v>
      </c>
      <c r="BG216" s="7">
        <f t="shared" si="281"/>
        <v>109086.92154939433</v>
      </c>
      <c r="BI216" s="28">
        <v>8</v>
      </c>
      <c r="BJ216" s="26">
        <v>1.0000000000000001E-5</v>
      </c>
      <c r="BK216" s="28">
        <v>0.5</v>
      </c>
      <c r="BL216" s="28">
        <v>200</v>
      </c>
      <c r="BM216" s="26">
        <v>9.9999999999999995E-7</v>
      </c>
      <c r="BN216" s="26">
        <f t="shared" si="282"/>
        <v>4.9999999999999998E-7</v>
      </c>
      <c r="BO216" s="26">
        <f t="shared" si="283"/>
        <v>9.9999999999999992E-2</v>
      </c>
      <c r="BP216" s="7">
        <v>1.11889871130827</v>
      </c>
      <c r="BQ216" s="7">
        <v>3764.12485338133</v>
      </c>
      <c r="BR216" s="7">
        <v>40158.478759482699</v>
      </c>
      <c r="BS216" s="7">
        <v>3764.12485338133</v>
      </c>
      <c r="BT216" s="7">
        <v>328461.92960341799</v>
      </c>
      <c r="BU216" s="7">
        <v>25464.790894703299</v>
      </c>
      <c r="BV216" s="7">
        <f t="shared" si="284"/>
        <v>47686.728466245353</v>
      </c>
      <c r="BX216" s="28">
        <v>8</v>
      </c>
      <c r="BY216" s="26">
        <v>5.0000000000000002E-5</v>
      </c>
      <c r="BZ216" s="28">
        <v>0.5</v>
      </c>
      <c r="CA216" s="28">
        <v>200</v>
      </c>
      <c r="CB216" s="26">
        <v>9.9999999999999995E-7</v>
      </c>
      <c r="CC216" s="26">
        <f t="shared" si="285"/>
        <v>4.9999999999999998E-7</v>
      </c>
      <c r="CD216" s="26">
        <f t="shared" si="286"/>
        <v>1.9999999999999997E-2</v>
      </c>
      <c r="CE216" s="7">
        <v>1.72473480107065</v>
      </c>
      <c r="CF216" s="7">
        <v>752.82497001808497</v>
      </c>
      <c r="CG216" s="7">
        <v>8031.6956839919103</v>
      </c>
      <c r="CH216" s="7">
        <v>752.82497001808497</v>
      </c>
      <c r="CI216" s="7">
        <v>65692.386428728598</v>
      </c>
      <c r="CJ216" s="7">
        <v>1018.59163578813</v>
      </c>
      <c r="CK216" s="7">
        <f t="shared" si="287"/>
        <v>9537.3456240280793</v>
      </c>
      <c r="CM216" s="28">
        <v>8</v>
      </c>
      <c r="CN216" s="26">
        <v>5.0000000000000002E-5</v>
      </c>
      <c r="CO216" s="28">
        <v>1</v>
      </c>
      <c r="CP216" s="28">
        <v>200</v>
      </c>
      <c r="CQ216" s="26">
        <v>9.9999999999999995E-7</v>
      </c>
      <c r="CR216" s="26">
        <f t="shared" si="288"/>
        <v>9.9999999999999995E-7</v>
      </c>
      <c r="CS216" s="26">
        <f t="shared" si="289"/>
        <v>3.9999999999999994E-2</v>
      </c>
      <c r="CT216" s="7">
        <v>2.81544235903305</v>
      </c>
      <c r="CU216" s="7">
        <v>665.23311259709499</v>
      </c>
      <c r="CV216" s="7">
        <v>4015.8478419959501</v>
      </c>
      <c r="CW216" s="7">
        <v>665.23311259709499</v>
      </c>
      <c r="CX216" s="7">
        <v>32846.193214364299</v>
      </c>
      <c r="CY216" s="7">
        <v>1018.59163578813</v>
      </c>
      <c r="CZ216" s="7">
        <f t="shared" si="290"/>
        <v>5346.3140671901401</v>
      </c>
      <c r="DB216" s="28">
        <v>8</v>
      </c>
      <c r="DC216" s="26">
        <v>5.0000000000000002E-5</v>
      </c>
      <c r="DD216" s="28">
        <v>2</v>
      </c>
      <c r="DE216" s="28">
        <v>200</v>
      </c>
      <c r="DF216" s="26">
        <v>9.9999999999999995E-7</v>
      </c>
      <c r="DG216" s="26">
        <f t="shared" si="291"/>
        <v>1.9999999999999999E-6</v>
      </c>
      <c r="DH216" s="26">
        <f t="shared" si="292"/>
        <v>7.9999999999999988E-2</v>
      </c>
      <c r="DI216" s="7">
        <v>4.2964251701115401</v>
      </c>
      <c r="DJ216" s="7">
        <v>578.22973015081095</v>
      </c>
      <c r="DK216" s="7">
        <v>2007.9239209979801</v>
      </c>
      <c r="DL216" s="7">
        <v>578.22973015081095</v>
      </c>
      <c r="DM216" s="7">
        <v>16423.096607182099</v>
      </c>
      <c r="DN216" s="7">
        <v>1018.59163578813</v>
      </c>
      <c r="DO216" s="7">
        <f t="shared" si="293"/>
        <v>3164.3833812996022</v>
      </c>
      <c r="DQ216" s="28">
        <v>8</v>
      </c>
      <c r="DR216" s="26">
        <v>5.0000000000000002E-5</v>
      </c>
      <c r="DS216" s="28">
        <v>15</v>
      </c>
      <c r="DT216" s="28">
        <v>300</v>
      </c>
      <c r="DU216" s="26">
        <v>7.5000000000000002E-7</v>
      </c>
      <c r="DV216" s="26">
        <f t="shared" si="294"/>
        <v>1.1250000000000001E-5</v>
      </c>
      <c r="DW216" s="26">
        <f t="shared" si="295"/>
        <v>0.45</v>
      </c>
      <c r="DX216" s="7">
        <v>14.8035746953353</v>
      </c>
      <c r="DY216" s="7">
        <v>254.539230510376</v>
      </c>
      <c r="DZ216" s="7">
        <v>267.723189466397</v>
      </c>
      <c r="EA216" s="7">
        <v>254.539230510376</v>
      </c>
      <c r="EB216" s="7">
        <v>2189.7462142909499</v>
      </c>
      <c r="EC216" s="7">
        <v>814.87330863050397</v>
      </c>
      <c r="ED216" s="7">
        <f t="shared" si="296"/>
        <v>776.801650487149</v>
      </c>
    </row>
    <row r="217" spans="1:134" x14ac:dyDescent="0.4">
      <c r="A217" s="28">
        <v>10</v>
      </c>
      <c r="B217" s="26">
        <v>1.0000000000000001E-5</v>
      </c>
      <c r="C217" s="28">
        <v>0.2</v>
      </c>
      <c r="D217" s="28">
        <v>30</v>
      </c>
      <c r="E217" s="26">
        <v>9.9999999999999995E-7</v>
      </c>
      <c r="F217" s="26">
        <f t="shared" si="270"/>
        <v>1.9999999999999999E-7</v>
      </c>
      <c r="G217" s="26">
        <f t="shared" si="271"/>
        <v>3.9999999999999994E-2</v>
      </c>
      <c r="H217" s="7">
        <v>0.71327069296964496</v>
      </c>
      <c r="I217" s="7">
        <v>20967.675665585699</v>
      </c>
      <c r="J217" s="7">
        <v>53826.312121005001</v>
      </c>
      <c r="K217" s="7">
        <v>20967.675665585699</v>
      </c>
      <c r="L217" s="7">
        <v>1014751.21705289</v>
      </c>
      <c r="M217" s="7">
        <v>25464.790894703299</v>
      </c>
      <c r="N217" s="7">
        <f t="shared" si="272"/>
        <v>95761.663452176406</v>
      </c>
      <c r="P217" s="28">
        <v>10</v>
      </c>
      <c r="Q217" s="26">
        <v>3.0000000000000001E-5</v>
      </c>
      <c r="R217" s="28">
        <v>0.2</v>
      </c>
      <c r="S217" s="28">
        <v>30</v>
      </c>
      <c r="T217" s="26">
        <v>9.9999999999999995E-7</v>
      </c>
      <c r="U217" s="26">
        <f t="shared" si="273"/>
        <v>1.9999999999999999E-7</v>
      </c>
      <c r="V217" s="26">
        <f t="shared" si="274"/>
        <v>1.3333333333333332E-2</v>
      </c>
      <c r="W217" s="7">
        <v>0.90095331063186401</v>
      </c>
      <c r="X217" s="7">
        <v>6989.2252213633501</v>
      </c>
      <c r="Y217" s="7">
        <v>17942.1040216109</v>
      </c>
      <c r="Z217" s="7">
        <v>6989.2252213633501</v>
      </c>
      <c r="AA217" s="7">
        <v>338250.40599296999</v>
      </c>
      <c r="AB217" s="7">
        <v>2829.4212105225802</v>
      </c>
      <c r="AC217" s="7">
        <f t="shared" si="275"/>
        <v>31920.554464337602</v>
      </c>
      <c r="AE217" s="28">
        <v>10</v>
      </c>
      <c r="AF217" s="26">
        <v>5.0000000000000002E-5</v>
      </c>
      <c r="AG217" s="28">
        <v>0.2</v>
      </c>
      <c r="AH217" s="28">
        <v>30</v>
      </c>
      <c r="AI217" s="26">
        <v>9.9999999999999995E-7</v>
      </c>
      <c r="AJ217" s="26">
        <f t="shared" si="276"/>
        <v>1.9999999999999999E-7</v>
      </c>
      <c r="AK217" s="26">
        <f t="shared" si="277"/>
        <v>7.9999999999999984E-3</v>
      </c>
      <c r="AL217" s="7">
        <v>0.95292504969575498</v>
      </c>
      <c r="AM217" s="7">
        <v>4193.5351285970401</v>
      </c>
      <c r="AN217" s="7">
        <v>10765.2622544394</v>
      </c>
      <c r="AO217" s="7">
        <v>4193.5351285970401</v>
      </c>
      <c r="AP217" s="7">
        <v>202950.24620916101</v>
      </c>
      <c r="AQ217" s="7">
        <v>1018.59163578813</v>
      </c>
      <c r="AR217" s="7">
        <f t="shared" si="278"/>
        <v>19152.332511633478</v>
      </c>
      <c r="AT217" s="28">
        <v>10</v>
      </c>
      <c r="AU217" s="26">
        <v>1.0000000000000001E-5</v>
      </c>
      <c r="AV217" s="28">
        <v>0.2</v>
      </c>
      <c r="AW217" s="28">
        <v>200</v>
      </c>
      <c r="AX217" s="26">
        <v>9.9999999999999995E-7</v>
      </c>
      <c r="AY217" s="26">
        <f t="shared" si="279"/>
        <v>1.9999999999999999E-7</v>
      </c>
      <c r="AZ217" s="26">
        <f t="shared" si="280"/>
        <v>3.9999999999999994E-2</v>
      </c>
      <c r="BA217" s="7">
        <v>0.89588977940261805</v>
      </c>
      <c r="BB217" s="7">
        <v>4345.3623253436699</v>
      </c>
      <c r="BC217" s="7">
        <v>53826.312121005001</v>
      </c>
      <c r="BD217" s="7">
        <v>4345.3623253436699</v>
      </c>
      <c r="BE217" s="7">
        <v>1014751.21705289</v>
      </c>
      <c r="BF217" s="7">
        <v>25464.790894703299</v>
      </c>
      <c r="BG217" s="7">
        <f t="shared" si="281"/>
        <v>62517.036771692336</v>
      </c>
      <c r="BI217" s="28">
        <v>10</v>
      </c>
      <c r="BJ217" s="26">
        <v>1.0000000000000001E-5</v>
      </c>
      <c r="BK217" s="28">
        <v>0.5</v>
      </c>
      <c r="BL217" s="28">
        <v>200</v>
      </c>
      <c r="BM217" s="26">
        <v>9.9999999999999995E-7</v>
      </c>
      <c r="BN217" s="26">
        <f t="shared" si="282"/>
        <v>4.9999999999999998E-7</v>
      </c>
      <c r="BO217" s="26">
        <f t="shared" si="283"/>
        <v>9.9999999999999992E-2</v>
      </c>
      <c r="BP217" s="7">
        <v>1.36807856513139</v>
      </c>
      <c r="BQ217" s="7">
        <v>3764.12485338133</v>
      </c>
      <c r="BR217" s="7">
        <v>21530.524848402001</v>
      </c>
      <c r="BS217" s="7">
        <v>3764.12485338133</v>
      </c>
      <c r="BT217" s="7">
        <v>405900.48682115501</v>
      </c>
      <c r="BU217" s="7">
        <v>25464.790894703299</v>
      </c>
      <c r="BV217" s="7">
        <f t="shared" si="284"/>
        <v>29058.774555164662</v>
      </c>
      <c r="BX217" s="28">
        <v>10</v>
      </c>
      <c r="BY217" s="26">
        <v>5.0000000000000002E-5</v>
      </c>
      <c r="BZ217" s="28">
        <v>0.5</v>
      </c>
      <c r="CA217" s="28">
        <v>200</v>
      </c>
      <c r="CB217" s="26">
        <v>9.9999999999999995E-7</v>
      </c>
      <c r="CC217" s="26">
        <f t="shared" si="285"/>
        <v>4.9999999999999998E-7</v>
      </c>
      <c r="CD217" s="26">
        <f t="shared" si="286"/>
        <v>1.9999999999999997E-2</v>
      </c>
      <c r="CE217" s="7">
        <v>2.5545925844117798</v>
      </c>
      <c r="CF217" s="7">
        <v>752.82497001808497</v>
      </c>
      <c r="CG217" s="7">
        <v>4306.1049017757796</v>
      </c>
      <c r="CH217" s="7">
        <v>752.82497001808497</v>
      </c>
      <c r="CI217" s="7">
        <v>81180.098483664406</v>
      </c>
      <c r="CJ217" s="7">
        <v>1018.59163578813</v>
      </c>
      <c r="CK217" s="7">
        <f t="shared" si="287"/>
        <v>5811.7548418119495</v>
      </c>
      <c r="CM217" s="28">
        <v>10</v>
      </c>
      <c r="CN217" s="26">
        <v>5.0000000000000002E-5</v>
      </c>
      <c r="CO217" s="28">
        <v>1</v>
      </c>
      <c r="CP217" s="28">
        <v>200</v>
      </c>
      <c r="CQ217" s="26">
        <v>9.9999999999999995E-7</v>
      </c>
      <c r="CR217" s="26">
        <f t="shared" si="288"/>
        <v>9.9999999999999995E-7</v>
      </c>
      <c r="CS217" s="26">
        <f t="shared" si="289"/>
        <v>3.9999999999999994E-2</v>
      </c>
      <c r="CT217" s="7">
        <v>3.7621730680487202</v>
      </c>
      <c r="CU217" s="7">
        <v>665.23311259709499</v>
      </c>
      <c r="CV217" s="7">
        <v>2153.0524508878898</v>
      </c>
      <c r="CW217" s="7">
        <v>665.23311259709499</v>
      </c>
      <c r="CX217" s="7">
        <v>40590.049241832203</v>
      </c>
      <c r="CY217" s="7">
        <v>1018.59163578813</v>
      </c>
      <c r="CZ217" s="7">
        <f t="shared" si="290"/>
        <v>3483.5186760820798</v>
      </c>
      <c r="DB217" s="28">
        <v>10</v>
      </c>
      <c r="DC217" s="26">
        <v>5.0000000000000002E-5</v>
      </c>
      <c r="DD217" s="28">
        <v>2</v>
      </c>
      <c r="DE217" s="28">
        <v>200</v>
      </c>
      <c r="DF217" s="26">
        <v>9.9999999999999995E-7</v>
      </c>
      <c r="DG217" s="26">
        <f t="shared" si="291"/>
        <v>1.9999999999999999E-6</v>
      </c>
      <c r="DH217" s="26">
        <f t="shared" si="292"/>
        <v>7.9999999999999988E-2</v>
      </c>
      <c r="DI217" s="7">
        <v>5.1824605071024097</v>
      </c>
      <c r="DJ217" s="7">
        <v>578.22973015081095</v>
      </c>
      <c r="DK217" s="7">
        <v>1076.5262254439399</v>
      </c>
      <c r="DL217" s="7">
        <v>578.22973015081095</v>
      </c>
      <c r="DM217" s="7">
        <v>20295.024620916101</v>
      </c>
      <c r="DN217" s="7">
        <v>1018.59163578813</v>
      </c>
      <c r="DO217" s="7">
        <f t="shared" si="293"/>
        <v>2232.985685745562</v>
      </c>
      <c r="DQ217" s="28">
        <v>10</v>
      </c>
      <c r="DR217" s="26">
        <v>5.0000000000000002E-5</v>
      </c>
      <c r="DS217" s="28">
        <v>15</v>
      </c>
      <c r="DT217" s="28">
        <v>300</v>
      </c>
      <c r="DU217" s="26">
        <v>7.5000000000000002E-7</v>
      </c>
      <c r="DV217" s="26">
        <f t="shared" si="294"/>
        <v>1.1250000000000001E-5</v>
      </c>
      <c r="DW217" s="26">
        <f t="shared" si="295"/>
        <v>0.45</v>
      </c>
      <c r="DX217" s="7">
        <v>14.767121984741699</v>
      </c>
      <c r="DY217" s="7">
        <v>254.539230510376</v>
      </c>
      <c r="DZ217" s="7">
        <v>143.53683005919299</v>
      </c>
      <c r="EA217" s="7">
        <v>254.539230510376</v>
      </c>
      <c r="EB217" s="7">
        <v>2706.0032827888099</v>
      </c>
      <c r="EC217" s="7">
        <v>814.87330863050397</v>
      </c>
      <c r="ED217" s="7">
        <f t="shared" si="296"/>
        <v>652.615291079945</v>
      </c>
    </row>
    <row r="218" spans="1:134" x14ac:dyDescent="0.4">
      <c r="A218" s="28">
        <v>12</v>
      </c>
      <c r="B218" s="26">
        <v>1.0000000000000001E-5</v>
      </c>
      <c r="C218" s="28">
        <v>0.2</v>
      </c>
      <c r="D218" s="28">
        <v>30</v>
      </c>
      <c r="E218" s="26">
        <v>9.9999999999999995E-7</v>
      </c>
      <c r="F218" s="26">
        <f t="shared" si="270"/>
        <v>1.9999999999999999E-7</v>
      </c>
      <c r="G218" s="26">
        <f t="shared" si="271"/>
        <v>3.9999999999999994E-2</v>
      </c>
      <c r="H218" s="7">
        <v>0.95358547959103002</v>
      </c>
      <c r="I218" s="7">
        <v>20967.675665585699</v>
      </c>
      <c r="J218" s="7">
        <v>18265.061724746</v>
      </c>
      <c r="K218" s="7">
        <v>20967.675665585699</v>
      </c>
      <c r="L218" s="7">
        <v>1222830.0672564299</v>
      </c>
      <c r="M218" s="7">
        <v>25464.790894703299</v>
      </c>
      <c r="N218" s="7">
        <f t="shared" si="272"/>
        <v>60200.413055917394</v>
      </c>
      <c r="P218" s="28">
        <v>12</v>
      </c>
      <c r="Q218" s="26">
        <v>3.0000000000000001E-5</v>
      </c>
      <c r="R218" s="28">
        <v>0.2</v>
      </c>
      <c r="S218" s="28">
        <v>30</v>
      </c>
      <c r="T218" s="26">
        <v>9.9999999999999995E-7</v>
      </c>
      <c r="U218" s="26">
        <f t="shared" si="273"/>
        <v>1.9999999999999999E-7</v>
      </c>
      <c r="V218" s="26">
        <f t="shared" si="274"/>
        <v>1.3333333333333332E-2</v>
      </c>
      <c r="W218" s="7">
        <v>1.33815442001023</v>
      </c>
      <c r="X218" s="7">
        <v>6989.2252213633501</v>
      </c>
      <c r="Y218" s="7">
        <v>6088.3538895246002</v>
      </c>
      <c r="Z218" s="7">
        <v>6989.2252213633501</v>
      </c>
      <c r="AA218" s="7">
        <v>407610.02322415198</v>
      </c>
      <c r="AB218" s="7">
        <v>2829.4212105225802</v>
      </c>
      <c r="AC218" s="7">
        <f t="shared" si="275"/>
        <v>20066.8043322513</v>
      </c>
      <c r="AE218" s="28">
        <v>12</v>
      </c>
      <c r="AF218" s="26">
        <v>5.0000000000000002E-5</v>
      </c>
      <c r="AG218" s="28">
        <v>0.2</v>
      </c>
      <c r="AH218" s="28">
        <v>30</v>
      </c>
      <c r="AI218" s="26">
        <v>9.9999999999999995E-7</v>
      </c>
      <c r="AJ218" s="26">
        <f t="shared" si="276"/>
        <v>1.9999999999999999E-7</v>
      </c>
      <c r="AK218" s="26">
        <f t="shared" si="277"/>
        <v>7.9999999999999984E-3</v>
      </c>
      <c r="AL218" s="7">
        <v>1.45959035702491</v>
      </c>
      <c r="AM218" s="7">
        <v>4193.5351285970401</v>
      </c>
      <c r="AN218" s="7">
        <v>3653.01217518762</v>
      </c>
      <c r="AO218" s="7">
        <v>4193.5351285970401</v>
      </c>
      <c r="AP218" s="7">
        <v>244566.02075291699</v>
      </c>
      <c r="AQ218" s="7">
        <v>1018.59163578813</v>
      </c>
      <c r="AR218" s="7">
        <f t="shared" si="278"/>
        <v>12040.0824323817</v>
      </c>
      <c r="AT218" s="28">
        <v>12</v>
      </c>
      <c r="AU218" s="26">
        <v>1.0000000000000001E-5</v>
      </c>
      <c r="AV218" s="28">
        <v>0.2</v>
      </c>
      <c r="AW218" s="28">
        <v>200</v>
      </c>
      <c r="AX218" s="26">
        <v>9.9999999999999995E-7</v>
      </c>
      <c r="AY218" s="26">
        <f t="shared" si="279"/>
        <v>1.9999999999999999E-7</v>
      </c>
      <c r="AZ218" s="26">
        <f t="shared" si="280"/>
        <v>3.9999999999999994E-2</v>
      </c>
      <c r="BA218" s="7">
        <v>1.32670544980995</v>
      </c>
      <c r="BB218" s="7">
        <v>4345.3623253436699</v>
      </c>
      <c r="BC218" s="7">
        <v>18265.061724746</v>
      </c>
      <c r="BD218" s="7">
        <v>4345.3623253436699</v>
      </c>
      <c r="BE218" s="7">
        <v>1222830.0672564299</v>
      </c>
      <c r="BF218" s="7">
        <v>25464.790894703299</v>
      </c>
      <c r="BG218" s="7">
        <f t="shared" si="281"/>
        <v>26955.786375433341</v>
      </c>
      <c r="BI218" s="28">
        <v>12</v>
      </c>
      <c r="BJ218" s="26">
        <v>1.0000000000000001E-5</v>
      </c>
      <c r="BK218" s="28">
        <v>0.5</v>
      </c>
      <c r="BL218" s="28">
        <v>200</v>
      </c>
      <c r="BM218" s="26">
        <v>9.9999999999999995E-7</v>
      </c>
      <c r="BN218" s="26">
        <f t="shared" si="282"/>
        <v>4.9999999999999998E-7</v>
      </c>
      <c r="BO218" s="26">
        <f t="shared" si="283"/>
        <v>9.9999999999999992E-2</v>
      </c>
      <c r="BP218" s="7">
        <v>1.6757619949176801</v>
      </c>
      <c r="BQ218" s="7">
        <v>3764.12485338133</v>
      </c>
      <c r="BR218" s="7">
        <v>7306.0246898983996</v>
      </c>
      <c r="BS218" s="7">
        <v>3764.12485338133</v>
      </c>
      <c r="BT218" s="7">
        <v>489132.02690256998</v>
      </c>
      <c r="BU218" s="7">
        <v>25464.790894703299</v>
      </c>
      <c r="BV218" s="7">
        <f t="shared" si="284"/>
        <v>14834.27439666106</v>
      </c>
      <c r="BX218" s="28">
        <v>12</v>
      </c>
      <c r="BY218" s="26">
        <v>5.0000000000000002E-5</v>
      </c>
      <c r="BZ218" s="28">
        <v>0.5</v>
      </c>
      <c r="CA218" s="28">
        <v>200</v>
      </c>
      <c r="CB218" s="26">
        <v>9.9999999999999995E-7</v>
      </c>
      <c r="CC218" s="26">
        <f t="shared" si="285"/>
        <v>4.9999999999999998E-7</v>
      </c>
      <c r="CD218" s="26">
        <f t="shared" si="286"/>
        <v>1.9999999999999997E-2</v>
      </c>
      <c r="CE218" s="7">
        <v>4.0812124888979397</v>
      </c>
      <c r="CF218" s="7">
        <v>752.82497001808497</v>
      </c>
      <c r="CG218" s="7">
        <v>1461.2048700750499</v>
      </c>
      <c r="CH218" s="7">
        <v>752.82497001808497</v>
      </c>
      <c r="CI218" s="7">
        <v>97826.408301166695</v>
      </c>
      <c r="CJ218" s="7">
        <v>1018.59163578813</v>
      </c>
      <c r="CK218" s="7">
        <f t="shared" si="287"/>
        <v>2966.8548101112201</v>
      </c>
      <c r="CM218" s="28">
        <v>12</v>
      </c>
      <c r="CN218" s="26">
        <v>5.0000000000000002E-5</v>
      </c>
      <c r="CO218" s="28">
        <v>1</v>
      </c>
      <c r="CP218" s="28">
        <v>200</v>
      </c>
      <c r="CQ218" s="26">
        <v>9.9999999999999995E-7</v>
      </c>
      <c r="CR218" s="26">
        <f t="shared" si="288"/>
        <v>9.9999999999999995E-7</v>
      </c>
      <c r="CS218" s="26">
        <f t="shared" si="289"/>
        <v>3.9999999999999994E-2</v>
      </c>
      <c r="CT218" s="7">
        <v>5.1379416603950396</v>
      </c>
      <c r="CU218" s="7">
        <v>665.23311259709499</v>
      </c>
      <c r="CV218" s="7">
        <v>730.60243503752497</v>
      </c>
      <c r="CW218" s="7">
        <v>665.23311259709499</v>
      </c>
      <c r="CX218" s="7">
        <v>48913.204150583399</v>
      </c>
      <c r="CY218" s="7">
        <v>1018.59163578813</v>
      </c>
      <c r="CZ218" s="7">
        <f t="shared" si="290"/>
        <v>2061.0686602317151</v>
      </c>
      <c r="DB218" s="28">
        <v>12</v>
      </c>
      <c r="DC218" s="26">
        <v>5.0000000000000002E-5</v>
      </c>
      <c r="DD218" s="28">
        <v>2</v>
      </c>
      <c r="DE218" s="28">
        <v>200</v>
      </c>
      <c r="DF218" s="26">
        <v>9.9999999999999995E-7</v>
      </c>
      <c r="DG218" s="26">
        <f t="shared" si="291"/>
        <v>1.9999999999999999E-6</v>
      </c>
      <c r="DH218" s="26">
        <f t="shared" si="292"/>
        <v>7.9999999999999988E-2</v>
      </c>
      <c r="DI218" s="7">
        <v>6.2535413575671797</v>
      </c>
      <c r="DJ218" s="7">
        <v>578.22973015081095</v>
      </c>
      <c r="DK218" s="7">
        <v>365.301217518763</v>
      </c>
      <c r="DL218" s="7">
        <v>578.22973015081095</v>
      </c>
      <c r="DM218" s="7">
        <v>24456.602075291699</v>
      </c>
      <c r="DN218" s="7">
        <v>1018.59163578813</v>
      </c>
      <c r="DO218" s="7">
        <f t="shared" si="293"/>
        <v>1521.7606778203849</v>
      </c>
      <c r="DQ218" s="28">
        <v>12</v>
      </c>
      <c r="DR218" s="26">
        <v>5.0000000000000002E-5</v>
      </c>
      <c r="DS218" s="28">
        <v>15</v>
      </c>
      <c r="DT218" s="28">
        <v>300</v>
      </c>
      <c r="DU218" s="26">
        <v>7.5000000000000002E-7</v>
      </c>
      <c r="DV218" s="26">
        <f t="shared" si="294"/>
        <v>1.1250000000000001E-5</v>
      </c>
      <c r="DW218" s="26">
        <f t="shared" si="295"/>
        <v>0.45</v>
      </c>
      <c r="DX218" s="7">
        <v>14.8396926365879</v>
      </c>
      <c r="DY218" s="7">
        <v>254.539230510376</v>
      </c>
      <c r="DZ218" s="7">
        <v>48.7068290025016</v>
      </c>
      <c r="EA218" s="7">
        <v>254.539230510376</v>
      </c>
      <c r="EB218" s="7">
        <v>3260.8802767055599</v>
      </c>
      <c r="EC218" s="7">
        <v>814.87330863050397</v>
      </c>
      <c r="ED218" s="7">
        <f t="shared" si="296"/>
        <v>557.78529002325354</v>
      </c>
    </row>
    <row r="219" spans="1:134" x14ac:dyDescent="0.4">
      <c r="A219" s="28">
        <v>15</v>
      </c>
      <c r="B219" s="26">
        <v>1.0000000000000001E-5</v>
      </c>
      <c r="C219" s="28">
        <v>0.2</v>
      </c>
      <c r="D219" s="28">
        <v>30</v>
      </c>
      <c r="E219" s="26">
        <v>9.9999999999999995E-7</v>
      </c>
      <c r="F219" s="26">
        <f t="shared" si="270"/>
        <v>1.9999999999999999E-7</v>
      </c>
      <c r="G219" s="26">
        <f t="shared" si="271"/>
        <v>3.9999999999999994E-2</v>
      </c>
      <c r="H219" s="7">
        <v>1.37637039840607</v>
      </c>
      <c r="I219" s="7">
        <v>12481.634129420599</v>
      </c>
      <c r="J219" s="7">
        <v>3828.3041509332402</v>
      </c>
      <c r="K219" s="7">
        <v>12481.634129420599</v>
      </c>
      <c r="L219" s="7">
        <v>1641861.5249040499</v>
      </c>
      <c r="M219" s="7">
        <v>25464.790894703299</v>
      </c>
      <c r="N219" s="7">
        <f t="shared" si="272"/>
        <v>28791.572409774439</v>
      </c>
      <c r="P219" s="28">
        <v>15</v>
      </c>
      <c r="Q219" s="26">
        <v>3.0000000000000001E-5</v>
      </c>
      <c r="R219" s="28">
        <v>0.2</v>
      </c>
      <c r="S219" s="28">
        <v>30</v>
      </c>
      <c r="T219" s="26">
        <v>9.9999999999999995E-7</v>
      </c>
      <c r="U219" s="26">
        <f t="shared" si="273"/>
        <v>1.9999999999999999E-7</v>
      </c>
      <c r="V219" s="26">
        <f t="shared" si="274"/>
        <v>1.3333333333333332E-2</v>
      </c>
      <c r="W219" s="7">
        <v>2.3501483461502</v>
      </c>
      <c r="X219" s="7">
        <v>4160.5447097236602</v>
      </c>
      <c r="Y219" s="7">
        <v>1276.1013836444099</v>
      </c>
      <c r="Z219" s="7">
        <v>4160.5447097236602</v>
      </c>
      <c r="AA219" s="7">
        <v>547287.17553344101</v>
      </c>
      <c r="AB219" s="7">
        <v>2829.4212105225802</v>
      </c>
      <c r="AC219" s="7">
        <f t="shared" si="275"/>
        <v>9597.1908030917293</v>
      </c>
      <c r="AE219" s="28">
        <v>15</v>
      </c>
      <c r="AF219" s="26">
        <v>5.0000000000000002E-5</v>
      </c>
      <c r="AG219" s="28">
        <v>0.2</v>
      </c>
      <c r="AH219" s="28">
        <v>30</v>
      </c>
      <c r="AI219" s="26">
        <v>9.9999999999999995E-7</v>
      </c>
      <c r="AJ219" s="26">
        <f t="shared" si="276"/>
        <v>1.9999999999999999E-7</v>
      </c>
      <c r="AK219" s="26">
        <f t="shared" si="277"/>
        <v>7.9999999999999984E-3</v>
      </c>
      <c r="AL219" s="7">
        <v>2.7484844334707899</v>
      </c>
      <c r="AM219" s="7">
        <v>2496.32682512977</v>
      </c>
      <c r="AN219" s="7">
        <v>765.66083018664904</v>
      </c>
      <c r="AO219" s="7">
        <v>2496.32682512977</v>
      </c>
      <c r="AP219" s="7">
        <v>328372.31010722602</v>
      </c>
      <c r="AQ219" s="7">
        <v>1018.59163578813</v>
      </c>
      <c r="AR219" s="7">
        <f t="shared" si="278"/>
        <v>5758.314480446189</v>
      </c>
      <c r="AT219" s="28">
        <v>15</v>
      </c>
      <c r="AU219" s="26">
        <v>1.0000000000000001E-5</v>
      </c>
      <c r="AV219" s="28">
        <v>0.2</v>
      </c>
      <c r="AW219" s="28">
        <v>200</v>
      </c>
      <c r="AX219" s="26">
        <v>9.9999999999999995E-7</v>
      </c>
      <c r="AY219" s="26">
        <f t="shared" si="279"/>
        <v>1.9999999999999999E-7</v>
      </c>
      <c r="AZ219" s="26">
        <f t="shared" si="280"/>
        <v>3.9999999999999994E-2</v>
      </c>
      <c r="BA219" s="7">
        <v>1.95079371225173</v>
      </c>
      <c r="BB219" s="7">
        <v>1941.00035424731</v>
      </c>
      <c r="BC219" s="7">
        <v>642.33504314082199</v>
      </c>
      <c r="BD219" s="7">
        <v>1941.00035424731</v>
      </c>
      <c r="BE219" s="7">
        <v>1641861.5249040499</v>
      </c>
      <c r="BF219" s="7">
        <v>25464.790894703299</v>
      </c>
      <c r="BG219" s="7">
        <f t="shared" si="281"/>
        <v>4524.3357516354426</v>
      </c>
      <c r="BI219" s="28">
        <v>15</v>
      </c>
      <c r="BJ219" s="26">
        <v>1.0000000000000001E-5</v>
      </c>
      <c r="BK219" s="28">
        <v>0.5</v>
      </c>
      <c r="BL219" s="28">
        <v>200</v>
      </c>
      <c r="BM219" s="26">
        <v>9.9999999999999995E-7</v>
      </c>
      <c r="BN219" s="26">
        <f t="shared" si="282"/>
        <v>4.9999999999999998E-7</v>
      </c>
      <c r="BO219" s="26">
        <f t="shared" si="283"/>
        <v>9.9999999999999992E-2</v>
      </c>
      <c r="BP219" s="7">
        <v>2.0483597037127002</v>
      </c>
      <c r="BQ219" s="7">
        <v>1921.9637593119501</v>
      </c>
      <c r="BR219" s="7">
        <v>622.78773017584695</v>
      </c>
      <c r="BS219" s="7">
        <v>1921.9637593119501</v>
      </c>
      <c r="BT219" s="7">
        <v>656744.60996161995</v>
      </c>
      <c r="BU219" s="7">
        <v>25464.790894703299</v>
      </c>
      <c r="BV219" s="7">
        <f t="shared" si="284"/>
        <v>4466.7152487997464</v>
      </c>
      <c r="BX219" s="28">
        <v>15</v>
      </c>
      <c r="BY219" s="26">
        <v>5.0000000000000002E-5</v>
      </c>
      <c r="BZ219" s="28">
        <v>0.5</v>
      </c>
      <c r="CA219" s="28">
        <v>200</v>
      </c>
      <c r="CB219" s="26">
        <v>9.9999999999999995E-7</v>
      </c>
      <c r="CC219" s="26">
        <f t="shared" si="285"/>
        <v>4.9999999999999998E-7</v>
      </c>
      <c r="CD219" s="26">
        <f t="shared" si="286"/>
        <v>1.9999999999999997E-2</v>
      </c>
      <c r="CE219" s="7">
        <v>7.3010436889881696</v>
      </c>
      <c r="CF219" s="7">
        <v>384.39275181655802</v>
      </c>
      <c r="CG219" s="7">
        <v>124.557546035169</v>
      </c>
      <c r="CH219" s="7">
        <v>384.39275181655802</v>
      </c>
      <c r="CI219" s="7">
        <v>131348.92404288999</v>
      </c>
      <c r="CJ219" s="7">
        <v>1018.59163578813</v>
      </c>
      <c r="CK219" s="7">
        <f t="shared" si="287"/>
        <v>893.34304966828495</v>
      </c>
      <c r="CM219" s="28">
        <v>15</v>
      </c>
      <c r="CN219" s="26">
        <v>5.0000000000000002E-5</v>
      </c>
      <c r="CO219" s="28">
        <v>1</v>
      </c>
      <c r="CP219" s="28">
        <v>200</v>
      </c>
      <c r="CQ219" s="26">
        <v>9.9999999999999995E-7</v>
      </c>
      <c r="CR219" s="26">
        <f t="shared" si="288"/>
        <v>9.9999999999999995E-7</v>
      </c>
      <c r="CS219" s="26">
        <f t="shared" si="289"/>
        <v>3.9999999999999994E-2</v>
      </c>
      <c r="CT219" s="7">
        <v>7.5049048436127803</v>
      </c>
      <c r="CU219" s="7">
        <v>378.32091509688701</v>
      </c>
      <c r="CV219" s="7">
        <v>118.54503217394399</v>
      </c>
      <c r="CW219" s="7">
        <v>378.32091509688701</v>
      </c>
      <c r="CX219" s="7">
        <v>65674.462021445201</v>
      </c>
      <c r="CY219" s="7">
        <v>1018.59163578813</v>
      </c>
      <c r="CZ219" s="7">
        <f t="shared" si="290"/>
        <v>875.18686236771805</v>
      </c>
      <c r="DB219" s="28">
        <v>15</v>
      </c>
      <c r="DC219" s="26">
        <v>5.0000000000000002E-5</v>
      </c>
      <c r="DD219" s="28">
        <v>2</v>
      </c>
      <c r="DE219" s="28">
        <v>200</v>
      </c>
      <c r="DF219" s="26">
        <v>9.9999999999999995E-7</v>
      </c>
      <c r="DG219" s="26">
        <f t="shared" si="291"/>
        <v>1.9999999999999999E-6</v>
      </c>
      <c r="DH219" s="26">
        <f t="shared" si="292"/>
        <v>7.9999999999999988E-2</v>
      </c>
      <c r="DI219" s="7">
        <v>7.9056943071050503</v>
      </c>
      <c r="DJ219" s="7">
        <v>367.08848561923799</v>
      </c>
      <c r="DK219" s="7">
        <v>108.10811969663401</v>
      </c>
      <c r="DL219" s="7">
        <v>367.08848561923799</v>
      </c>
      <c r="DM219" s="7">
        <v>32837.2310107226</v>
      </c>
      <c r="DN219" s="7">
        <v>1018.59163578813</v>
      </c>
      <c r="DO219" s="7">
        <f t="shared" si="293"/>
        <v>842.28509093511002</v>
      </c>
      <c r="DQ219" s="28">
        <v>15</v>
      </c>
      <c r="DR219" s="26">
        <v>5.0000000000000002E-5</v>
      </c>
      <c r="DS219" s="28">
        <v>15</v>
      </c>
      <c r="DT219" s="28">
        <v>300</v>
      </c>
      <c r="DU219" s="26">
        <v>7.5000000000000002E-7</v>
      </c>
      <c r="DV219" s="26">
        <f t="shared" si="294"/>
        <v>1.1250000000000001E-5</v>
      </c>
      <c r="DW219" s="26">
        <f t="shared" si="295"/>
        <v>0.45</v>
      </c>
      <c r="DX219" s="7">
        <v>14.853131400442701</v>
      </c>
      <c r="DY219" s="7">
        <v>202.84957985735099</v>
      </c>
      <c r="DZ219" s="7">
        <v>42.287816140325297</v>
      </c>
      <c r="EA219" s="7">
        <v>202.84957985735099</v>
      </c>
      <c r="EB219" s="7">
        <v>4378.2974680963498</v>
      </c>
      <c r="EC219" s="7">
        <v>814.87330863050397</v>
      </c>
      <c r="ED219" s="7">
        <f t="shared" si="296"/>
        <v>447.98697585502725</v>
      </c>
    </row>
    <row r="220" spans="1:134" x14ac:dyDescent="0.4">
      <c r="A220" s="28">
        <v>20</v>
      </c>
      <c r="B220" s="26">
        <v>1.0000000000000001E-5</v>
      </c>
      <c r="C220" s="28">
        <v>0.2</v>
      </c>
      <c r="D220" s="28">
        <v>30</v>
      </c>
      <c r="E220" s="26">
        <v>9.9999999999999995E-7</v>
      </c>
      <c r="F220" s="26">
        <f t="shared" si="270"/>
        <v>1.9999999999999999E-7</v>
      </c>
      <c r="G220" s="26">
        <f t="shared" si="271"/>
        <v>3.9999999999999994E-2</v>
      </c>
      <c r="H220" s="7">
        <v>1.6645877898655801</v>
      </c>
      <c r="I220" s="7">
        <v>7857.7524727739301</v>
      </c>
      <c r="J220" s="7">
        <v>4475.4086280782203</v>
      </c>
      <c r="K220" s="7">
        <v>7857.7524727739301</v>
      </c>
      <c r="L220" s="7">
        <v>2551974.2921694499</v>
      </c>
      <c r="M220" s="7">
        <v>25464.790894703299</v>
      </c>
      <c r="N220" s="7">
        <f t="shared" si="272"/>
        <v>20190.91357362608</v>
      </c>
      <c r="P220" s="28">
        <v>20</v>
      </c>
      <c r="Q220" s="26">
        <v>3.0000000000000001E-5</v>
      </c>
      <c r="R220" s="28">
        <v>0.2</v>
      </c>
      <c r="S220" s="28">
        <v>30</v>
      </c>
      <c r="T220" s="26">
        <v>9.9999999999999995E-7</v>
      </c>
      <c r="U220" s="26">
        <f t="shared" si="273"/>
        <v>1.9999999999999999E-7</v>
      </c>
      <c r="V220" s="26">
        <f t="shared" si="274"/>
        <v>1.3333333333333332E-2</v>
      </c>
      <c r="W220" s="7">
        <v>3.14398640371093</v>
      </c>
      <c r="X220" s="7">
        <v>2619.2508242245099</v>
      </c>
      <c r="Y220" s="7">
        <v>1491.80287602607</v>
      </c>
      <c r="Z220" s="7">
        <v>2619.2508242245099</v>
      </c>
      <c r="AA220" s="7">
        <v>850658.09849467594</v>
      </c>
      <c r="AB220" s="7">
        <v>2829.4212105225802</v>
      </c>
      <c r="AC220" s="7">
        <f t="shared" si="275"/>
        <v>6730.3045244750901</v>
      </c>
      <c r="AE220" s="28">
        <v>20</v>
      </c>
      <c r="AF220" s="26">
        <v>5.0000000000000002E-5</v>
      </c>
      <c r="AG220" s="28">
        <v>0.2</v>
      </c>
      <c r="AH220" s="28">
        <v>30</v>
      </c>
      <c r="AI220" s="26">
        <v>9.9999999999999995E-7</v>
      </c>
      <c r="AJ220" s="26">
        <f t="shared" si="276"/>
        <v>1.9999999999999999E-7</v>
      </c>
      <c r="AK220" s="26">
        <f t="shared" si="277"/>
        <v>7.9999999999999984E-3</v>
      </c>
      <c r="AL220" s="7">
        <v>3.8367220342927499</v>
      </c>
      <c r="AM220" s="7">
        <v>1571.5504942513201</v>
      </c>
      <c r="AN220" s="7">
        <v>895.08172561564299</v>
      </c>
      <c r="AO220" s="7">
        <v>1571.5504942513201</v>
      </c>
      <c r="AP220" s="7">
        <v>510394.86845111102</v>
      </c>
      <c r="AQ220" s="7">
        <v>1018.59163578813</v>
      </c>
      <c r="AR220" s="7">
        <f t="shared" si="278"/>
        <v>4038.182714118283</v>
      </c>
      <c r="AT220" s="28">
        <v>20</v>
      </c>
      <c r="AU220" s="26">
        <v>1.0000000000000001E-5</v>
      </c>
      <c r="AV220" s="28">
        <v>0.2</v>
      </c>
      <c r="AW220" s="28">
        <v>200</v>
      </c>
      <c r="AX220" s="26">
        <v>9.9999999999999995E-7</v>
      </c>
      <c r="AY220" s="26">
        <f t="shared" si="279"/>
        <v>1.9999999999999999E-7</v>
      </c>
      <c r="AZ220" s="26">
        <f t="shared" si="280"/>
        <v>3.9999999999999994E-2</v>
      </c>
      <c r="BA220" s="7">
        <v>2.1773339874612399</v>
      </c>
      <c r="BB220" s="7">
        <v>1196.98361424428</v>
      </c>
      <c r="BC220" s="7">
        <v>694.07852984949898</v>
      </c>
      <c r="BD220" s="7">
        <v>1196.98361424428</v>
      </c>
      <c r="BE220" s="7">
        <v>2551974.2921694499</v>
      </c>
      <c r="BF220" s="7">
        <v>25464.790894703299</v>
      </c>
      <c r="BG220" s="7">
        <f t="shared" si="281"/>
        <v>3088.0457583380589</v>
      </c>
      <c r="BI220" s="28">
        <v>20</v>
      </c>
      <c r="BJ220" s="26">
        <v>1.0000000000000001E-5</v>
      </c>
      <c r="BK220" s="28">
        <v>0.5</v>
      </c>
      <c r="BL220" s="28">
        <v>200</v>
      </c>
      <c r="BM220" s="26">
        <v>9.9999999999999995E-7</v>
      </c>
      <c r="BN220" s="26">
        <f t="shared" si="282"/>
        <v>4.9999999999999998E-7</v>
      </c>
      <c r="BO220" s="26">
        <f t="shared" si="283"/>
        <v>9.9999999999999992E-2</v>
      </c>
      <c r="BP220" s="7">
        <v>2.2456651929859901</v>
      </c>
      <c r="BQ220" s="7">
        <v>1192.0586917390101</v>
      </c>
      <c r="BR220" s="7">
        <v>687.90288040570601</v>
      </c>
      <c r="BS220" s="7">
        <v>1192.0586917390101</v>
      </c>
      <c r="BT220" s="7">
        <v>1020789.71686778</v>
      </c>
      <c r="BU220" s="7">
        <v>25464.790894703299</v>
      </c>
      <c r="BV220" s="7">
        <f t="shared" si="284"/>
        <v>3072.0202638837263</v>
      </c>
      <c r="BX220" s="28">
        <v>20</v>
      </c>
      <c r="BY220" s="26">
        <v>5.0000000000000002E-5</v>
      </c>
      <c r="BZ220" s="28">
        <v>0.5</v>
      </c>
      <c r="CA220" s="28">
        <v>200</v>
      </c>
      <c r="CB220" s="26">
        <v>9.9999999999999995E-7</v>
      </c>
      <c r="CC220" s="26">
        <f t="shared" si="285"/>
        <v>4.9999999999999998E-7</v>
      </c>
      <c r="CD220" s="26">
        <f t="shared" si="286"/>
        <v>1.9999999999999997E-2</v>
      </c>
      <c r="CE220" s="7">
        <v>8.8001913710229207</v>
      </c>
      <c r="CF220" s="7">
        <v>238.41173833028401</v>
      </c>
      <c r="CG220" s="7">
        <v>137.580576081141</v>
      </c>
      <c r="CH220" s="7">
        <v>238.41173833028401</v>
      </c>
      <c r="CI220" s="7">
        <v>204157.947380445</v>
      </c>
      <c r="CJ220" s="7">
        <v>1018.59163578813</v>
      </c>
      <c r="CK220" s="7">
        <f t="shared" si="287"/>
        <v>614.40405274170905</v>
      </c>
      <c r="CM220" s="28">
        <v>20</v>
      </c>
      <c r="CN220" s="26">
        <v>5.0000000000000002E-5</v>
      </c>
      <c r="CO220" s="28">
        <v>1</v>
      </c>
      <c r="CP220" s="28">
        <v>200</v>
      </c>
      <c r="CQ220" s="26">
        <v>9.9999999999999995E-7</v>
      </c>
      <c r="CR220" s="26">
        <f t="shared" si="288"/>
        <v>9.9999999999999995E-7</v>
      </c>
      <c r="CS220" s="26">
        <f t="shared" si="289"/>
        <v>3.9999999999999994E-2</v>
      </c>
      <c r="CT220" s="7">
        <v>8.9302407265425305</v>
      </c>
      <c r="CU220" s="7">
        <v>236.794372688691</v>
      </c>
      <c r="CV220" s="7">
        <v>135.57018035757301</v>
      </c>
      <c r="CW220" s="7">
        <v>236.794372688691</v>
      </c>
      <c r="CX220" s="7">
        <v>102078.973690222</v>
      </c>
      <c r="CY220" s="7">
        <v>1018.59163578813</v>
      </c>
      <c r="CZ220" s="7">
        <f t="shared" si="290"/>
        <v>609.15892573495501</v>
      </c>
      <c r="DB220" s="28">
        <v>20</v>
      </c>
      <c r="DC220" s="26">
        <v>5.0000000000000002E-5</v>
      </c>
      <c r="DD220" s="28">
        <v>2</v>
      </c>
      <c r="DE220" s="28">
        <v>200</v>
      </c>
      <c r="DF220" s="26">
        <v>9.9999999999999995E-7</v>
      </c>
      <c r="DG220" s="26">
        <f t="shared" si="291"/>
        <v>1.9999999999999999E-6</v>
      </c>
      <c r="DH220" s="26">
        <f t="shared" si="292"/>
        <v>7.9999999999999988E-2</v>
      </c>
      <c r="DI220" s="7">
        <v>9.1893965556441906</v>
      </c>
      <c r="DJ220" s="7">
        <v>233.64718966736299</v>
      </c>
      <c r="DK220" s="7">
        <v>131.72072797829401</v>
      </c>
      <c r="DL220" s="7">
        <v>233.64718966736299</v>
      </c>
      <c r="DM220" s="7">
        <v>51039.486845111103</v>
      </c>
      <c r="DN220" s="7">
        <v>1018.59163578813</v>
      </c>
      <c r="DO220" s="7">
        <f t="shared" si="293"/>
        <v>599.01510731302005</v>
      </c>
      <c r="DQ220" s="28">
        <v>20</v>
      </c>
      <c r="DR220" s="26">
        <v>5.0000000000000002E-5</v>
      </c>
      <c r="DS220" s="28">
        <v>15</v>
      </c>
      <c r="DT220" s="28">
        <v>300</v>
      </c>
      <c r="DU220" s="26">
        <v>7.5000000000000002E-7</v>
      </c>
      <c r="DV220" s="26">
        <f t="shared" si="294"/>
        <v>1.1250000000000001E-5</v>
      </c>
      <c r="DW220" s="26">
        <f t="shared" si="295"/>
        <v>0.45</v>
      </c>
      <c r="DX220" s="7">
        <v>14.9959437040126</v>
      </c>
      <c r="DY220" s="7">
        <v>141.30482192536101</v>
      </c>
      <c r="DZ220" s="7">
        <v>71.560155029152398</v>
      </c>
      <c r="EA220" s="7">
        <v>141.30482192536101</v>
      </c>
      <c r="EB220" s="7">
        <v>6805.2649126814904</v>
      </c>
      <c r="EC220" s="7">
        <v>814.87330863050397</v>
      </c>
      <c r="ED220" s="7">
        <f t="shared" si="296"/>
        <v>354.16979887987441</v>
      </c>
    </row>
    <row r="221" spans="1:134" x14ac:dyDescent="0.4">
      <c r="A221" s="28">
        <v>25</v>
      </c>
      <c r="B221" s="26">
        <v>1.0000000000000001E-5</v>
      </c>
      <c r="C221" s="28">
        <v>0.2</v>
      </c>
      <c r="D221" s="28">
        <v>30</v>
      </c>
      <c r="E221" s="26">
        <v>9.9999999999999995E-7</v>
      </c>
      <c r="F221" s="26">
        <f t="shared" si="270"/>
        <v>1.9999999999999999E-7</v>
      </c>
      <c r="G221" s="26">
        <f t="shared" si="271"/>
        <v>3.9999999999999994E-2</v>
      </c>
      <c r="H221" s="7">
        <v>1.86631058953622</v>
      </c>
      <c r="I221" s="7">
        <v>5967.7070610572</v>
      </c>
      <c r="J221" s="7">
        <v>4769.5933204541298</v>
      </c>
      <c r="K221" s="7">
        <v>5967.7070610572</v>
      </c>
      <c r="L221" s="7">
        <v>3890230.9388607698</v>
      </c>
      <c r="M221" s="7">
        <v>25464.790894703299</v>
      </c>
      <c r="N221" s="7">
        <f t="shared" si="272"/>
        <v>16705.007442568531</v>
      </c>
      <c r="P221" s="28">
        <v>25</v>
      </c>
      <c r="Q221" s="26">
        <v>3.0000000000000001E-5</v>
      </c>
      <c r="R221" s="28">
        <v>0.2</v>
      </c>
      <c r="S221" s="28">
        <v>30</v>
      </c>
      <c r="T221" s="26">
        <v>9.9999999999999995E-7</v>
      </c>
      <c r="U221" s="26">
        <f t="shared" si="273"/>
        <v>1.9999999999999999E-7</v>
      </c>
      <c r="V221" s="26">
        <f t="shared" si="274"/>
        <v>1.3333333333333332E-2</v>
      </c>
      <c r="W221" s="7">
        <v>3.7155163943362899</v>
      </c>
      <c r="X221" s="7">
        <v>1989.2356869965699</v>
      </c>
      <c r="Y221" s="7">
        <v>1589.86444015137</v>
      </c>
      <c r="Z221" s="7">
        <v>1989.2356869965699</v>
      </c>
      <c r="AA221" s="7">
        <v>1296743.6482743199</v>
      </c>
      <c r="AB221" s="7">
        <v>2829.4212105225802</v>
      </c>
      <c r="AC221" s="7">
        <f t="shared" si="275"/>
        <v>5568.3358141445096</v>
      </c>
      <c r="AE221" s="28">
        <v>25</v>
      </c>
      <c r="AF221" s="26">
        <v>5.0000000000000002E-5</v>
      </c>
      <c r="AG221" s="28">
        <v>0.2</v>
      </c>
      <c r="AH221" s="28">
        <v>30</v>
      </c>
      <c r="AI221" s="26">
        <v>9.9999999999999995E-7</v>
      </c>
      <c r="AJ221" s="26">
        <f t="shared" si="276"/>
        <v>1.9999999999999999E-7</v>
      </c>
      <c r="AK221" s="26">
        <f t="shared" si="277"/>
        <v>7.9999999999999984E-3</v>
      </c>
      <c r="AL221" s="7">
        <v>4.6457207703241101</v>
      </c>
      <c r="AM221" s="7">
        <v>1193.54141200751</v>
      </c>
      <c r="AN221" s="7">
        <v>953.91866409082502</v>
      </c>
      <c r="AO221" s="7">
        <v>1193.54141200751</v>
      </c>
      <c r="AP221" s="7">
        <v>778046.205790887</v>
      </c>
      <c r="AQ221" s="7">
        <v>1018.59163578813</v>
      </c>
      <c r="AR221" s="7">
        <f t="shared" si="278"/>
        <v>3341.0014881058451</v>
      </c>
      <c r="AT221" s="28">
        <v>25</v>
      </c>
      <c r="AU221" s="26">
        <v>1.0000000000000001E-5</v>
      </c>
      <c r="AV221" s="28">
        <v>0.2</v>
      </c>
      <c r="AW221" s="28">
        <v>200</v>
      </c>
      <c r="AX221" s="26">
        <v>9.9999999999999995E-7</v>
      </c>
      <c r="AY221" s="26">
        <f t="shared" si="279"/>
        <v>1.9999999999999999E-7</v>
      </c>
      <c r="AZ221" s="26">
        <f t="shared" si="280"/>
        <v>3.9999999999999994E-2</v>
      </c>
      <c r="BA221" s="7">
        <v>2.3523085851300101</v>
      </c>
      <c r="BB221" s="7">
        <v>904.92261526204402</v>
      </c>
      <c r="BC221" s="7">
        <v>729.47946385146201</v>
      </c>
      <c r="BD221" s="7">
        <v>904.92261526204402</v>
      </c>
      <c r="BE221" s="7">
        <v>3890230.9388607698</v>
      </c>
      <c r="BF221" s="7">
        <v>25464.790894703299</v>
      </c>
      <c r="BG221" s="7">
        <f t="shared" si="281"/>
        <v>2539.3246943755503</v>
      </c>
      <c r="BI221" s="28">
        <v>25</v>
      </c>
      <c r="BJ221" s="26">
        <v>1.0000000000000001E-5</v>
      </c>
      <c r="BK221" s="28">
        <v>0.5</v>
      </c>
      <c r="BL221" s="28">
        <v>200</v>
      </c>
      <c r="BM221" s="26">
        <v>9.9999999999999995E-7</v>
      </c>
      <c r="BN221" s="26">
        <f t="shared" si="282"/>
        <v>4.9999999999999998E-7</v>
      </c>
      <c r="BO221" s="26">
        <f t="shared" si="283"/>
        <v>9.9999999999999992E-2</v>
      </c>
      <c r="BP221" s="7">
        <v>2.4005379841521401</v>
      </c>
      <c r="BQ221" s="7">
        <v>902.31159397251201</v>
      </c>
      <c r="BR221" s="7">
        <v>725.70943403112403</v>
      </c>
      <c r="BS221" s="7">
        <v>902.31159397251201</v>
      </c>
      <c r="BT221" s="7">
        <v>1556092.3755443101</v>
      </c>
      <c r="BU221" s="7">
        <v>25464.790894703299</v>
      </c>
      <c r="BV221" s="7">
        <f t="shared" si="284"/>
        <v>2530.3326219761479</v>
      </c>
      <c r="BX221" s="28">
        <v>25</v>
      </c>
      <c r="BY221" s="26">
        <v>5.0000000000000002E-5</v>
      </c>
      <c r="BZ221" s="28">
        <v>0.5</v>
      </c>
      <c r="CA221" s="28">
        <v>200</v>
      </c>
      <c r="CB221" s="26">
        <v>9.9999999999999995E-7</v>
      </c>
      <c r="CC221" s="26">
        <f t="shared" si="285"/>
        <v>4.9999999999999998E-7</v>
      </c>
      <c r="CD221" s="26">
        <f t="shared" si="286"/>
        <v>1.9999999999999997E-2</v>
      </c>
      <c r="CE221" s="7">
        <v>9.8365475701154796</v>
      </c>
      <c r="CF221" s="7">
        <v>180.46231878283399</v>
      </c>
      <c r="CG221" s="7">
        <v>145.14188680622499</v>
      </c>
      <c r="CH221" s="7">
        <v>180.46231878283399</v>
      </c>
      <c r="CI221" s="7">
        <v>311218.48231635499</v>
      </c>
      <c r="CJ221" s="7">
        <v>1018.59163578813</v>
      </c>
      <c r="CK221" s="7">
        <f t="shared" si="287"/>
        <v>506.06652437189302</v>
      </c>
      <c r="CM221" s="28">
        <v>25</v>
      </c>
      <c r="CN221" s="26">
        <v>5.0000000000000002E-5</v>
      </c>
      <c r="CO221" s="28">
        <v>1</v>
      </c>
      <c r="CP221" s="28">
        <v>200</v>
      </c>
      <c r="CQ221" s="26">
        <v>9.9999999999999995E-7</v>
      </c>
      <c r="CR221" s="26">
        <f t="shared" si="288"/>
        <v>9.9999999999999995E-7</v>
      </c>
      <c r="CS221" s="26">
        <f t="shared" si="289"/>
        <v>3.9999999999999994E-2</v>
      </c>
      <c r="CT221" s="7">
        <v>9.9276621019205908</v>
      </c>
      <c r="CU221" s="7">
        <v>179.60025764253999</v>
      </c>
      <c r="CV221" s="7">
        <v>143.90240734913101</v>
      </c>
      <c r="CW221" s="7">
        <v>179.60025764253999</v>
      </c>
      <c r="CX221" s="7">
        <v>155609.241158177</v>
      </c>
      <c r="CY221" s="7">
        <v>1018.59163578813</v>
      </c>
      <c r="CZ221" s="7">
        <f t="shared" si="290"/>
        <v>503.10292263421098</v>
      </c>
      <c r="DB221" s="28">
        <v>25</v>
      </c>
      <c r="DC221" s="26">
        <v>5.0000000000000002E-5</v>
      </c>
      <c r="DD221" s="28">
        <v>2</v>
      </c>
      <c r="DE221" s="28">
        <v>200</v>
      </c>
      <c r="DF221" s="26">
        <v>9.9999999999999995E-7</v>
      </c>
      <c r="DG221" s="26">
        <f t="shared" si="291"/>
        <v>1.9999999999999999E-6</v>
      </c>
      <c r="DH221" s="26">
        <f t="shared" si="292"/>
        <v>7.9999999999999988E-2</v>
      </c>
      <c r="DI221" s="7">
        <v>10.1094953414719</v>
      </c>
      <c r="DJ221" s="7">
        <v>177.90643586546901</v>
      </c>
      <c r="DK221" s="7">
        <v>141.48598257191699</v>
      </c>
      <c r="DL221" s="7">
        <v>177.90643586546901</v>
      </c>
      <c r="DM221" s="7">
        <v>77804.620579088703</v>
      </c>
      <c r="DN221" s="7">
        <v>1018.59163578813</v>
      </c>
      <c r="DO221" s="7">
        <f t="shared" si="293"/>
        <v>497.29885430285503</v>
      </c>
      <c r="DQ221" s="28">
        <v>25</v>
      </c>
      <c r="DR221" s="26">
        <v>5.0000000000000002E-5</v>
      </c>
      <c r="DS221" s="28">
        <v>15</v>
      </c>
      <c r="DT221" s="28">
        <v>300</v>
      </c>
      <c r="DU221" s="26">
        <v>7.5000000000000002E-7</v>
      </c>
      <c r="DV221" s="26">
        <f t="shared" si="294"/>
        <v>1.1250000000000001E-5</v>
      </c>
      <c r="DW221" s="26">
        <f t="shared" si="295"/>
        <v>0.45</v>
      </c>
      <c r="DX221" s="7">
        <v>15.223948325247299</v>
      </c>
      <c r="DY221" s="7">
        <v>110.42994925436599</v>
      </c>
      <c r="DZ221" s="7">
        <v>83.155364315094602</v>
      </c>
      <c r="EA221" s="7">
        <v>110.42994925436599</v>
      </c>
      <c r="EB221" s="7">
        <v>10373.949410545199</v>
      </c>
      <c r="EC221" s="7">
        <v>814.87330863050397</v>
      </c>
      <c r="ED221" s="7">
        <f t="shared" si="296"/>
        <v>304.01526282382656</v>
      </c>
    </row>
    <row r="222" spans="1:134" x14ac:dyDescent="0.4">
      <c r="A222" s="28">
        <v>30</v>
      </c>
      <c r="B222" s="26">
        <v>1.0000000000000001E-5</v>
      </c>
      <c r="C222" s="28">
        <v>0.2</v>
      </c>
      <c r="D222" s="28">
        <v>30</v>
      </c>
      <c r="E222" s="26">
        <v>9.9999999999999995E-7</v>
      </c>
      <c r="F222" s="26">
        <f t="shared" si="270"/>
        <v>1.9999999999999999E-7</v>
      </c>
      <c r="G222" s="26">
        <f t="shared" si="271"/>
        <v>3.9999999999999994E-2</v>
      </c>
      <c r="H222" s="7">
        <v>2.0342512094645802</v>
      </c>
      <c r="I222" s="7">
        <v>4807.3324198337996</v>
      </c>
      <c r="J222" s="7">
        <v>4988.6125859415297</v>
      </c>
      <c r="K222" s="7">
        <v>4807.3324198337996</v>
      </c>
      <c r="L222" s="7">
        <v>5893089.4851508904</v>
      </c>
      <c r="M222" s="7">
        <v>25464.790894703299</v>
      </c>
      <c r="N222" s="7">
        <f t="shared" si="272"/>
        <v>14603.277425609129</v>
      </c>
      <c r="P222" s="28">
        <v>30</v>
      </c>
      <c r="Q222" s="26">
        <v>3.0000000000000001E-5</v>
      </c>
      <c r="R222" s="28">
        <v>0.2</v>
      </c>
      <c r="S222" s="28">
        <v>30</v>
      </c>
      <c r="T222" s="26">
        <v>9.9999999999999995E-7</v>
      </c>
      <c r="U222" s="26">
        <f t="shared" si="273"/>
        <v>1.9999999999999999E-7</v>
      </c>
      <c r="V222" s="26">
        <f t="shared" si="274"/>
        <v>1.3333333333333332E-2</v>
      </c>
      <c r="W222" s="7">
        <v>4.1973241728558497</v>
      </c>
      <c r="X222" s="7">
        <v>1602.4441399274999</v>
      </c>
      <c r="Y222" s="7">
        <v>1662.87086198051</v>
      </c>
      <c r="Z222" s="7">
        <v>1602.4441399274999</v>
      </c>
      <c r="AA222" s="7">
        <v>1964363.1651242101</v>
      </c>
      <c r="AB222" s="7">
        <v>2829.4212105225802</v>
      </c>
      <c r="AC222" s="7">
        <f t="shared" si="275"/>
        <v>4867.7591418355096</v>
      </c>
      <c r="AE222" s="28">
        <v>30</v>
      </c>
      <c r="AF222" s="26">
        <v>5.0000000000000002E-5</v>
      </c>
      <c r="AG222" s="28">
        <v>0.2</v>
      </c>
      <c r="AH222" s="28">
        <v>30</v>
      </c>
      <c r="AI222" s="26">
        <v>9.9999999999999995E-7</v>
      </c>
      <c r="AJ222" s="26">
        <f t="shared" si="276"/>
        <v>1.9999999999999999E-7</v>
      </c>
      <c r="AK222" s="26">
        <f t="shared" si="277"/>
        <v>7.9999999999999984E-3</v>
      </c>
      <c r="AL222" s="7">
        <v>5.3409866670308102</v>
      </c>
      <c r="AM222" s="7">
        <v>961.46648381169098</v>
      </c>
      <c r="AN222" s="7">
        <v>997.72251718830603</v>
      </c>
      <c r="AO222" s="7">
        <v>961.46648381169098</v>
      </c>
      <c r="AP222" s="7">
        <v>1178617.9279219799</v>
      </c>
      <c r="AQ222" s="7">
        <v>1018.59163578813</v>
      </c>
      <c r="AR222" s="7">
        <f t="shared" si="278"/>
        <v>2920.655484811688</v>
      </c>
      <c r="AT222" s="28">
        <v>30</v>
      </c>
      <c r="AU222" s="26">
        <v>1.0000000000000001E-5</v>
      </c>
      <c r="AV222" s="28">
        <v>0.2</v>
      </c>
      <c r="AW222" s="28">
        <v>200</v>
      </c>
      <c r="AX222" s="26">
        <v>9.9999999999999995E-7</v>
      </c>
      <c r="AY222" s="26">
        <f t="shared" si="279"/>
        <v>1.9999999999999999E-7</v>
      </c>
      <c r="AZ222" s="26">
        <f t="shared" si="280"/>
        <v>3.9999999999999994E-2</v>
      </c>
      <c r="BA222" s="7">
        <v>2.50331577702676</v>
      </c>
      <c r="BB222" s="7">
        <v>727.37388968977803</v>
      </c>
      <c r="BC222" s="7">
        <v>758.42598130330396</v>
      </c>
      <c r="BD222" s="7">
        <v>727.37388968977803</v>
      </c>
      <c r="BE222" s="7">
        <v>5893089.4851508904</v>
      </c>
      <c r="BF222" s="7">
        <v>25464.790894703299</v>
      </c>
      <c r="BG222" s="7">
        <f t="shared" si="281"/>
        <v>2213.1737606828601</v>
      </c>
      <c r="BI222" s="28">
        <v>30</v>
      </c>
      <c r="BJ222" s="26">
        <v>1.0000000000000001E-5</v>
      </c>
      <c r="BK222" s="28">
        <v>0.5</v>
      </c>
      <c r="BL222" s="28">
        <v>200</v>
      </c>
      <c r="BM222" s="26">
        <v>9.9999999999999995E-7</v>
      </c>
      <c r="BN222" s="26">
        <f t="shared" si="282"/>
        <v>4.9999999999999998E-7</v>
      </c>
      <c r="BO222" s="26">
        <f t="shared" si="283"/>
        <v>9.9999999999999992E-2</v>
      </c>
      <c r="BP222" s="7">
        <v>2.5371575257439898</v>
      </c>
      <c r="BQ222" s="7">
        <v>725.70064173773096</v>
      </c>
      <c r="BR222" s="7">
        <v>755.71672459466504</v>
      </c>
      <c r="BS222" s="7">
        <v>725.70064173773096</v>
      </c>
      <c r="BT222" s="7">
        <v>2357235.7940603602</v>
      </c>
      <c r="BU222" s="7">
        <v>25464.790894703299</v>
      </c>
      <c r="BV222" s="7">
        <f t="shared" si="284"/>
        <v>2207.118008070127</v>
      </c>
      <c r="BX222" s="28">
        <v>30</v>
      </c>
      <c r="BY222" s="26">
        <v>5.0000000000000002E-5</v>
      </c>
      <c r="BZ222" s="28">
        <v>0.5</v>
      </c>
      <c r="CA222" s="28">
        <v>200</v>
      </c>
      <c r="CB222" s="26">
        <v>9.9999999999999995E-7</v>
      </c>
      <c r="CC222" s="26">
        <f t="shared" si="285"/>
        <v>4.9999999999999998E-7</v>
      </c>
      <c r="CD222" s="26">
        <f t="shared" si="286"/>
        <v>1.9999999999999997E-2</v>
      </c>
      <c r="CE222" s="7">
        <v>10.694500820768599</v>
      </c>
      <c r="CF222" s="7">
        <v>145.140128338708</v>
      </c>
      <c r="CG222" s="7">
        <v>151.143344918933</v>
      </c>
      <c r="CH222" s="7">
        <v>145.140128338708</v>
      </c>
      <c r="CI222" s="7">
        <v>471447.17116879002</v>
      </c>
      <c r="CJ222" s="7">
        <v>1018.59163578813</v>
      </c>
      <c r="CK222" s="7">
        <f t="shared" si="287"/>
        <v>441.42360159634899</v>
      </c>
      <c r="CM222" s="28">
        <v>30</v>
      </c>
      <c r="CN222" s="26">
        <v>5.0000000000000002E-5</v>
      </c>
      <c r="CO222" s="28">
        <v>1</v>
      </c>
      <c r="CP222" s="28">
        <v>200</v>
      </c>
      <c r="CQ222" s="26">
        <v>9.9999999999999995E-7</v>
      </c>
      <c r="CR222" s="26">
        <f t="shared" si="288"/>
        <v>9.9999999999999995E-7</v>
      </c>
      <c r="CS222" s="26">
        <f t="shared" si="289"/>
        <v>3.9999999999999994E-2</v>
      </c>
      <c r="CT222" s="7">
        <v>10.759032315906101</v>
      </c>
      <c r="CU222" s="7">
        <v>144.58638467526899</v>
      </c>
      <c r="CV222" s="7">
        <v>150.24883810203599</v>
      </c>
      <c r="CW222" s="7">
        <v>144.58638467526899</v>
      </c>
      <c r="CX222" s="7">
        <v>235723.58558439501</v>
      </c>
      <c r="CY222" s="7">
        <v>1018.59163578813</v>
      </c>
      <c r="CZ222" s="7">
        <f t="shared" si="290"/>
        <v>439.42160745257399</v>
      </c>
      <c r="DB222" s="28">
        <v>30</v>
      </c>
      <c r="DC222" s="26">
        <v>5.0000000000000002E-5</v>
      </c>
      <c r="DD222" s="28">
        <v>2</v>
      </c>
      <c r="DE222" s="28">
        <v>200</v>
      </c>
      <c r="DF222" s="26">
        <v>9.9999999999999995E-7</v>
      </c>
      <c r="DG222" s="26">
        <f t="shared" si="291"/>
        <v>1.9999999999999999E-6</v>
      </c>
      <c r="DH222" s="26">
        <f t="shared" si="292"/>
        <v>7.9999999999999988E-2</v>
      </c>
      <c r="DI222" s="7">
        <v>10.8878740096354</v>
      </c>
      <c r="DJ222" s="7">
        <v>143.493651420682</v>
      </c>
      <c r="DK222" s="7">
        <v>148.49131311393799</v>
      </c>
      <c r="DL222" s="7">
        <v>143.493651420682</v>
      </c>
      <c r="DM222" s="7">
        <v>117861.792792198</v>
      </c>
      <c r="DN222" s="7">
        <v>1018.59163578813</v>
      </c>
      <c r="DO222" s="7">
        <f t="shared" si="293"/>
        <v>435.47861595530196</v>
      </c>
      <c r="DQ222" s="28">
        <v>30</v>
      </c>
      <c r="DR222" s="26">
        <v>5.0000000000000002E-5</v>
      </c>
      <c r="DS222" s="28">
        <v>15</v>
      </c>
      <c r="DT222" s="28">
        <v>300</v>
      </c>
      <c r="DU222" s="26">
        <v>7.5000000000000002E-7</v>
      </c>
      <c r="DV222" s="26">
        <f t="shared" si="294"/>
        <v>1.1250000000000001E-5</v>
      </c>
      <c r="DW222" s="26">
        <f t="shared" si="295"/>
        <v>0.45</v>
      </c>
      <c r="DX222" s="7">
        <v>15.550414247056599</v>
      </c>
      <c r="DY222" s="7">
        <v>90.265822408235607</v>
      </c>
      <c r="DZ222" s="7">
        <v>90.525422516156297</v>
      </c>
      <c r="EA222" s="7">
        <v>90.265822408235607</v>
      </c>
      <c r="EB222" s="7">
        <v>15714.905705626299</v>
      </c>
      <c r="EC222" s="7">
        <v>814.87330863050397</v>
      </c>
      <c r="ED222" s="7">
        <f t="shared" si="296"/>
        <v>271.05706733262753</v>
      </c>
    </row>
    <row r="223" spans="1:134" x14ac:dyDescent="0.4">
      <c r="A223" s="28">
        <v>35</v>
      </c>
      <c r="B223" s="26">
        <v>1.0000000000000001E-5</v>
      </c>
      <c r="C223" s="28">
        <v>0.2</v>
      </c>
      <c r="D223" s="28">
        <v>30</v>
      </c>
      <c r="E223" s="26">
        <v>9.9999999999999995E-7</v>
      </c>
      <c r="F223" s="26">
        <f t="shared" si="270"/>
        <v>1.9999999999999999E-7</v>
      </c>
      <c r="G223" s="26">
        <f t="shared" si="271"/>
        <v>3.9999999999999994E-2</v>
      </c>
      <c r="H223" s="7">
        <v>2.1819006934510101</v>
      </c>
      <c r="I223" s="7">
        <v>3984.07853527202</v>
      </c>
      <c r="J223" s="7">
        <v>5168.7820727017497</v>
      </c>
      <c r="K223" s="7">
        <v>3984.07853527202</v>
      </c>
      <c r="L223" s="7">
        <v>8973470.5022608098</v>
      </c>
      <c r="M223" s="7">
        <v>25464.790894703299</v>
      </c>
      <c r="N223" s="7">
        <f t="shared" si="272"/>
        <v>13136.939143245789</v>
      </c>
      <c r="P223" s="28">
        <v>35</v>
      </c>
      <c r="Q223" s="26">
        <v>3.0000000000000001E-5</v>
      </c>
      <c r="R223" s="28">
        <v>0.2</v>
      </c>
      <c r="S223" s="28">
        <v>30</v>
      </c>
      <c r="T223" s="26">
        <v>9.9999999999999995E-7</v>
      </c>
      <c r="U223" s="26">
        <f t="shared" si="273"/>
        <v>1.9999999999999999E-7</v>
      </c>
      <c r="V223" s="26">
        <f t="shared" si="274"/>
        <v>1.3333333333333332E-2</v>
      </c>
      <c r="W223" s="7">
        <v>4.6245629994489503</v>
      </c>
      <c r="X223" s="7">
        <v>1328.02617841029</v>
      </c>
      <c r="Y223" s="7">
        <v>1722.9273575672501</v>
      </c>
      <c r="Z223" s="7">
        <v>1328.02617841029</v>
      </c>
      <c r="AA223" s="7">
        <v>2991156.8397606201</v>
      </c>
      <c r="AB223" s="7">
        <v>2829.4212105225802</v>
      </c>
      <c r="AC223" s="7">
        <f t="shared" si="275"/>
        <v>4378.9797143878295</v>
      </c>
      <c r="AE223" s="28">
        <v>35</v>
      </c>
      <c r="AF223" s="26">
        <v>5.0000000000000002E-5</v>
      </c>
      <c r="AG223" s="28">
        <v>0.2</v>
      </c>
      <c r="AH223" s="28">
        <v>30</v>
      </c>
      <c r="AI223" s="26">
        <v>9.9999999999999995E-7</v>
      </c>
      <c r="AJ223" s="26">
        <f t="shared" si="276"/>
        <v>1.9999999999999999E-7</v>
      </c>
      <c r="AK223" s="26">
        <f t="shared" si="277"/>
        <v>7.9999999999999984E-3</v>
      </c>
      <c r="AL223" s="7">
        <v>5.9665331174679999</v>
      </c>
      <c r="AM223" s="7">
        <v>796.81570693005597</v>
      </c>
      <c r="AN223" s="7">
        <v>1033.7564145403501</v>
      </c>
      <c r="AO223" s="7">
        <v>796.81570693005597</v>
      </c>
      <c r="AP223" s="7">
        <v>1794694.1518928199</v>
      </c>
      <c r="AQ223" s="7">
        <v>1018.59163578813</v>
      </c>
      <c r="AR223" s="7">
        <f t="shared" si="278"/>
        <v>2627.3878284004622</v>
      </c>
      <c r="AT223" s="28">
        <v>35</v>
      </c>
      <c r="AU223" s="26">
        <v>1.0000000000000001E-5</v>
      </c>
      <c r="AV223" s="28">
        <v>0.2</v>
      </c>
      <c r="AW223" s="28">
        <v>200</v>
      </c>
      <c r="AX223" s="26">
        <v>9.9999999999999995E-7</v>
      </c>
      <c r="AY223" s="26">
        <f t="shared" si="279"/>
        <v>1.9999999999999999E-7</v>
      </c>
      <c r="AZ223" s="26">
        <f t="shared" si="280"/>
        <v>3.9999999999999994E-2</v>
      </c>
      <c r="BA223" s="7">
        <v>2.6383771705383099</v>
      </c>
      <c r="BB223" s="7">
        <v>602.00500937137394</v>
      </c>
      <c r="BC223" s="7">
        <v>783.15203621901901</v>
      </c>
      <c r="BD223" s="7">
        <v>602.00500937137394</v>
      </c>
      <c r="BE223" s="7">
        <v>8973470.5022608098</v>
      </c>
      <c r="BF223" s="7">
        <v>25464.790894703299</v>
      </c>
      <c r="BG223" s="7">
        <f t="shared" si="281"/>
        <v>1987.1620549617669</v>
      </c>
      <c r="BI223" s="28">
        <v>35</v>
      </c>
      <c r="BJ223" s="26">
        <v>1.0000000000000001E-5</v>
      </c>
      <c r="BK223" s="28">
        <v>0.5</v>
      </c>
      <c r="BL223" s="28">
        <v>200</v>
      </c>
      <c r="BM223" s="26">
        <v>9.9999999999999995E-7</v>
      </c>
      <c r="BN223" s="26">
        <f t="shared" si="282"/>
        <v>4.9999999999999998E-7</v>
      </c>
      <c r="BO223" s="26">
        <f t="shared" si="283"/>
        <v>9.9999999999999992E-2</v>
      </c>
      <c r="BP223" s="7">
        <v>2.6617977691563302</v>
      </c>
      <c r="BQ223" s="7">
        <v>600.83500597989303</v>
      </c>
      <c r="BR223" s="7">
        <v>781.06268252331097</v>
      </c>
      <c r="BS223" s="7">
        <v>600.83500597989303</v>
      </c>
      <c r="BT223" s="7">
        <v>3589388.20090432</v>
      </c>
      <c r="BU223" s="7">
        <v>25464.790894703299</v>
      </c>
      <c r="BV223" s="7">
        <f t="shared" si="284"/>
        <v>1982.732694483097</v>
      </c>
      <c r="BX223" s="28">
        <v>35</v>
      </c>
      <c r="BY223" s="26">
        <v>5.0000000000000002E-5</v>
      </c>
      <c r="BZ223" s="28">
        <v>0.5</v>
      </c>
      <c r="CA223" s="28">
        <v>200</v>
      </c>
      <c r="CB223" s="26">
        <v>9.9999999999999995E-7</v>
      </c>
      <c r="CC223" s="26">
        <f t="shared" si="285"/>
        <v>4.9999999999999998E-7</v>
      </c>
      <c r="CD223" s="26">
        <f t="shared" si="286"/>
        <v>1.9999999999999997E-2</v>
      </c>
      <c r="CE223" s="7">
        <v>11.4446877609923</v>
      </c>
      <c r="CF223" s="7">
        <v>120.167001188906</v>
      </c>
      <c r="CG223" s="7">
        <v>156.21253650466201</v>
      </c>
      <c r="CH223" s="7">
        <v>120.167001188906</v>
      </c>
      <c r="CI223" s="7">
        <v>717877.66075713001</v>
      </c>
      <c r="CJ223" s="7">
        <v>1018.59163578813</v>
      </c>
      <c r="CK223" s="7">
        <f t="shared" si="287"/>
        <v>396.54653888247401</v>
      </c>
      <c r="CM223" s="28">
        <v>35</v>
      </c>
      <c r="CN223" s="26">
        <v>5.0000000000000002E-5</v>
      </c>
      <c r="CO223" s="28">
        <v>1</v>
      </c>
      <c r="CP223" s="28">
        <v>200</v>
      </c>
      <c r="CQ223" s="26">
        <v>9.9999999999999995E-7</v>
      </c>
      <c r="CR223" s="26">
        <f t="shared" si="288"/>
        <v>9.9999999999999995E-7</v>
      </c>
      <c r="CS223" s="26">
        <f t="shared" si="289"/>
        <v>3.9999999999999994E-2</v>
      </c>
      <c r="CT223" s="7">
        <v>11.490235329833</v>
      </c>
      <c r="CU223" s="7">
        <v>119.779274796552</v>
      </c>
      <c r="CV223" s="7">
        <v>155.521045898078</v>
      </c>
      <c r="CW223" s="7">
        <v>119.779274796552</v>
      </c>
      <c r="CX223" s="7">
        <v>358938.83037856501</v>
      </c>
      <c r="CY223" s="7">
        <v>1018.59163578813</v>
      </c>
      <c r="CZ223" s="7">
        <f t="shared" si="290"/>
        <v>395.07959549118198</v>
      </c>
      <c r="DB223" s="28">
        <v>35</v>
      </c>
      <c r="DC223" s="26">
        <v>5.0000000000000002E-5</v>
      </c>
      <c r="DD223" s="28">
        <v>2</v>
      </c>
      <c r="DE223" s="28">
        <v>200</v>
      </c>
      <c r="DF223" s="26">
        <v>9.9999999999999995E-7</v>
      </c>
      <c r="DG223" s="26">
        <f t="shared" si="291"/>
        <v>1.9999999999999999E-6</v>
      </c>
      <c r="DH223" s="26">
        <f t="shared" si="292"/>
        <v>7.9999999999999988E-2</v>
      </c>
      <c r="DI223" s="7">
        <v>11.581190183756799</v>
      </c>
      <c r="DJ223" s="7">
        <v>119.01223137089301</v>
      </c>
      <c r="DK223" s="7">
        <v>154.156369850555</v>
      </c>
      <c r="DL223" s="7">
        <v>119.01223137089301</v>
      </c>
      <c r="DM223" s="7">
        <v>179469.41518928201</v>
      </c>
      <c r="DN223" s="7">
        <v>1018.59163578813</v>
      </c>
      <c r="DO223" s="7">
        <f t="shared" si="293"/>
        <v>392.18083259234101</v>
      </c>
      <c r="DQ223" s="28">
        <v>35</v>
      </c>
      <c r="DR223" s="26">
        <v>5.0000000000000002E-5</v>
      </c>
      <c r="DS223" s="28">
        <v>15</v>
      </c>
      <c r="DT223" s="28">
        <v>300</v>
      </c>
      <c r="DU223" s="26">
        <v>7.5000000000000002E-7</v>
      </c>
      <c r="DV223" s="26">
        <f t="shared" si="294"/>
        <v>1.1250000000000001E-5</v>
      </c>
      <c r="DW223" s="26">
        <f t="shared" si="295"/>
        <v>0.45</v>
      </c>
      <c r="DX223" s="7">
        <v>15.950895859263699</v>
      </c>
      <c r="DY223" s="7">
        <v>75.5008244304708</v>
      </c>
      <c r="DZ223" s="7">
        <v>96.032312732024195</v>
      </c>
      <c r="EA223" s="7">
        <v>75.5008244304708</v>
      </c>
      <c r="EB223" s="7">
        <v>23929.255358571001</v>
      </c>
      <c r="EC223" s="7">
        <v>814.87330863050397</v>
      </c>
      <c r="ED223" s="7">
        <f t="shared" si="296"/>
        <v>247.0339615929658</v>
      </c>
    </row>
    <row r="224" spans="1:134" x14ac:dyDescent="0.4">
      <c r="A224" s="28">
        <v>40</v>
      </c>
      <c r="B224" s="26">
        <v>1.0000000000000001E-5</v>
      </c>
      <c r="C224" s="28">
        <v>0.2</v>
      </c>
      <c r="D224" s="28">
        <v>30</v>
      </c>
      <c r="E224" s="26">
        <v>9.9999999999999995E-7</v>
      </c>
      <c r="F224" s="26">
        <f t="shared" si="270"/>
        <v>1.9999999999999999E-7</v>
      </c>
      <c r="G224" s="26">
        <f t="shared" si="271"/>
        <v>3.9999999999999994E-2</v>
      </c>
      <c r="H224" s="7">
        <v>2.31531643001883</v>
      </c>
      <c r="I224" s="7">
        <v>3352.9677929484601</v>
      </c>
      <c r="J224" s="7">
        <v>5323.5334580216904</v>
      </c>
      <c r="K224" s="7">
        <v>3352.9677929484601</v>
      </c>
      <c r="L224" s="7">
        <v>13908939.478979601</v>
      </c>
      <c r="M224" s="7">
        <v>25464.790894703299</v>
      </c>
      <c r="N224" s="7">
        <f t="shared" si="272"/>
        <v>12029.469043918611</v>
      </c>
      <c r="P224" s="28">
        <v>40</v>
      </c>
      <c r="Q224" s="26">
        <v>3.0000000000000001E-5</v>
      </c>
      <c r="R224" s="28">
        <v>0.2</v>
      </c>
      <c r="S224" s="28">
        <v>30</v>
      </c>
      <c r="T224" s="26">
        <v>9.9999999999999995E-7</v>
      </c>
      <c r="U224" s="26">
        <f t="shared" si="273"/>
        <v>1.9999999999999999E-7</v>
      </c>
      <c r="V224" s="26">
        <f t="shared" si="274"/>
        <v>1.3333333333333332E-2</v>
      </c>
      <c r="W224" s="7">
        <v>5.0133044174060304</v>
      </c>
      <c r="X224" s="7">
        <v>1117.6559309715101</v>
      </c>
      <c r="Y224" s="7">
        <v>1774.5111526738999</v>
      </c>
      <c r="Z224" s="7">
        <v>1117.6559309715101</v>
      </c>
      <c r="AA224" s="7">
        <v>4636313.1689486196</v>
      </c>
      <c r="AB224" s="7">
        <v>2829.4212105225802</v>
      </c>
      <c r="AC224" s="7">
        <f t="shared" si="275"/>
        <v>4009.8230146169199</v>
      </c>
      <c r="AE224" s="28">
        <v>40</v>
      </c>
      <c r="AF224" s="26">
        <v>5.0000000000000002E-5</v>
      </c>
      <c r="AG224" s="28">
        <v>0.2</v>
      </c>
      <c r="AH224" s="28">
        <v>30</v>
      </c>
      <c r="AI224" s="26">
        <v>9.9999999999999995E-7</v>
      </c>
      <c r="AJ224" s="26">
        <f t="shared" si="276"/>
        <v>1.9999999999999999E-7</v>
      </c>
      <c r="AK224" s="26">
        <f t="shared" si="277"/>
        <v>7.9999999999999984E-3</v>
      </c>
      <c r="AL224" s="7">
        <v>6.5425397628512396</v>
      </c>
      <c r="AM224" s="7">
        <v>670.59355848720395</v>
      </c>
      <c r="AN224" s="7">
        <v>1064.70669160434</v>
      </c>
      <c r="AO224" s="7">
        <v>670.59355848720395</v>
      </c>
      <c r="AP224" s="7">
        <v>2781787.9800138599</v>
      </c>
      <c r="AQ224" s="7">
        <v>1018.59163578813</v>
      </c>
      <c r="AR224" s="7">
        <f t="shared" si="278"/>
        <v>2405.8938085787481</v>
      </c>
      <c r="AT224" s="28">
        <v>40</v>
      </c>
      <c r="AU224" s="26">
        <v>1.0000000000000001E-5</v>
      </c>
      <c r="AV224" s="28">
        <v>0.2</v>
      </c>
      <c r="AW224" s="28">
        <v>200</v>
      </c>
      <c r="AX224" s="26">
        <v>9.9999999999999995E-7</v>
      </c>
      <c r="AY224" s="26">
        <f t="shared" si="279"/>
        <v>1.9999999999999999E-7</v>
      </c>
      <c r="AZ224" s="26">
        <f t="shared" si="280"/>
        <v>3.9999999999999994E-2</v>
      </c>
      <c r="BA224" s="7">
        <v>2.7615658927361202</v>
      </c>
      <c r="BB224" s="7">
        <v>506.171357939058</v>
      </c>
      <c r="BC224" s="7">
        <v>804.808472591532</v>
      </c>
      <c r="BD224" s="7">
        <v>506.171357939058</v>
      </c>
      <c r="BE224" s="7">
        <v>13908939.478979601</v>
      </c>
      <c r="BF224" s="7">
        <v>25464.790894703299</v>
      </c>
      <c r="BG224" s="7">
        <f t="shared" si="281"/>
        <v>1817.1511884696479</v>
      </c>
      <c r="BI224" s="28">
        <v>40</v>
      </c>
      <c r="BJ224" s="26">
        <v>1.0000000000000001E-5</v>
      </c>
      <c r="BK224" s="28">
        <v>0.5</v>
      </c>
      <c r="BL224" s="28">
        <v>200</v>
      </c>
      <c r="BM224" s="26">
        <v>9.9999999999999995E-7</v>
      </c>
      <c r="BN224" s="26">
        <f t="shared" si="282"/>
        <v>4.9999999999999998E-7</v>
      </c>
      <c r="BO224" s="26">
        <f t="shared" si="283"/>
        <v>9.9999999999999992E-2</v>
      </c>
      <c r="BP224" s="7">
        <v>2.77739227523336</v>
      </c>
      <c r="BQ224" s="7">
        <v>505.31296257696903</v>
      </c>
      <c r="BR224" s="7">
        <v>803.13685140779603</v>
      </c>
      <c r="BS224" s="7">
        <v>505.31296257696903</v>
      </c>
      <c r="BT224" s="7">
        <v>5563575.7915918296</v>
      </c>
      <c r="BU224" s="7">
        <v>25464.790894703299</v>
      </c>
      <c r="BV224" s="7">
        <f t="shared" si="284"/>
        <v>1813.7627765617342</v>
      </c>
      <c r="BX224" s="28">
        <v>40</v>
      </c>
      <c r="BY224" s="26">
        <v>5.0000000000000002E-5</v>
      </c>
      <c r="BZ224" s="28">
        <v>0.5</v>
      </c>
      <c r="CA224" s="28">
        <v>200</v>
      </c>
      <c r="CB224" s="26">
        <v>9.9999999999999995E-7</v>
      </c>
      <c r="CC224" s="26">
        <f t="shared" si="285"/>
        <v>4.9999999999999998E-7</v>
      </c>
      <c r="CD224" s="26">
        <f t="shared" si="286"/>
        <v>1.9999999999999997E-2</v>
      </c>
      <c r="CE224" s="7">
        <v>12.119178350026401</v>
      </c>
      <c r="CF224" s="7">
        <v>101.06259250957299</v>
      </c>
      <c r="CG224" s="7">
        <v>160.627370281559</v>
      </c>
      <c r="CH224" s="7">
        <v>101.06259250957299</v>
      </c>
      <c r="CI224" s="7">
        <v>1112715.19200554</v>
      </c>
      <c r="CJ224" s="7">
        <v>1018.59163578813</v>
      </c>
      <c r="CK224" s="7">
        <f t="shared" si="287"/>
        <v>362.75255530070496</v>
      </c>
      <c r="CM224" s="28">
        <v>40</v>
      </c>
      <c r="CN224" s="26">
        <v>5.0000000000000002E-5</v>
      </c>
      <c r="CO224" s="28">
        <v>1</v>
      </c>
      <c r="CP224" s="28">
        <v>200</v>
      </c>
      <c r="CQ224" s="26">
        <v>9.9999999999999995E-7</v>
      </c>
      <c r="CR224" s="26">
        <f t="shared" si="288"/>
        <v>9.9999999999999995E-7</v>
      </c>
      <c r="CS224" s="26">
        <f t="shared" si="289"/>
        <v>3.9999999999999994E-2</v>
      </c>
      <c r="CT224" s="7">
        <v>12.1509251768724</v>
      </c>
      <c r="CU224" s="7">
        <v>100.77787314708399</v>
      </c>
      <c r="CV224" s="7">
        <v>160.073267279547</v>
      </c>
      <c r="CW224" s="7">
        <v>100.77787314708399</v>
      </c>
      <c r="CX224" s="7">
        <v>556357.59600277198</v>
      </c>
      <c r="CY224" s="7">
        <v>1018.59163578813</v>
      </c>
      <c r="CZ224" s="7">
        <f t="shared" si="290"/>
        <v>361.62901357371499</v>
      </c>
      <c r="DB224" s="28">
        <v>40</v>
      </c>
      <c r="DC224" s="26">
        <v>5.0000000000000002E-5</v>
      </c>
      <c r="DD224" s="28">
        <v>2</v>
      </c>
      <c r="DE224" s="28">
        <v>200</v>
      </c>
      <c r="DF224" s="26">
        <v>9.9999999999999995E-7</v>
      </c>
      <c r="DG224" s="26">
        <f t="shared" si="291"/>
        <v>1.9999999999999999E-6</v>
      </c>
      <c r="DH224" s="26">
        <f t="shared" si="292"/>
        <v>7.9999999999999988E-2</v>
      </c>
      <c r="DI224" s="7">
        <v>12.214323786610199</v>
      </c>
      <c r="DJ224" s="7">
        <v>100.213668542356</v>
      </c>
      <c r="DK224" s="7">
        <v>158.97655523681999</v>
      </c>
      <c r="DL224" s="7">
        <v>100.213668542356</v>
      </c>
      <c r="DM224" s="7">
        <v>278178.79800138599</v>
      </c>
      <c r="DN224" s="7">
        <v>1018.59163578813</v>
      </c>
      <c r="DO224" s="7">
        <f t="shared" si="293"/>
        <v>359.403892321532</v>
      </c>
      <c r="DQ224" s="28">
        <v>40</v>
      </c>
      <c r="DR224" s="26">
        <v>5.0000000000000002E-5</v>
      </c>
      <c r="DS224" s="28">
        <v>15</v>
      </c>
      <c r="DT224" s="28">
        <v>300</v>
      </c>
      <c r="DU224" s="26">
        <v>7.5000000000000002E-7</v>
      </c>
      <c r="DV224" s="26">
        <f t="shared" si="294"/>
        <v>1.1250000000000001E-5</v>
      </c>
      <c r="DW224" s="26">
        <f t="shared" si="295"/>
        <v>0.45</v>
      </c>
      <c r="DX224" s="7">
        <v>16.401662855958399</v>
      </c>
      <c r="DY224" s="7">
        <v>63.957630951740299</v>
      </c>
      <c r="DZ224" s="7">
        <v>100.479958515748</v>
      </c>
      <c r="EA224" s="7">
        <v>63.957630951740299</v>
      </c>
      <c r="EB224" s="7">
        <v>37090.5064001848</v>
      </c>
      <c r="EC224" s="7">
        <v>814.87330863050397</v>
      </c>
      <c r="ED224" s="7">
        <f t="shared" si="296"/>
        <v>228.39522041922859</v>
      </c>
    </row>
    <row r="225" spans="1:134" x14ac:dyDescent="0.4">
      <c r="A225" s="28">
        <v>45</v>
      </c>
      <c r="B225" s="26">
        <v>1.0000000000000001E-5</v>
      </c>
      <c r="C225" s="28">
        <v>0.2</v>
      </c>
      <c r="D225" s="28">
        <v>30</v>
      </c>
      <c r="E225" s="26">
        <v>9.9999999999999995E-7</v>
      </c>
      <c r="F225" s="26">
        <f t="shared" si="270"/>
        <v>1.9999999999999999E-7</v>
      </c>
      <c r="G225" s="26">
        <f t="shared" si="271"/>
        <v>3.9999999999999994E-2</v>
      </c>
      <c r="H225" s="7">
        <v>2.43790738670004</v>
      </c>
      <c r="I225" s="7">
        <v>2844.9728255004802</v>
      </c>
      <c r="J225" s="7">
        <v>5459.8455675855203</v>
      </c>
      <c r="K225" s="7">
        <v>2844.9728255004802</v>
      </c>
      <c r="L225" s="7">
        <v>22314016.336053099</v>
      </c>
      <c r="M225" s="7">
        <v>25464.790894703299</v>
      </c>
      <c r="N225" s="7">
        <f t="shared" si="272"/>
        <v>11149.791218586481</v>
      </c>
      <c r="P225" s="28">
        <v>45</v>
      </c>
      <c r="Q225" s="26">
        <v>3.0000000000000001E-5</v>
      </c>
      <c r="R225" s="28">
        <v>0.2</v>
      </c>
      <c r="S225" s="28">
        <v>30</v>
      </c>
      <c r="T225" s="26">
        <v>9.9999999999999995E-7</v>
      </c>
      <c r="U225" s="26">
        <f t="shared" si="273"/>
        <v>1.9999999999999999E-7</v>
      </c>
      <c r="V225" s="26">
        <f t="shared" si="274"/>
        <v>1.3333333333333332E-2</v>
      </c>
      <c r="W225" s="7">
        <v>5.3726944754919401</v>
      </c>
      <c r="X225" s="7">
        <v>948.32427515736799</v>
      </c>
      <c r="Y225" s="7">
        <v>1819.94852252851</v>
      </c>
      <c r="Z225" s="7">
        <v>948.32427515736799</v>
      </c>
      <c r="AA225" s="7">
        <v>7438005.4604388904</v>
      </c>
      <c r="AB225" s="7">
        <v>2829.4212105225802</v>
      </c>
      <c r="AC225" s="7">
        <f t="shared" si="275"/>
        <v>3716.5970728432458</v>
      </c>
      <c r="AE225" s="28">
        <v>45</v>
      </c>
      <c r="AF225" s="26">
        <v>5.0000000000000002E-5</v>
      </c>
      <c r="AG225" s="28">
        <v>0.2</v>
      </c>
      <c r="AH225" s="28">
        <v>30</v>
      </c>
      <c r="AI225" s="26">
        <v>9.9999999999999995E-7</v>
      </c>
      <c r="AJ225" s="26">
        <f t="shared" si="276"/>
        <v>1.9999999999999999E-7</v>
      </c>
      <c r="AK225" s="26">
        <f t="shared" si="277"/>
        <v>7.9999999999999984E-3</v>
      </c>
      <c r="AL225" s="7">
        <v>7.08053324052824</v>
      </c>
      <c r="AM225" s="7">
        <v>568.99456501435202</v>
      </c>
      <c r="AN225" s="7">
        <v>1091.9691135170999</v>
      </c>
      <c r="AO225" s="7">
        <v>568.99456501435202</v>
      </c>
      <c r="AP225" s="7">
        <v>4462803.4040061999</v>
      </c>
      <c r="AQ225" s="7">
        <v>1018.59163578813</v>
      </c>
      <c r="AR225" s="7">
        <f t="shared" si="278"/>
        <v>2229.9582435458042</v>
      </c>
      <c r="AT225" s="28">
        <v>45</v>
      </c>
      <c r="AU225" s="26">
        <v>1.0000000000000001E-5</v>
      </c>
      <c r="AV225" s="28">
        <v>0.2</v>
      </c>
      <c r="AW225" s="28">
        <v>200</v>
      </c>
      <c r="AX225" s="26">
        <v>9.9999999999999995E-7</v>
      </c>
      <c r="AY225" s="26">
        <f t="shared" si="279"/>
        <v>1.9999999999999999E-7</v>
      </c>
      <c r="AZ225" s="26">
        <f t="shared" si="280"/>
        <v>3.9999999999999994E-2</v>
      </c>
      <c r="BA225" s="7">
        <v>2.8753814529047701</v>
      </c>
      <c r="BB225" s="7">
        <v>429.182314820393</v>
      </c>
      <c r="BC225" s="7">
        <v>824.10906225483302</v>
      </c>
      <c r="BD225" s="7">
        <v>429.182314820393</v>
      </c>
      <c r="BE225" s="7">
        <v>22314016.336053099</v>
      </c>
      <c r="BF225" s="7">
        <v>25464.790894703299</v>
      </c>
      <c r="BG225" s="7">
        <f t="shared" si="281"/>
        <v>1682.4736918956191</v>
      </c>
      <c r="BI225" s="28">
        <v>45</v>
      </c>
      <c r="BJ225" s="26">
        <v>1.0000000000000001E-5</v>
      </c>
      <c r="BK225" s="28">
        <v>0.5</v>
      </c>
      <c r="BL225" s="28">
        <v>200</v>
      </c>
      <c r="BM225" s="26">
        <v>9.9999999999999995E-7</v>
      </c>
      <c r="BN225" s="26">
        <f t="shared" si="282"/>
        <v>4.9999999999999998E-7</v>
      </c>
      <c r="BO225" s="26">
        <f t="shared" si="283"/>
        <v>9.9999999999999992E-2</v>
      </c>
      <c r="BP225" s="7">
        <v>2.8856719750202</v>
      </c>
      <c r="BQ225" s="7">
        <v>428.53449983983199</v>
      </c>
      <c r="BR225" s="7">
        <v>822.74419088845502</v>
      </c>
      <c r="BS225" s="7">
        <v>428.53449983983199</v>
      </c>
      <c r="BT225" s="7">
        <v>8925606.5344212595</v>
      </c>
      <c r="BU225" s="7">
        <v>25464.790894703299</v>
      </c>
      <c r="BV225" s="7">
        <f t="shared" si="284"/>
        <v>1679.8131905681191</v>
      </c>
      <c r="BX225" s="28">
        <v>45</v>
      </c>
      <c r="BY225" s="26">
        <v>5.0000000000000002E-5</v>
      </c>
      <c r="BZ225" s="28">
        <v>0.5</v>
      </c>
      <c r="CA225" s="28">
        <v>200</v>
      </c>
      <c r="CB225" s="26">
        <v>9.9999999999999995E-7</v>
      </c>
      <c r="CC225" s="26">
        <f t="shared" si="285"/>
        <v>4.9999999999999998E-7</v>
      </c>
      <c r="CD225" s="26">
        <f t="shared" si="286"/>
        <v>1.9999999999999997E-2</v>
      </c>
      <c r="CE225" s="7">
        <v>12.7362180141116</v>
      </c>
      <c r="CF225" s="7">
        <v>85.706899963102501</v>
      </c>
      <c r="CG225" s="7">
        <v>164.54883817769101</v>
      </c>
      <c r="CH225" s="7">
        <v>85.706899963102501</v>
      </c>
      <c r="CI225" s="7">
        <v>1785121.3616024801</v>
      </c>
      <c r="CJ225" s="7">
        <v>1018.59163578813</v>
      </c>
      <c r="CK225" s="7">
        <f t="shared" si="287"/>
        <v>335.96263810389598</v>
      </c>
      <c r="CM225" s="28">
        <v>45</v>
      </c>
      <c r="CN225" s="26">
        <v>5.0000000000000002E-5</v>
      </c>
      <c r="CO225" s="28">
        <v>1</v>
      </c>
      <c r="CP225" s="28">
        <v>200</v>
      </c>
      <c r="CQ225" s="26">
        <v>9.9999999999999995E-7</v>
      </c>
      <c r="CR225" s="26">
        <f t="shared" si="288"/>
        <v>9.9999999999999995E-7</v>
      </c>
      <c r="CS225" s="26">
        <f t="shared" si="289"/>
        <v>3.9999999999999994E-2</v>
      </c>
      <c r="CT225" s="7">
        <v>12.757861191815699</v>
      </c>
      <c r="CU225" s="7">
        <v>85.491887514072303</v>
      </c>
      <c r="CV225" s="7">
        <v>164.095913900619</v>
      </c>
      <c r="CW225" s="7">
        <v>85.491887514072303</v>
      </c>
      <c r="CX225" s="7">
        <v>892560.68080124003</v>
      </c>
      <c r="CY225" s="7">
        <v>1018.59163578813</v>
      </c>
      <c r="CZ225" s="7">
        <f t="shared" si="290"/>
        <v>335.07968892876357</v>
      </c>
      <c r="DB225" s="28">
        <v>45</v>
      </c>
      <c r="DC225" s="26">
        <v>5.0000000000000002E-5</v>
      </c>
      <c r="DD225" s="28">
        <v>2</v>
      </c>
      <c r="DE225" s="28">
        <v>200</v>
      </c>
      <c r="DF225" s="26">
        <v>9.9999999999999995E-7</v>
      </c>
      <c r="DG225" s="26">
        <f t="shared" si="291"/>
        <v>1.9999999999999999E-6</v>
      </c>
      <c r="DH225" s="26">
        <f t="shared" si="292"/>
        <v>7.9999999999999988E-2</v>
      </c>
      <c r="DI225" s="7">
        <v>12.8010806691096</v>
      </c>
      <c r="DJ225" s="7">
        <v>85.065299620820397</v>
      </c>
      <c r="DK225" s="7">
        <v>163.197611169178</v>
      </c>
      <c r="DL225" s="7">
        <v>85.065299620820397</v>
      </c>
      <c r="DM225" s="7">
        <v>446280.34040062001</v>
      </c>
      <c r="DN225" s="7">
        <v>1018.59163578813</v>
      </c>
      <c r="DO225" s="7">
        <f t="shared" si="293"/>
        <v>333.32821041081877</v>
      </c>
      <c r="DQ225" s="28">
        <v>45</v>
      </c>
      <c r="DR225" s="26">
        <v>5.0000000000000002E-5</v>
      </c>
      <c r="DS225" s="28">
        <v>15</v>
      </c>
      <c r="DT225" s="28">
        <v>300</v>
      </c>
      <c r="DU225" s="26">
        <v>7.5000000000000002E-7</v>
      </c>
      <c r="DV225" s="26">
        <f t="shared" si="294"/>
        <v>1.1250000000000001E-5</v>
      </c>
      <c r="DW225" s="26">
        <f t="shared" si="295"/>
        <v>0.45</v>
      </c>
      <c r="DX225" s="7">
        <v>16.884787161515298</v>
      </c>
      <c r="DY225" s="7">
        <v>54.539450656433999</v>
      </c>
      <c r="DZ225" s="7">
        <v>104.236562937325</v>
      </c>
      <c r="EA225" s="7">
        <v>54.539450656433999</v>
      </c>
      <c r="EB225" s="7">
        <v>59504.045386749298</v>
      </c>
      <c r="EC225" s="7">
        <v>814.87330863050397</v>
      </c>
      <c r="ED225" s="7">
        <f t="shared" si="296"/>
        <v>213.31546425019297</v>
      </c>
    </row>
    <row r="226" spans="1:134" x14ac:dyDescent="0.4">
      <c r="A226" s="28">
        <v>50</v>
      </c>
      <c r="B226" s="26">
        <v>1.0000000000000001E-5</v>
      </c>
      <c r="C226" s="28">
        <v>0.2</v>
      </c>
      <c r="D226" s="28">
        <v>30</v>
      </c>
      <c r="E226" s="26">
        <v>9.9999999999999995E-7</v>
      </c>
      <c r="F226" s="26">
        <f t="shared" si="270"/>
        <v>1.9999999999999999E-7</v>
      </c>
      <c r="G226" s="26">
        <f t="shared" si="271"/>
        <v>3.9999999999999994E-2</v>
      </c>
      <c r="H226" s="7">
        <v>2.5518519388605898</v>
      </c>
      <c r="I226" s="7">
        <v>2422.0764785389101</v>
      </c>
      <c r="J226" s="7">
        <v>5581.9822447758097</v>
      </c>
      <c r="K226" s="7">
        <v>2422.0764785389101</v>
      </c>
      <c r="L226" s="7">
        <v>38032949.861855596</v>
      </c>
      <c r="M226" s="7">
        <v>25464.790894703299</v>
      </c>
      <c r="N226" s="7">
        <f t="shared" si="272"/>
        <v>10426.135201853631</v>
      </c>
      <c r="P226" s="28">
        <v>50</v>
      </c>
      <c r="Q226" s="26">
        <v>3.0000000000000001E-5</v>
      </c>
      <c r="R226" s="28">
        <v>0.2</v>
      </c>
      <c r="S226" s="28">
        <v>30</v>
      </c>
      <c r="T226" s="26">
        <v>9.9999999999999995E-7</v>
      </c>
      <c r="U226" s="26">
        <f t="shared" si="273"/>
        <v>1.9999999999999999E-7</v>
      </c>
      <c r="V226" s="26">
        <f t="shared" si="274"/>
        <v>1.3333333333333332E-2</v>
      </c>
      <c r="W226" s="7">
        <v>5.70861155330208</v>
      </c>
      <c r="X226" s="7">
        <v>807.35882617166396</v>
      </c>
      <c r="Y226" s="7">
        <v>1860.6607482586001</v>
      </c>
      <c r="Z226" s="7">
        <v>807.35882617166396</v>
      </c>
      <c r="AA226" s="7">
        <v>12677649.9784535</v>
      </c>
      <c r="AB226" s="7">
        <v>2829.4212105225802</v>
      </c>
      <c r="AC226" s="7">
        <f t="shared" si="275"/>
        <v>3475.3784006019282</v>
      </c>
      <c r="AE226" s="28">
        <v>50</v>
      </c>
      <c r="AF226" s="26">
        <v>5.0000000000000002E-5</v>
      </c>
      <c r="AG226" s="28">
        <v>0.2</v>
      </c>
      <c r="AH226" s="28">
        <v>30</v>
      </c>
      <c r="AI226" s="26">
        <v>9.9999999999999995E-7</v>
      </c>
      <c r="AJ226" s="26">
        <f t="shared" si="276"/>
        <v>1.9999999999999999E-7</v>
      </c>
      <c r="AK226" s="26">
        <f t="shared" si="277"/>
        <v>7.9999999999999984E-3</v>
      </c>
      <c r="AL226" s="7">
        <v>7.5879514042286704</v>
      </c>
      <c r="AM226" s="7">
        <v>484.41529563550102</v>
      </c>
      <c r="AN226" s="7">
        <v>1116.3964489551599</v>
      </c>
      <c r="AO226" s="7">
        <v>484.41529563550102</v>
      </c>
      <c r="AP226" s="7">
        <v>7606590.1945190197</v>
      </c>
      <c r="AQ226" s="7">
        <v>1018.59163578813</v>
      </c>
      <c r="AR226" s="7">
        <f t="shared" si="278"/>
        <v>2085.227040226162</v>
      </c>
      <c r="AT226" s="28">
        <v>50</v>
      </c>
      <c r="AU226" s="26">
        <v>1.0000000000000001E-5</v>
      </c>
      <c r="AV226" s="28">
        <v>0.2</v>
      </c>
      <c r="AW226" s="28">
        <v>200</v>
      </c>
      <c r="AX226" s="26">
        <v>9.9999999999999995E-7</v>
      </c>
      <c r="AY226" s="26">
        <f t="shared" si="279"/>
        <v>1.9999999999999999E-7</v>
      </c>
      <c r="AZ226" s="26">
        <f t="shared" si="280"/>
        <v>3.9999999999999994E-2</v>
      </c>
      <c r="BA226" s="7">
        <v>2.9815219067624099</v>
      </c>
      <c r="BB226" s="7">
        <v>365.18105956717</v>
      </c>
      <c r="BC226" s="7">
        <v>841.53641728653497</v>
      </c>
      <c r="BD226" s="7">
        <v>365.18105956717</v>
      </c>
      <c r="BE226" s="7">
        <v>38032949.861855596</v>
      </c>
      <c r="BF226" s="7">
        <v>25464.790894703299</v>
      </c>
      <c r="BG226" s="7">
        <f t="shared" si="281"/>
        <v>1571.898536420875</v>
      </c>
      <c r="BI226" s="28">
        <v>50</v>
      </c>
      <c r="BJ226" s="26">
        <v>1.0000000000000001E-5</v>
      </c>
      <c r="BK226" s="28">
        <v>0.5</v>
      </c>
      <c r="BL226" s="28">
        <v>200</v>
      </c>
      <c r="BM226" s="26">
        <v>9.9999999999999995E-7</v>
      </c>
      <c r="BN226" s="26">
        <f t="shared" si="282"/>
        <v>4.9999999999999998E-7</v>
      </c>
      <c r="BO226" s="26">
        <f t="shared" si="283"/>
        <v>9.9999999999999992E-2</v>
      </c>
      <c r="BP226" s="7">
        <v>2.9878072654730801</v>
      </c>
      <c r="BQ226" s="7">
        <v>364.68421056947602</v>
      </c>
      <c r="BR226" s="7">
        <v>840.41004328064798</v>
      </c>
      <c r="BS226" s="7">
        <v>364.68421056947602</v>
      </c>
      <c r="BT226" s="7">
        <v>15213179.944742201</v>
      </c>
      <c r="BU226" s="7">
        <v>25464.790894703299</v>
      </c>
      <c r="BV226" s="7">
        <f t="shared" si="284"/>
        <v>1569.7784644195999</v>
      </c>
      <c r="BX226" s="28">
        <v>50</v>
      </c>
      <c r="BY226" s="26">
        <v>5.0000000000000002E-5</v>
      </c>
      <c r="BZ226" s="28">
        <v>0.5</v>
      </c>
      <c r="CA226" s="28">
        <v>200</v>
      </c>
      <c r="CB226" s="26">
        <v>9.9999999999999995E-7</v>
      </c>
      <c r="CC226" s="26">
        <f t="shared" si="285"/>
        <v>4.9999999999999998E-7</v>
      </c>
      <c r="CD226" s="26">
        <f t="shared" si="286"/>
        <v>1.9999999999999997E-2</v>
      </c>
      <c r="CE226" s="7">
        <v>13.307535018924399</v>
      </c>
      <c r="CF226" s="7">
        <v>72.936842109798505</v>
      </c>
      <c r="CG226" s="7">
        <v>168.08200865613</v>
      </c>
      <c r="CH226" s="7">
        <v>72.936842109798505</v>
      </c>
      <c r="CI226" s="7">
        <v>3042636.0778076099</v>
      </c>
      <c r="CJ226" s="7">
        <v>1018.59163578813</v>
      </c>
      <c r="CK226" s="7">
        <f t="shared" si="287"/>
        <v>313.95569287572698</v>
      </c>
      <c r="CM226" s="28">
        <v>50</v>
      </c>
      <c r="CN226" s="26">
        <v>5.0000000000000002E-5</v>
      </c>
      <c r="CO226" s="28">
        <v>1</v>
      </c>
      <c r="CP226" s="28">
        <v>200</v>
      </c>
      <c r="CQ226" s="26">
        <v>9.9999999999999995E-7</v>
      </c>
      <c r="CR226" s="26">
        <f t="shared" si="288"/>
        <v>9.9999999999999995E-7</v>
      </c>
      <c r="CS226" s="26">
        <f t="shared" si="289"/>
        <v>3.9999999999999994E-2</v>
      </c>
      <c r="CT226" s="7">
        <v>13.3217933937644</v>
      </c>
      <c r="CU226" s="7">
        <v>72.771853396363895</v>
      </c>
      <c r="CV226" s="7">
        <v>167.707917393011</v>
      </c>
      <c r="CW226" s="7">
        <v>72.771853396363895</v>
      </c>
      <c r="CX226" s="7">
        <v>1521318.0389038101</v>
      </c>
      <c r="CY226" s="7">
        <v>1018.59163578813</v>
      </c>
      <c r="CZ226" s="7">
        <f t="shared" si="290"/>
        <v>313.25162418573882</v>
      </c>
      <c r="DB226" s="28">
        <v>50</v>
      </c>
      <c r="DC226" s="26">
        <v>5.0000000000000002E-5</v>
      </c>
      <c r="DD226" s="28">
        <v>2</v>
      </c>
      <c r="DE226" s="28">
        <v>200</v>
      </c>
      <c r="DF226" s="26">
        <v>9.9999999999999995E-7</v>
      </c>
      <c r="DG226" s="26">
        <f t="shared" si="291"/>
        <v>1.9999999999999999E-6</v>
      </c>
      <c r="DH226" s="26">
        <f t="shared" si="292"/>
        <v>7.9999999999999988E-2</v>
      </c>
      <c r="DI226" s="7">
        <v>13.350262074787301</v>
      </c>
      <c r="DJ226" s="7">
        <v>72.444208829560395</v>
      </c>
      <c r="DK226" s="7">
        <v>166.964817403171</v>
      </c>
      <c r="DL226" s="7">
        <v>72.444208829560395</v>
      </c>
      <c r="DM226" s="7">
        <v>760659.01945190295</v>
      </c>
      <c r="DN226" s="7">
        <v>1018.59163578813</v>
      </c>
      <c r="DO226" s="7">
        <f t="shared" si="293"/>
        <v>311.85323506229179</v>
      </c>
      <c r="DQ226" s="28">
        <v>50</v>
      </c>
      <c r="DR226" s="26">
        <v>5.0000000000000002E-5</v>
      </c>
      <c r="DS226" s="28">
        <v>15</v>
      </c>
      <c r="DT226" s="28">
        <v>300</v>
      </c>
      <c r="DU226" s="26">
        <v>7.5000000000000002E-7</v>
      </c>
      <c r="DV226" s="26">
        <f t="shared" si="294"/>
        <v>1.1250000000000001E-5</v>
      </c>
      <c r="DW226" s="26">
        <f t="shared" si="295"/>
        <v>0.45</v>
      </c>
      <c r="DX226" s="7">
        <v>17.3876836995708</v>
      </c>
      <c r="DY226" s="7">
        <v>46.620018473906597</v>
      </c>
      <c r="DZ226" s="7">
        <v>107.50242472112301</v>
      </c>
      <c r="EA226" s="7">
        <v>46.620018473906597</v>
      </c>
      <c r="EB226" s="7">
        <v>101421.202593587</v>
      </c>
      <c r="EC226" s="7">
        <v>814.87330863050397</v>
      </c>
      <c r="ED226" s="7">
        <f t="shared" si="296"/>
        <v>200.74246166893619</v>
      </c>
    </row>
    <row r="227" spans="1:134" x14ac:dyDescent="0.4">
      <c r="A227" s="28">
        <v>55.000000000000007</v>
      </c>
      <c r="B227" s="26">
        <v>1.0000000000000001E-5</v>
      </c>
      <c r="C227" s="28">
        <v>0.2</v>
      </c>
      <c r="D227" s="28">
        <v>30</v>
      </c>
      <c r="E227" s="26">
        <v>9.9999999999999995E-7</v>
      </c>
      <c r="F227" s="26">
        <f t="shared" si="270"/>
        <v>1.9999999999999999E-7</v>
      </c>
      <c r="G227" s="26">
        <f t="shared" si="271"/>
        <v>3.9999999999999994E-2</v>
      </c>
      <c r="H227" s="7">
        <v>2.6586618761864198</v>
      </c>
      <c r="I227" s="7">
        <v>2061.2283400943002</v>
      </c>
      <c r="J227" s="7">
        <v>5692.8014386926097</v>
      </c>
      <c r="K227" s="7">
        <v>2061.2283400943002</v>
      </c>
      <c r="L227" s="7">
        <v>72349793.874809399</v>
      </c>
      <c r="M227" s="7">
        <v>25464.790894703299</v>
      </c>
      <c r="N227" s="7">
        <f t="shared" si="272"/>
        <v>9815.2581188812092</v>
      </c>
      <c r="P227" s="28">
        <v>55.000000000000007</v>
      </c>
      <c r="Q227" s="26">
        <v>3.0000000000000001E-5</v>
      </c>
      <c r="R227" s="28">
        <v>0.2</v>
      </c>
      <c r="S227" s="28">
        <v>30</v>
      </c>
      <c r="T227" s="26">
        <v>9.9999999999999995E-7</v>
      </c>
      <c r="U227" s="26">
        <f t="shared" si="273"/>
        <v>1.9999999999999999E-7</v>
      </c>
      <c r="V227" s="26">
        <f t="shared" si="274"/>
        <v>1.3333333333333332E-2</v>
      </c>
      <c r="W227" s="7">
        <v>6.0251402041106301</v>
      </c>
      <c r="X227" s="7">
        <v>687.07611335802699</v>
      </c>
      <c r="Y227" s="7">
        <v>1897.6004795642</v>
      </c>
      <c r="Z227" s="7">
        <v>687.07611335802699</v>
      </c>
      <c r="AA227" s="7">
        <v>24116597.9983452</v>
      </c>
      <c r="AB227" s="7">
        <v>2829.4212105225802</v>
      </c>
      <c r="AC227" s="7">
        <f t="shared" si="275"/>
        <v>3271.7527062802537</v>
      </c>
      <c r="AE227" s="28">
        <v>55.000000000000007</v>
      </c>
      <c r="AF227" s="26">
        <v>5.0000000000000002E-5</v>
      </c>
      <c r="AG227" s="28">
        <v>0.2</v>
      </c>
      <c r="AH227" s="28">
        <v>30</v>
      </c>
      <c r="AI227" s="26">
        <v>9.9999999999999995E-7</v>
      </c>
      <c r="AJ227" s="26">
        <f t="shared" si="276"/>
        <v>1.9999999999999999E-7</v>
      </c>
      <c r="AK227" s="26">
        <f t="shared" si="277"/>
        <v>7.9999999999999984E-3</v>
      </c>
      <c r="AL227" s="7">
        <v>8.0699819941788604</v>
      </c>
      <c r="AM227" s="7">
        <v>412.24566795777702</v>
      </c>
      <c r="AN227" s="7">
        <v>1138.5602877385199</v>
      </c>
      <c r="AO227" s="7">
        <v>412.24566795777702</v>
      </c>
      <c r="AP227" s="7">
        <v>14469959.1382923</v>
      </c>
      <c r="AQ227" s="7">
        <v>1018.59163578813</v>
      </c>
      <c r="AR227" s="7">
        <f t="shared" si="278"/>
        <v>1963.0516236540739</v>
      </c>
      <c r="AT227" s="28">
        <v>55.000000000000007</v>
      </c>
      <c r="AU227" s="26">
        <v>1.0000000000000001E-5</v>
      </c>
      <c r="AV227" s="28">
        <v>0.2</v>
      </c>
      <c r="AW227" s="28">
        <v>200</v>
      </c>
      <c r="AX227" s="26">
        <v>9.9999999999999995E-7</v>
      </c>
      <c r="AY227" s="26">
        <f t="shared" si="279"/>
        <v>1.9999999999999999E-7</v>
      </c>
      <c r="AZ227" s="26">
        <f t="shared" si="280"/>
        <v>3.9999999999999994E-2</v>
      </c>
      <c r="BA227" s="7">
        <v>3.08121941551547</v>
      </c>
      <c r="BB227" s="7">
        <v>310.62949089263498</v>
      </c>
      <c r="BC227" s="7">
        <v>857.43494866405695</v>
      </c>
      <c r="BD227" s="7">
        <v>310.62949089263498</v>
      </c>
      <c r="BE227" s="7">
        <v>72349793.874809399</v>
      </c>
      <c r="BF227" s="7">
        <v>25464.790894703299</v>
      </c>
      <c r="BG227" s="7">
        <f t="shared" si="281"/>
        <v>1478.6939304493269</v>
      </c>
      <c r="BI227" s="28">
        <v>55.000000000000007</v>
      </c>
      <c r="BJ227" s="26">
        <v>1.0000000000000001E-5</v>
      </c>
      <c r="BK227" s="28">
        <v>0.5</v>
      </c>
      <c r="BL227" s="28">
        <v>200</v>
      </c>
      <c r="BM227" s="26">
        <v>9.9999999999999995E-7</v>
      </c>
      <c r="BN227" s="26">
        <f t="shared" si="282"/>
        <v>4.9999999999999998E-7</v>
      </c>
      <c r="BO227" s="26">
        <f t="shared" si="283"/>
        <v>9.9999999999999992E-2</v>
      </c>
      <c r="BP227" s="7">
        <v>3.0846648664213898</v>
      </c>
      <c r="BQ227" s="7">
        <v>310.245574031601</v>
      </c>
      <c r="BR227" s="7">
        <v>856.50167124423206</v>
      </c>
      <c r="BS227" s="7">
        <v>310.245574031601</v>
      </c>
      <c r="BT227" s="7">
        <v>28939917.5499238</v>
      </c>
      <c r="BU227" s="7">
        <v>25464.790894703299</v>
      </c>
      <c r="BV227" s="7">
        <f t="shared" si="284"/>
        <v>1476.9928193074338</v>
      </c>
      <c r="BX227" s="28">
        <v>55.000000000000007</v>
      </c>
      <c r="BY227" s="26">
        <v>5.0000000000000002E-5</v>
      </c>
      <c r="BZ227" s="28">
        <v>0.5</v>
      </c>
      <c r="CA227" s="28">
        <v>200</v>
      </c>
      <c r="CB227" s="26">
        <v>9.9999999999999995E-7</v>
      </c>
      <c r="CC227" s="26">
        <f t="shared" si="285"/>
        <v>4.9999999999999998E-7</v>
      </c>
      <c r="CD227" s="26">
        <f t="shared" si="286"/>
        <v>1.9999999999999997E-2</v>
      </c>
      <c r="CE227" s="7">
        <v>13.841275502409101</v>
      </c>
      <c r="CF227" s="7">
        <v>62.049114802860501</v>
      </c>
      <c r="CG227" s="7">
        <v>171.30033424884601</v>
      </c>
      <c r="CH227" s="7">
        <v>62.049114802860501</v>
      </c>
      <c r="CI227" s="7">
        <v>5787983.6553169098</v>
      </c>
      <c r="CJ227" s="7">
        <v>1018.59163578813</v>
      </c>
      <c r="CK227" s="7">
        <f t="shared" si="287"/>
        <v>295.39856385456704</v>
      </c>
      <c r="CM227" s="28">
        <v>55.000000000000007</v>
      </c>
      <c r="CN227" s="26">
        <v>5.0000000000000002E-5</v>
      </c>
      <c r="CO227" s="28">
        <v>1</v>
      </c>
      <c r="CP227" s="28">
        <v>200</v>
      </c>
      <c r="CQ227" s="26">
        <v>9.9999999999999995E-7</v>
      </c>
      <c r="CR227" s="26">
        <f t="shared" si="288"/>
        <v>9.9999999999999995E-7</v>
      </c>
      <c r="CS227" s="26">
        <f t="shared" si="289"/>
        <v>3.9999999999999994E-2</v>
      </c>
      <c r="CT227" s="7">
        <v>13.850204868589</v>
      </c>
      <c r="CU227" s="7">
        <v>61.921576216120698</v>
      </c>
      <c r="CV227" s="7">
        <v>170.99017320176</v>
      </c>
      <c r="CW227" s="7">
        <v>61.921576216120698</v>
      </c>
      <c r="CX227" s="7">
        <v>2893991.8276584502</v>
      </c>
      <c r="CY227" s="7">
        <v>1018.59163578813</v>
      </c>
      <c r="CZ227" s="7">
        <f t="shared" si="290"/>
        <v>294.83332563400137</v>
      </c>
      <c r="DB227" s="28">
        <v>55.000000000000007</v>
      </c>
      <c r="DC227" s="26">
        <v>5.0000000000000002E-5</v>
      </c>
      <c r="DD227" s="28">
        <v>2</v>
      </c>
      <c r="DE227" s="28">
        <v>200</v>
      </c>
      <c r="DF227" s="26">
        <v>9.9999999999999995E-7</v>
      </c>
      <c r="DG227" s="26">
        <f t="shared" si="291"/>
        <v>1.9999999999999999E-6</v>
      </c>
      <c r="DH227" s="26">
        <f t="shared" si="292"/>
        <v>7.9999999999999988E-2</v>
      </c>
      <c r="DI227" s="7">
        <v>13.868028704957499</v>
      </c>
      <c r="DJ227" s="7">
        <v>61.6681127663864</v>
      </c>
      <c r="DK227" s="7">
        <v>170.373319720317</v>
      </c>
      <c r="DL227" s="7">
        <v>61.6681127663864</v>
      </c>
      <c r="DM227" s="7">
        <v>1446995.91382923</v>
      </c>
      <c r="DN227" s="7">
        <v>1018.59163578813</v>
      </c>
      <c r="DO227" s="7">
        <f t="shared" si="293"/>
        <v>293.7095452530898</v>
      </c>
      <c r="DQ227" s="28">
        <v>55.000000000000007</v>
      </c>
      <c r="DR227" s="26">
        <v>5.0000000000000002E-5</v>
      </c>
      <c r="DS227" s="28">
        <v>15</v>
      </c>
      <c r="DT227" s="28">
        <v>300</v>
      </c>
      <c r="DU227" s="26">
        <v>7.5000000000000002E-7</v>
      </c>
      <c r="DV227" s="26">
        <f t="shared" si="294"/>
        <v>1.1250000000000001E-5</v>
      </c>
      <c r="DW227" s="26">
        <f t="shared" si="295"/>
        <v>0.45</v>
      </c>
      <c r="DX227" s="7">
        <v>17.901921813176301</v>
      </c>
      <c r="DY227" s="7">
        <v>39.809859656104699</v>
      </c>
      <c r="DZ227" s="7">
        <v>110.399385072318</v>
      </c>
      <c r="EA227" s="7">
        <v>39.809859656104699</v>
      </c>
      <c r="EB227" s="7">
        <v>192932.78851056399</v>
      </c>
      <c r="EC227" s="7">
        <v>814.87330863050397</v>
      </c>
      <c r="ED227" s="7">
        <f t="shared" si="296"/>
        <v>190.0191043845274</v>
      </c>
    </row>
    <row r="228" spans="1:134" x14ac:dyDescent="0.4">
      <c r="A228" s="28">
        <v>60</v>
      </c>
      <c r="B228" s="26">
        <v>1.0000000000000001E-5</v>
      </c>
      <c r="C228" s="28">
        <v>0.2</v>
      </c>
      <c r="D228" s="28">
        <v>30</v>
      </c>
      <c r="E228" s="26">
        <v>9.9999999999999995E-7</v>
      </c>
      <c r="F228" s="26">
        <f t="shared" si="270"/>
        <v>1.9999999999999999E-7</v>
      </c>
      <c r="G228" s="26">
        <f t="shared" si="271"/>
        <v>3.9999999999999994E-2</v>
      </c>
      <c r="H228" s="7">
        <v>2.7594518350021202</v>
      </c>
      <c r="I228" s="7">
        <v>1747.4582681561301</v>
      </c>
      <c r="J228" s="7">
        <v>5794.3371345962596</v>
      </c>
      <c r="K228" s="7">
        <v>1747.4582681561301</v>
      </c>
      <c r="L228" s="7">
        <v>173207643.02618799</v>
      </c>
      <c r="M228" s="7">
        <v>25464.790894703299</v>
      </c>
      <c r="N228" s="7">
        <f t="shared" si="272"/>
        <v>9289.2536709085198</v>
      </c>
      <c r="P228" s="28">
        <v>60</v>
      </c>
      <c r="Q228" s="26">
        <v>3.0000000000000001E-5</v>
      </c>
      <c r="R228" s="28">
        <v>0.2</v>
      </c>
      <c r="S228" s="28">
        <v>30</v>
      </c>
      <c r="T228" s="26">
        <v>9.9999999999999995E-7</v>
      </c>
      <c r="U228" s="26">
        <f t="shared" si="273"/>
        <v>1.9999999999999999E-7</v>
      </c>
      <c r="V228" s="26">
        <f t="shared" si="274"/>
        <v>1.3333333333333332E-2</v>
      </c>
      <c r="W228" s="7">
        <v>6.3252798026503099</v>
      </c>
      <c r="X228" s="7">
        <v>582.48608937969198</v>
      </c>
      <c r="Y228" s="7">
        <v>1931.4457115320899</v>
      </c>
      <c r="Z228" s="7">
        <v>582.48608937969198</v>
      </c>
      <c r="AA228" s="7">
        <v>57735881.0752545</v>
      </c>
      <c r="AB228" s="7">
        <v>2829.4212105225802</v>
      </c>
      <c r="AC228" s="7">
        <f t="shared" si="275"/>
        <v>3096.4178902914737</v>
      </c>
      <c r="AE228" s="28">
        <v>60</v>
      </c>
      <c r="AF228" s="26">
        <v>5.0000000000000002E-5</v>
      </c>
      <c r="AG228" s="28">
        <v>0.2</v>
      </c>
      <c r="AH228" s="28">
        <v>30</v>
      </c>
      <c r="AI228" s="26">
        <v>9.9999999999999995E-7</v>
      </c>
      <c r="AJ228" s="26">
        <f t="shared" si="276"/>
        <v>1.9999999999999999E-7</v>
      </c>
      <c r="AK228" s="26">
        <f t="shared" si="277"/>
        <v>7.9999999999999984E-3</v>
      </c>
      <c r="AL228" s="7">
        <v>8.5304467651506606</v>
      </c>
      <c r="AM228" s="7">
        <v>349.491653579706</v>
      </c>
      <c r="AN228" s="7">
        <v>1158.86742691925</v>
      </c>
      <c r="AO228" s="7">
        <v>349.491653579706</v>
      </c>
      <c r="AP228" s="7">
        <v>34641529.208382502</v>
      </c>
      <c r="AQ228" s="7">
        <v>1018.59163578813</v>
      </c>
      <c r="AR228" s="7">
        <f t="shared" si="278"/>
        <v>1857.8507340786621</v>
      </c>
      <c r="AT228" s="28">
        <v>60</v>
      </c>
      <c r="AU228" s="26">
        <v>1.0000000000000001E-5</v>
      </c>
      <c r="AV228" s="28">
        <v>0.2</v>
      </c>
      <c r="AW228" s="28">
        <v>200</v>
      </c>
      <c r="AX228" s="26">
        <v>9.9999999999999995E-7</v>
      </c>
      <c r="AY228" s="26">
        <f t="shared" si="279"/>
        <v>1.9999999999999999E-7</v>
      </c>
      <c r="AZ228" s="26">
        <f t="shared" si="280"/>
        <v>3.9999999999999994E-2</v>
      </c>
      <c r="BA228" s="7">
        <v>3.1754136757129099</v>
      </c>
      <c r="BB228" s="7">
        <v>263.235986756096</v>
      </c>
      <c r="BC228" s="7">
        <v>872.060132412553</v>
      </c>
      <c r="BD228" s="7">
        <v>263.235986756096</v>
      </c>
      <c r="BE228" s="7">
        <v>173207643.02618799</v>
      </c>
      <c r="BF228" s="7">
        <v>25464.790894703299</v>
      </c>
      <c r="BG228" s="7">
        <f t="shared" si="281"/>
        <v>1398.5321059247451</v>
      </c>
      <c r="BI228" s="28">
        <v>60</v>
      </c>
      <c r="BJ228" s="26">
        <v>1.0000000000000001E-5</v>
      </c>
      <c r="BK228" s="28">
        <v>0.5</v>
      </c>
      <c r="BL228" s="28">
        <v>200</v>
      </c>
      <c r="BM228" s="26">
        <v>9.9999999999999995E-7</v>
      </c>
      <c r="BN228" s="26">
        <f t="shared" si="282"/>
        <v>4.9999999999999998E-7</v>
      </c>
      <c r="BO228" s="26">
        <f t="shared" si="283"/>
        <v>9.9999999999999992E-2</v>
      </c>
      <c r="BP228" s="7">
        <v>3.1769350787886101</v>
      </c>
      <c r="BQ228" s="7">
        <v>262.93930247937197</v>
      </c>
      <c r="BR228" s="7">
        <v>871.287964463192</v>
      </c>
      <c r="BS228" s="7">
        <v>262.93930247937197</v>
      </c>
      <c r="BT228" s="7">
        <v>69283057.210475206</v>
      </c>
      <c r="BU228" s="7">
        <v>25464.790894703299</v>
      </c>
      <c r="BV228" s="7">
        <f t="shared" si="284"/>
        <v>1397.1665694219359</v>
      </c>
      <c r="BX228" s="28">
        <v>60</v>
      </c>
      <c r="BY228" s="26">
        <v>5.0000000000000002E-5</v>
      </c>
      <c r="BZ228" s="28">
        <v>0.5</v>
      </c>
      <c r="CA228" s="28">
        <v>200</v>
      </c>
      <c r="CB228" s="26">
        <v>9.9999999999999995E-7</v>
      </c>
      <c r="CC228" s="26">
        <f t="shared" si="285"/>
        <v>4.9999999999999998E-7</v>
      </c>
      <c r="CD228" s="26">
        <f t="shared" si="286"/>
        <v>1.9999999999999997E-2</v>
      </c>
      <c r="CE228" s="7">
        <v>14.34341758175</v>
      </c>
      <c r="CF228" s="7">
        <v>52.5878604929581</v>
      </c>
      <c r="CG228" s="7">
        <v>174.257592892638</v>
      </c>
      <c r="CH228" s="7">
        <v>52.5878604929581</v>
      </c>
      <c r="CI228" s="7">
        <v>13856611.683352999</v>
      </c>
      <c r="CJ228" s="7">
        <v>1018.59163578813</v>
      </c>
      <c r="CK228" s="7">
        <f t="shared" si="287"/>
        <v>279.4333138785542</v>
      </c>
      <c r="CM228" s="28">
        <v>60</v>
      </c>
      <c r="CN228" s="26">
        <v>5.0000000000000002E-5</v>
      </c>
      <c r="CO228" s="28">
        <v>1</v>
      </c>
      <c r="CP228" s="28">
        <v>200</v>
      </c>
      <c r="CQ228" s="26">
        <v>9.9999999999999995E-7</v>
      </c>
      <c r="CR228" s="26">
        <f t="shared" si="288"/>
        <v>9.9999999999999995E-7</v>
      </c>
      <c r="CS228" s="26">
        <f t="shared" si="289"/>
        <v>3.9999999999999994E-2</v>
      </c>
      <c r="CT228" s="7">
        <v>14.348625835493699</v>
      </c>
      <c r="CU228" s="7">
        <v>52.489267736237203</v>
      </c>
      <c r="CV228" s="7">
        <v>174.00084097458901</v>
      </c>
      <c r="CW228" s="7">
        <v>52.489267736237203</v>
      </c>
      <c r="CX228" s="7">
        <v>6928305.8416764997</v>
      </c>
      <c r="CY228" s="7">
        <v>1018.59163578813</v>
      </c>
      <c r="CZ228" s="7">
        <f t="shared" si="290"/>
        <v>278.97937644706343</v>
      </c>
      <c r="DB228" s="28">
        <v>60</v>
      </c>
      <c r="DC228" s="26">
        <v>5.0000000000000002E-5</v>
      </c>
      <c r="DD228" s="28">
        <v>2</v>
      </c>
      <c r="DE228" s="28">
        <v>200</v>
      </c>
      <c r="DF228" s="26">
        <v>9.9999999999999995E-7</v>
      </c>
      <c r="DG228" s="26">
        <f t="shared" si="291"/>
        <v>1.9999999999999999E-6</v>
      </c>
      <c r="DH228" s="26">
        <f t="shared" si="292"/>
        <v>7.9999999999999988E-2</v>
      </c>
      <c r="DI228" s="7">
        <v>14.359016981002201</v>
      </c>
      <c r="DJ228" s="7">
        <v>52.293206867341603</v>
      </c>
      <c r="DK228" s="7">
        <v>173.489713442035</v>
      </c>
      <c r="DL228" s="7">
        <v>52.293206867341603</v>
      </c>
      <c r="DM228" s="7">
        <v>3464152.9208382498</v>
      </c>
      <c r="DN228" s="7">
        <v>1018.59163578813</v>
      </c>
      <c r="DO228" s="7">
        <f t="shared" si="293"/>
        <v>278.07612717671822</v>
      </c>
      <c r="DQ228" s="28">
        <v>60</v>
      </c>
      <c r="DR228" s="26">
        <v>5.0000000000000002E-5</v>
      </c>
      <c r="DS228" s="28">
        <v>15</v>
      </c>
      <c r="DT228" s="28">
        <v>300</v>
      </c>
      <c r="DU228" s="26">
        <v>7.5000000000000002E-7</v>
      </c>
      <c r="DV228" s="26">
        <f t="shared" si="294"/>
        <v>1.1250000000000001E-5</v>
      </c>
      <c r="DW228" s="26">
        <f t="shared" si="295"/>
        <v>0.45</v>
      </c>
      <c r="DX228" s="7">
        <v>18.422351720857399</v>
      </c>
      <c r="DY228" s="7">
        <v>33.851188115179603</v>
      </c>
      <c r="DZ228" s="7">
        <v>113.007558882322</v>
      </c>
      <c r="EA228" s="7">
        <v>33.851188115179603</v>
      </c>
      <c r="EB228" s="7">
        <v>461887.05611176701</v>
      </c>
      <c r="EC228" s="7">
        <v>814.87330863050397</v>
      </c>
      <c r="ED228" s="7">
        <f t="shared" si="296"/>
        <v>180.70993511268122</v>
      </c>
    </row>
    <row r="229" spans="1:134" x14ac:dyDescent="0.4">
      <c r="A229" s="28">
        <v>65</v>
      </c>
      <c r="B229" s="26">
        <v>1.0000000000000001E-5</v>
      </c>
      <c r="C229" s="28">
        <v>0.2</v>
      </c>
      <c r="D229" s="28">
        <v>30</v>
      </c>
      <c r="E229" s="26">
        <v>9.9999999999999995E-7</v>
      </c>
      <c r="F229" s="26">
        <f t="shared" si="270"/>
        <v>1.9999999999999999E-7</v>
      </c>
      <c r="G229" s="26">
        <f t="shared" si="271"/>
        <v>3.9999999999999994E-2</v>
      </c>
      <c r="H229" s="7">
        <v>2.8550937529526399</v>
      </c>
      <c r="I229" s="7">
        <v>1470.52695643265</v>
      </c>
      <c r="J229" s="7">
        <v>5888.0994972997396</v>
      </c>
      <c r="K229" s="7">
        <v>1470.52695643265</v>
      </c>
      <c r="L229" s="7">
        <v>859463306.304919</v>
      </c>
      <c r="M229" s="7">
        <v>25464.790894703299</v>
      </c>
      <c r="N229" s="7">
        <f t="shared" si="272"/>
        <v>8829.1534101650395</v>
      </c>
      <c r="P229" s="28">
        <v>65</v>
      </c>
      <c r="Q229" s="26">
        <v>3.0000000000000001E-5</v>
      </c>
      <c r="R229" s="28">
        <v>0.2</v>
      </c>
      <c r="S229" s="28">
        <v>30</v>
      </c>
      <c r="T229" s="26">
        <v>9.9999999999999995E-7</v>
      </c>
      <c r="U229" s="26">
        <f t="shared" si="273"/>
        <v>1.9999999999999999E-7</v>
      </c>
      <c r="V229" s="26">
        <f t="shared" si="274"/>
        <v>1.3333333333333332E-2</v>
      </c>
      <c r="W229" s="7">
        <v>6.6113370142657502</v>
      </c>
      <c r="X229" s="7">
        <v>490.175652139448</v>
      </c>
      <c r="Y229" s="7">
        <v>1962.6998324332501</v>
      </c>
      <c r="Z229" s="7">
        <v>490.175652139448</v>
      </c>
      <c r="AA229" s="7">
        <v>286487768.88169003</v>
      </c>
      <c r="AB229" s="7">
        <v>2829.4212105225802</v>
      </c>
      <c r="AC229" s="7">
        <f t="shared" si="275"/>
        <v>2943.0511367121462</v>
      </c>
      <c r="AE229" s="28">
        <v>65</v>
      </c>
      <c r="AF229" s="26">
        <v>5.0000000000000002E-5</v>
      </c>
      <c r="AG229" s="28">
        <v>0.2</v>
      </c>
      <c r="AH229" s="28">
        <v>30</v>
      </c>
      <c r="AI229" s="26">
        <v>9.9999999999999995E-7</v>
      </c>
      <c r="AJ229" s="26">
        <f t="shared" si="276"/>
        <v>1.9999999999999999E-7</v>
      </c>
      <c r="AK229" s="26">
        <f t="shared" si="277"/>
        <v>7.9999999999999984E-3</v>
      </c>
      <c r="AL229" s="7">
        <v>8.97228913439241</v>
      </c>
      <c r="AM229" s="7">
        <v>294.10539124333502</v>
      </c>
      <c r="AN229" s="7">
        <v>1177.6198994599499</v>
      </c>
      <c r="AO229" s="7">
        <v>294.10539124333502</v>
      </c>
      <c r="AP229" s="7">
        <v>171892662.28655201</v>
      </c>
      <c r="AQ229" s="7">
        <v>1018.59163578813</v>
      </c>
      <c r="AR229" s="7">
        <f t="shared" si="278"/>
        <v>1765.8306819466197</v>
      </c>
      <c r="AT229" s="28">
        <v>65</v>
      </c>
      <c r="AU229" s="26">
        <v>1.0000000000000001E-5</v>
      </c>
      <c r="AV229" s="28">
        <v>0.2</v>
      </c>
      <c r="AW229" s="28">
        <v>200</v>
      </c>
      <c r="AX229" s="26">
        <v>9.9999999999999995E-7</v>
      </c>
      <c r="AY229" s="26">
        <f t="shared" si="279"/>
        <v>1.9999999999999999E-7</v>
      </c>
      <c r="AZ229" s="26">
        <f t="shared" si="280"/>
        <v>3.9999999999999994E-2</v>
      </c>
      <c r="BA229" s="7">
        <v>3.2648609014024101</v>
      </c>
      <c r="BB229" s="7">
        <v>221.436390808456</v>
      </c>
      <c r="BC229" s="7">
        <v>885.60719905590599</v>
      </c>
      <c r="BD229" s="7">
        <v>221.436390808456</v>
      </c>
      <c r="BE229" s="7">
        <v>859463306.304919</v>
      </c>
      <c r="BF229" s="7">
        <v>25464.790894703299</v>
      </c>
      <c r="BG229" s="7">
        <f t="shared" si="281"/>
        <v>1328.4799806728181</v>
      </c>
      <c r="BI229" s="28">
        <v>65</v>
      </c>
      <c r="BJ229" s="26">
        <v>1.0000000000000001E-5</v>
      </c>
      <c r="BK229" s="28">
        <v>0.5</v>
      </c>
      <c r="BL229" s="28">
        <v>200</v>
      </c>
      <c r="BM229" s="26">
        <v>9.9999999999999995E-7</v>
      </c>
      <c r="BN229" s="26">
        <f t="shared" si="282"/>
        <v>4.9999999999999998E-7</v>
      </c>
      <c r="BO229" s="26">
        <f t="shared" si="283"/>
        <v>9.9999999999999992E-2</v>
      </c>
      <c r="BP229" s="7">
        <v>3.2652267375515298</v>
      </c>
      <c r="BQ229" s="7">
        <v>221.20879187134</v>
      </c>
      <c r="BR229" s="7">
        <v>884.97259280428204</v>
      </c>
      <c r="BS229" s="7">
        <v>221.20879187134</v>
      </c>
      <c r="BT229" s="7">
        <v>343785322.52196801</v>
      </c>
      <c r="BU229" s="7">
        <v>25464.790894703299</v>
      </c>
      <c r="BV229" s="7">
        <f t="shared" si="284"/>
        <v>1327.390176546962</v>
      </c>
      <c r="BX229" s="28">
        <v>65</v>
      </c>
      <c r="BY229" s="26">
        <v>5.0000000000000002E-5</v>
      </c>
      <c r="BZ229" s="28">
        <v>0.5</v>
      </c>
      <c r="CA229" s="28">
        <v>200</v>
      </c>
      <c r="CB229" s="26">
        <v>9.9999999999999995E-7</v>
      </c>
      <c r="CC229" s="26">
        <f t="shared" si="285"/>
        <v>4.9999999999999998E-7</v>
      </c>
      <c r="CD229" s="26">
        <f t="shared" si="286"/>
        <v>1.9999999999999997E-2</v>
      </c>
      <c r="CE229" s="7">
        <v>14.8185616668418</v>
      </c>
      <c r="CF229" s="7">
        <v>44.241758371824098</v>
      </c>
      <c r="CG229" s="7">
        <v>176.99451856085599</v>
      </c>
      <c r="CH229" s="7">
        <v>44.241758371824098</v>
      </c>
      <c r="CI229" s="7">
        <v>68757064.914620593</v>
      </c>
      <c r="CJ229" s="7">
        <v>1018.59163578813</v>
      </c>
      <c r="CK229" s="7">
        <f t="shared" si="287"/>
        <v>265.4780353045042</v>
      </c>
      <c r="CM229" s="28">
        <v>65</v>
      </c>
      <c r="CN229" s="26">
        <v>5.0000000000000002E-5</v>
      </c>
      <c r="CO229" s="28">
        <v>1</v>
      </c>
      <c r="CP229" s="28">
        <v>200</v>
      </c>
      <c r="CQ229" s="26">
        <v>9.9999999999999995E-7</v>
      </c>
      <c r="CR229" s="26">
        <f t="shared" si="288"/>
        <v>9.9999999999999995E-7</v>
      </c>
      <c r="CS229" s="26">
        <f t="shared" si="289"/>
        <v>3.9999999999999994E-2</v>
      </c>
      <c r="CT229" s="7">
        <v>14.821390493388799</v>
      </c>
      <c r="CU229" s="7">
        <v>44.166101596649497</v>
      </c>
      <c r="CV229" s="7">
        <v>176.783417824277</v>
      </c>
      <c r="CW229" s="7">
        <v>44.166101596649497</v>
      </c>
      <c r="CX229" s="7">
        <v>34378532.457310297</v>
      </c>
      <c r="CY229" s="7">
        <v>1018.59163578813</v>
      </c>
      <c r="CZ229" s="7">
        <f t="shared" si="290"/>
        <v>265.11562101757602</v>
      </c>
      <c r="DB229" s="28">
        <v>65</v>
      </c>
      <c r="DC229" s="26">
        <v>5.0000000000000002E-5</v>
      </c>
      <c r="DD229" s="28">
        <v>2</v>
      </c>
      <c r="DE229" s="28">
        <v>200</v>
      </c>
      <c r="DF229" s="26">
        <v>9.9999999999999995E-7</v>
      </c>
      <c r="DG229" s="26">
        <f t="shared" si="291"/>
        <v>1.9999999999999999E-6</v>
      </c>
      <c r="DH229" s="26">
        <f t="shared" si="292"/>
        <v>7.9999999999999988E-2</v>
      </c>
      <c r="DI229" s="7">
        <v>14.827029843106001</v>
      </c>
      <c r="DJ229" s="7">
        <v>44.0155689113517</v>
      </c>
      <c r="DK229" s="7">
        <v>176.36283833637401</v>
      </c>
      <c r="DL229" s="7">
        <v>44.0155689113517</v>
      </c>
      <c r="DM229" s="7">
        <v>17189266.2286552</v>
      </c>
      <c r="DN229" s="7">
        <v>1018.59163578813</v>
      </c>
      <c r="DO229" s="7">
        <f t="shared" si="293"/>
        <v>264.3939761590774</v>
      </c>
      <c r="DQ229" s="28">
        <v>65</v>
      </c>
      <c r="DR229" s="26">
        <v>5.0000000000000002E-5</v>
      </c>
      <c r="DS229" s="28">
        <v>15</v>
      </c>
      <c r="DT229" s="28">
        <v>300</v>
      </c>
      <c r="DU229" s="26">
        <v>7.5000000000000002E-7</v>
      </c>
      <c r="DV229" s="26">
        <f t="shared" si="294"/>
        <v>1.1250000000000001E-5</v>
      </c>
      <c r="DW229" s="26">
        <f t="shared" si="295"/>
        <v>0.45</v>
      </c>
      <c r="DX229" s="7">
        <v>18.947226098401998</v>
      </c>
      <c r="DY229" s="7">
        <v>28.565057936355299</v>
      </c>
      <c r="DZ229" s="7">
        <v>115.382714159923</v>
      </c>
      <c r="EA229" s="7">
        <v>28.565057936355299</v>
      </c>
      <c r="EB229" s="7">
        <v>2291902.16382069</v>
      </c>
      <c r="EC229" s="7">
        <v>814.87330863050397</v>
      </c>
      <c r="ED229" s="7">
        <f t="shared" si="296"/>
        <v>172.51283003263359</v>
      </c>
    </row>
    <row r="230" spans="1:134" x14ac:dyDescent="0.4">
      <c r="A230" s="28">
        <v>70</v>
      </c>
      <c r="B230" s="26">
        <v>1.0000000000000001E-5</v>
      </c>
      <c r="C230" s="28">
        <v>0.2</v>
      </c>
      <c r="D230" s="28">
        <v>30</v>
      </c>
      <c r="E230" s="26">
        <v>9.9999999999999995E-7</v>
      </c>
      <c r="F230" s="26">
        <f t="shared" si="270"/>
        <v>1.9999999999999999E-7</v>
      </c>
      <c r="G230" s="26">
        <f t="shared" si="271"/>
        <v>3.9999999999999994E-2</v>
      </c>
      <c r="H230" s="7">
        <v>2.94639491915955</v>
      </c>
      <c r="I230" s="7">
        <v>1223.14114606982</v>
      </c>
      <c r="J230" s="7">
        <v>5975.2459753258199</v>
      </c>
      <c r="K230" s="7">
        <v>1223.14114606982</v>
      </c>
      <c r="L230" s="7" t="s">
        <v>94</v>
      </c>
      <c r="M230" s="7">
        <v>25464.790894703299</v>
      </c>
      <c r="N230" s="7">
        <f t="shared" si="272"/>
        <v>8421.5282674654591</v>
      </c>
      <c r="P230" s="28">
        <v>70</v>
      </c>
      <c r="Q230" s="26">
        <v>3.0000000000000001E-5</v>
      </c>
      <c r="R230" s="28">
        <v>0.2</v>
      </c>
      <c r="S230" s="28">
        <v>30</v>
      </c>
      <c r="T230" s="26">
        <v>9.9999999999999995E-7</v>
      </c>
      <c r="U230" s="26">
        <f t="shared" si="273"/>
        <v>1.9999999999999999E-7</v>
      </c>
      <c r="V230" s="26">
        <f t="shared" si="274"/>
        <v>1.3333333333333332E-2</v>
      </c>
      <c r="W230" s="7">
        <v>6.8852439867892699</v>
      </c>
      <c r="X230" s="7">
        <v>407.71371535265399</v>
      </c>
      <c r="Y230" s="7">
        <v>1991.7486584419401</v>
      </c>
      <c r="Z230" s="7">
        <v>407.71371535265399</v>
      </c>
      <c r="AA230" s="7" t="s">
        <v>94</v>
      </c>
      <c r="AB230" s="7">
        <v>2829.4212105225802</v>
      </c>
      <c r="AC230" s="7">
        <f t="shared" si="275"/>
        <v>2807.1760891472481</v>
      </c>
      <c r="AE230" s="28">
        <v>70</v>
      </c>
      <c r="AF230" s="26">
        <v>5.0000000000000002E-5</v>
      </c>
      <c r="AG230" s="28">
        <v>0.2</v>
      </c>
      <c r="AH230" s="28">
        <v>30</v>
      </c>
      <c r="AI230" s="26">
        <v>9.9999999999999995E-7</v>
      </c>
      <c r="AJ230" s="26">
        <f t="shared" si="276"/>
        <v>1.9999999999999999E-7</v>
      </c>
      <c r="AK230" s="26">
        <f t="shared" si="277"/>
        <v>7.9999999999999984E-3</v>
      </c>
      <c r="AL230" s="7">
        <v>9.3979486513267094</v>
      </c>
      <c r="AM230" s="7">
        <v>244.62822917813699</v>
      </c>
      <c r="AN230" s="7">
        <v>1195.0491950651599</v>
      </c>
      <c r="AO230" s="7">
        <v>244.62822917813699</v>
      </c>
      <c r="AP230" s="7" t="s">
        <v>94</v>
      </c>
      <c r="AQ230" s="7">
        <v>1018.59163578813</v>
      </c>
      <c r="AR230" s="7">
        <f t="shared" si="278"/>
        <v>1684.3056534214338</v>
      </c>
      <c r="AT230" s="28">
        <v>70</v>
      </c>
      <c r="AU230" s="26">
        <v>1.0000000000000001E-5</v>
      </c>
      <c r="AV230" s="28">
        <v>0.2</v>
      </c>
      <c r="AW230" s="28">
        <v>200</v>
      </c>
      <c r="AX230" s="26">
        <v>9.9999999999999995E-7</v>
      </c>
      <c r="AY230" s="26">
        <f t="shared" si="279"/>
        <v>1.9999999999999999E-7</v>
      </c>
      <c r="AZ230" s="26">
        <f t="shared" si="280"/>
        <v>3.9999999999999994E-2</v>
      </c>
      <c r="BA230" s="7">
        <v>3.3502883278118301</v>
      </c>
      <c r="BB230" s="7">
        <v>184.11844341766201</v>
      </c>
      <c r="BC230" s="7">
        <v>898.22894938474894</v>
      </c>
      <c r="BD230" s="7">
        <v>184.11844341766201</v>
      </c>
      <c r="BE230" s="7" t="s">
        <v>94</v>
      </c>
      <c r="BF230" s="7">
        <v>25464.790894703299</v>
      </c>
      <c r="BG230" s="7">
        <f t="shared" si="281"/>
        <v>1266.465836220073</v>
      </c>
      <c r="BI230" s="28">
        <v>70</v>
      </c>
      <c r="BJ230" s="26">
        <v>1.0000000000000001E-5</v>
      </c>
      <c r="BK230" s="28">
        <v>0.5</v>
      </c>
      <c r="BL230" s="28">
        <v>200</v>
      </c>
      <c r="BM230" s="26">
        <v>9.9999999999999995E-7</v>
      </c>
      <c r="BN230" s="26">
        <f t="shared" si="282"/>
        <v>4.9999999999999998E-7</v>
      </c>
      <c r="BO230" s="26">
        <f t="shared" si="283"/>
        <v>9.9999999999999992E-2</v>
      </c>
      <c r="BP230" s="7">
        <v>3.3503434364603701</v>
      </c>
      <c r="BQ230" s="7">
        <v>183.946660682919</v>
      </c>
      <c r="BR230" s="7">
        <v>897.71395999315905</v>
      </c>
      <c r="BS230" s="7">
        <v>183.946660682919</v>
      </c>
      <c r="BT230" s="7" t="s">
        <v>94</v>
      </c>
      <c r="BU230" s="7">
        <v>25464.790894703299</v>
      </c>
      <c r="BV230" s="7">
        <f t="shared" si="284"/>
        <v>1265.6072813589969</v>
      </c>
      <c r="BX230" s="28">
        <v>70</v>
      </c>
      <c r="BY230" s="26">
        <v>5.0000000000000002E-5</v>
      </c>
      <c r="BZ230" s="28">
        <v>0.5</v>
      </c>
      <c r="CA230" s="28">
        <v>200</v>
      </c>
      <c r="CB230" s="26">
        <v>9.9999999999999995E-7</v>
      </c>
      <c r="CC230" s="26">
        <f t="shared" si="285"/>
        <v>4.9999999999999998E-7</v>
      </c>
      <c r="CD230" s="26">
        <f t="shared" si="286"/>
        <v>1.9999999999999997E-2</v>
      </c>
      <c r="CE230" s="7">
        <v>15.270615040179701</v>
      </c>
      <c r="CF230" s="7">
        <v>36.7893321345583</v>
      </c>
      <c r="CG230" s="7">
        <v>179.542791998632</v>
      </c>
      <c r="CH230" s="7">
        <v>36.7893321345583</v>
      </c>
      <c r="CI230" s="7" t="s">
        <v>94</v>
      </c>
      <c r="CJ230" s="7">
        <v>1018.59163578813</v>
      </c>
      <c r="CK230" s="7">
        <f t="shared" si="287"/>
        <v>253.12145626774858</v>
      </c>
      <c r="CM230" s="28">
        <v>70</v>
      </c>
      <c r="CN230" s="26">
        <v>5.0000000000000002E-5</v>
      </c>
      <c r="CO230" s="28">
        <v>1</v>
      </c>
      <c r="CP230" s="28">
        <v>200</v>
      </c>
      <c r="CQ230" s="26">
        <v>9.9999999999999995E-7</v>
      </c>
      <c r="CR230" s="26">
        <f t="shared" si="288"/>
        <v>9.9999999999999995E-7</v>
      </c>
      <c r="CS230" s="26">
        <f t="shared" si="289"/>
        <v>3.9999999999999994E-2</v>
      </c>
      <c r="CT230" s="7">
        <v>15.2725195540533</v>
      </c>
      <c r="CU230" s="7">
        <v>36.732214141098297</v>
      </c>
      <c r="CV230" s="7">
        <v>179.37142238436701</v>
      </c>
      <c r="CW230" s="7">
        <v>36.732214141098297</v>
      </c>
      <c r="CX230" s="7" t="s">
        <v>94</v>
      </c>
      <c r="CY230" s="7">
        <v>1018.59163578813</v>
      </c>
      <c r="CZ230" s="7">
        <f t="shared" si="290"/>
        <v>252.8358506665636</v>
      </c>
      <c r="DB230" s="28">
        <v>70</v>
      </c>
      <c r="DC230" s="26">
        <v>5.0000000000000002E-5</v>
      </c>
      <c r="DD230" s="28">
        <v>2</v>
      </c>
      <c r="DE230" s="28">
        <v>200</v>
      </c>
      <c r="DF230" s="26">
        <v>9.9999999999999995E-7</v>
      </c>
      <c r="DG230" s="26">
        <f t="shared" si="291"/>
        <v>1.9999999999999999E-6</v>
      </c>
      <c r="DH230" s="26">
        <f t="shared" si="292"/>
        <v>7.9999999999999988E-2</v>
      </c>
      <c r="DI230" s="7">
        <v>15.276315582155901</v>
      </c>
      <c r="DJ230" s="7">
        <v>36.618511090650998</v>
      </c>
      <c r="DK230" s="7">
        <v>179.02977916857401</v>
      </c>
      <c r="DL230" s="7">
        <v>36.618511090650998</v>
      </c>
      <c r="DM230" s="7" t="s">
        <v>94</v>
      </c>
      <c r="DN230" s="7">
        <v>1018.59163578813</v>
      </c>
      <c r="DO230" s="7">
        <f t="shared" si="293"/>
        <v>252.266801349876</v>
      </c>
      <c r="DQ230" s="28">
        <v>70</v>
      </c>
      <c r="DR230" s="26">
        <v>5.0000000000000002E-5</v>
      </c>
      <c r="DS230" s="28">
        <v>15</v>
      </c>
      <c r="DT230" s="28">
        <v>300</v>
      </c>
      <c r="DU230" s="26">
        <v>7.5000000000000002E-7</v>
      </c>
      <c r="DV230" s="26">
        <f t="shared" si="294"/>
        <v>1.1250000000000001E-5</v>
      </c>
      <c r="DW230" s="26">
        <f t="shared" si="295"/>
        <v>0.45</v>
      </c>
      <c r="DX230" s="7">
        <v>19.484791140924202</v>
      </c>
      <c r="DY230" s="7">
        <v>23.8224846510956</v>
      </c>
      <c r="DZ230" s="7">
        <v>117.565391453988</v>
      </c>
      <c r="EA230" s="7">
        <v>23.8224846510956</v>
      </c>
      <c r="EB230" s="7" t="s">
        <v>94</v>
      </c>
      <c r="EC230" s="7">
        <v>814.87330863050397</v>
      </c>
      <c r="ED230" s="7">
        <f t="shared" si="296"/>
        <v>165.2103607561792</v>
      </c>
    </row>
    <row r="231" spans="1:134" x14ac:dyDescent="0.4">
      <c r="B231" s="26"/>
      <c r="E231" s="26"/>
      <c r="F231" s="26"/>
      <c r="G231" s="26"/>
      <c r="Q231" s="26"/>
      <c r="T231" s="26"/>
      <c r="U231" s="26"/>
      <c r="V231" s="26"/>
      <c r="AF231" s="26"/>
      <c r="AI231" s="26"/>
      <c r="AJ231" s="26"/>
      <c r="AK231" s="26"/>
      <c r="AU231" s="26"/>
      <c r="AX231" s="26"/>
      <c r="AY231" s="26"/>
      <c r="AZ231" s="26"/>
      <c r="BJ231" s="26"/>
      <c r="BM231" s="26"/>
      <c r="BN231" s="26"/>
      <c r="BO231" s="26"/>
      <c r="BY231" s="26"/>
      <c r="CB231" s="26"/>
      <c r="CC231" s="26"/>
      <c r="CD231" s="26"/>
      <c r="CN231" s="26"/>
      <c r="CQ231" s="26"/>
      <c r="CR231" s="26"/>
      <c r="CS231" s="26"/>
      <c r="DC231" s="26"/>
      <c r="DF231" s="26"/>
      <c r="DG231" s="26"/>
      <c r="DH231" s="26"/>
      <c r="DR231" s="26"/>
      <c r="DU231" s="26"/>
      <c r="DV231" s="26"/>
      <c r="DW231" s="26"/>
    </row>
    <row r="232" spans="1:134" s="36" customFormat="1" ht="47.25" x14ac:dyDescent="0.4">
      <c r="A232" s="53" t="s">
        <v>69</v>
      </c>
      <c r="B232" s="54" t="s">
        <v>93</v>
      </c>
      <c r="C232" s="39" t="s">
        <v>73</v>
      </c>
      <c r="D232" s="39" t="s">
        <v>98</v>
      </c>
      <c r="E232" s="39" t="s">
        <v>97</v>
      </c>
      <c r="F232" s="39" t="s">
        <v>99</v>
      </c>
      <c r="G232" s="39" t="s">
        <v>96</v>
      </c>
      <c r="H232" s="37" t="s">
        <v>60</v>
      </c>
      <c r="I232" s="37" t="s">
        <v>100</v>
      </c>
      <c r="J232" s="37" t="s">
        <v>101</v>
      </c>
      <c r="K232" s="37" t="s">
        <v>102</v>
      </c>
      <c r="L232" s="37" t="s">
        <v>103</v>
      </c>
      <c r="M232" s="37" t="s">
        <v>65</v>
      </c>
      <c r="N232" s="37" t="s">
        <v>68</v>
      </c>
      <c r="O232" s="55"/>
      <c r="P232" s="53" t="s">
        <v>69</v>
      </c>
      <c r="Q232" s="54" t="s">
        <v>93</v>
      </c>
      <c r="R232" s="39" t="s">
        <v>73</v>
      </c>
      <c r="S232" s="39" t="s">
        <v>98</v>
      </c>
      <c r="T232" s="39" t="s">
        <v>97</v>
      </c>
      <c r="U232" s="39" t="s">
        <v>99</v>
      </c>
      <c r="V232" s="39" t="s">
        <v>96</v>
      </c>
      <c r="W232" s="37" t="s">
        <v>60</v>
      </c>
      <c r="X232" s="37" t="s">
        <v>100</v>
      </c>
      <c r="Y232" s="37" t="s">
        <v>101</v>
      </c>
      <c r="Z232" s="37" t="s">
        <v>102</v>
      </c>
      <c r="AA232" s="37" t="s">
        <v>103</v>
      </c>
      <c r="AB232" s="37" t="s">
        <v>65</v>
      </c>
      <c r="AC232" s="37" t="s">
        <v>68</v>
      </c>
      <c r="AD232" s="55"/>
      <c r="AE232" s="53" t="s">
        <v>69</v>
      </c>
      <c r="AF232" s="54" t="s">
        <v>93</v>
      </c>
      <c r="AG232" s="39" t="s">
        <v>73</v>
      </c>
      <c r="AH232" s="39" t="s">
        <v>98</v>
      </c>
      <c r="AI232" s="39" t="s">
        <v>97</v>
      </c>
      <c r="AJ232" s="39" t="s">
        <v>99</v>
      </c>
      <c r="AK232" s="39" t="s">
        <v>96</v>
      </c>
      <c r="AL232" s="37" t="s">
        <v>60</v>
      </c>
      <c r="AM232" s="37" t="s">
        <v>100</v>
      </c>
      <c r="AN232" s="37" t="s">
        <v>101</v>
      </c>
      <c r="AO232" s="37" t="s">
        <v>102</v>
      </c>
      <c r="AP232" s="37" t="s">
        <v>103</v>
      </c>
      <c r="AQ232" s="37" t="s">
        <v>65</v>
      </c>
      <c r="AR232" s="37" t="s">
        <v>68</v>
      </c>
      <c r="AS232" s="55"/>
      <c r="AT232" s="53" t="s">
        <v>69</v>
      </c>
      <c r="AU232" s="54" t="s">
        <v>93</v>
      </c>
      <c r="AV232" s="39" t="s">
        <v>73</v>
      </c>
      <c r="AW232" s="39" t="s">
        <v>98</v>
      </c>
      <c r="AX232" s="39" t="s">
        <v>97</v>
      </c>
      <c r="AY232" s="39" t="s">
        <v>99</v>
      </c>
      <c r="AZ232" s="39" t="s">
        <v>96</v>
      </c>
      <c r="BA232" s="37" t="s">
        <v>60</v>
      </c>
      <c r="BB232" s="37" t="s">
        <v>100</v>
      </c>
      <c r="BC232" s="37" t="s">
        <v>101</v>
      </c>
      <c r="BD232" s="37" t="s">
        <v>102</v>
      </c>
      <c r="BE232" s="37" t="s">
        <v>103</v>
      </c>
      <c r="BF232" s="37" t="s">
        <v>65</v>
      </c>
      <c r="BG232" s="37" t="s">
        <v>68</v>
      </c>
      <c r="BH232" s="55"/>
      <c r="BI232" s="53" t="s">
        <v>69</v>
      </c>
      <c r="BJ232" s="54" t="s">
        <v>93</v>
      </c>
      <c r="BK232" s="39" t="s">
        <v>73</v>
      </c>
      <c r="BL232" s="39" t="s">
        <v>98</v>
      </c>
      <c r="BM232" s="39" t="s">
        <v>97</v>
      </c>
      <c r="BN232" s="39" t="s">
        <v>99</v>
      </c>
      <c r="BO232" s="39" t="s">
        <v>96</v>
      </c>
      <c r="BP232" s="37" t="s">
        <v>60</v>
      </c>
      <c r="BQ232" s="37" t="s">
        <v>100</v>
      </c>
      <c r="BR232" s="37" t="s">
        <v>101</v>
      </c>
      <c r="BS232" s="37" t="s">
        <v>102</v>
      </c>
      <c r="BT232" s="37" t="s">
        <v>103</v>
      </c>
      <c r="BU232" s="37" t="s">
        <v>65</v>
      </c>
      <c r="BV232" s="37" t="s">
        <v>68</v>
      </c>
      <c r="BW232" s="55"/>
      <c r="BX232" s="53" t="s">
        <v>69</v>
      </c>
      <c r="BY232" s="54" t="s">
        <v>93</v>
      </c>
      <c r="BZ232" s="39" t="s">
        <v>73</v>
      </c>
      <c r="CA232" s="39" t="s">
        <v>98</v>
      </c>
      <c r="CB232" s="39" t="s">
        <v>97</v>
      </c>
      <c r="CC232" s="39" t="s">
        <v>99</v>
      </c>
      <c r="CD232" s="39" t="s">
        <v>96</v>
      </c>
      <c r="CE232" s="37" t="s">
        <v>60</v>
      </c>
      <c r="CF232" s="37" t="s">
        <v>100</v>
      </c>
      <c r="CG232" s="37" t="s">
        <v>101</v>
      </c>
      <c r="CH232" s="37" t="s">
        <v>102</v>
      </c>
      <c r="CI232" s="37" t="s">
        <v>103</v>
      </c>
      <c r="CJ232" s="37" t="s">
        <v>65</v>
      </c>
      <c r="CK232" s="37" t="s">
        <v>68</v>
      </c>
      <c r="CL232" s="55"/>
      <c r="CM232" s="53" t="s">
        <v>69</v>
      </c>
      <c r="CN232" s="54" t="s">
        <v>93</v>
      </c>
      <c r="CO232" s="39" t="s">
        <v>73</v>
      </c>
      <c r="CP232" s="39" t="s">
        <v>98</v>
      </c>
      <c r="CQ232" s="39" t="s">
        <v>97</v>
      </c>
      <c r="CR232" s="39" t="s">
        <v>99</v>
      </c>
      <c r="CS232" s="39" t="s">
        <v>96</v>
      </c>
      <c r="CT232" s="37" t="s">
        <v>60</v>
      </c>
      <c r="CU232" s="37" t="s">
        <v>100</v>
      </c>
      <c r="CV232" s="37" t="s">
        <v>101</v>
      </c>
      <c r="CW232" s="37" t="s">
        <v>102</v>
      </c>
      <c r="CX232" s="37" t="s">
        <v>103</v>
      </c>
      <c r="CY232" s="37" t="s">
        <v>65</v>
      </c>
      <c r="CZ232" s="37" t="s">
        <v>68</v>
      </c>
      <c r="DA232" s="55"/>
      <c r="DB232" s="53" t="s">
        <v>69</v>
      </c>
      <c r="DC232" s="54" t="s">
        <v>93</v>
      </c>
      <c r="DD232" s="39" t="s">
        <v>73</v>
      </c>
      <c r="DE232" s="39" t="s">
        <v>98</v>
      </c>
      <c r="DF232" s="39" t="s">
        <v>97</v>
      </c>
      <c r="DG232" s="39" t="s">
        <v>99</v>
      </c>
      <c r="DH232" s="39" t="s">
        <v>96</v>
      </c>
      <c r="DI232" s="37" t="s">
        <v>60</v>
      </c>
      <c r="DJ232" s="37" t="s">
        <v>100</v>
      </c>
      <c r="DK232" s="37" t="s">
        <v>101</v>
      </c>
      <c r="DL232" s="37" t="s">
        <v>102</v>
      </c>
      <c r="DM232" s="37" t="s">
        <v>103</v>
      </c>
      <c r="DN232" s="37" t="s">
        <v>65</v>
      </c>
      <c r="DO232" s="37" t="s">
        <v>68</v>
      </c>
      <c r="DP232" s="55"/>
      <c r="DQ232" s="53" t="s">
        <v>69</v>
      </c>
      <c r="DR232" s="54" t="s">
        <v>93</v>
      </c>
      <c r="DS232" s="39" t="s">
        <v>73</v>
      </c>
      <c r="DT232" s="39" t="s">
        <v>98</v>
      </c>
      <c r="DU232" s="39" t="s">
        <v>97</v>
      </c>
      <c r="DV232" s="39" t="s">
        <v>99</v>
      </c>
      <c r="DW232" s="39" t="s">
        <v>96</v>
      </c>
      <c r="DX232" s="37" t="s">
        <v>60</v>
      </c>
      <c r="DY232" s="37" t="s">
        <v>100</v>
      </c>
      <c r="DZ232" s="37" t="s">
        <v>101</v>
      </c>
      <c r="EA232" s="37" t="s">
        <v>102</v>
      </c>
      <c r="EB232" s="37" t="s">
        <v>103</v>
      </c>
      <c r="EC232" s="37" t="s">
        <v>65</v>
      </c>
      <c r="ED232" s="37" t="s">
        <v>68</v>
      </c>
    </row>
    <row r="233" spans="1:134" x14ac:dyDescent="0.4">
      <c r="A233" s="28">
        <v>1</v>
      </c>
      <c r="B233" s="26">
        <v>1.0000000000000001E-5</v>
      </c>
      <c r="C233" s="28">
        <v>0.2</v>
      </c>
      <c r="D233" s="28">
        <v>30</v>
      </c>
      <c r="E233" s="26">
        <v>2.5000000000000002E-6</v>
      </c>
      <c r="F233" s="26">
        <f t="shared" ref="F233:F251" si="297">C233*E233</f>
        <v>5.0000000000000008E-7</v>
      </c>
      <c r="G233" s="26">
        <f t="shared" ref="G233:G251" si="298">F233/(B233/2)</f>
        <v>0.1</v>
      </c>
      <c r="H233" s="7">
        <v>0.217077424903628</v>
      </c>
      <c r="I233" s="7">
        <v>20967.675665585699</v>
      </c>
      <c r="J233" s="7">
        <v>750067.42850576504</v>
      </c>
      <c r="K233" s="7">
        <v>20967.675665585699</v>
      </c>
      <c r="L233" s="7">
        <v>246455.34799285</v>
      </c>
      <c r="M233" s="7">
        <v>76394.372684109796</v>
      </c>
      <c r="N233" s="7">
        <f t="shared" ref="N233:N251" si="299">I233+J233+K233</f>
        <v>792002.77983693639</v>
      </c>
      <c r="P233" s="28">
        <v>1</v>
      </c>
      <c r="Q233" s="26">
        <v>3.0000000000000001E-5</v>
      </c>
      <c r="R233" s="28">
        <v>0.2</v>
      </c>
      <c r="S233" s="28">
        <v>30</v>
      </c>
      <c r="T233" s="26">
        <v>2.5000000000000002E-6</v>
      </c>
      <c r="U233" s="26">
        <f t="shared" ref="U233:U251" si="300">R233*T233</f>
        <v>5.0000000000000008E-7</v>
      </c>
      <c r="V233" s="26">
        <f t="shared" ref="V233:V251" si="301">U233/(Q233/2)</f>
        <v>3.333333333333334E-2</v>
      </c>
      <c r="W233" s="7">
        <v>0.22250440853915299</v>
      </c>
      <c r="X233" s="7">
        <v>6989.2252213633501</v>
      </c>
      <c r="Y233" s="7">
        <v>250022.476149864</v>
      </c>
      <c r="Z233" s="7">
        <v>6989.2252213633501</v>
      </c>
      <c r="AA233" s="7">
        <v>82151.782666878105</v>
      </c>
      <c r="AB233" s="7">
        <v>8488.2636315677501</v>
      </c>
      <c r="AC233" s="7">
        <f t="shared" ref="AC233:AC251" si="302">X233+Y233+Z233</f>
        <v>264000.92659259069</v>
      </c>
      <c r="AE233" s="28">
        <v>1</v>
      </c>
      <c r="AF233" s="26">
        <v>5.0000000000000002E-5</v>
      </c>
      <c r="AG233" s="28">
        <v>0.2</v>
      </c>
      <c r="AH233" s="28">
        <v>30</v>
      </c>
      <c r="AI233" s="26">
        <v>2.5000000000000002E-6</v>
      </c>
      <c r="AJ233" s="26">
        <f t="shared" ref="AJ233:AJ251" si="303">AG233*AI233</f>
        <v>5.0000000000000008E-7</v>
      </c>
      <c r="AK233" s="26">
        <f t="shared" ref="AK233:AK251" si="304">AJ233/(AF233/2)</f>
        <v>2.0000000000000004E-2</v>
      </c>
      <c r="AL233" s="7">
        <v>0.22375109321908199</v>
      </c>
      <c r="AM233" s="7">
        <v>4193.5351285970401</v>
      </c>
      <c r="AN233" s="7">
        <v>150013.48553139099</v>
      </c>
      <c r="AO233" s="7">
        <v>4193.5351285970401</v>
      </c>
      <c r="AP233" s="7">
        <v>49291.069622095303</v>
      </c>
      <c r="AQ233" s="7">
        <v>3055.7749073643899</v>
      </c>
      <c r="AR233" s="7">
        <f t="shared" ref="AR233:AR251" si="305">AM233+AN233+AO233</f>
        <v>158400.5557885851</v>
      </c>
      <c r="AT233" s="28">
        <v>1</v>
      </c>
      <c r="AU233" s="26">
        <v>1.0000000000000001E-5</v>
      </c>
      <c r="AV233" s="28">
        <v>0.2</v>
      </c>
      <c r="AW233" s="28">
        <v>200</v>
      </c>
      <c r="AX233" s="26">
        <v>2.5000000000000002E-6</v>
      </c>
      <c r="AY233" s="26">
        <f t="shared" ref="AY233:AY251" si="306">AV233*AX233</f>
        <v>5.0000000000000008E-7</v>
      </c>
      <c r="AZ233" s="26">
        <f t="shared" ref="AZ233:AZ251" si="307">AY233/(AU233/2)</f>
        <v>0.1</v>
      </c>
      <c r="BA233" s="7">
        <v>0.21871534826300601</v>
      </c>
      <c r="BB233" s="7">
        <v>4345.3623253436699</v>
      </c>
      <c r="BC233" s="7">
        <v>750067.42850576504</v>
      </c>
      <c r="BD233" s="7">
        <v>4345.3623253436699</v>
      </c>
      <c r="BE233" s="7">
        <v>246455.34799285</v>
      </c>
      <c r="BF233" s="7">
        <v>76394.372684109796</v>
      </c>
      <c r="BG233" s="7">
        <f t="shared" ref="BG233:BG251" si="308">BB233+BC233+BD233</f>
        <v>758758.15315645235</v>
      </c>
      <c r="BI233" s="28">
        <v>1</v>
      </c>
      <c r="BJ233" s="26">
        <v>1.0000000000000001E-5</v>
      </c>
      <c r="BK233" s="28">
        <v>0.5</v>
      </c>
      <c r="BL233" s="28">
        <v>200</v>
      </c>
      <c r="BM233" s="26">
        <v>2.5000000000000002E-6</v>
      </c>
      <c r="BN233" s="26">
        <f t="shared" ref="BN233:BN251" si="309">BK233*BM233</f>
        <v>1.2500000000000001E-6</v>
      </c>
      <c r="BO233" s="26">
        <f t="shared" ref="BO233:BO251" si="310">BN233/(BJ233/2)</f>
        <v>0.25</v>
      </c>
      <c r="BP233" s="7">
        <v>0.52258967414078705</v>
      </c>
      <c r="BQ233" s="7">
        <v>3764.12485338133</v>
      </c>
      <c r="BR233" s="7">
        <v>300026.97140230599</v>
      </c>
      <c r="BS233" s="7">
        <v>3764.12485338133</v>
      </c>
      <c r="BT233" s="7">
        <v>98582.139197140001</v>
      </c>
      <c r="BU233" s="7">
        <v>76394.372684109796</v>
      </c>
      <c r="BV233" s="7">
        <f t="shared" ref="BV233:BV251" si="311">BQ233+BR233+BS233</f>
        <v>307555.2211090686</v>
      </c>
      <c r="BX233" s="28">
        <v>1</v>
      </c>
      <c r="BY233" s="26">
        <v>5.0000000000000002E-5</v>
      </c>
      <c r="BZ233" s="28">
        <v>0.5</v>
      </c>
      <c r="CA233" s="28">
        <v>200</v>
      </c>
      <c r="CB233" s="26">
        <v>2.5000000000000002E-6</v>
      </c>
      <c r="CC233" s="26">
        <f t="shared" ref="CC233:CC251" si="312">BZ233*CB233</f>
        <v>1.2500000000000001E-6</v>
      </c>
      <c r="CD233" s="26">
        <f t="shared" ref="CD233:CD251" si="313">CC233/(BY233/2)</f>
        <v>0.05</v>
      </c>
      <c r="CE233" s="7">
        <v>0.55591114683027099</v>
      </c>
      <c r="CF233" s="7">
        <v>752.82497001808497</v>
      </c>
      <c r="CG233" s="7">
        <v>60005.394212556603</v>
      </c>
      <c r="CH233" s="7">
        <v>752.82497001808497</v>
      </c>
      <c r="CI233" s="7">
        <v>19716.427848838099</v>
      </c>
      <c r="CJ233" s="7">
        <v>3055.7749073643899</v>
      </c>
      <c r="CK233" s="7">
        <f t="shared" ref="CK233:CK251" si="314">CF233+CG233+CH233</f>
        <v>61511.044152592767</v>
      </c>
      <c r="CM233" s="28">
        <v>1</v>
      </c>
      <c r="CN233" s="26">
        <v>5.0000000000000002E-5</v>
      </c>
      <c r="CO233" s="28">
        <v>1</v>
      </c>
      <c r="CP233" s="28">
        <v>200</v>
      </c>
      <c r="CQ233" s="26">
        <v>2.5000000000000002E-6</v>
      </c>
      <c r="CR233" s="26">
        <f t="shared" ref="CR233:CR251" si="315">CO233*CQ233</f>
        <v>2.5000000000000002E-6</v>
      </c>
      <c r="CS233" s="26">
        <f t="shared" ref="CS233:CS251" si="316">CR233/(CN233/2)</f>
        <v>0.1</v>
      </c>
      <c r="CT233" s="7">
        <v>1.0874677540586299</v>
      </c>
      <c r="CU233" s="7">
        <v>665.23311259709499</v>
      </c>
      <c r="CV233" s="7">
        <v>30002.697106278301</v>
      </c>
      <c r="CW233" s="7">
        <v>665.23311259709499</v>
      </c>
      <c r="CX233" s="7">
        <v>9858.2139244190694</v>
      </c>
      <c r="CY233" s="7">
        <v>3055.7749073643899</v>
      </c>
      <c r="CZ233" s="7">
        <f t="shared" ref="CZ233:CZ251" si="317">CU233+CV233+CW233</f>
        <v>31333.163331472493</v>
      </c>
      <c r="DB233" s="28">
        <v>1</v>
      </c>
      <c r="DC233" s="26">
        <v>5.0000000000000002E-5</v>
      </c>
      <c r="DD233" s="28">
        <v>2</v>
      </c>
      <c r="DE233" s="28">
        <v>200</v>
      </c>
      <c r="DF233" s="26">
        <v>2.5000000000000002E-6</v>
      </c>
      <c r="DG233" s="26">
        <f t="shared" ref="DG233:DG251" si="318">DD233*DF233</f>
        <v>5.0000000000000004E-6</v>
      </c>
      <c r="DH233" s="26">
        <f t="shared" ref="DH233:DH251" si="319">DG233/(DC233/2)</f>
        <v>0.2</v>
      </c>
      <c r="DI233" s="7">
        <v>2.1027399871066201</v>
      </c>
      <c r="DJ233" s="7">
        <v>578.22973015081095</v>
      </c>
      <c r="DK233" s="7">
        <v>15001.3485531391</v>
      </c>
      <c r="DL233" s="7">
        <v>578.22973015081095</v>
      </c>
      <c r="DM233" s="7">
        <v>4929.1069622095301</v>
      </c>
      <c r="DN233" s="7">
        <v>3055.7749073643899</v>
      </c>
      <c r="DO233" s="7">
        <f t="shared" ref="DO233:DO251" si="320">DJ233+DK233+DL233</f>
        <v>16157.808013440723</v>
      </c>
      <c r="DQ233" s="28">
        <v>1</v>
      </c>
      <c r="DR233" s="26">
        <v>5.0000000000000002E-5</v>
      </c>
      <c r="DS233" s="28">
        <v>15</v>
      </c>
      <c r="DT233" s="28">
        <v>300</v>
      </c>
      <c r="DU233" s="26">
        <v>9.9999999999999995E-7</v>
      </c>
      <c r="DV233" s="26">
        <f t="shared" ref="DV233:DV251" si="321">DS233*DU233</f>
        <v>1.4999999999999999E-5</v>
      </c>
      <c r="DW233" s="26">
        <f t="shared" ref="DW233:DW251" si="322">DV233/(DR233/2)</f>
        <v>0.59999999999999987</v>
      </c>
      <c r="DX233" s="7">
        <v>14.7790694730721</v>
      </c>
      <c r="DY233" s="7">
        <v>254.539230510376</v>
      </c>
      <c r="DZ233" s="7">
        <v>2000.1798070852201</v>
      </c>
      <c r="EA233" s="7">
        <v>254.539230510376</v>
      </c>
      <c r="EB233" s="7">
        <v>657.21426162793796</v>
      </c>
      <c r="EC233" s="7">
        <v>1018.59163578813</v>
      </c>
      <c r="ED233" s="7">
        <f t="shared" ref="ED233:ED251" si="323">DY233+DZ233+EA233</f>
        <v>2509.2582681059721</v>
      </c>
    </row>
    <row r="234" spans="1:134" x14ac:dyDescent="0.4">
      <c r="A234" s="28">
        <v>2</v>
      </c>
      <c r="B234" s="26">
        <v>1.0000000000000001E-5</v>
      </c>
      <c r="C234" s="28">
        <v>0.2</v>
      </c>
      <c r="D234" s="28">
        <v>30</v>
      </c>
      <c r="E234" s="26">
        <v>2.5000000000000002E-6</v>
      </c>
      <c r="F234" s="26">
        <f t="shared" si="297"/>
        <v>5.0000000000000008E-7</v>
      </c>
      <c r="G234" s="26">
        <f t="shared" si="298"/>
        <v>0.1</v>
      </c>
      <c r="H234" s="7">
        <v>0.23654519203190899</v>
      </c>
      <c r="I234" s="7">
        <v>20967.675665585699</v>
      </c>
      <c r="J234" s="7">
        <v>482013.76177816797</v>
      </c>
      <c r="K234" s="7">
        <v>20967.675665585699</v>
      </c>
      <c r="L234" s="7">
        <v>339325.67523914197</v>
      </c>
      <c r="M234" s="7">
        <v>76394.372684109796</v>
      </c>
      <c r="N234" s="7">
        <f t="shared" si="299"/>
        <v>523949.11310933932</v>
      </c>
      <c r="P234" s="28">
        <v>2</v>
      </c>
      <c r="Q234" s="26">
        <v>3.0000000000000001E-5</v>
      </c>
      <c r="R234" s="28">
        <v>0.2</v>
      </c>
      <c r="S234" s="28">
        <v>30</v>
      </c>
      <c r="T234" s="26">
        <v>2.5000000000000002E-6</v>
      </c>
      <c r="U234" s="26">
        <f t="shared" si="300"/>
        <v>5.0000000000000008E-7</v>
      </c>
      <c r="V234" s="26">
        <f t="shared" si="301"/>
        <v>3.333333333333334E-2</v>
      </c>
      <c r="W234" s="7">
        <v>0.25054215694181098</v>
      </c>
      <c r="X234" s="7">
        <v>6989.2252213633501</v>
      </c>
      <c r="Y234" s="7">
        <v>160671.25390733199</v>
      </c>
      <c r="Z234" s="7">
        <v>6989.2252213633501</v>
      </c>
      <c r="AA234" s="7">
        <v>113108.558420806</v>
      </c>
      <c r="AB234" s="7">
        <v>8488.2636315677501</v>
      </c>
      <c r="AC234" s="7">
        <f t="shared" si="302"/>
        <v>174649.70435005872</v>
      </c>
      <c r="AE234" s="28">
        <v>2</v>
      </c>
      <c r="AF234" s="26">
        <v>5.0000000000000002E-5</v>
      </c>
      <c r="AG234" s="28">
        <v>0.2</v>
      </c>
      <c r="AH234" s="28">
        <v>30</v>
      </c>
      <c r="AI234" s="26">
        <v>2.5000000000000002E-6</v>
      </c>
      <c r="AJ234" s="26">
        <f t="shared" si="303"/>
        <v>5.0000000000000008E-7</v>
      </c>
      <c r="AK234" s="26">
        <f t="shared" si="304"/>
        <v>2.0000000000000004E-2</v>
      </c>
      <c r="AL234" s="7">
        <v>0.25395862540660202</v>
      </c>
      <c r="AM234" s="7">
        <v>4193.5351285970401</v>
      </c>
      <c r="AN234" s="7">
        <v>96402.752185872101</v>
      </c>
      <c r="AO234" s="7">
        <v>4193.5351285970401</v>
      </c>
      <c r="AP234" s="7">
        <v>67865.135118168895</v>
      </c>
      <c r="AQ234" s="7">
        <v>3055.7749073643899</v>
      </c>
      <c r="AR234" s="7">
        <f t="shared" si="305"/>
        <v>104789.82244306618</v>
      </c>
      <c r="AT234" s="28">
        <v>2</v>
      </c>
      <c r="AU234" s="26">
        <v>1.0000000000000001E-5</v>
      </c>
      <c r="AV234" s="28">
        <v>0.2</v>
      </c>
      <c r="AW234" s="28">
        <v>200</v>
      </c>
      <c r="AX234" s="26">
        <v>2.5000000000000002E-6</v>
      </c>
      <c r="AY234" s="26">
        <f t="shared" si="306"/>
        <v>5.0000000000000008E-7</v>
      </c>
      <c r="AZ234" s="26">
        <f t="shared" si="307"/>
        <v>0.1</v>
      </c>
      <c r="BA234" s="7">
        <v>0.24062638809641099</v>
      </c>
      <c r="BB234" s="7">
        <v>4345.3623253436699</v>
      </c>
      <c r="BC234" s="7">
        <v>482013.76177816797</v>
      </c>
      <c r="BD234" s="7">
        <v>4345.3623253436699</v>
      </c>
      <c r="BE234" s="7">
        <v>339325.67523914197</v>
      </c>
      <c r="BF234" s="7">
        <v>76394.372684109796</v>
      </c>
      <c r="BG234" s="7">
        <f t="shared" si="308"/>
        <v>490704.48642885528</v>
      </c>
      <c r="BI234" s="28">
        <v>2</v>
      </c>
      <c r="BJ234" s="26">
        <v>1.0000000000000001E-5</v>
      </c>
      <c r="BK234" s="28">
        <v>0.5</v>
      </c>
      <c r="BL234" s="28">
        <v>200</v>
      </c>
      <c r="BM234" s="26">
        <v>2.5000000000000002E-6</v>
      </c>
      <c r="BN234" s="26">
        <f t="shared" si="309"/>
        <v>1.2500000000000001E-6</v>
      </c>
      <c r="BO234" s="26">
        <f t="shared" si="310"/>
        <v>0.25</v>
      </c>
      <c r="BP234" s="7">
        <v>0.545263505874648</v>
      </c>
      <c r="BQ234" s="7">
        <v>3764.12485338133</v>
      </c>
      <c r="BR234" s="7">
        <v>192805.50471126701</v>
      </c>
      <c r="BS234" s="7">
        <v>3764.12485338133</v>
      </c>
      <c r="BT234" s="7">
        <v>135730.270095657</v>
      </c>
      <c r="BU234" s="7">
        <v>76394.372684109796</v>
      </c>
      <c r="BV234" s="7">
        <f t="shared" si="311"/>
        <v>200333.75441802968</v>
      </c>
      <c r="BX234" s="28">
        <v>2</v>
      </c>
      <c r="BY234" s="26">
        <v>5.0000000000000002E-5</v>
      </c>
      <c r="BZ234" s="28">
        <v>0.5</v>
      </c>
      <c r="CA234" s="28">
        <v>200</v>
      </c>
      <c r="CB234" s="26">
        <v>2.5000000000000002E-6</v>
      </c>
      <c r="CC234" s="26">
        <f t="shared" si="312"/>
        <v>1.2500000000000001E-6</v>
      </c>
      <c r="CD234" s="26">
        <f t="shared" si="313"/>
        <v>0.05</v>
      </c>
      <c r="CE234" s="7">
        <v>0.62540888068170197</v>
      </c>
      <c r="CF234" s="7">
        <v>752.82497001808497</v>
      </c>
      <c r="CG234" s="7">
        <v>38561.1008743489</v>
      </c>
      <c r="CH234" s="7">
        <v>752.82497001808497</v>
      </c>
      <c r="CI234" s="7">
        <v>27146.0540472676</v>
      </c>
      <c r="CJ234" s="7">
        <v>3055.7749073643899</v>
      </c>
      <c r="CK234" s="7">
        <f t="shared" si="314"/>
        <v>40066.750814385065</v>
      </c>
      <c r="CM234" s="28">
        <v>2</v>
      </c>
      <c r="CN234" s="26">
        <v>5.0000000000000002E-5</v>
      </c>
      <c r="CO234" s="28">
        <v>1</v>
      </c>
      <c r="CP234" s="28">
        <v>200</v>
      </c>
      <c r="CQ234" s="26">
        <v>2.5000000000000002E-6</v>
      </c>
      <c r="CR234" s="26">
        <f t="shared" si="315"/>
        <v>2.5000000000000002E-6</v>
      </c>
      <c r="CS234" s="26">
        <f t="shared" si="316"/>
        <v>0.1</v>
      </c>
      <c r="CT234" s="7">
        <v>1.1878541721149301</v>
      </c>
      <c r="CU234" s="7">
        <v>665.23311259709499</v>
      </c>
      <c r="CV234" s="7">
        <v>19280.550437174399</v>
      </c>
      <c r="CW234" s="7">
        <v>665.23311259709499</v>
      </c>
      <c r="CX234" s="7">
        <v>13573.0270236338</v>
      </c>
      <c r="CY234" s="7">
        <v>3055.7749073643899</v>
      </c>
      <c r="CZ234" s="7">
        <f t="shared" si="317"/>
        <v>20611.016662368591</v>
      </c>
      <c r="DB234" s="28">
        <v>2</v>
      </c>
      <c r="DC234" s="26">
        <v>5.0000000000000002E-5</v>
      </c>
      <c r="DD234" s="28">
        <v>2</v>
      </c>
      <c r="DE234" s="28">
        <v>200</v>
      </c>
      <c r="DF234" s="26">
        <v>2.5000000000000002E-6</v>
      </c>
      <c r="DG234" s="26">
        <f t="shared" si="318"/>
        <v>5.0000000000000004E-6</v>
      </c>
      <c r="DH234" s="26">
        <f t="shared" si="319"/>
        <v>0.2</v>
      </c>
      <c r="DI234" s="7">
        <v>2.2078379633831799</v>
      </c>
      <c r="DJ234" s="7">
        <v>578.22973015081095</v>
      </c>
      <c r="DK234" s="7">
        <v>9640.2752185872196</v>
      </c>
      <c r="DL234" s="7">
        <v>578.22973015081095</v>
      </c>
      <c r="DM234" s="7">
        <v>6786.5135118168901</v>
      </c>
      <c r="DN234" s="7">
        <v>3055.7749073643899</v>
      </c>
      <c r="DO234" s="7">
        <f t="shared" si="320"/>
        <v>10796.734678888843</v>
      </c>
      <c r="DQ234" s="28">
        <v>2</v>
      </c>
      <c r="DR234" s="26">
        <v>5.0000000000000002E-5</v>
      </c>
      <c r="DS234" s="28">
        <v>15</v>
      </c>
      <c r="DT234" s="28">
        <v>300</v>
      </c>
      <c r="DU234" s="26">
        <v>9.9999999999999995E-7</v>
      </c>
      <c r="DV234" s="26">
        <f t="shared" si="321"/>
        <v>1.4999999999999999E-5</v>
      </c>
      <c r="DW234" s="26">
        <f t="shared" si="322"/>
        <v>0.59999999999999987</v>
      </c>
      <c r="DX234" s="7">
        <v>14.606588485065799</v>
      </c>
      <c r="DY234" s="7">
        <v>254.539230510376</v>
      </c>
      <c r="DZ234" s="7">
        <v>1285.37002914496</v>
      </c>
      <c r="EA234" s="7">
        <v>254.539230510376</v>
      </c>
      <c r="EB234" s="7">
        <v>904.86846824225199</v>
      </c>
      <c r="EC234" s="7">
        <v>1018.59163578813</v>
      </c>
      <c r="ED234" s="7">
        <f t="shared" si="323"/>
        <v>1794.448490165712</v>
      </c>
    </row>
    <row r="235" spans="1:134" x14ac:dyDescent="0.4">
      <c r="A235" s="28">
        <v>4</v>
      </c>
      <c r="B235" s="26">
        <v>1.0000000000000001E-5</v>
      </c>
      <c r="C235" s="28">
        <v>0.2</v>
      </c>
      <c r="D235" s="28">
        <v>30</v>
      </c>
      <c r="E235" s="26">
        <v>2.5000000000000002E-6</v>
      </c>
      <c r="F235" s="26">
        <f t="shared" si="297"/>
        <v>5.0000000000000008E-7</v>
      </c>
      <c r="G235" s="26">
        <f t="shared" si="298"/>
        <v>0.1</v>
      </c>
      <c r="H235" s="7">
        <v>0.28090934990694399</v>
      </c>
      <c r="I235" s="7">
        <v>20967.675665585699</v>
      </c>
      <c r="J235" s="7">
        <v>269259.42550450901</v>
      </c>
      <c r="K235" s="7">
        <v>20967.675665585699</v>
      </c>
      <c r="L235" s="7">
        <v>496205.96663466899</v>
      </c>
      <c r="M235" s="7">
        <v>76394.372684109796</v>
      </c>
      <c r="N235" s="7">
        <f t="shared" si="299"/>
        <v>311194.77683568036</v>
      </c>
      <c r="P235" s="28">
        <v>4</v>
      </c>
      <c r="Q235" s="26">
        <v>3.0000000000000001E-5</v>
      </c>
      <c r="R235" s="28">
        <v>0.2</v>
      </c>
      <c r="S235" s="28">
        <v>30</v>
      </c>
      <c r="T235" s="26">
        <v>2.5000000000000002E-6</v>
      </c>
      <c r="U235" s="26">
        <f t="shared" si="300"/>
        <v>5.0000000000000008E-7</v>
      </c>
      <c r="V235" s="26">
        <f t="shared" si="301"/>
        <v>3.333333333333334E-2</v>
      </c>
      <c r="W235" s="7">
        <v>0.32174256685026398</v>
      </c>
      <c r="X235" s="7">
        <v>6989.2252213633501</v>
      </c>
      <c r="Y235" s="7">
        <v>89753.141816112096</v>
      </c>
      <c r="Z235" s="7">
        <v>6989.2252213633501</v>
      </c>
      <c r="AA235" s="7">
        <v>165401.98890513901</v>
      </c>
      <c r="AB235" s="7">
        <v>8488.2636315677501</v>
      </c>
      <c r="AC235" s="7">
        <f t="shared" si="302"/>
        <v>103731.59225883879</v>
      </c>
      <c r="AE235" s="28">
        <v>4</v>
      </c>
      <c r="AF235" s="26">
        <v>5.0000000000000002E-5</v>
      </c>
      <c r="AG235" s="28">
        <v>0.2</v>
      </c>
      <c r="AH235" s="28">
        <v>30</v>
      </c>
      <c r="AI235" s="26">
        <v>2.5000000000000002E-6</v>
      </c>
      <c r="AJ235" s="26">
        <f t="shared" si="303"/>
        <v>5.0000000000000008E-7</v>
      </c>
      <c r="AK235" s="26">
        <f t="shared" si="304"/>
        <v>2.0000000000000004E-2</v>
      </c>
      <c r="AL235" s="7">
        <v>0.33283008701560501</v>
      </c>
      <c r="AM235" s="7">
        <v>4193.5351285970401</v>
      </c>
      <c r="AN235" s="7">
        <v>53851.884931140201</v>
      </c>
      <c r="AO235" s="7">
        <v>4193.5351285970401</v>
      </c>
      <c r="AP235" s="7">
        <v>99241.193570966701</v>
      </c>
      <c r="AQ235" s="7">
        <v>3055.7749073643899</v>
      </c>
      <c r="AR235" s="7">
        <f t="shared" si="305"/>
        <v>62238.955188334279</v>
      </c>
      <c r="AT235" s="28">
        <v>4</v>
      </c>
      <c r="AU235" s="26">
        <v>1.0000000000000001E-5</v>
      </c>
      <c r="AV235" s="28">
        <v>0.2</v>
      </c>
      <c r="AW235" s="28">
        <v>200</v>
      </c>
      <c r="AX235" s="26">
        <v>2.5000000000000002E-6</v>
      </c>
      <c r="AY235" s="26">
        <f t="shared" si="306"/>
        <v>5.0000000000000008E-7</v>
      </c>
      <c r="AZ235" s="26">
        <f t="shared" si="307"/>
        <v>0.1</v>
      </c>
      <c r="BA235" s="7">
        <v>0.29211349178541102</v>
      </c>
      <c r="BB235" s="7">
        <v>4345.3623253436699</v>
      </c>
      <c r="BC235" s="7">
        <v>269259.42550450901</v>
      </c>
      <c r="BD235" s="7">
        <v>4345.3623253436699</v>
      </c>
      <c r="BE235" s="7">
        <v>496205.96663466899</v>
      </c>
      <c r="BF235" s="7">
        <v>76394.372684109796</v>
      </c>
      <c r="BG235" s="7">
        <f t="shared" si="308"/>
        <v>277950.15015519632</v>
      </c>
      <c r="BI235" s="28">
        <v>4</v>
      </c>
      <c r="BJ235" s="26">
        <v>1.0000000000000001E-5</v>
      </c>
      <c r="BK235" s="28">
        <v>0.5</v>
      </c>
      <c r="BL235" s="28">
        <v>200</v>
      </c>
      <c r="BM235" s="26">
        <v>2.5000000000000002E-6</v>
      </c>
      <c r="BN235" s="26">
        <f t="shared" si="309"/>
        <v>1.2500000000000001E-6</v>
      </c>
      <c r="BO235" s="26">
        <f t="shared" si="310"/>
        <v>0.25</v>
      </c>
      <c r="BP235" s="7">
        <v>0.59066053280919695</v>
      </c>
      <c r="BQ235" s="7">
        <v>3764.12485338133</v>
      </c>
      <c r="BR235" s="7">
        <v>107703.770201803</v>
      </c>
      <c r="BS235" s="7">
        <v>3764.12485338133</v>
      </c>
      <c r="BT235" s="7">
        <v>198482.38665386799</v>
      </c>
      <c r="BU235" s="7">
        <v>76394.372684109796</v>
      </c>
      <c r="BV235" s="7">
        <f t="shared" si="311"/>
        <v>115232.01990856566</v>
      </c>
      <c r="BX235" s="28">
        <v>4</v>
      </c>
      <c r="BY235" s="26">
        <v>5.0000000000000002E-5</v>
      </c>
      <c r="BZ235" s="28">
        <v>0.5</v>
      </c>
      <c r="CA235" s="28">
        <v>200</v>
      </c>
      <c r="CB235" s="26">
        <v>2.5000000000000002E-6</v>
      </c>
      <c r="CC235" s="26">
        <f t="shared" si="312"/>
        <v>1.2500000000000001E-6</v>
      </c>
      <c r="CD235" s="26">
        <f t="shared" si="313"/>
        <v>0.05</v>
      </c>
      <c r="CE235" s="7">
        <v>0.80135816173375396</v>
      </c>
      <c r="CF235" s="7">
        <v>752.82497001808497</v>
      </c>
      <c r="CG235" s="7">
        <v>21540.753972456099</v>
      </c>
      <c r="CH235" s="7">
        <v>752.82497001808497</v>
      </c>
      <c r="CI235" s="7">
        <v>39696.477428386701</v>
      </c>
      <c r="CJ235" s="7">
        <v>3055.7749073643899</v>
      </c>
      <c r="CK235" s="7">
        <f t="shared" si="314"/>
        <v>23046.403912492271</v>
      </c>
      <c r="CM235" s="28">
        <v>4</v>
      </c>
      <c r="CN235" s="26">
        <v>5.0000000000000002E-5</v>
      </c>
      <c r="CO235" s="28">
        <v>1</v>
      </c>
      <c r="CP235" s="28">
        <v>200</v>
      </c>
      <c r="CQ235" s="26">
        <v>2.5000000000000002E-6</v>
      </c>
      <c r="CR235" s="26">
        <f t="shared" si="315"/>
        <v>2.5000000000000002E-6</v>
      </c>
      <c r="CS235" s="26">
        <f t="shared" si="316"/>
        <v>0.1</v>
      </c>
      <c r="CT235" s="7">
        <v>1.4183740812941401</v>
      </c>
      <c r="CU235" s="7">
        <v>665.23311259709499</v>
      </c>
      <c r="CV235" s="7">
        <v>10770.376986228001</v>
      </c>
      <c r="CW235" s="7">
        <v>665.23311259709499</v>
      </c>
      <c r="CX235" s="7">
        <v>19848.2387141933</v>
      </c>
      <c r="CY235" s="7">
        <v>3055.7749073643899</v>
      </c>
      <c r="CZ235" s="7">
        <f t="shared" si="317"/>
        <v>12100.843211422191</v>
      </c>
      <c r="DB235" s="28">
        <v>4</v>
      </c>
      <c r="DC235" s="26">
        <v>5.0000000000000002E-5</v>
      </c>
      <c r="DD235" s="28">
        <v>2</v>
      </c>
      <c r="DE235" s="28">
        <v>200</v>
      </c>
      <c r="DF235" s="26">
        <v>2.5000000000000002E-6</v>
      </c>
      <c r="DG235" s="26">
        <f t="shared" si="318"/>
        <v>5.0000000000000004E-6</v>
      </c>
      <c r="DH235" s="26">
        <f t="shared" si="319"/>
        <v>0.2</v>
      </c>
      <c r="DI235" s="7">
        <v>2.4220541067419799</v>
      </c>
      <c r="DJ235" s="7">
        <v>578.22973015081095</v>
      </c>
      <c r="DK235" s="7">
        <v>5385.1884931140203</v>
      </c>
      <c r="DL235" s="7">
        <v>578.22973015081095</v>
      </c>
      <c r="DM235" s="7">
        <v>9924.1193570966698</v>
      </c>
      <c r="DN235" s="7">
        <v>3055.7749073643899</v>
      </c>
      <c r="DO235" s="7">
        <f t="shared" si="320"/>
        <v>6541.6479534156415</v>
      </c>
      <c r="DQ235" s="28">
        <v>4</v>
      </c>
      <c r="DR235" s="26">
        <v>5.0000000000000002E-5</v>
      </c>
      <c r="DS235" s="28">
        <v>15</v>
      </c>
      <c r="DT235" s="28">
        <v>300</v>
      </c>
      <c r="DU235" s="26">
        <v>9.9999999999999995E-7</v>
      </c>
      <c r="DV235" s="26">
        <f t="shared" si="321"/>
        <v>1.4999999999999999E-5</v>
      </c>
      <c r="DW235" s="26">
        <f t="shared" si="322"/>
        <v>0.59999999999999987</v>
      </c>
      <c r="DX235" s="7">
        <v>14.307412212519999</v>
      </c>
      <c r="DY235" s="7">
        <v>254.539230510376</v>
      </c>
      <c r="DZ235" s="7">
        <v>718.02513241520205</v>
      </c>
      <c r="EA235" s="7">
        <v>254.539230510376</v>
      </c>
      <c r="EB235" s="7">
        <v>1323.2159142795599</v>
      </c>
      <c r="EC235" s="7">
        <v>1018.59163578813</v>
      </c>
      <c r="ED235" s="7">
        <f t="shared" si="323"/>
        <v>1227.1035934359541</v>
      </c>
    </row>
    <row r="236" spans="1:134" x14ac:dyDescent="0.4">
      <c r="A236" s="28">
        <v>6</v>
      </c>
      <c r="B236" s="26">
        <v>1.0000000000000001E-5</v>
      </c>
      <c r="C236" s="28">
        <v>0.2</v>
      </c>
      <c r="D236" s="28">
        <v>30</v>
      </c>
      <c r="E236" s="26">
        <v>2.5000000000000002E-6</v>
      </c>
      <c r="F236" s="26">
        <f t="shared" si="297"/>
        <v>5.0000000000000008E-7</v>
      </c>
      <c r="G236" s="26">
        <f t="shared" si="298"/>
        <v>0.1</v>
      </c>
      <c r="H236" s="7">
        <v>0.33222799207432802</v>
      </c>
      <c r="I236" s="7">
        <v>20967.675665585699</v>
      </c>
      <c r="J236" s="7">
        <v>165780.67944707401</v>
      </c>
      <c r="K236" s="7">
        <v>20967.675665585699</v>
      </c>
      <c r="L236" s="7">
        <v>651465.34785778704</v>
      </c>
      <c r="M236" s="7">
        <v>76394.372684109796</v>
      </c>
      <c r="N236" s="7">
        <f t="shared" si="299"/>
        <v>207716.03077824542</v>
      </c>
      <c r="P236" s="28">
        <v>6</v>
      </c>
      <c r="Q236" s="26">
        <v>3.0000000000000001E-5</v>
      </c>
      <c r="R236" s="28">
        <v>0.2</v>
      </c>
      <c r="S236" s="28">
        <v>30</v>
      </c>
      <c r="T236" s="26">
        <v>2.5000000000000002E-6</v>
      </c>
      <c r="U236" s="26">
        <f t="shared" si="300"/>
        <v>5.0000000000000008E-7</v>
      </c>
      <c r="V236" s="26">
        <f t="shared" si="301"/>
        <v>3.333333333333334E-2</v>
      </c>
      <c r="W236" s="7">
        <v>0.41645567241977999</v>
      </c>
      <c r="X236" s="7">
        <v>6989.2252213633501</v>
      </c>
      <c r="Y236" s="7">
        <v>55260.226463633997</v>
      </c>
      <c r="Z236" s="7">
        <v>6989.2252213633501</v>
      </c>
      <c r="AA236" s="7">
        <v>217155.11601730101</v>
      </c>
      <c r="AB236" s="7">
        <v>8488.2636315677501</v>
      </c>
      <c r="AC236" s="7">
        <f t="shared" si="302"/>
        <v>69238.676906360692</v>
      </c>
      <c r="AE236" s="28">
        <v>6</v>
      </c>
      <c r="AF236" s="26">
        <v>5.0000000000000002E-5</v>
      </c>
      <c r="AG236" s="28">
        <v>0.2</v>
      </c>
      <c r="AH236" s="28">
        <v>30</v>
      </c>
      <c r="AI236" s="26">
        <v>2.5000000000000002E-6</v>
      </c>
      <c r="AJ236" s="26">
        <f t="shared" si="303"/>
        <v>5.0000000000000008E-7</v>
      </c>
      <c r="AK236" s="26">
        <f t="shared" si="304"/>
        <v>2.0000000000000004E-2</v>
      </c>
      <c r="AL236" s="7">
        <v>0.441942725025949</v>
      </c>
      <c r="AM236" s="7">
        <v>4193.5351285970401</v>
      </c>
      <c r="AN236" s="7">
        <v>33156.135719653299</v>
      </c>
      <c r="AO236" s="7">
        <v>4193.5351285970401</v>
      </c>
      <c r="AP236" s="7">
        <v>130293.0701582</v>
      </c>
      <c r="AQ236" s="7">
        <v>3055.7749073643899</v>
      </c>
      <c r="AR236" s="7">
        <f t="shared" si="305"/>
        <v>41543.205976847377</v>
      </c>
      <c r="AT236" s="28">
        <v>6</v>
      </c>
      <c r="AU236" s="26">
        <v>1.0000000000000001E-5</v>
      </c>
      <c r="AV236" s="28">
        <v>0.2</v>
      </c>
      <c r="AW236" s="28">
        <v>200</v>
      </c>
      <c r="AX236" s="26">
        <v>2.5000000000000002E-6</v>
      </c>
      <c r="AY236" s="26">
        <f t="shared" si="306"/>
        <v>5.0000000000000008E-7</v>
      </c>
      <c r="AZ236" s="26">
        <f t="shared" si="307"/>
        <v>0.1</v>
      </c>
      <c r="BA236" s="7">
        <v>0.35395441285214102</v>
      </c>
      <c r="BB236" s="7">
        <v>4345.3623253436699</v>
      </c>
      <c r="BC236" s="7">
        <v>165780.67944707401</v>
      </c>
      <c r="BD236" s="7">
        <v>4345.3623253436699</v>
      </c>
      <c r="BE236" s="7">
        <v>651465.34785778704</v>
      </c>
      <c r="BF236" s="7">
        <v>76394.372684109796</v>
      </c>
      <c r="BG236" s="7">
        <f t="shared" si="308"/>
        <v>174471.40409776138</v>
      </c>
      <c r="BI236" s="28">
        <v>6</v>
      </c>
      <c r="BJ236" s="26">
        <v>1.0000000000000001E-5</v>
      </c>
      <c r="BK236" s="28">
        <v>0.5</v>
      </c>
      <c r="BL236" s="28">
        <v>200</v>
      </c>
      <c r="BM236" s="26">
        <v>2.5000000000000002E-6</v>
      </c>
      <c r="BN236" s="26">
        <f t="shared" si="309"/>
        <v>1.2500000000000001E-6</v>
      </c>
      <c r="BO236" s="26">
        <f t="shared" si="310"/>
        <v>0.25</v>
      </c>
      <c r="BP236" s="7">
        <v>0.63609880594874202</v>
      </c>
      <c r="BQ236" s="7">
        <v>3764.12485338133</v>
      </c>
      <c r="BR236" s="7">
        <v>66312.271778829701</v>
      </c>
      <c r="BS236" s="7">
        <v>3764.12485338133</v>
      </c>
      <c r="BT236" s="7">
        <v>260586.139143115</v>
      </c>
      <c r="BU236" s="7">
        <v>76394.372684109796</v>
      </c>
      <c r="BV236" s="7">
        <f t="shared" si="311"/>
        <v>73840.52148559237</v>
      </c>
      <c r="BX236" s="28">
        <v>6</v>
      </c>
      <c r="BY236" s="26">
        <v>5.0000000000000002E-5</v>
      </c>
      <c r="BZ236" s="28">
        <v>0.5</v>
      </c>
      <c r="CA236" s="28">
        <v>200</v>
      </c>
      <c r="CB236" s="26">
        <v>2.5000000000000002E-6</v>
      </c>
      <c r="CC236" s="26">
        <f t="shared" si="312"/>
        <v>1.2500000000000001E-6</v>
      </c>
      <c r="CD236" s="26">
        <f t="shared" si="313"/>
        <v>0.05</v>
      </c>
      <c r="CE236" s="7">
        <v>1.03442872487324</v>
      </c>
      <c r="CF236" s="7">
        <v>752.82497001808497</v>
      </c>
      <c r="CG236" s="7">
        <v>13262.454287861299</v>
      </c>
      <c r="CH236" s="7">
        <v>752.82497001808497</v>
      </c>
      <c r="CI236" s="7">
        <v>52117.228063280199</v>
      </c>
      <c r="CJ236" s="7">
        <v>3055.7749073643899</v>
      </c>
      <c r="CK236" s="7">
        <f t="shared" si="314"/>
        <v>14768.104227897471</v>
      </c>
      <c r="CM236" s="28">
        <v>6</v>
      </c>
      <c r="CN236" s="26">
        <v>5.0000000000000002E-5</v>
      </c>
      <c r="CO236" s="28">
        <v>1</v>
      </c>
      <c r="CP236" s="28">
        <v>200</v>
      </c>
      <c r="CQ236" s="26">
        <v>2.5000000000000002E-6</v>
      </c>
      <c r="CR236" s="26">
        <f t="shared" si="315"/>
        <v>2.5000000000000002E-6</v>
      </c>
      <c r="CS236" s="26">
        <f t="shared" si="316"/>
        <v>0.1</v>
      </c>
      <c r="CT236" s="7">
        <v>1.68750326415511</v>
      </c>
      <c r="CU236" s="7">
        <v>665.23311259709499</v>
      </c>
      <c r="CV236" s="7">
        <v>6631.2271439306596</v>
      </c>
      <c r="CW236" s="7">
        <v>665.23311259709499</v>
      </c>
      <c r="CX236" s="7">
        <v>26058.6140316401</v>
      </c>
      <c r="CY236" s="7">
        <v>3055.7749073643899</v>
      </c>
      <c r="CZ236" s="7">
        <f t="shared" si="317"/>
        <v>7961.6933691248496</v>
      </c>
      <c r="DB236" s="28">
        <v>6</v>
      </c>
      <c r="DC236" s="26">
        <v>5.0000000000000002E-5</v>
      </c>
      <c r="DD236" s="28">
        <v>2</v>
      </c>
      <c r="DE236" s="28">
        <v>200</v>
      </c>
      <c r="DF236" s="26">
        <v>2.5000000000000002E-6</v>
      </c>
      <c r="DG236" s="26">
        <f t="shared" si="318"/>
        <v>5.0000000000000004E-6</v>
      </c>
      <c r="DH236" s="26">
        <f t="shared" si="319"/>
        <v>0.2</v>
      </c>
      <c r="DI236" s="7">
        <v>2.6405541201124798</v>
      </c>
      <c r="DJ236" s="7">
        <v>578.22973015081095</v>
      </c>
      <c r="DK236" s="7">
        <v>3315.6135719653298</v>
      </c>
      <c r="DL236" s="7">
        <v>578.22973015081095</v>
      </c>
      <c r="DM236" s="7">
        <v>13029.307015820101</v>
      </c>
      <c r="DN236" s="7">
        <v>3055.7749073643899</v>
      </c>
      <c r="DO236" s="7">
        <f t="shared" si="320"/>
        <v>4472.0730322669515</v>
      </c>
      <c r="DQ236" s="28">
        <v>6</v>
      </c>
      <c r="DR236" s="26">
        <v>5.0000000000000002E-5</v>
      </c>
      <c r="DS236" s="28">
        <v>15</v>
      </c>
      <c r="DT236" s="28">
        <v>300</v>
      </c>
      <c r="DU236" s="26">
        <v>9.9999999999999995E-7</v>
      </c>
      <c r="DV236" s="26">
        <f t="shared" si="321"/>
        <v>1.4999999999999999E-5</v>
      </c>
      <c r="DW236" s="26">
        <f t="shared" si="322"/>
        <v>0.59999999999999987</v>
      </c>
      <c r="DX236" s="7">
        <v>14.036726016191601</v>
      </c>
      <c r="DY236" s="7">
        <v>254.539230510376</v>
      </c>
      <c r="DZ236" s="7">
        <v>442.08180959537702</v>
      </c>
      <c r="EA236" s="7">
        <v>254.539230510376</v>
      </c>
      <c r="EB236" s="7">
        <v>1737.24093544267</v>
      </c>
      <c r="EC236" s="7">
        <v>1018.59163578813</v>
      </c>
      <c r="ED236" s="7">
        <f t="shared" si="323"/>
        <v>951.16027061612908</v>
      </c>
    </row>
    <row r="237" spans="1:134" x14ac:dyDescent="0.4">
      <c r="A237" s="28">
        <v>8</v>
      </c>
      <c r="B237" s="26">
        <v>1.0000000000000001E-5</v>
      </c>
      <c r="C237" s="28">
        <v>0.2</v>
      </c>
      <c r="D237" s="28">
        <v>30</v>
      </c>
      <c r="E237" s="26">
        <v>2.5000000000000002E-6</v>
      </c>
      <c r="F237" s="26">
        <f t="shared" si="297"/>
        <v>5.0000000000000008E-7</v>
      </c>
      <c r="G237" s="26">
        <f t="shared" si="298"/>
        <v>0.1</v>
      </c>
      <c r="H237" s="7">
        <v>0.39089871251506803</v>
      </c>
      <c r="I237" s="7">
        <v>20967.675665585699</v>
      </c>
      <c r="J237" s="7">
        <v>100396.196898707</v>
      </c>
      <c r="K237" s="7">
        <v>20967.675665585699</v>
      </c>
      <c r="L237" s="7">
        <v>821154.82400854595</v>
      </c>
      <c r="M237" s="7">
        <v>76394.372684109796</v>
      </c>
      <c r="N237" s="7">
        <f t="shared" si="299"/>
        <v>142331.54822987839</v>
      </c>
      <c r="P237" s="28">
        <v>8</v>
      </c>
      <c r="Q237" s="26">
        <v>3.0000000000000001E-5</v>
      </c>
      <c r="R237" s="28">
        <v>0.2</v>
      </c>
      <c r="S237" s="28">
        <v>30</v>
      </c>
      <c r="T237" s="26">
        <v>2.5000000000000002E-6</v>
      </c>
      <c r="U237" s="26">
        <f t="shared" si="300"/>
        <v>5.0000000000000008E-7</v>
      </c>
      <c r="V237" s="26">
        <f t="shared" si="301"/>
        <v>3.333333333333334E-2</v>
      </c>
      <c r="W237" s="7">
        <v>0.54245488742162695</v>
      </c>
      <c r="X237" s="7">
        <v>6989.2252213633501</v>
      </c>
      <c r="Y237" s="7">
        <v>33465.398947511501</v>
      </c>
      <c r="Z237" s="7">
        <v>6989.2252213633501</v>
      </c>
      <c r="AA237" s="7">
        <v>273718.27480960399</v>
      </c>
      <c r="AB237" s="7">
        <v>8488.2636315677501</v>
      </c>
      <c r="AC237" s="7">
        <f t="shared" si="302"/>
        <v>47443.849390238196</v>
      </c>
      <c r="AE237" s="28">
        <v>8</v>
      </c>
      <c r="AF237" s="26">
        <v>5.0000000000000002E-5</v>
      </c>
      <c r="AG237" s="28">
        <v>0.2</v>
      </c>
      <c r="AH237" s="28">
        <v>30</v>
      </c>
      <c r="AI237" s="26">
        <v>2.5000000000000002E-6</v>
      </c>
      <c r="AJ237" s="26">
        <f t="shared" si="303"/>
        <v>5.0000000000000008E-7</v>
      </c>
      <c r="AK237" s="26">
        <f t="shared" si="304"/>
        <v>2.0000000000000004E-2</v>
      </c>
      <c r="AL237" s="7">
        <v>0.59419586264831303</v>
      </c>
      <c r="AM237" s="7">
        <v>4193.5351285970401</v>
      </c>
      <c r="AN237" s="7">
        <v>20079.239209979802</v>
      </c>
      <c r="AO237" s="7">
        <v>4193.5351285970401</v>
      </c>
      <c r="AP237" s="7">
        <v>164230.96607182099</v>
      </c>
      <c r="AQ237" s="7">
        <v>3055.7749073643899</v>
      </c>
      <c r="AR237" s="7">
        <f t="shared" si="305"/>
        <v>28466.30946717388</v>
      </c>
      <c r="AT237" s="28">
        <v>8</v>
      </c>
      <c r="AU237" s="26">
        <v>1.0000000000000001E-5</v>
      </c>
      <c r="AV237" s="28">
        <v>0.2</v>
      </c>
      <c r="AW237" s="28">
        <v>200</v>
      </c>
      <c r="AX237" s="26">
        <v>2.5000000000000002E-6</v>
      </c>
      <c r="AY237" s="26">
        <f t="shared" si="306"/>
        <v>5.0000000000000008E-7</v>
      </c>
      <c r="AZ237" s="26">
        <f t="shared" si="307"/>
        <v>0.1</v>
      </c>
      <c r="BA237" s="7">
        <v>0.42740304055427703</v>
      </c>
      <c r="BB237" s="7">
        <v>4345.3623253436699</v>
      </c>
      <c r="BC237" s="7">
        <v>100396.196898707</v>
      </c>
      <c r="BD237" s="7">
        <v>4345.3623253436699</v>
      </c>
      <c r="BE237" s="7">
        <v>821154.82400854595</v>
      </c>
      <c r="BF237" s="7">
        <v>76394.372684109796</v>
      </c>
      <c r="BG237" s="7">
        <f t="shared" si="308"/>
        <v>109086.92154939433</v>
      </c>
      <c r="BI237" s="28">
        <v>8</v>
      </c>
      <c r="BJ237" s="26">
        <v>1.0000000000000001E-5</v>
      </c>
      <c r="BK237" s="28">
        <v>0.5</v>
      </c>
      <c r="BL237" s="28">
        <v>200</v>
      </c>
      <c r="BM237" s="26">
        <v>2.5000000000000002E-6</v>
      </c>
      <c r="BN237" s="26">
        <f t="shared" si="309"/>
        <v>1.2500000000000001E-6</v>
      </c>
      <c r="BO237" s="26">
        <f t="shared" si="310"/>
        <v>0.25</v>
      </c>
      <c r="BP237" s="7">
        <v>0.68167145624857794</v>
      </c>
      <c r="BQ237" s="7">
        <v>3764.12485338133</v>
      </c>
      <c r="BR237" s="7">
        <v>40158.478759482699</v>
      </c>
      <c r="BS237" s="7">
        <v>3764.12485338133</v>
      </c>
      <c r="BT237" s="7">
        <v>328461.92960341799</v>
      </c>
      <c r="BU237" s="7">
        <v>76394.372684109796</v>
      </c>
      <c r="BV237" s="7">
        <f t="shared" si="311"/>
        <v>47686.728466245353</v>
      </c>
      <c r="BX237" s="28">
        <v>8</v>
      </c>
      <c r="BY237" s="26">
        <v>5.0000000000000002E-5</v>
      </c>
      <c r="BZ237" s="28">
        <v>0.5</v>
      </c>
      <c r="CA237" s="28">
        <v>200</v>
      </c>
      <c r="CB237" s="26">
        <v>2.5000000000000002E-6</v>
      </c>
      <c r="CC237" s="26">
        <f t="shared" si="312"/>
        <v>1.2500000000000001E-6</v>
      </c>
      <c r="CD237" s="26">
        <f t="shared" si="313"/>
        <v>0.05</v>
      </c>
      <c r="CE237" s="7">
        <v>1.3429486250723299</v>
      </c>
      <c r="CF237" s="7">
        <v>752.82497001808497</v>
      </c>
      <c r="CG237" s="7">
        <v>8031.6956839919103</v>
      </c>
      <c r="CH237" s="7">
        <v>752.82497001808497</v>
      </c>
      <c r="CI237" s="7">
        <v>65692.386428728598</v>
      </c>
      <c r="CJ237" s="7">
        <v>3055.7749073643899</v>
      </c>
      <c r="CK237" s="7">
        <f t="shared" si="314"/>
        <v>9537.3456240280793</v>
      </c>
      <c r="CM237" s="28">
        <v>8</v>
      </c>
      <c r="CN237" s="26">
        <v>5.0000000000000002E-5</v>
      </c>
      <c r="CO237" s="28">
        <v>1</v>
      </c>
      <c r="CP237" s="28">
        <v>200</v>
      </c>
      <c r="CQ237" s="26">
        <v>2.5000000000000002E-6</v>
      </c>
      <c r="CR237" s="26">
        <f t="shared" si="315"/>
        <v>2.5000000000000002E-6</v>
      </c>
      <c r="CS237" s="26">
        <f t="shared" si="316"/>
        <v>0.1</v>
      </c>
      <c r="CT237" s="7">
        <v>1.9980295667294701</v>
      </c>
      <c r="CU237" s="7">
        <v>665.23311259709499</v>
      </c>
      <c r="CV237" s="7">
        <v>4015.8478419959501</v>
      </c>
      <c r="CW237" s="7">
        <v>665.23311259709499</v>
      </c>
      <c r="CX237" s="7">
        <v>32846.193214364299</v>
      </c>
      <c r="CY237" s="7">
        <v>3055.7749073643899</v>
      </c>
      <c r="CZ237" s="7">
        <f t="shared" si="317"/>
        <v>5346.3140671901401</v>
      </c>
      <c r="DB237" s="28">
        <v>8</v>
      </c>
      <c r="DC237" s="26">
        <v>5.0000000000000002E-5</v>
      </c>
      <c r="DD237" s="28">
        <v>2</v>
      </c>
      <c r="DE237" s="28">
        <v>200</v>
      </c>
      <c r="DF237" s="26">
        <v>2.5000000000000002E-6</v>
      </c>
      <c r="DG237" s="26">
        <f t="shared" si="318"/>
        <v>5.0000000000000004E-6</v>
      </c>
      <c r="DH237" s="26">
        <f t="shared" si="319"/>
        <v>0.2</v>
      </c>
      <c r="DI237" s="7">
        <v>2.86319668487157</v>
      </c>
      <c r="DJ237" s="7">
        <v>578.22973015081095</v>
      </c>
      <c r="DK237" s="7">
        <v>2007.9239209979801</v>
      </c>
      <c r="DL237" s="7">
        <v>578.22973015081095</v>
      </c>
      <c r="DM237" s="7">
        <v>16423.096607182099</v>
      </c>
      <c r="DN237" s="7">
        <v>3055.7749073643899</v>
      </c>
      <c r="DO237" s="7">
        <f t="shared" si="320"/>
        <v>3164.3833812996022</v>
      </c>
      <c r="DQ237" s="28">
        <v>8</v>
      </c>
      <c r="DR237" s="26">
        <v>5.0000000000000002E-5</v>
      </c>
      <c r="DS237" s="28">
        <v>15</v>
      </c>
      <c r="DT237" s="28">
        <v>300</v>
      </c>
      <c r="DU237" s="26">
        <v>9.9999999999999995E-7</v>
      </c>
      <c r="DV237" s="26">
        <f t="shared" si="321"/>
        <v>1.4999999999999999E-5</v>
      </c>
      <c r="DW237" s="26">
        <f t="shared" si="322"/>
        <v>0.59999999999999987</v>
      </c>
      <c r="DX237" s="7">
        <v>13.7824215754853</v>
      </c>
      <c r="DY237" s="7">
        <v>254.539230510376</v>
      </c>
      <c r="DZ237" s="7">
        <v>267.723189466397</v>
      </c>
      <c r="EA237" s="7">
        <v>254.539230510376</v>
      </c>
      <c r="EB237" s="7">
        <v>2189.7462142909499</v>
      </c>
      <c r="EC237" s="7">
        <v>1018.59163578813</v>
      </c>
      <c r="ED237" s="7">
        <f t="shared" si="323"/>
        <v>776.801650487149</v>
      </c>
    </row>
    <row r="238" spans="1:134" x14ac:dyDescent="0.4">
      <c r="A238" s="28">
        <v>10</v>
      </c>
      <c r="B238" s="26">
        <v>1.0000000000000001E-5</v>
      </c>
      <c r="C238" s="28">
        <v>0.2</v>
      </c>
      <c r="D238" s="28">
        <v>30</v>
      </c>
      <c r="E238" s="26">
        <v>2.5000000000000002E-6</v>
      </c>
      <c r="F238" s="26">
        <f t="shared" si="297"/>
        <v>5.0000000000000008E-7</v>
      </c>
      <c r="G238" s="26">
        <f t="shared" si="298"/>
        <v>0.1</v>
      </c>
      <c r="H238" s="7">
        <v>0.45788187097173499</v>
      </c>
      <c r="I238" s="7">
        <v>20967.675665585699</v>
      </c>
      <c r="J238" s="7">
        <v>53826.312121005001</v>
      </c>
      <c r="K238" s="7">
        <v>20967.675665585699</v>
      </c>
      <c r="L238" s="7">
        <v>1014751.21705289</v>
      </c>
      <c r="M238" s="7">
        <v>76394.372684109796</v>
      </c>
      <c r="N238" s="7">
        <f t="shared" si="299"/>
        <v>95761.663452176406</v>
      </c>
      <c r="P238" s="28">
        <v>10</v>
      </c>
      <c r="Q238" s="26">
        <v>3.0000000000000001E-5</v>
      </c>
      <c r="R238" s="28">
        <v>0.2</v>
      </c>
      <c r="S238" s="28">
        <v>30</v>
      </c>
      <c r="T238" s="26">
        <v>2.5000000000000002E-6</v>
      </c>
      <c r="U238" s="26">
        <f t="shared" si="300"/>
        <v>5.0000000000000008E-7</v>
      </c>
      <c r="V238" s="26">
        <f t="shared" si="301"/>
        <v>3.333333333333334E-2</v>
      </c>
      <c r="W238" s="7">
        <v>0.713270693138778</v>
      </c>
      <c r="X238" s="7">
        <v>6989.2252213633501</v>
      </c>
      <c r="Y238" s="7">
        <v>17942.1040216109</v>
      </c>
      <c r="Z238" s="7">
        <v>6989.2252213633501</v>
      </c>
      <c r="AA238" s="7">
        <v>338250.40599296999</v>
      </c>
      <c r="AB238" s="7">
        <v>8488.2636315677501</v>
      </c>
      <c r="AC238" s="7">
        <f t="shared" si="302"/>
        <v>31920.554464337602</v>
      </c>
      <c r="AE238" s="28">
        <v>10</v>
      </c>
      <c r="AF238" s="26">
        <v>5.0000000000000002E-5</v>
      </c>
      <c r="AG238" s="28">
        <v>0.2</v>
      </c>
      <c r="AH238" s="28">
        <v>30</v>
      </c>
      <c r="AI238" s="26">
        <v>2.5000000000000002E-6</v>
      </c>
      <c r="AJ238" s="26">
        <f t="shared" si="303"/>
        <v>5.0000000000000008E-7</v>
      </c>
      <c r="AK238" s="26">
        <f t="shared" si="304"/>
        <v>2.0000000000000004E-2</v>
      </c>
      <c r="AL238" s="7">
        <v>0.81377305804052902</v>
      </c>
      <c r="AM238" s="7">
        <v>4193.5351285970401</v>
      </c>
      <c r="AN238" s="7">
        <v>10765.2622544394</v>
      </c>
      <c r="AO238" s="7">
        <v>4193.5351285970401</v>
      </c>
      <c r="AP238" s="7">
        <v>202950.24620916101</v>
      </c>
      <c r="AQ238" s="7">
        <v>3055.7749073643899</v>
      </c>
      <c r="AR238" s="7">
        <f t="shared" si="305"/>
        <v>19152.332511633478</v>
      </c>
      <c r="AT238" s="28">
        <v>10</v>
      </c>
      <c r="AU238" s="26">
        <v>1.0000000000000001E-5</v>
      </c>
      <c r="AV238" s="28">
        <v>0.2</v>
      </c>
      <c r="AW238" s="28">
        <v>200</v>
      </c>
      <c r="AX238" s="26">
        <v>2.5000000000000002E-6</v>
      </c>
      <c r="AY238" s="26">
        <f t="shared" si="306"/>
        <v>5.0000000000000008E-7</v>
      </c>
      <c r="AZ238" s="26">
        <f t="shared" si="307"/>
        <v>0.1</v>
      </c>
      <c r="BA238" s="7">
        <v>0.51467185437730401</v>
      </c>
      <c r="BB238" s="7">
        <v>4345.3623253436699</v>
      </c>
      <c r="BC238" s="7">
        <v>53826.312121005001</v>
      </c>
      <c r="BD238" s="7">
        <v>4345.3623253436699</v>
      </c>
      <c r="BE238" s="7">
        <v>1014751.21705289</v>
      </c>
      <c r="BF238" s="7">
        <v>76394.372684109796</v>
      </c>
      <c r="BG238" s="7">
        <f t="shared" si="308"/>
        <v>62517.036771692336</v>
      </c>
      <c r="BI238" s="28">
        <v>10</v>
      </c>
      <c r="BJ238" s="26">
        <v>1.0000000000000001E-5</v>
      </c>
      <c r="BK238" s="28">
        <v>0.5</v>
      </c>
      <c r="BL238" s="28">
        <v>200</v>
      </c>
      <c r="BM238" s="26">
        <v>2.5000000000000002E-6</v>
      </c>
      <c r="BN238" s="26">
        <f t="shared" si="309"/>
        <v>1.2500000000000001E-6</v>
      </c>
      <c r="BO238" s="26">
        <f t="shared" si="310"/>
        <v>0.25</v>
      </c>
      <c r="BP238" s="7">
        <v>0.72792170066130202</v>
      </c>
      <c r="BQ238" s="7">
        <v>3764.12485338133</v>
      </c>
      <c r="BR238" s="7">
        <v>21530.524848402001</v>
      </c>
      <c r="BS238" s="7">
        <v>3764.12485338133</v>
      </c>
      <c r="BT238" s="7">
        <v>405900.48682115501</v>
      </c>
      <c r="BU238" s="7">
        <v>76394.372684109796</v>
      </c>
      <c r="BV238" s="7">
        <f t="shared" si="311"/>
        <v>29058.774555164662</v>
      </c>
      <c r="BX238" s="28">
        <v>10</v>
      </c>
      <c r="BY238" s="26">
        <v>5.0000000000000002E-5</v>
      </c>
      <c r="BZ238" s="28">
        <v>0.5</v>
      </c>
      <c r="CA238" s="28">
        <v>200</v>
      </c>
      <c r="CB238" s="26">
        <v>2.5000000000000002E-6</v>
      </c>
      <c r="CC238" s="26">
        <f t="shared" si="312"/>
        <v>1.2500000000000001E-6</v>
      </c>
      <c r="CD238" s="26">
        <f t="shared" si="313"/>
        <v>0.05</v>
      </c>
      <c r="CE238" s="7">
        <v>1.75861103099091</v>
      </c>
      <c r="CF238" s="7">
        <v>752.82497001808497</v>
      </c>
      <c r="CG238" s="7">
        <v>4306.1049017757796</v>
      </c>
      <c r="CH238" s="7">
        <v>752.82497001808497</v>
      </c>
      <c r="CI238" s="7">
        <v>81180.098483664406</v>
      </c>
      <c r="CJ238" s="7">
        <v>3055.7749073643899</v>
      </c>
      <c r="CK238" s="7">
        <f t="shared" si="314"/>
        <v>5811.7548418119495</v>
      </c>
      <c r="CM238" s="28">
        <v>10</v>
      </c>
      <c r="CN238" s="26">
        <v>5.0000000000000002E-5</v>
      </c>
      <c r="CO238" s="28">
        <v>1</v>
      </c>
      <c r="CP238" s="28">
        <v>200</v>
      </c>
      <c r="CQ238" s="26">
        <v>2.5000000000000002E-6</v>
      </c>
      <c r="CR238" s="26">
        <f t="shared" si="315"/>
        <v>2.5000000000000002E-6</v>
      </c>
      <c r="CS238" s="26">
        <f t="shared" si="316"/>
        <v>0.1</v>
      </c>
      <c r="CT238" s="7">
        <v>2.3559048271131999</v>
      </c>
      <c r="CU238" s="7">
        <v>665.23311259709499</v>
      </c>
      <c r="CV238" s="7">
        <v>2153.0524508878898</v>
      </c>
      <c r="CW238" s="7">
        <v>665.23311259709499</v>
      </c>
      <c r="CX238" s="7">
        <v>40590.049241832203</v>
      </c>
      <c r="CY238" s="7">
        <v>3055.7749073643899</v>
      </c>
      <c r="CZ238" s="7">
        <f t="shared" si="317"/>
        <v>3483.5186760820798</v>
      </c>
      <c r="DB238" s="28">
        <v>10</v>
      </c>
      <c r="DC238" s="26">
        <v>5.0000000000000002E-5</v>
      </c>
      <c r="DD238" s="28">
        <v>2</v>
      </c>
      <c r="DE238" s="28">
        <v>200</v>
      </c>
      <c r="DF238" s="26">
        <v>2.5000000000000002E-6</v>
      </c>
      <c r="DG238" s="26">
        <f t="shared" si="318"/>
        <v>5.0000000000000004E-6</v>
      </c>
      <c r="DH238" s="26">
        <f t="shared" si="319"/>
        <v>0.2</v>
      </c>
      <c r="DI238" s="7">
        <v>3.0918972012361698</v>
      </c>
      <c r="DJ238" s="7">
        <v>578.22973015081095</v>
      </c>
      <c r="DK238" s="7">
        <v>1076.5262254439399</v>
      </c>
      <c r="DL238" s="7">
        <v>578.22973015081095</v>
      </c>
      <c r="DM238" s="7">
        <v>20295.024620916101</v>
      </c>
      <c r="DN238" s="7">
        <v>3055.7749073643899</v>
      </c>
      <c r="DO238" s="7">
        <f t="shared" si="320"/>
        <v>2232.985685745562</v>
      </c>
      <c r="DQ238" s="28">
        <v>10</v>
      </c>
      <c r="DR238" s="26">
        <v>5.0000000000000002E-5</v>
      </c>
      <c r="DS238" s="28">
        <v>15</v>
      </c>
      <c r="DT238" s="28">
        <v>300</v>
      </c>
      <c r="DU238" s="26">
        <v>9.9999999999999995E-7</v>
      </c>
      <c r="DV238" s="26">
        <f t="shared" si="321"/>
        <v>1.4999999999999999E-5</v>
      </c>
      <c r="DW238" s="26">
        <f t="shared" si="322"/>
        <v>0.59999999999999987</v>
      </c>
      <c r="DX238" s="7">
        <v>13.5537155847334</v>
      </c>
      <c r="DY238" s="7">
        <v>254.539230510376</v>
      </c>
      <c r="DZ238" s="7">
        <v>143.53683005919299</v>
      </c>
      <c r="EA238" s="7">
        <v>254.539230510376</v>
      </c>
      <c r="EB238" s="7">
        <v>2706.0032827888099</v>
      </c>
      <c r="EC238" s="7">
        <v>1018.59163578813</v>
      </c>
      <c r="ED238" s="7">
        <f t="shared" si="323"/>
        <v>652.615291079945</v>
      </c>
    </row>
    <row r="239" spans="1:134" x14ac:dyDescent="0.4">
      <c r="A239" s="28">
        <v>12</v>
      </c>
      <c r="B239" s="26">
        <v>1.0000000000000001E-5</v>
      </c>
      <c r="C239" s="28">
        <v>0.2</v>
      </c>
      <c r="D239" s="28">
        <v>30</v>
      </c>
      <c r="E239" s="26">
        <v>2.5000000000000002E-6</v>
      </c>
      <c r="F239" s="26">
        <f t="shared" si="297"/>
        <v>5.0000000000000008E-7</v>
      </c>
      <c r="G239" s="26">
        <f t="shared" si="298"/>
        <v>0.1</v>
      </c>
      <c r="H239" s="7">
        <v>0.53553808712468398</v>
      </c>
      <c r="I239" s="7">
        <v>20967.675665585699</v>
      </c>
      <c r="J239" s="7">
        <v>18265.061724746</v>
      </c>
      <c r="K239" s="7">
        <v>20967.675665585699</v>
      </c>
      <c r="L239" s="7">
        <v>1222830.0672564299</v>
      </c>
      <c r="M239" s="7">
        <v>76394.372684109796</v>
      </c>
      <c r="N239" s="7">
        <f t="shared" si="299"/>
        <v>60200.413055917394</v>
      </c>
      <c r="P239" s="28">
        <v>12</v>
      </c>
      <c r="Q239" s="26">
        <v>3.0000000000000001E-5</v>
      </c>
      <c r="R239" s="28">
        <v>0.2</v>
      </c>
      <c r="S239" s="28">
        <v>30</v>
      </c>
      <c r="T239" s="26">
        <v>2.5000000000000002E-6</v>
      </c>
      <c r="U239" s="26">
        <f t="shared" si="300"/>
        <v>5.0000000000000008E-7</v>
      </c>
      <c r="V239" s="26">
        <f t="shared" si="301"/>
        <v>3.333333333333334E-2</v>
      </c>
      <c r="W239" s="7">
        <v>0.95358547989944997</v>
      </c>
      <c r="X239" s="7">
        <v>6989.2252213633501</v>
      </c>
      <c r="Y239" s="7">
        <v>6088.3538895246002</v>
      </c>
      <c r="Z239" s="7">
        <v>6989.2252213633501</v>
      </c>
      <c r="AA239" s="7">
        <v>407610.02322415198</v>
      </c>
      <c r="AB239" s="7">
        <v>8488.2636315677501</v>
      </c>
      <c r="AC239" s="7">
        <f t="shared" si="302"/>
        <v>20066.8043322513</v>
      </c>
      <c r="AE239" s="28">
        <v>12</v>
      </c>
      <c r="AF239" s="26">
        <v>5.0000000000000002E-5</v>
      </c>
      <c r="AG239" s="28">
        <v>0.2</v>
      </c>
      <c r="AH239" s="28">
        <v>30</v>
      </c>
      <c r="AI239" s="26">
        <v>2.5000000000000002E-6</v>
      </c>
      <c r="AJ239" s="26">
        <f t="shared" si="303"/>
        <v>5.0000000000000008E-7</v>
      </c>
      <c r="AK239" s="26">
        <f t="shared" si="304"/>
        <v>2.0000000000000004E-2</v>
      </c>
      <c r="AL239" s="7">
        <v>1.14979828055974</v>
      </c>
      <c r="AM239" s="7">
        <v>4193.5351285970401</v>
      </c>
      <c r="AN239" s="7">
        <v>3653.01217518762</v>
      </c>
      <c r="AO239" s="7">
        <v>4193.5351285970401</v>
      </c>
      <c r="AP239" s="7">
        <v>244566.02075291699</v>
      </c>
      <c r="AQ239" s="7">
        <v>3055.7749073643899</v>
      </c>
      <c r="AR239" s="7">
        <f t="shared" si="305"/>
        <v>12040.0824323817</v>
      </c>
      <c r="AT239" s="28">
        <v>12</v>
      </c>
      <c r="AU239" s="26">
        <v>1.0000000000000001E-5</v>
      </c>
      <c r="AV239" s="28">
        <v>0.2</v>
      </c>
      <c r="AW239" s="28">
        <v>200</v>
      </c>
      <c r="AX239" s="26">
        <v>2.5000000000000002E-6</v>
      </c>
      <c r="AY239" s="26">
        <f t="shared" si="306"/>
        <v>5.0000000000000008E-7</v>
      </c>
      <c r="AZ239" s="26">
        <f t="shared" si="307"/>
        <v>0.1</v>
      </c>
      <c r="BA239" s="7">
        <v>0.61989535021230802</v>
      </c>
      <c r="BB239" s="7">
        <v>4345.3623253436699</v>
      </c>
      <c r="BC239" s="7">
        <v>18265.061724746</v>
      </c>
      <c r="BD239" s="7">
        <v>4345.3623253436699</v>
      </c>
      <c r="BE239" s="7">
        <v>1222830.0672564299</v>
      </c>
      <c r="BF239" s="7">
        <v>76394.372684109796</v>
      </c>
      <c r="BG239" s="7">
        <f t="shared" si="308"/>
        <v>26955.786375433341</v>
      </c>
      <c r="BI239" s="28">
        <v>12</v>
      </c>
      <c r="BJ239" s="26">
        <v>1.0000000000000001E-5</v>
      </c>
      <c r="BK239" s="28">
        <v>0.5</v>
      </c>
      <c r="BL239" s="28">
        <v>200</v>
      </c>
      <c r="BM239" s="26">
        <v>2.5000000000000002E-6</v>
      </c>
      <c r="BN239" s="26">
        <f t="shared" si="309"/>
        <v>1.2500000000000001E-6</v>
      </c>
      <c r="BO239" s="26">
        <f t="shared" si="310"/>
        <v>0.25</v>
      </c>
      <c r="BP239" s="7">
        <v>0.77814021989270399</v>
      </c>
      <c r="BQ239" s="7">
        <v>3764.12485338133</v>
      </c>
      <c r="BR239" s="7">
        <v>7306.0246898983996</v>
      </c>
      <c r="BS239" s="7">
        <v>3764.12485338133</v>
      </c>
      <c r="BT239" s="7">
        <v>489132.02690256998</v>
      </c>
      <c r="BU239" s="7">
        <v>76394.372684109796</v>
      </c>
      <c r="BV239" s="7">
        <f t="shared" si="311"/>
        <v>14834.27439666106</v>
      </c>
      <c r="BX239" s="28">
        <v>12</v>
      </c>
      <c r="BY239" s="26">
        <v>5.0000000000000002E-5</v>
      </c>
      <c r="BZ239" s="28">
        <v>0.5</v>
      </c>
      <c r="CA239" s="28">
        <v>200</v>
      </c>
      <c r="CB239" s="26">
        <v>2.5000000000000002E-6</v>
      </c>
      <c r="CC239" s="26">
        <f t="shared" si="312"/>
        <v>1.2500000000000001E-6</v>
      </c>
      <c r="CD239" s="26">
        <f t="shared" si="313"/>
        <v>0.05</v>
      </c>
      <c r="CE239" s="7">
        <v>2.3387069944618801</v>
      </c>
      <c r="CF239" s="7">
        <v>752.82497001808497</v>
      </c>
      <c r="CG239" s="7">
        <v>1461.2048700750499</v>
      </c>
      <c r="CH239" s="7">
        <v>752.82497001808497</v>
      </c>
      <c r="CI239" s="7">
        <v>97826.408301166695</v>
      </c>
      <c r="CJ239" s="7">
        <v>3055.7749073643899</v>
      </c>
      <c r="CK239" s="7">
        <f t="shared" si="314"/>
        <v>2966.8548101112201</v>
      </c>
      <c r="CM239" s="28">
        <v>12</v>
      </c>
      <c r="CN239" s="26">
        <v>5.0000000000000002E-5</v>
      </c>
      <c r="CO239" s="28">
        <v>1</v>
      </c>
      <c r="CP239" s="28">
        <v>200</v>
      </c>
      <c r="CQ239" s="26">
        <v>2.5000000000000002E-6</v>
      </c>
      <c r="CR239" s="26">
        <f t="shared" si="315"/>
        <v>2.5000000000000002E-6</v>
      </c>
      <c r="CS239" s="26">
        <f t="shared" si="316"/>
        <v>0.1</v>
      </c>
      <c r="CT239" s="7">
        <v>2.77450253749541</v>
      </c>
      <c r="CU239" s="7">
        <v>665.23311259709499</v>
      </c>
      <c r="CV239" s="7">
        <v>730.60243503752497</v>
      </c>
      <c r="CW239" s="7">
        <v>665.23311259709499</v>
      </c>
      <c r="CX239" s="7">
        <v>48913.204150583399</v>
      </c>
      <c r="CY239" s="7">
        <v>3055.7749073643899</v>
      </c>
      <c r="CZ239" s="7">
        <f t="shared" si="317"/>
        <v>2061.0686602317151</v>
      </c>
      <c r="DB239" s="28">
        <v>12</v>
      </c>
      <c r="DC239" s="26">
        <v>5.0000000000000002E-5</v>
      </c>
      <c r="DD239" s="28">
        <v>2</v>
      </c>
      <c r="DE239" s="28">
        <v>200</v>
      </c>
      <c r="DF239" s="26">
        <v>2.5000000000000002E-6</v>
      </c>
      <c r="DG239" s="26">
        <f t="shared" si="318"/>
        <v>5.0000000000000004E-6</v>
      </c>
      <c r="DH239" s="26">
        <f t="shared" si="319"/>
        <v>0.2</v>
      </c>
      <c r="DI239" s="7">
        <v>3.3396710280234201</v>
      </c>
      <c r="DJ239" s="7">
        <v>578.22973015081095</v>
      </c>
      <c r="DK239" s="7">
        <v>365.301217518763</v>
      </c>
      <c r="DL239" s="7">
        <v>578.22973015081095</v>
      </c>
      <c r="DM239" s="7">
        <v>24456.602075291699</v>
      </c>
      <c r="DN239" s="7">
        <v>3055.7749073643899</v>
      </c>
      <c r="DO239" s="7">
        <f t="shared" si="320"/>
        <v>1521.7606778203849</v>
      </c>
      <c r="DQ239" s="28">
        <v>12</v>
      </c>
      <c r="DR239" s="26">
        <v>5.0000000000000002E-5</v>
      </c>
      <c r="DS239" s="28">
        <v>15</v>
      </c>
      <c r="DT239" s="28">
        <v>300</v>
      </c>
      <c r="DU239" s="26">
        <v>9.9999999999999995E-7</v>
      </c>
      <c r="DV239" s="26">
        <f t="shared" si="321"/>
        <v>1.4999999999999999E-5</v>
      </c>
      <c r="DW239" s="26">
        <f t="shared" si="322"/>
        <v>0.59999999999999987</v>
      </c>
      <c r="DX239" s="7">
        <v>13.445194942020899</v>
      </c>
      <c r="DY239" s="7">
        <v>254.539230510376</v>
      </c>
      <c r="DZ239" s="7">
        <v>48.7068290025016</v>
      </c>
      <c r="EA239" s="7">
        <v>254.539230510376</v>
      </c>
      <c r="EB239" s="7">
        <v>3260.8802767055599</v>
      </c>
      <c r="EC239" s="7">
        <v>1018.59163578813</v>
      </c>
      <c r="ED239" s="7">
        <f t="shared" si="323"/>
        <v>557.78529002325354</v>
      </c>
    </row>
    <row r="240" spans="1:134" x14ac:dyDescent="0.4">
      <c r="A240" s="28">
        <v>15</v>
      </c>
      <c r="B240" s="26">
        <v>1.0000000000000001E-5</v>
      </c>
      <c r="C240" s="28">
        <v>0.2</v>
      </c>
      <c r="D240" s="28">
        <v>30</v>
      </c>
      <c r="E240" s="26">
        <v>2.5000000000000002E-6</v>
      </c>
      <c r="F240" s="26">
        <f t="shared" si="297"/>
        <v>5.0000000000000008E-7</v>
      </c>
      <c r="G240" s="26">
        <f t="shared" si="298"/>
        <v>0.1</v>
      </c>
      <c r="H240" s="7">
        <v>0.64003564496658805</v>
      </c>
      <c r="I240" s="7">
        <v>12481.634129420599</v>
      </c>
      <c r="J240" s="7">
        <v>3828.3041509332402</v>
      </c>
      <c r="K240" s="7">
        <v>12481.634129420599</v>
      </c>
      <c r="L240" s="7">
        <v>1641861.5249040499</v>
      </c>
      <c r="M240" s="7">
        <v>76394.372684109796</v>
      </c>
      <c r="N240" s="7">
        <f t="shared" si="299"/>
        <v>28791.572409774439</v>
      </c>
      <c r="P240" s="28">
        <v>15</v>
      </c>
      <c r="Q240" s="26">
        <v>3.0000000000000001E-5</v>
      </c>
      <c r="R240" s="28">
        <v>0.2</v>
      </c>
      <c r="S240" s="28">
        <v>30</v>
      </c>
      <c r="T240" s="26">
        <v>2.5000000000000002E-6</v>
      </c>
      <c r="U240" s="26">
        <f t="shared" si="300"/>
        <v>5.0000000000000008E-7</v>
      </c>
      <c r="V240" s="26">
        <f t="shared" si="301"/>
        <v>3.333333333333334E-2</v>
      </c>
      <c r="W240" s="7">
        <v>1.3763703983484401</v>
      </c>
      <c r="X240" s="7">
        <v>4160.5447097236602</v>
      </c>
      <c r="Y240" s="7">
        <v>1276.1013836444099</v>
      </c>
      <c r="Z240" s="7">
        <v>4160.5447097236602</v>
      </c>
      <c r="AA240" s="7">
        <v>547287.17553344101</v>
      </c>
      <c r="AB240" s="7">
        <v>8488.2636315677501</v>
      </c>
      <c r="AC240" s="7">
        <f t="shared" si="302"/>
        <v>9597.1908030917293</v>
      </c>
      <c r="AE240" s="28">
        <v>15</v>
      </c>
      <c r="AF240" s="26">
        <v>5.0000000000000002E-5</v>
      </c>
      <c r="AG240" s="28">
        <v>0.2</v>
      </c>
      <c r="AH240" s="28">
        <v>30</v>
      </c>
      <c r="AI240" s="26">
        <v>2.5000000000000002E-6</v>
      </c>
      <c r="AJ240" s="26">
        <f t="shared" si="303"/>
        <v>5.0000000000000008E-7</v>
      </c>
      <c r="AK240" s="26">
        <f t="shared" si="304"/>
        <v>2.0000000000000004E-2</v>
      </c>
      <c r="AL240" s="7">
        <v>1.8269362850914399</v>
      </c>
      <c r="AM240" s="7">
        <v>2496.32682512977</v>
      </c>
      <c r="AN240" s="7">
        <v>765.66083018664904</v>
      </c>
      <c r="AO240" s="7">
        <v>2496.32682512977</v>
      </c>
      <c r="AP240" s="7">
        <v>328372.31010722602</v>
      </c>
      <c r="AQ240" s="7">
        <v>3055.7749073643899</v>
      </c>
      <c r="AR240" s="7">
        <f t="shared" si="305"/>
        <v>5758.314480446189</v>
      </c>
      <c r="AT240" s="28">
        <v>15</v>
      </c>
      <c r="AU240" s="26">
        <v>1.0000000000000001E-5</v>
      </c>
      <c r="AV240" s="28">
        <v>0.2</v>
      </c>
      <c r="AW240" s="28">
        <v>200</v>
      </c>
      <c r="AX240" s="26">
        <v>2.5000000000000002E-6</v>
      </c>
      <c r="AY240" s="26">
        <f t="shared" si="306"/>
        <v>5.0000000000000008E-7</v>
      </c>
      <c r="AZ240" s="26">
        <f t="shared" si="307"/>
        <v>0.1</v>
      </c>
      <c r="BA240" s="7">
        <v>0.72893615634660502</v>
      </c>
      <c r="BB240" s="7">
        <v>1941.00035424731</v>
      </c>
      <c r="BC240" s="7">
        <v>642.33504314082199</v>
      </c>
      <c r="BD240" s="7">
        <v>1941.00035424731</v>
      </c>
      <c r="BE240" s="7">
        <v>1641861.5249040499</v>
      </c>
      <c r="BF240" s="7">
        <v>76394.372684109796</v>
      </c>
      <c r="BG240" s="7">
        <f t="shared" si="308"/>
        <v>4524.3357516354426</v>
      </c>
      <c r="BI240" s="28">
        <v>15</v>
      </c>
      <c r="BJ240" s="26">
        <v>1.0000000000000001E-5</v>
      </c>
      <c r="BK240" s="28">
        <v>0.5</v>
      </c>
      <c r="BL240" s="28">
        <v>200</v>
      </c>
      <c r="BM240" s="26">
        <v>2.5000000000000002E-6</v>
      </c>
      <c r="BN240" s="26">
        <f t="shared" si="309"/>
        <v>1.2500000000000001E-6</v>
      </c>
      <c r="BO240" s="26">
        <f t="shared" si="310"/>
        <v>0.25</v>
      </c>
      <c r="BP240" s="7">
        <v>0.82478306106795096</v>
      </c>
      <c r="BQ240" s="7">
        <v>1921.9637593119501</v>
      </c>
      <c r="BR240" s="7">
        <v>622.78773017584695</v>
      </c>
      <c r="BS240" s="7">
        <v>1921.9637593119501</v>
      </c>
      <c r="BT240" s="7">
        <v>656744.60996161995</v>
      </c>
      <c r="BU240" s="7">
        <v>76394.372684109796</v>
      </c>
      <c r="BV240" s="7">
        <f t="shared" si="311"/>
        <v>4466.7152487997464</v>
      </c>
      <c r="BX240" s="28">
        <v>15</v>
      </c>
      <c r="BY240" s="26">
        <v>5.0000000000000002E-5</v>
      </c>
      <c r="BZ240" s="28">
        <v>0.5</v>
      </c>
      <c r="CA240" s="28">
        <v>200</v>
      </c>
      <c r="CB240" s="26">
        <v>2.5000000000000002E-6</v>
      </c>
      <c r="CC240" s="26">
        <f t="shared" si="312"/>
        <v>1.2500000000000001E-6</v>
      </c>
      <c r="CD240" s="26">
        <f t="shared" si="313"/>
        <v>0.05</v>
      </c>
      <c r="CE240" s="7">
        <v>3.1471008940940299</v>
      </c>
      <c r="CF240" s="7">
        <v>384.39275181655802</v>
      </c>
      <c r="CG240" s="7">
        <v>124.557546035169</v>
      </c>
      <c r="CH240" s="7">
        <v>384.39275181655802</v>
      </c>
      <c r="CI240" s="7">
        <v>131348.92404288999</v>
      </c>
      <c r="CJ240" s="7">
        <v>3055.7749073643899</v>
      </c>
      <c r="CK240" s="7">
        <f t="shared" si="314"/>
        <v>893.34304966828495</v>
      </c>
      <c r="CM240" s="28">
        <v>15</v>
      </c>
      <c r="CN240" s="26">
        <v>5.0000000000000002E-5</v>
      </c>
      <c r="CO240" s="28">
        <v>1</v>
      </c>
      <c r="CP240" s="28">
        <v>200</v>
      </c>
      <c r="CQ240" s="26">
        <v>2.5000000000000002E-6</v>
      </c>
      <c r="CR240" s="26">
        <f t="shared" si="315"/>
        <v>2.5000000000000002E-6</v>
      </c>
      <c r="CS240" s="26">
        <f t="shared" si="316"/>
        <v>0.1</v>
      </c>
      <c r="CT240" s="7">
        <v>3.31420369504086</v>
      </c>
      <c r="CU240" s="7">
        <v>378.32091509688701</v>
      </c>
      <c r="CV240" s="7">
        <v>118.54503217394399</v>
      </c>
      <c r="CW240" s="7">
        <v>378.32091509688701</v>
      </c>
      <c r="CX240" s="7">
        <v>65674.462021445201</v>
      </c>
      <c r="CY240" s="7">
        <v>3055.7749073643899</v>
      </c>
      <c r="CZ240" s="7">
        <f t="shared" si="317"/>
        <v>875.18686236771805</v>
      </c>
      <c r="DB240" s="28">
        <v>15</v>
      </c>
      <c r="DC240" s="26">
        <v>5.0000000000000002E-5</v>
      </c>
      <c r="DD240" s="28">
        <v>2</v>
      </c>
      <c r="DE240" s="28">
        <v>200</v>
      </c>
      <c r="DF240" s="26">
        <v>2.5000000000000002E-6</v>
      </c>
      <c r="DG240" s="26">
        <f t="shared" si="318"/>
        <v>5.0000000000000004E-6</v>
      </c>
      <c r="DH240" s="26">
        <f t="shared" si="319"/>
        <v>0.2</v>
      </c>
      <c r="DI240" s="7">
        <v>3.64705411601035</v>
      </c>
      <c r="DJ240" s="7">
        <v>367.08848561923799</v>
      </c>
      <c r="DK240" s="7">
        <v>108.10811969663401</v>
      </c>
      <c r="DL240" s="7">
        <v>367.08848561923799</v>
      </c>
      <c r="DM240" s="7">
        <v>32837.2310107226</v>
      </c>
      <c r="DN240" s="7">
        <v>3055.7749073643899</v>
      </c>
      <c r="DO240" s="7">
        <f t="shared" si="320"/>
        <v>842.28509093511002</v>
      </c>
      <c r="DQ240" s="28">
        <v>15</v>
      </c>
      <c r="DR240" s="26">
        <v>5.0000000000000002E-5</v>
      </c>
      <c r="DS240" s="28">
        <v>15</v>
      </c>
      <c r="DT240" s="28">
        <v>300</v>
      </c>
      <c r="DU240" s="26">
        <v>9.9999999999999995E-7</v>
      </c>
      <c r="DV240" s="26">
        <f t="shared" si="321"/>
        <v>1.4999999999999999E-5</v>
      </c>
      <c r="DW240" s="26">
        <f t="shared" si="322"/>
        <v>0.59999999999999987</v>
      </c>
      <c r="DX240" s="7">
        <v>13.201695854801001</v>
      </c>
      <c r="DY240" s="7">
        <v>202.84957985735099</v>
      </c>
      <c r="DZ240" s="7">
        <v>42.287816140325297</v>
      </c>
      <c r="EA240" s="7">
        <v>202.84957985735099</v>
      </c>
      <c r="EB240" s="7">
        <v>4378.2974680963498</v>
      </c>
      <c r="EC240" s="7">
        <v>1018.59163578813</v>
      </c>
      <c r="ED240" s="7">
        <f t="shared" si="323"/>
        <v>447.98697585502725</v>
      </c>
    </row>
    <row r="241" spans="1:134" x14ac:dyDescent="0.4">
      <c r="A241" s="28">
        <v>20</v>
      </c>
      <c r="B241" s="26">
        <v>1.0000000000000001E-5</v>
      </c>
      <c r="C241" s="28">
        <v>0.2</v>
      </c>
      <c r="D241" s="28">
        <v>30</v>
      </c>
      <c r="E241" s="26">
        <v>2.5000000000000002E-6</v>
      </c>
      <c r="F241" s="26">
        <f t="shared" si="297"/>
        <v>5.0000000000000008E-7</v>
      </c>
      <c r="G241" s="26">
        <f t="shared" si="298"/>
        <v>0.1</v>
      </c>
      <c r="H241" s="7">
        <v>0.71097057050004997</v>
      </c>
      <c r="I241" s="7">
        <v>7857.7524727739301</v>
      </c>
      <c r="J241" s="7">
        <v>4475.4086280782203</v>
      </c>
      <c r="K241" s="7">
        <v>7857.7524727739301</v>
      </c>
      <c r="L241" s="7">
        <v>2551974.2921694499</v>
      </c>
      <c r="M241" s="7">
        <v>76394.372684109796</v>
      </c>
      <c r="N241" s="7">
        <f t="shared" si="299"/>
        <v>20190.91357362608</v>
      </c>
      <c r="P241" s="28">
        <v>20</v>
      </c>
      <c r="Q241" s="26">
        <v>3.0000000000000001E-5</v>
      </c>
      <c r="R241" s="28">
        <v>0.2</v>
      </c>
      <c r="S241" s="28">
        <v>30</v>
      </c>
      <c r="T241" s="26">
        <v>2.5000000000000002E-6</v>
      </c>
      <c r="U241" s="26">
        <f t="shared" si="300"/>
        <v>5.0000000000000008E-7</v>
      </c>
      <c r="V241" s="26">
        <f t="shared" si="301"/>
        <v>3.333333333333334E-2</v>
      </c>
      <c r="W241" s="7">
        <v>1.66458778981154</v>
      </c>
      <c r="X241" s="7">
        <v>2619.2508242245099</v>
      </c>
      <c r="Y241" s="7">
        <v>1491.80287602607</v>
      </c>
      <c r="Z241" s="7">
        <v>2619.2508242245099</v>
      </c>
      <c r="AA241" s="7">
        <v>850658.09849467594</v>
      </c>
      <c r="AB241" s="7">
        <v>8488.2636315677501</v>
      </c>
      <c r="AC241" s="7">
        <f t="shared" si="302"/>
        <v>6730.3045244750901</v>
      </c>
      <c r="AE241" s="28">
        <v>20</v>
      </c>
      <c r="AF241" s="26">
        <v>5.0000000000000002E-5</v>
      </c>
      <c r="AG241" s="28">
        <v>0.2</v>
      </c>
      <c r="AH241" s="28">
        <v>30</v>
      </c>
      <c r="AI241" s="26">
        <v>2.5000000000000002E-6</v>
      </c>
      <c r="AJ241" s="26">
        <f t="shared" si="303"/>
        <v>5.0000000000000008E-7</v>
      </c>
      <c r="AK241" s="26">
        <f t="shared" si="304"/>
        <v>2.0000000000000004E-2</v>
      </c>
      <c r="AL241" s="7">
        <v>2.3146793295111898</v>
      </c>
      <c r="AM241" s="7">
        <v>1571.5504942513201</v>
      </c>
      <c r="AN241" s="7">
        <v>895.08172561564299</v>
      </c>
      <c r="AO241" s="7">
        <v>1571.5504942513201</v>
      </c>
      <c r="AP241" s="7">
        <v>510394.86845111102</v>
      </c>
      <c r="AQ241" s="7">
        <v>3055.7749073643899</v>
      </c>
      <c r="AR241" s="7">
        <f t="shared" si="305"/>
        <v>4038.182714118283</v>
      </c>
      <c r="AT241" s="28">
        <v>20</v>
      </c>
      <c r="AU241" s="26">
        <v>1.0000000000000001E-5</v>
      </c>
      <c r="AV241" s="28">
        <v>0.2</v>
      </c>
      <c r="AW241" s="28">
        <v>200</v>
      </c>
      <c r="AX241" s="26">
        <v>2.5000000000000002E-6</v>
      </c>
      <c r="AY241" s="26">
        <f t="shared" si="306"/>
        <v>5.0000000000000008E-7</v>
      </c>
      <c r="AZ241" s="26">
        <f t="shared" si="307"/>
        <v>0.1</v>
      </c>
      <c r="BA241" s="7">
        <v>0.78402662840803605</v>
      </c>
      <c r="BB241" s="7">
        <v>1196.98361424428</v>
      </c>
      <c r="BC241" s="7">
        <v>694.07852984949898</v>
      </c>
      <c r="BD241" s="7">
        <v>1196.98361424428</v>
      </c>
      <c r="BE241" s="7">
        <v>2551974.2921694499</v>
      </c>
      <c r="BF241" s="7">
        <v>76394.372684109796</v>
      </c>
      <c r="BG241" s="7">
        <f t="shared" si="308"/>
        <v>3088.0457583380589</v>
      </c>
      <c r="BI241" s="28">
        <v>20</v>
      </c>
      <c r="BJ241" s="26">
        <v>1.0000000000000001E-5</v>
      </c>
      <c r="BK241" s="28">
        <v>0.5</v>
      </c>
      <c r="BL241" s="28">
        <v>200</v>
      </c>
      <c r="BM241" s="26">
        <v>2.5000000000000002E-6</v>
      </c>
      <c r="BN241" s="26">
        <f t="shared" si="309"/>
        <v>1.2500000000000001E-6</v>
      </c>
      <c r="BO241" s="26">
        <f t="shared" si="310"/>
        <v>0.25</v>
      </c>
      <c r="BP241" s="7">
        <v>0.85180105518446902</v>
      </c>
      <c r="BQ241" s="7">
        <v>1192.0586917390101</v>
      </c>
      <c r="BR241" s="7">
        <v>687.90288040570601</v>
      </c>
      <c r="BS241" s="7">
        <v>1192.0586917390101</v>
      </c>
      <c r="BT241" s="7">
        <v>1020789.71686778</v>
      </c>
      <c r="BU241" s="7">
        <v>76394.372684109796</v>
      </c>
      <c r="BV241" s="7">
        <f t="shared" si="311"/>
        <v>3072.0202638837263</v>
      </c>
      <c r="BX241" s="28">
        <v>20</v>
      </c>
      <c r="BY241" s="26">
        <v>5.0000000000000002E-5</v>
      </c>
      <c r="BZ241" s="28">
        <v>0.5</v>
      </c>
      <c r="CA241" s="28">
        <v>200</v>
      </c>
      <c r="CB241" s="26">
        <v>2.5000000000000002E-6</v>
      </c>
      <c r="CC241" s="26">
        <f t="shared" si="312"/>
        <v>1.2500000000000001E-6</v>
      </c>
      <c r="CD241" s="26">
        <f t="shared" si="313"/>
        <v>0.05</v>
      </c>
      <c r="CE241" s="7">
        <v>3.5376676991886602</v>
      </c>
      <c r="CF241" s="7">
        <v>238.41173833028401</v>
      </c>
      <c r="CG241" s="7">
        <v>137.580576081141</v>
      </c>
      <c r="CH241" s="7">
        <v>238.41173833028401</v>
      </c>
      <c r="CI241" s="7">
        <v>204157.947380445</v>
      </c>
      <c r="CJ241" s="7">
        <v>3055.7749073643899</v>
      </c>
      <c r="CK241" s="7">
        <f t="shared" si="314"/>
        <v>614.40405274170905</v>
      </c>
      <c r="CM241" s="28">
        <v>20</v>
      </c>
      <c r="CN241" s="26">
        <v>5.0000000000000002E-5</v>
      </c>
      <c r="CO241" s="28">
        <v>1</v>
      </c>
      <c r="CP241" s="28">
        <v>200</v>
      </c>
      <c r="CQ241" s="26">
        <v>2.5000000000000002E-6</v>
      </c>
      <c r="CR241" s="26">
        <f t="shared" si="315"/>
        <v>2.5000000000000002E-6</v>
      </c>
      <c r="CS241" s="26">
        <f t="shared" si="316"/>
        <v>0.1</v>
      </c>
      <c r="CT241" s="7">
        <v>3.6531713423896899</v>
      </c>
      <c r="CU241" s="7">
        <v>236.794372688691</v>
      </c>
      <c r="CV241" s="7">
        <v>135.57018035757301</v>
      </c>
      <c r="CW241" s="7">
        <v>236.794372688691</v>
      </c>
      <c r="CX241" s="7">
        <v>102078.973690222</v>
      </c>
      <c r="CY241" s="7">
        <v>3055.7749073643899</v>
      </c>
      <c r="CZ241" s="7">
        <f t="shared" si="317"/>
        <v>609.15892573495501</v>
      </c>
      <c r="DB241" s="28">
        <v>20</v>
      </c>
      <c r="DC241" s="26">
        <v>5.0000000000000002E-5</v>
      </c>
      <c r="DD241" s="28">
        <v>2</v>
      </c>
      <c r="DE241" s="28">
        <v>200</v>
      </c>
      <c r="DF241" s="26">
        <v>2.5000000000000002E-6</v>
      </c>
      <c r="DG241" s="26">
        <f t="shared" si="318"/>
        <v>5.0000000000000004E-6</v>
      </c>
      <c r="DH241" s="26">
        <f t="shared" si="319"/>
        <v>0.2</v>
      </c>
      <c r="DI241" s="7">
        <v>3.8840139413860602</v>
      </c>
      <c r="DJ241" s="7">
        <v>233.64718966736299</v>
      </c>
      <c r="DK241" s="7">
        <v>131.72072797829401</v>
      </c>
      <c r="DL241" s="7">
        <v>233.64718966736299</v>
      </c>
      <c r="DM241" s="7">
        <v>51039.486845111103</v>
      </c>
      <c r="DN241" s="7">
        <v>3055.7749073643899</v>
      </c>
      <c r="DO241" s="7">
        <f t="shared" si="320"/>
        <v>599.01510731302005</v>
      </c>
      <c r="DQ241" s="28">
        <v>20</v>
      </c>
      <c r="DR241" s="26">
        <v>5.0000000000000002E-5</v>
      </c>
      <c r="DS241" s="28">
        <v>15</v>
      </c>
      <c r="DT241" s="28">
        <v>300</v>
      </c>
      <c r="DU241" s="26">
        <v>9.9999999999999995E-7</v>
      </c>
      <c r="DV241" s="26">
        <f t="shared" si="321"/>
        <v>1.4999999999999999E-5</v>
      </c>
      <c r="DW241" s="26">
        <f t="shared" si="322"/>
        <v>0.59999999999999987</v>
      </c>
      <c r="DX241" s="7">
        <v>13.0176680437228</v>
      </c>
      <c r="DY241" s="7">
        <v>141.30482192536101</v>
      </c>
      <c r="DZ241" s="7">
        <v>71.560155029152398</v>
      </c>
      <c r="EA241" s="7">
        <v>141.30482192536101</v>
      </c>
      <c r="EB241" s="7">
        <v>6805.2649126814904</v>
      </c>
      <c r="EC241" s="7">
        <v>1018.59163578813</v>
      </c>
      <c r="ED241" s="7">
        <f t="shared" si="323"/>
        <v>354.16979887987441</v>
      </c>
    </row>
    <row r="242" spans="1:134" x14ac:dyDescent="0.4">
      <c r="A242" s="28">
        <v>25</v>
      </c>
      <c r="B242" s="26">
        <v>1.0000000000000001E-5</v>
      </c>
      <c r="C242" s="28">
        <v>0.2</v>
      </c>
      <c r="D242" s="28">
        <v>30</v>
      </c>
      <c r="E242" s="26">
        <v>2.5000000000000002E-6</v>
      </c>
      <c r="F242" s="26">
        <f t="shared" si="297"/>
        <v>5.0000000000000008E-7</v>
      </c>
      <c r="G242" s="26">
        <f t="shared" si="298"/>
        <v>0.1</v>
      </c>
      <c r="H242" s="7">
        <v>0.76389669296549201</v>
      </c>
      <c r="I242" s="7">
        <v>5967.7070610572</v>
      </c>
      <c r="J242" s="7">
        <v>4769.5933204541298</v>
      </c>
      <c r="K242" s="7">
        <v>5967.7070610572</v>
      </c>
      <c r="L242" s="7">
        <v>3890230.9388607698</v>
      </c>
      <c r="M242" s="7">
        <v>76394.372684109796</v>
      </c>
      <c r="N242" s="7">
        <f t="shared" si="299"/>
        <v>16705.007442568531</v>
      </c>
      <c r="P242" s="28">
        <v>25</v>
      </c>
      <c r="Q242" s="26">
        <v>3.0000000000000001E-5</v>
      </c>
      <c r="R242" s="28">
        <v>0.2</v>
      </c>
      <c r="S242" s="28">
        <v>30</v>
      </c>
      <c r="T242" s="26">
        <v>2.5000000000000002E-6</v>
      </c>
      <c r="U242" s="26">
        <f t="shared" si="300"/>
        <v>5.0000000000000008E-7</v>
      </c>
      <c r="V242" s="26">
        <f t="shared" si="301"/>
        <v>3.333333333333334E-2</v>
      </c>
      <c r="W242" s="7">
        <v>1.8663105894909999</v>
      </c>
      <c r="X242" s="7">
        <v>1989.2356869965699</v>
      </c>
      <c r="Y242" s="7">
        <v>1589.86444015137</v>
      </c>
      <c r="Z242" s="7">
        <v>1989.2356869965699</v>
      </c>
      <c r="AA242" s="7">
        <v>1296743.6482743199</v>
      </c>
      <c r="AB242" s="7">
        <v>8488.2636315677501</v>
      </c>
      <c r="AC242" s="7">
        <f t="shared" si="302"/>
        <v>5568.3358141445096</v>
      </c>
      <c r="AE242" s="28">
        <v>25</v>
      </c>
      <c r="AF242" s="26">
        <v>5.0000000000000002E-5</v>
      </c>
      <c r="AG242" s="28">
        <v>0.2</v>
      </c>
      <c r="AH242" s="28">
        <v>30</v>
      </c>
      <c r="AI242" s="26">
        <v>2.5000000000000002E-6</v>
      </c>
      <c r="AJ242" s="26">
        <f t="shared" si="303"/>
        <v>5.0000000000000008E-7</v>
      </c>
      <c r="AK242" s="26">
        <f t="shared" si="304"/>
        <v>2.0000000000000004E-2</v>
      </c>
      <c r="AL242" s="7">
        <v>2.6570061904949398</v>
      </c>
      <c r="AM242" s="7">
        <v>1193.54141200751</v>
      </c>
      <c r="AN242" s="7">
        <v>953.91866409082502</v>
      </c>
      <c r="AO242" s="7">
        <v>1193.54141200751</v>
      </c>
      <c r="AP242" s="7">
        <v>778046.205790887</v>
      </c>
      <c r="AQ242" s="7">
        <v>3055.7749073643899</v>
      </c>
      <c r="AR242" s="7">
        <f t="shared" si="305"/>
        <v>3341.0014881058451</v>
      </c>
      <c r="AT242" s="28">
        <v>25</v>
      </c>
      <c r="AU242" s="26">
        <v>1.0000000000000001E-5</v>
      </c>
      <c r="AV242" s="28">
        <v>0.2</v>
      </c>
      <c r="AW242" s="28">
        <v>200</v>
      </c>
      <c r="AX242" s="26">
        <v>2.5000000000000002E-6</v>
      </c>
      <c r="AY242" s="26">
        <f t="shared" si="306"/>
        <v>5.0000000000000008E-7</v>
      </c>
      <c r="AZ242" s="26">
        <f t="shared" si="307"/>
        <v>0.1</v>
      </c>
      <c r="BA242" s="7">
        <v>0.83065433604643202</v>
      </c>
      <c r="BB242" s="7">
        <v>904.92261526204402</v>
      </c>
      <c r="BC242" s="7">
        <v>729.47946385146201</v>
      </c>
      <c r="BD242" s="7">
        <v>904.92261526204402</v>
      </c>
      <c r="BE242" s="7">
        <v>3890230.9388607698</v>
      </c>
      <c r="BF242" s="7">
        <v>76394.372684109796</v>
      </c>
      <c r="BG242" s="7">
        <f t="shared" si="308"/>
        <v>2539.3246943755503</v>
      </c>
      <c r="BI242" s="28">
        <v>25</v>
      </c>
      <c r="BJ242" s="26">
        <v>1.0000000000000001E-5</v>
      </c>
      <c r="BK242" s="28">
        <v>0.5</v>
      </c>
      <c r="BL242" s="28">
        <v>200</v>
      </c>
      <c r="BM242" s="26">
        <v>2.5000000000000002E-6</v>
      </c>
      <c r="BN242" s="26">
        <f t="shared" si="309"/>
        <v>1.2500000000000001E-6</v>
      </c>
      <c r="BO242" s="26">
        <f t="shared" si="310"/>
        <v>0.25</v>
      </c>
      <c r="BP242" s="7">
        <v>0.87853967979658498</v>
      </c>
      <c r="BQ242" s="7">
        <v>902.31159397251201</v>
      </c>
      <c r="BR242" s="7">
        <v>725.70943403112403</v>
      </c>
      <c r="BS242" s="7">
        <v>902.31159397251201</v>
      </c>
      <c r="BT242" s="7">
        <v>1556092.3755443101</v>
      </c>
      <c r="BU242" s="7">
        <v>76394.372684109796</v>
      </c>
      <c r="BV242" s="7">
        <f t="shared" si="311"/>
        <v>2530.3326219761479</v>
      </c>
      <c r="BX242" s="28">
        <v>25</v>
      </c>
      <c r="BY242" s="26">
        <v>5.0000000000000002E-5</v>
      </c>
      <c r="BZ242" s="28">
        <v>0.5</v>
      </c>
      <c r="CA242" s="28">
        <v>200</v>
      </c>
      <c r="CB242" s="26">
        <v>2.5000000000000002E-6</v>
      </c>
      <c r="CC242" s="26">
        <f t="shared" si="312"/>
        <v>1.2500000000000001E-6</v>
      </c>
      <c r="CD242" s="26">
        <f t="shared" si="313"/>
        <v>0.05</v>
      </c>
      <c r="CE242" s="7">
        <v>3.8294233163782199</v>
      </c>
      <c r="CF242" s="7">
        <v>180.46231878283399</v>
      </c>
      <c r="CG242" s="7">
        <v>145.14188680622499</v>
      </c>
      <c r="CH242" s="7">
        <v>180.46231878283399</v>
      </c>
      <c r="CI242" s="7">
        <v>311218.48231635499</v>
      </c>
      <c r="CJ242" s="7">
        <v>3055.7749073643899</v>
      </c>
      <c r="CK242" s="7">
        <f t="shared" si="314"/>
        <v>506.06652437189302</v>
      </c>
      <c r="CM242" s="28">
        <v>25</v>
      </c>
      <c r="CN242" s="26">
        <v>5.0000000000000002E-5</v>
      </c>
      <c r="CO242" s="28">
        <v>1</v>
      </c>
      <c r="CP242" s="28">
        <v>200</v>
      </c>
      <c r="CQ242" s="26">
        <v>2.5000000000000002E-6</v>
      </c>
      <c r="CR242" s="26">
        <f t="shared" si="315"/>
        <v>2.5000000000000002E-6</v>
      </c>
      <c r="CS242" s="26">
        <f t="shared" si="316"/>
        <v>0.1</v>
      </c>
      <c r="CT242" s="7">
        <v>3.9108351443317702</v>
      </c>
      <c r="CU242" s="7">
        <v>179.60025764253999</v>
      </c>
      <c r="CV242" s="7">
        <v>143.90240734913101</v>
      </c>
      <c r="CW242" s="7">
        <v>179.60025764253999</v>
      </c>
      <c r="CX242" s="7">
        <v>155609.241158177</v>
      </c>
      <c r="CY242" s="7">
        <v>3055.7749073643899</v>
      </c>
      <c r="CZ242" s="7">
        <f t="shared" si="317"/>
        <v>503.10292263421098</v>
      </c>
      <c r="DB242" s="28">
        <v>25</v>
      </c>
      <c r="DC242" s="26">
        <v>5.0000000000000002E-5</v>
      </c>
      <c r="DD242" s="28">
        <v>2</v>
      </c>
      <c r="DE242" s="28">
        <v>200</v>
      </c>
      <c r="DF242" s="26">
        <v>2.5000000000000002E-6</v>
      </c>
      <c r="DG242" s="26">
        <f t="shared" si="318"/>
        <v>5.0000000000000004E-6</v>
      </c>
      <c r="DH242" s="26">
        <f t="shared" si="319"/>
        <v>0.2</v>
      </c>
      <c r="DI242" s="7">
        <v>4.0735933627652097</v>
      </c>
      <c r="DJ242" s="7">
        <v>177.90643586546901</v>
      </c>
      <c r="DK242" s="7">
        <v>141.48598257191699</v>
      </c>
      <c r="DL242" s="7">
        <v>177.90643586546901</v>
      </c>
      <c r="DM242" s="7">
        <v>77804.620579088703</v>
      </c>
      <c r="DN242" s="7">
        <v>3055.7749073643899</v>
      </c>
      <c r="DO242" s="7">
        <f t="shared" si="320"/>
        <v>497.29885430285503</v>
      </c>
      <c r="DQ242" s="28">
        <v>25</v>
      </c>
      <c r="DR242" s="26">
        <v>5.0000000000000002E-5</v>
      </c>
      <c r="DS242" s="28">
        <v>15</v>
      </c>
      <c r="DT242" s="28">
        <v>300</v>
      </c>
      <c r="DU242" s="26">
        <v>9.9999999999999995E-7</v>
      </c>
      <c r="DV242" s="26">
        <f t="shared" si="321"/>
        <v>1.4999999999999999E-5</v>
      </c>
      <c r="DW242" s="26">
        <f t="shared" si="322"/>
        <v>0.59999999999999987</v>
      </c>
      <c r="DX242" s="7">
        <v>12.990808173959101</v>
      </c>
      <c r="DY242" s="7">
        <v>110.42994925436599</v>
      </c>
      <c r="DZ242" s="7">
        <v>83.155364315094602</v>
      </c>
      <c r="EA242" s="7">
        <v>110.42994925436599</v>
      </c>
      <c r="EB242" s="7">
        <v>10373.949410545199</v>
      </c>
      <c r="EC242" s="7">
        <v>1018.59163578813</v>
      </c>
      <c r="ED242" s="7">
        <f t="shared" si="323"/>
        <v>304.01526282382656</v>
      </c>
    </row>
    <row r="243" spans="1:134" x14ac:dyDescent="0.4">
      <c r="A243" s="28">
        <v>30</v>
      </c>
      <c r="B243" s="26">
        <v>1.0000000000000001E-5</v>
      </c>
      <c r="C243" s="28">
        <v>0.2</v>
      </c>
      <c r="D243" s="28">
        <v>30</v>
      </c>
      <c r="E243" s="26">
        <v>2.5000000000000002E-6</v>
      </c>
      <c r="F243" s="26">
        <f t="shared" si="297"/>
        <v>5.0000000000000008E-7</v>
      </c>
      <c r="G243" s="26">
        <f t="shared" si="298"/>
        <v>0.1</v>
      </c>
      <c r="H243" s="7">
        <v>0.81000968518957595</v>
      </c>
      <c r="I243" s="7">
        <v>4807.3324198337996</v>
      </c>
      <c r="J243" s="7">
        <v>4988.6125859415297</v>
      </c>
      <c r="K243" s="7">
        <v>4807.3324198337996</v>
      </c>
      <c r="L243" s="7">
        <v>5893089.4851508904</v>
      </c>
      <c r="M243" s="7">
        <v>76394.372684109796</v>
      </c>
      <c r="N243" s="7">
        <f t="shared" si="299"/>
        <v>14603.277425609129</v>
      </c>
      <c r="P243" s="28">
        <v>30</v>
      </c>
      <c r="Q243" s="26">
        <v>3.0000000000000001E-5</v>
      </c>
      <c r="R243" s="28">
        <v>0.2</v>
      </c>
      <c r="S243" s="28">
        <v>30</v>
      </c>
      <c r="T243" s="26">
        <v>2.5000000000000002E-6</v>
      </c>
      <c r="U243" s="26">
        <f t="shared" si="300"/>
        <v>5.0000000000000008E-7</v>
      </c>
      <c r="V243" s="26">
        <f t="shared" si="301"/>
        <v>3.333333333333334E-2</v>
      </c>
      <c r="W243" s="7">
        <v>2.0342512094289198</v>
      </c>
      <c r="X243" s="7">
        <v>1602.4441399274999</v>
      </c>
      <c r="Y243" s="7">
        <v>1662.87086198051</v>
      </c>
      <c r="Z243" s="7">
        <v>1602.4441399274999</v>
      </c>
      <c r="AA243" s="7">
        <v>1964363.1651242101</v>
      </c>
      <c r="AB243" s="7">
        <v>8488.2636315677501</v>
      </c>
      <c r="AC243" s="7">
        <f t="shared" si="302"/>
        <v>4867.7591418355096</v>
      </c>
      <c r="AE243" s="28">
        <v>30</v>
      </c>
      <c r="AF243" s="26">
        <v>5.0000000000000002E-5</v>
      </c>
      <c r="AG243" s="28">
        <v>0.2</v>
      </c>
      <c r="AH243" s="28">
        <v>30</v>
      </c>
      <c r="AI243" s="26">
        <v>2.5000000000000002E-6</v>
      </c>
      <c r="AJ243" s="26">
        <f t="shared" si="303"/>
        <v>5.0000000000000008E-7</v>
      </c>
      <c r="AK243" s="26">
        <f t="shared" si="304"/>
        <v>2.0000000000000004E-2</v>
      </c>
      <c r="AL243" s="7">
        <v>2.9417959705660901</v>
      </c>
      <c r="AM243" s="7">
        <v>961.46648381169098</v>
      </c>
      <c r="AN243" s="7">
        <v>997.72251718830603</v>
      </c>
      <c r="AO243" s="7">
        <v>961.46648381169098</v>
      </c>
      <c r="AP243" s="7">
        <v>1178617.9279219799</v>
      </c>
      <c r="AQ243" s="7">
        <v>3055.7749073643899</v>
      </c>
      <c r="AR243" s="7">
        <f t="shared" si="305"/>
        <v>2920.655484811688</v>
      </c>
      <c r="AT243" s="28">
        <v>30</v>
      </c>
      <c r="AU243" s="26">
        <v>1.0000000000000001E-5</v>
      </c>
      <c r="AV243" s="28">
        <v>0.2</v>
      </c>
      <c r="AW243" s="28">
        <v>200</v>
      </c>
      <c r="AX243" s="26">
        <v>2.5000000000000002E-6</v>
      </c>
      <c r="AY243" s="26">
        <f t="shared" si="306"/>
        <v>5.0000000000000008E-7</v>
      </c>
      <c r="AZ243" s="26">
        <f t="shared" si="307"/>
        <v>0.1</v>
      </c>
      <c r="BA243" s="7">
        <v>0.87296957826273902</v>
      </c>
      <c r="BB243" s="7">
        <v>727.37388968977803</v>
      </c>
      <c r="BC243" s="7">
        <v>758.42598130330396</v>
      </c>
      <c r="BD243" s="7">
        <v>727.37388968977803</v>
      </c>
      <c r="BE243" s="7">
        <v>5893089.4851508904</v>
      </c>
      <c r="BF243" s="7">
        <v>76394.372684109796</v>
      </c>
      <c r="BG243" s="7">
        <f t="shared" si="308"/>
        <v>2213.1737606828601</v>
      </c>
      <c r="BI243" s="28">
        <v>30</v>
      </c>
      <c r="BJ243" s="26">
        <v>1.0000000000000001E-5</v>
      </c>
      <c r="BK243" s="28">
        <v>0.5</v>
      </c>
      <c r="BL243" s="28">
        <v>200</v>
      </c>
      <c r="BM243" s="26">
        <v>2.5000000000000002E-6</v>
      </c>
      <c r="BN243" s="26">
        <f t="shared" si="309"/>
        <v>1.2500000000000001E-6</v>
      </c>
      <c r="BO243" s="26">
        <f t="shared" si="310"/>
        <v>0.25</v>
      </c>
      <c r="BP243" s="7">
        <v>0.906561818136286</v>
      </c>
      <c r="BQ243" s="7">
        <v>725.70064173773096</v>
      </c>
      <c r="BR243" s="7">
        <v>755.71672459466504</v>
      </c>
      <c r="BS243" s="7">
        <v>725.70064173773096</v>
      </c>
      <c r="BT243" s="7">
        <v>2357235.7940603602</v>
      </c>
      <c r="BU243" s="7">
        <v>76394.372684109796</v>
      </c>
      <c r="BV243" s="7">
        <f t="shared" si="311"/>
        <v>2207.118008070127</v>
      </c>
      <c r="BX243" s="28">
        <v>30</v>
      </c>
      <c r="BY243" s="26">
        <v>5.0000000000000002E-5</v>
      </c>
      <c r="BZ243" s="28">
        <v>0.5</v>
      </c>
      <c r="CA243" s="28">
        <v>200</v>
      </c>
      <c r="CB243" s="26">
        <v>2.5000000000000002E-6</v>
      </c>
      <c r="CC243" s="26">
        <f t="shared" si="312"/>
        <v>1.2500000000000001E-6</v>
      </c>
      <c r="CD243" s="26">
        <f t="shared" si="313"/>
        <v>0.05</v>
      </c>
      <c r="CE243" s="7">
        <v>4.0798806422433396</v>
      </c>
      <c r="CF243" s="7">
        <v>145.140128338708</v>
      </c>
      <c r="CG243" s="7">
        <v>151.143344918933</v>
      </c>
      <c r="CH243" s="7">
        <v>145.140128338708</v>
      </c>
      <c r="CI243" s="7">
        <v>471447.17116879002</v>
      </c>
      <c r="CJ243" s="7">
        <v>3055.7749073643899</v>
      </c>
      <c r="CK243" s="7">
        <f t="shared" si="314"/>
        <v>441.42360159634899</v>
      </c>
      <c r="CM243" s="28">
        <v>30</v>
      </c>
      <c r="CN243" s="26">
        <v>5.0000000000000002E-5</v>
      </c>
      <c r="CO243" s="28">
        <v>1</v>
      </c>
      <c r="CP243" s="28">
        <v>200</v>
      </c>
      <c r="CQ243" s="26">
        <v>2.5000000000000002E-6</v>
      </c>
      <c r="CR243" s="26">
        <f t="shared" si="315"/>
        <v>2.5000000000000002E-6</v>
      </c>
      <c r="CS243" s="26">
        <f t="shared" si="316"/>
        <v>0.1</v>
      </c>
      <c r="CT243" s="7">
        <v>4.1370420480270198</v>
      </c>
      <c r="CU243" s="7">
        <v>144.58638467526899</v>
      </c>
      <c r="CV243" s="7">
        <v>150.24883810203599</v>
      </c>
      <c r="CW243" s="7">
        <v>144.58638467526899</v>
      </c>
      <c r="CX243" s="7">
        <v>235723.58558439501</v>
      </c>
      <c r="CY243" s="7">
        <v>3055.7749073643899</v>
      </c>
      <c r="CZ243" s="7">
        <f t="shared" si="317"/>
        <v>439.42160745257399</v>
      </c>
      <c r="DB243" s="28">
        <v>30</v>
      </c>
      <c r="DC243" s="26">
        <v>5.0000000000000002E-5</v>
      </c>
      <c r="DD243" s="28">
        <v>2</v>
      </c>
      <c r="DE243" s="28">
        <v>200</v>
      </c>
      <c r="DF243" s="26">
        <v>2.5000000000000002E-6</v>
      </c>
      <c r="DG243" s="26">
        <f t="shared" si="318"/>
        <v>5.0000000000000004E-6</v>
      </c>
      <c r="DH243" s="26">
        <f t="shared" si="319"/>
        <v>0.2</v>
      </c>
      <c r="DI243" s="7">
        <v>4.2513295914516496</v>
      </c>
      <c r="DJ243" s="7">
        <v>143.493651420682</v>
      </c>
      <c r="DK243" s="7">
        <v>148.49131311393799</v>
      </c>
      <c r="DL243" s="7">
        <v>143.493651420682</v>
      </c>
      <c r="DM243" s="7">
        <v>117861.792792198</v>
      </c>
      <c r="DN243" s="7">
        <v>3055.7749073643899</v>
      </c>
      <c r="DO243" s="7">
        <f t="shared" si="320"/>
        <v>435.47861595530196</v>
      </c>
      <c r="DQ243" s="28">
        <v>30</v>
      </c>
      <c r="DR243" s="26">
        <v>5.0000000000000002E-5</v>
      </c>
      <c r="DS243" s="28">
        <v>15</v>
      </c>
      <c r="DT243" s="28">
        <v>300</v>
      </c>
      <c r="DU243" s="26">
        <v>9.9999999999999995E-7</v>
      </c>
      <c r="DV243" s="26">
        <f t="shared" si="321"/>
        <v>1.4999999999999999E-5</v>
      </c>
      <c r="DW243" s="26">
        <f t="shared" si="322"/>
        <v>0.59999999999999987</v>
      </c>
      <c r="DX243" s="7">
        <v>13.101730630327999</v>
      </c>
      <c r="DY243" s="7">
        <v>90.265822408235607</v>
      </c>
      <c r="DZ243" s="7">
        <v>90.525422516156297</v>
      </c>
      <c r="EA243" s="7">
        <v>90.265822408235607</v>
      </c>
      <c r="EB243" s="7">
        <v>15714.905705626299</v>
      </c>
      <c r="EC243" s="7">
        <v>1018.59163578813</v>
      </c>
      <c r="ED243" s="7">
        <f t="shared" si="323"/>
        <v>271.05706733262753</v>
      </c>
    </row>
    <row r="244" spans="1:134" x14ac:dyDescent="0.4">
      <c r="A244" s="28">
        <v>35</v>
      </c>
      <c r="B244" s="26">
        <v>1.0000000000000001E-5</v>
      </c>
      <c r="C244" s="28">
        <v>0.2</v>
      </c>
      <c r="D244" s="28">
        <v>30</v>
      </c>
      <c r="E244" s="26">
        <v>2.5000000000000002E-6</v>
      </c>
      <c r="F244" s="26">
        <f t="shared" si="297"/>
        <v>5.0000000000000008E-7</v>
      </c>
      <c r="G244" s="26">
        <f t="shared" si="298"/>
        <v>0.1</v>
      </c>
      <c r="H244" s="7">
        <v>0.851961398442867</v>
      </c>
      <c r="I244" s="7">
        <v>3984.07853527202</v>
      </c>
      <c r="J244" s="7">
        <v>5168.7820727017497</v>
      </c>
      <c r="K244" s="7">
        <v>3984.07853527202</v>
      </c>
      <c r="L244" s="7">
        <v>8973470.5022608098</v>
      </c>
      <c r="M244" s="7">
        <v>76394.372684109796</v>
      </c>
      <c r="N244" s="7">
        <f t="shared" si="299"/>
        <v>13136.939143245789</v>
      </c>
      <c r="P244" s="28">
        <v>35</v>
      </c>
      <c r="Q244" s="26">
        <v>3.0000000000000001E-5</v>
      </c>
      <c r="R244" s="28">
        <v>0.2</v>
      </c>
      <c r="S244" s="28">
        <v>30</v>
      </c>
      <c r="T244" s="26">
        <v>2.5000000000000002E-6</v>
      </c>
      <c r="U244" s="26">
        <f t="shared" si="300"/>
        <v>5.0000000000000008E-7</v>
      </c>
      <c r="V244" s="26">
        <f t="shared" si="301"/>
        <v>3.333333333333334E-2</v>
      </c>
      <c r="W244" s="7">
        <v>2.18190069342445</v>
      </c>
      <c r="X244" s="7">
        <v>1328.02617841029</v>
      </c>
      <c r="Y244" s="7">
        <v>1722.9273575672501</v>
      </c>
      <c r="Z244" s="7">
        <v>1328.02617841029</v>
      </c>
      <c r="AA244" s="7">
        <v>2991156.8397606201</v>
      </c>
      <c r="AB244" s="7">
        <v>8488.2636315677501</v>
      </c>
      <c r="AC244" s="7">
        <f t="shared" si="302"/>
        <v>4378.9797143878295</v>
      </c>
      <c r="AE244" s="28">
        <v>35</v>
      </c>
      <c r="AF244" s="26">
        <v>5.0000000000000002E-5</v>
      </c>
      <c r="AG244" s="28">
        <v>0.2</v>
      </c>
      <c r="AH244" s="28">
        <v>30</v>
      </c>
      <c r="AI244" s="26">
        <v>2.5000000000000002E-6</v>
      </c>
      <c r="AJ244" s="26">
        <f t="shared" si="303"/>
        <v>5.0000000000000008E-7</v>
      </c>
      <c r="AK244" s="26">
        <f t="shared" si="304"/>
        <v>2.0000000000000004E-2</v>
      </c>
      <c r="AL244" s="7">
        <v>3.1919597958776298</v>
      </c>
      <c r="AM244" s="7">
        <v>796.81570693005597</v>
      </c>
      <c r="AN244" s="7">
        <v>1033.7564145403501</v>
      </c>
      <c r="AO244" s="7">
        <v>796.81570693005597</v>
      </c>
      <c r="AP244" s="7">
        <v>1794694.1518928199</v>
      </c>
      <c r="AQ244" s="7">
        <v>3055.7749073643899</v>
      </c>
      <c r="AR244" s="7">
        <f t="shared" si="305"/>
        <v>2627.3878284004622</v>
      </c>
      <c r="AT244" s="28">
        <v>35</v>
      </c>
      <c r="AU244" s="26">
        <v>1.0000000000000001E-5</v>
      </c>
      <c r="AV244" s="28">
        <v>0.2</v>
      </c>
      <c r="AW244" s="28">
        <v>200</v>
      </c>
      <c r="AX244" s="26">
        <v>2.5000000000000002E-6</v>
      </c>
      <c r="AY244" s="26">
        <f t="shared" si="306"/>
        <v>5.0000000000000008E-7</v>
      </c>
      <c r="AZ244" s="26">
        <f t="shared" si="307"/>
        <v>0.1</v>
      </c>
      <c r="BA244" s="7">
        <v>0.91222091999241495</v>
      </c>
      <c r="BB244" s="7">
        <v>602.00500937137394</v>
      </c>
      <c r="BC244" s="7">
        <v>783.15203621901901</v>
      </c>
      <c r="BD244" s="7">
        <v>602.00500937137394</v>
      </c>
      <c r="BE244" s="7">
        <v>8973470.5022608098</v>
      </c>
      <c r="BF244" s="7">
        <v>76394.372684109796</v>
      </c>
      <c r="BG244" s="7">
        <f t="shared" si="308"/>
        <v>1987.1620549617669</v>
      </c>
      <c r="BI244" s="28">
        <v>35</v>
      </c>
      <c r="BJ244" s="26">
        <v>1.0000000000000001E-5</v>
      </c>
      <c r="BK244" s="28">
        <v>0.5</v>
      </c>
      <c r="BL244" s="28">
        <v>200</v>
      </c>
      <c r="BM244" s="26">
        <v>2.5000000000000002E-6</v>
      </c>
      <c r="BN244" s="26">
        <f t="shared" si="309"/>
        <v>1.2500000000000001E-6</v>
      </c>
      <c r="BO244" s="26">
        <f t="shared" si="310"/>
        <v>0.25</v>
      </c>
      <c r="BP244" s="7">
        <v>0.93544761526110598</v>
      </c>
      <c r="BQ244" s="7">
        <v>600.83500597989303</v>
      </c>
      <c r="BR244" s="7">
        <v>781.06268252331097</v>
      </c>
      <c r="BS244" s="7">
        <v>600.83500597989303</v>
      </c>
      <c r="BT244" s="7">
        <v>3589388.20090432</v>
      </c>
      <c r="BU244" s="7">
        <v>76394.372684109796</v>
      </c>
      <c r="BV244" s="7">
        <f t="shared" si="311"/>
        <v>1982.732694483097</v>
      </c>
      <c r="BX244" s="28">
        <v>35</v>
      </c>
      <c r="BY244" s="26">
        <v>5.0000000000000002E-5</v>
      </c>
      <c r="BZ244" s="28">
        <v>0.5</v>
      </c>
      <c r="CA244" s="28">
        <v>200</v>
      </c>
      <c r="CB244" s="26">
        <v>2.5000000000000002E-6</v>
      </c>
      <c r="CC244" s="26">
        <f t="shared" si="312"/>
        <v>1.2500000000000001E-6</v>
      </c>
      <c r="CD244" s="26">
        <f t="shared" si="313"/>
        <v>0.05</v>
      </c>
      <c r="CE244" s="7">
        <v>4.30399696397604</v>
      </c>
      <c r="CF244" s="7">
        <v>120.167001188906</v>
      </c>
      <c r="CG244" s="7">
        <v>156.21253650466201</v>
      </c>
      <c r="CH244" s="7">
        <v>120.167001188906</v>
      </c>
      <c r="CI244" s="7">
        <v>717877.66075713001</v>
      </c>
      <c r="CJ244" s="7">
        <v>3055.7749073643899</v>
      </c>
      <c r="CK244" s="7">
        <f t="shared" si="314"/>
        <v>396.54653888247401</v>
      </c>
      <c r="CM244" s="28">
        <v>35</v>
      </c>
      <c r="CN244" s="26">
        <v>5.0000000000000002E-5</v>
      </c>
      <c r="CO244" s="28">
        <v>1</v>
      </c>
      <c r="CP244" s="28">
        <v>200</v>
      </c>
      <c r="CQ244" s="26">
        <v>2.5000000000000002E-6</v>
      </c>
      <c r="CR244" s="26">
        <f t="shared" si="315"/>
        <v>2.5000000000000002E-6</v>
      </c>
      <c r="CS244" s="26">
        <f t="shared" si="316"/>
        <v>0.1</v>
      </c>
      <c r="CT244" s="7">
        <v>4.3436269823515596</v>
      </c>
      <c r="CU244" s="7">
        <v>119.779274796552</v>
      </c>
      <c r="CV244" s="7">
        <v>155.521045898078</v>
      </c>
      <c r="CW244" s="7">
        <v>119.779274796552</v>
      </c>
      <c r="CX244" s="7">
        <v>358938.83037856501</v>
      </c>
      <c r="CY244" s="7">
        <v>3055.7749073643899</v>
      </c>
      <c r="CZ244" s="7">
        <f t="shared" si="317"/>
        <v>395.07959549118198</v>
      </c>
      <c r="DB244" s="28">
        <v>35</v>
      </c>
      <c r="DC244" s="26">
        <v>5.0000000000000002E-5</v>
      </c>
      <c r="DD244" s="28">
        <v>2</v>
      </c>
      <c r="DE244" s="28">
        <v>200</v>
      </c>
      <c r="DF244" s="26">
        <v>2.5000000000000002E-6</v>
      </c>
      <c r="DG244" s="26">
        <f t="shared" si="318"/>
        <v>5.0000000000000004E-6</v>
      </c>
      <c r="DH244" s="26">
        <f t="shared" si="319"/>
        <v>0.2</v>
      </c>
      <c r="DI244" s="7">
        <v>4.4228652696996003</v>
      </c>
      <c r="DJ244" s="7">
        <v>119.01223137089301</v>
      </c>
      <c r="DK244" s="7">
        <v>154.156369850555</v>
      </c>
      <c r="DL244" s="7">
        <v>119.01223137089301</v>
      </c>
      <c r="DM244" s="7">
        <v>179469.41518928201</v>
      </c>
      <c r="DN244" s="7">
        <v>3055.7749073643899</v>
      </c>
      <c r="DO244" s="7">
        <f t="shared" si="320"/>
        <v>392.18083259234101</v>
      </c>
      <c r="DQ244" s="28">
        <v>35</v>
      </c>
      <c r="DR244" s="26">
        <v>5.0000000000000002E-5</v>
      </c>
      <c r="DS244" s="28">
        <v>15</v>
      </c>
      <c r="DT244" s="28">
        <v>300</v>
      </c>
      <c r="DU244" s="26">
        <v>9.9999999999999995E-7</v>
      </c>
      <c r="DV244" s="26">
        <f t="shared" si="321"/>
        <v>1.4999999999999999E-5</v>
      </c>
      <c r="DW244" s="26">
        <f t="shared" si="322"/>
        <v>0.59999999999999987</v>
      </c>
      <c r="DX244" s="7">
        <v>13.3126476055255</v>
      </c>
      <c r="DY244" s="7">
        <v>75.5008244304708</v>
      </c>
      <c r="DZ244" s="7">
        <v>96.032312732024195</v>
      </c>
      <c r="EA244" s="7">
        <v>75.5008244304708</v>
      </c>
      <c r="EB244" s="7">
        <v>23929.255358571001</v>
      </c>
      <c r="EC244" s="7">
        <v>1018.59163578813</v>
      </c>
      <c r="ED244" s="7">
        <f t="shared" si="323"/>
        <v>247.0339615929658</v>
      </c>
    </row>
    <row r="245" spans="1:134" x14ac:dyDescent="0.4">
      <c r="A245" s="28">
        <v>40</v>
      </c>
      <c r="B245" s="26">
        <v>1.0000000000000001E-5</v>
      </c>
      <c r="C245" s="28">
        <v>0.2</v>
      </c>
      <c r="D245" s="28">
        <v>30</v>
      </c>
      <c r="E245" s="26">
        <v>2.5000000000000002E-6</v>
      </c>
      <c r="F245" s="26">
        <f t="shared" si="297"/>
        <v>5.0000000000000008E-7</v>
      </c>
      <c r="G245" s="26">
        <f t="shared" si="298"/>
        <v>0.1</v>
      </c>
      <c r="H245" s="7">
        <v>0.89087745260325402</v>
      </c>
      <c r="I245" s="7">
        <v>3352.9677929484601</v>
      </c>
      <c r="J245" s="7">
        <v>5323.5334580216904</v>
      </c>
      <c r="K245" s="7">
        <v>3352.9677929484601</v>
      </c>
      <c r="L245" s="7">
        <v>13908939.478979601</v>
      </c>
      <c r="M245" s="7">
        <v>76394.372684109796</v>
      </c>
      <c r="N245" s="7">
        <f t="shared" si="299"/>
        <v>12029.469043918611</v>
      </c>
      <c r="P245" s="28">
        <v>40</v>
      </c>
      <c r="Q245" s="26">
        <v>3.0000000000000001E-5</v>
      </c>
      <c r="R245" s="28">
        <v>0.2</v>
      </c>
      <c r="S245" s="28">
        <v>30</v>
      </c>
      <c r="T245" s="26">
        <v>2.5000000000000002E-6</v>
      </c>
      <c r="U245" s="26">
        <f t="shared" si="300"/>
        <v>5.0000000000000008E-7</v>
      </c>
      <c r="V245" s="26">
        <f t="shared" si="301"/>
        <v>3.333333333333334E-2</v>
      </c>
      <c r="W245" s="7">
        <v>2.3153164300004199</v>
      </c>
      <c r="X245" s="7">
        <v>1117.6559309715101</v>
      </c>
      <c r="Y245" s="7">
        <v>1774.5111526738999</v>
      </c>
      <c r="Z245" s="7">
        <v>1117.6559309715101</v>
      </c>
      <c r="AA245" s="7">
        <v>4636313.1689486196</v>
      </c>
      <c r="AB245" s="7">
        <v>8488.2636315677501</v>
      </c>
      <c r="AC245" s="7">
        <f t="shared" si="302"/>
        <v>4009.8230146169199</v>
      </c>
      <c r="AE245" s="28">
        <v>40</v>
      </c>
      <c r="AF245" s="26">
        <v>5.0000000000000002E-5</v>
      </c>
      <c r="AG245" s="28">
        <v>0.2</v>
      </c>
      <c r="AH245" s="28">
        <v>30</v>
      </c>
      <c r="AI245" s="26">
        <v>2.5000000000000002E-6</v>
      </c>
      <c r="AJ245" s="26">
        <f t="shared" si="303"/>
        <v>5.0000000000000008E-7</v>
      </c>
      <c r="AK245" s="26">
        <f t="shared" si="304"/>
        <v>2.0000000000000004E-2</v>
      </c>
      <c r="AL245" s="7">
        <v>3.4178701967325802</v>
      </c>
      <c r="AM245" s="7">
        <v>670.59355848720395</v>
      </c>
      <c r="AN245" s="7">
        <v>1064.70669160434</v>
      </c>
      <c r="AO245" s="7">
        <v>670.59355848720395</v>
      </c>
      <c r="AP245" s="7">
        <v>2781787.9800138599</v>
      </c>
      <c r="AQ245" s="7">
        <v>3055.7749073643899</v>
      </c>
      <c r="AR245" s="7">
        <f t="shared" si="305"/>
        <v>2405.8938085787481</v>
      </c>
      <c r="AT245" s="28">
        <v>40</v>
      </c>
      <c r="AU245" s="26">
        <v>1.0000000000000001E-5</v>
      </c>
      <c r="AV245" s="28">
        <v>0.2</v>
      </c>
      <c r="AW245" s="28">
        <v>200</v>
      </c>
      <c r="AX245" s="26">
        <v>2.5000000000000002E-6</v>
      </c>
      <c r="AY245" s="26">
        <f t="shared" si="306"/>
        <v>5.0000000000000008E-7</v>
      </c>
      <c r="AZ245" s="26">
        <f t="shared" si="307"/>
        <v>0.1</v>
      </c>
      <c r="BA245" s="7">
        <v>0.949034210195705</v>
      </c>
      <c r="BB245" s="7">
        <v>506.171357939058</v>
      </c>
      <c r="BC245" s="7">
        <v>804.808472591532</v>
      </c>
      <c r="BD245" s="7">
        <v>506.171357939058</v>
      </c>
      <c r="BE245" s="7">
        <v>13908939.478979601</v>
      </c>
      <c r="BF245" s="7">
        <v>76394.372684109796</v>
      </c>
      <c r="BG245" s="7">
        <f t="shared" si="308"/>
        <v>1817.1511884696479</v>
      </c>
      <c r="BI245" s="28">
        <v>40</v>
      </c>
      <c r="BJ245" s="26">
        <v>1.0000000000000001E-5</v>
      </c>
      <c r="BK245" s="28">
        <v>0.5</v>
      </c>
      <c r="BL245" s="28">
        <v>200</v>
      </c>
      <c r="BM245" s="26">
        <v>2.5000000000000002E-6</v>
      </c>
      <c r="BN245" s="26">
        <f t="shared" si="309"/>
        <v>1.2500000000000001E-6</v>
      </c>
      <c r="BO245" s="26">
        <f t="shared" si="310"/>
        <v>0.25</v>
      </c>
      <c r="BP245" s="7">
        <v>0.964704421813811</v>
      </c>
      <c r="BQ245" s="7">
        <v>505.31296257696903</v>
      </c>
      <c r="BR245" s="7">
        <v>803.13685140779603</v>
      </c>
      <c r="BS245" s="7">
        <v>505.31296257696903</v>
      </c>
      <c r="BT245" s="7">
        <v>5563575.7915918296</v>
      </c>
      <c r="BU245" s="7">
        <v>76394.372684109796</v>
      </c>
      <c r="BV245" s="7">
        <f t="shared" si="311"/>
        <v>1813.7627765617342</v>
      </c>
      <c r="BX245" s="28">
        <v>40</v>
      </c>
      <c r="BY245" s="26">
        <v>5.0000000000000002E-5</v>
      </c>
      <c r="BZ245" s="28">
        <v>0.5</v>
      </c>
      <c r="CA245" s="28">
        <v>200</v>
      </c>
      <c r="CB245" s="26">
        <v>2.5000000000000002E-6</v>
      </c>
      <c r="CC245" s="26">
        <f t="shared" si="312"/>
        <v>1.2500000000000001E-6</v>
      </c>
      <c r="CD245" s="26">
        <f t="shared" si="313"/>
        <v>0.05</v>
      </c>
      <c r="CE245" s="7">
        <v>4.5088287913437801</v>
      </c>
      <c r="CF245" s="7">
        <v>101.06259250957299</v>
      </c>
      <c r="CG245" s="7">
        <v>160.627370281559</v>
      </c>
      <c r="CH245" s="7">
        <v>101.06259250957299</v>
      </c>
      <c r="CI245" s="7">
        <v>1112715.19200554</v>
      </c>
      <c r="CJ245" s="7">
        <v>3055.7749073643899</v>
      </c>
      <c r="CK245" s="7">
        <f t="shared" si="314"/>
        <v>362.75255530070496</v>
      </c>
      <c r="CM245" s="28">
        <v>40</v>
      </c>
      <c r="CN245" s="26">
        <v>5.0000000000000002E-5</v>
      </c>
      <c r="CO245" s="28">
        <v>1</v>
      </c>
      <c r="CP245" s="28">
        <v>200</v>
      </c>
      <c r="CQ245" s="26">
        <v>2.5000000000000002E-6</v>
      </c>
      <c r="CR245" s="26">
        <f t="shared" si="315"/>
        <v>2.5000000000000002E-6</v>
      </c>
      <c r="CS245" s="26">
        <f t="shared" si="316"/>
        <v>0.1</v>
      </c>
      <c r="CT245" s="7">
        <v>4.5356895892442299</v>
      </c>
      <c r="CU245" s="7">
        <v>100.77787314708399</v>
      </c>
      <c r="CV245" s="7">
        <v>160.073267279547</v>
      </c>
      <c r="CW245" s="7">
        <v>100.77787314708399</v>
      </c>
      <c r="CX245" s="7">
        <v>556357.59600277198</v>
      </c>
      <c r="CY245" s="7">
        <v>3055.7749073643899</v>
      </c>
      <c r="CZ245" s="7">
        <f t="shared" si="317"/>
        <v>361.62901357371499</v>
      </c>
      <c r="DB245" s="28">
        <v>40</v>
      </c>
      <c r="DC245" s="26">
        <v>5.0000000000000002E-5</v>
      </c>
      <c r="DD245" s="28">
        <v>2</v>
      </c>
      <c r="DE245" s="28">
        <v>200</v>
      </c>
      <c r="DF245" s="26">
        <v>2.5000000000000002E-6</v>
      </c>
      <c r="DG245" s="26">
        <f t="shared" si="318"/>
        <v>5.0000000000000004E-6</v>
      </c>
      <c r="DH245" s="26">
        <f t="shared" si="319"/>
        <v>0.2</v>
      </c>
      <c r="DI245" s="7">
        <v>4.5893967733969498</v>
      </c>
      <c r="DJ245" s="7">
        <v>100.213668542356</v>
      </c>
      <c r="DK245" s="7">
        <v>158.97655523681999</v>
      </c>
      <c r="DL245" s="7">
        <v>100.213668542356</v>
      </c>
      <c r="DM245" s="7">
        <v>278178.79800138599</v>
      </c>
      <c r="DN245" s="7">
        <v>3055.7749073643899</v>
      </c>
      <c r="DO245" s="7">
        <f t="shared" si="320"/>
        <v>359.403892321532</v>
      </c>
      <c r="DQ245" s="28">
        <v>40</v>
      </c>
      <c r="DR245" s="26">
        <v>5.0000000000000002E-5</v>
      </c>
      <c r="DS245" s="28">
        <v>15</v>
      </c>
      <c r="DT245" s="28">
        <v>300</v>
      </c>
      <c r="DU245" s="26">
        <v>9.9999999999999995E-7</v>
      </c>
      <c r="DV245" s="26">
        <f t="shared" si="321"/>
        <v>1.4999999999999999E-5</v>
      </c>
      <c r="DW245" s="26">
        <f t="shared" si="322"/>
        <v>0.59999999999999987</v>
      </c>
      <c r="DX245" s="7">
        <v>13.592743714211499</v>
      </c>
      <c r="DY245" s="7">
        <v>63.957630951740299</v>
      </c>
      <c r="DZ245" s="7">
        <v>100.479958515748</v>
      </c>
      <c r="EA245" s="7">
        <v>63.957630951740299</v>
      </c>
      <c r="EB245" s="7">
        <v>37090.5064001848</v>
      </c>
      <c r="EC245" s="7">
        <v>1018.59163578813</v>
      </c>
      <c r="ED245" s="7">
        <f t="shared" si="323"/>
        <v>228.39522041922859</v>
      </c>
    </row>
    <row r="246" spans="1:134" x14ac:dyDescent="0.4">
      <c r="A246" s="28">
        <v>45</v>
      </c>
      <c r="B246" s="26">
        <v>1.0000000000000001E-5</v>
      </c>
      <c r="C246" s="28">
        <v>0.2</v>
      </c>
      <c r="D246" s="28">
        <v>30</v>
      </c>
      <c r="E246" s="26">
        <v>2.5000000000000002E-6</v>
      </c>
      <c r="F246" s="26">
        <f t="shared" si="297"/>
        <v>5.0000000000000008E-7</v>
      </c>
      <c r="G246" s="26">
        <f t="shared" si="298"/>
        <v>0.1</v>
      </c>
      <c r="H246" s="7">
        <v>0.92737621957972804</v>
      </c>
      <c r="I246" s="7">
        <v>2844.9728255004802</v>
      </c>
      <c r="J246" s="7">
        <v>5459.8455675855203</v>
      </c>
      <c r="K246" s="7">
        <v>2844.9728255004802</v>
      </c>
      <c r="L246" s="7">
        <v>22314016.336053099</v>
      </c>
      <c r="M246" s="7">
        <v>76394.372684109796</v>
      </c>
      <c r="N246" s="7">
        <f t="shared" si="299"/>
        <v>11149.791218586481</v>
      </c>
      <c r="P246" s="28">
        <v>45</v>
      </c>
      <c r="Q246" s="26">
        <v>3.0000000000000001E-5</v>
      </c>
      <c r="R246" s="28">
        <v>0.2</v>
      </c>
      <c r="S246" s="28">
        <v>30</v>
      </c>
      <c r="T246" s="26">
        <v>2.5000000000000002E-6</v>
      </c>
      <c r="U246" s="26">
        <f t="shared" si="300"/>
        <v>5.0000000000000008E-7</v>
      </c>
      <c r="V246" s="26">
        <f t="shared" si="301"/>
        <v>3.333333333333334E-2</v>
      </c>
      <c r="W246" s="7">
        <v>2.4379073866885399</v>
      </c>
      <c r="X246" s="7">
        <v>948.32427515736799</v>
      </c>
      <c r="Y246" s="7">
        <v>1819.94852252851</v>
      </c>
      <c r="Z246" s="7">
        <v>948.32427515736799</v>
      </c>
      <c r="AA246" s="7">
        <v>7438005.4604388904</v>
      </c>
      <c r="AB246" s="7">
        <v>8488.2636315677501</v>
      </c>
      <c r="AC246" s="7">
        <f t="shared" si="302"/>
        <v>3716.5970728432458</v>
      </c>
      <c r="AE246" s="28">
        <v>45</v>
      </c>
      <c r="AF246" s="26">
        <v>5.0000000000000002E-5</v>
      </c>
      <c r="AG246" s="28">
        <v>0.2</v>
      </c>
      <c r="AH246" s="28">
        <v>30</v>
      </c>
      <c r="AI246" s="26">
        <v>2.5000000000000002E-6</v>
      </c>
      <c r="AJ246" s="26">
        <f t="shared" si="303"/>
        <v>5.0000000000000008E-7</v>
      </c>
      <c r="AK246" s="26">
        <f t="shared" si="304"/>
        <v>2.0000000000000004E-2</v>
      </c>
      <c r="AL246" s="7">
        <v>3.6253869994686401</v>
      </c>
      <c r="AM246" s="7">
        <v>568.99456501435202</v>
      </c>
      <c r="AN246" s="7">
        <v>1091.9691135170999</v>
      </c>
      <c r="AO246" s="7">
        <v>568.99456501435202</v>
      </c>
      <c r="AP246" s="7">
        <v>4462803.4040061999</v>
      </c>
      <c r="AQ246" s="7">
        <v>3055.7749073643899</v>
      </c>
      <c r="AR246" s="7">
        <f t="shared" si="305"/>
        <v>2229.9582435458042</v>
      </c>
      <c r="AT246" s="28">
        <v>45</v>
      </c>
      <c r="AU246" s="26">
        <v>1.0000000000000001E-5</v>
      </c>
      <c r="AV246" s="28">
        <v>0.2</v>
      </c>
      <c r="AW246" s="28">
        <v>200</v>
      </c>
      <c r="AX246" s="26">
        <v>2.5000000000000002E-6</v>
      </c>
      <c r="AY246" s="26">
        <f t="shared" si="306"/>
        <v>5.0000000000000008E-7</v>
      </c>
      <c r="AZ246" s="26">
        <f t="shared" si="307"/>
        <v>0.1</v>
      </c>
      <c r="BA246" s="7">
        <v>0.98379923289401705</v>
      </c>
      <c r="BB246" s="7">
        <v>429.182314820393</v>
      </c>
      <c r="BC246" s="7">
        <v>824.10906225483302</v>
      </c>
      <c r="BD246" s="7">
        <v>429.182314820393</v>
      </c>
      <c r="BE246" s="7">
        <v>22314016.336053099</v>
      </c>
      <c r="BF246" s="7">
        <v>76394.372684109796</v>
      </c>
      <c r="BG246" s="7">
        <f t="shared" si="308"/>
        <v>1682.4736918956191</v>
      </c>
      <c r="BI246" s="28">
        <v>45</v>
      </c>
      <c r="BJ246" s="26">
        <v>1.0000000000000001E-5</v>
      </c>
      <c r="BK246" s="28">
        <v>0.5</v>
      </c>
      <c r="BL246" s="28">
        <v>200</v>
      </c>
      <c r="BM246" s="26">
        <v>2.5000000000000002E-6</v>
      </c>
      <c r="BN246" s="26">
        <f t="shared" si="309"/>
        <v>1.2500000000000001E-6</v>
      </c>
      <c r="BO246" s="26">
        <f t="shared" si="310"/>
        <v>0.25</v>
      </c>
      <c r="BP246" s="7">
        <v>0.99396151464427895</v>
      </c>
      <c r="BQ246" s="7">
        <v>428.53449983983199</v>
      </c>
      <c r="BR246" s="7">
        <v>822.74419088845502</v>
      </c>
      <c r="BS246" s="7">
        <v>428.53449983983199</v>
      </c>
      <c r="BT246" s="7">
        <v>8925606.5344212595</v>
      </c>
      <c r="BU246" s="7">
        <v>76394.372684109796</v>
      </c>
      <c r="BV246" s="7">
        <f t="shared" si="311"/>
        <v>1679.8131905681191</v>
      </c>
      <c r="BX246" s="28">
        <v>45</v>
      </c>
      <c r="BY246" s="26">
        <v>5.0000000000000002E-5</v>
      </c>
      <c r="BZ246" s="28">
        <v>0.5</v>
      </c>
      <c r="CA246" s="28">
        <v>200</v>
      </c>
      <c r="CB246" s="26">
        <v>2.5000000000000002E-6</v>
      </c>
      <c r="CC246" s="26">
        <f t="shared" si="312"/>
        <v>1.2500000000000001E-6</v>
      </c>
      <c r="CD246" s="26">
        <f t="shared" si="313"/>
        <v>0.05</v>
      </c>
      <c r="CE246" s="7">
        <v>4.6985248548226899</v>
      </c>
      <c r="CF246" s="7">
        <v>85.706899963102501</v>
      </c>
      <c r="CG246" s="7">
        <v>164.54883817769101</v>
      </c>
      <c r="CH246" s="7">
        <v>85.706899963102501</v>
      </c>
      <c r="CI246" s="7">
        <v>1785121.3616024801</v>
      </c>
      <c r="CJ246" s="7">
        <v>3055.7749073643899</v>
      </c>
      <c r="CK246" s="7">
        <f t="shared" si="314"/>
        <v>335.96263810389598</v>
      </c>
      <c r="CM246" s="28">
        <v>45</v>
      </c>
      <c r="CN246" s="26">
        <v>5.0000000000000002E-5</v>
      </c>
      <c r="CO246" s="28">
        <v>1</v>
      </c>
      <c r="CP246" s="28">
        <v>200</v>
      </c>
      <c r="CQ246" s="26">
        <v>2.5000000000000002E-6</v>
      </c>
      <c r="CR246" s="26">
        <f t="shared" si="315"/>
        <v>2.5000000000000002E-6</v>
      </c>
      <c r="CS246" s="26">
        <f t="shared" si="316"/>
        <v>0.1</v>
      </c>
      <c r="CT246" s="7">
        <v>4.7160751515529897</v>
      </c>
      <c r="CU246" s="7">
        <v>85.491887514072303</v>
      </c>
      <c r="CV246" s="7">
        <v>164.095913900619</v>
      </c>
      <c r="CW246" s="7">
        <v>85.491887514072303</v>
      </c>
      <c r="CX246" s="7">
        <v>892560.68080124003</v>
      </c>
      <c r="CY246" s="7">
        <v>3055.7749073643899</v>
      </c>
      <c r="CZ246" s="7">
        <f t="shared" si="317"/>
        <v>335.07968892876357</v>
      </c>
      <c r="DB246" s="28">
        <v>45</v>
      </c>
      <c r="DC246" s="26">
        <v>5.0000000000000002E-5</v>
      </c>
      <c r="DD246" s="28">
        <v>2</v>
      </c>
      <c r="DE246" s="28">
        <v>200</v>
      </c>
      <c r="DF246" s="26">
        <v>2.5000000000000002E-6</v>
      </c>
      <c r="DG246" s="26">
        <f t="shared" si="318"/>
        <v>5.0000000000000004E-6</v>
      </c>
      <c r="DH246" s="26">
        <f t="shared" si="319"/>
        <v>0.2</v>
      </c>
      <c r="DI246" s="7">
        <v>4.7511657930906503</v>
      </c>
      <c r="DJ246" s="7">
        <v>85.065299620820397</v>
      </c>
      <c r="DK246" s="7">
        <v>163.197611169178</v>
      </c>
      <c r="DL246" s="7">
        <v>85.065299620820397</v>
      </c>
      <c r="DM246" s="7">
        <v>446280.34040062001</v>
      </c>
      <c r="DN246" s="7">
        <v>3055.7749073643899</v>
      </c>
      <c r="DO246" s="7">
        <f t="shared" si="320"/>
        <v>333.32821041081877</v>
      </c>
      <c r="DQ246" s="28">
        <v>45</v>
      </c>
      <c r="DR246" s="26">
        <v>5.0000000000000002E-5</v>
      </c>
      <c r="DS246" s="28">
        <v>15</v>
      </c>
      <c r="DT246" s="28">
        <v>300</v>
      </c>
      <c r="DU246" s="26">
        <v>9.9999999999999995E-7</v>
      </c>
      <c r="DV246" s="26">
        <f t="shared" si="321"/>
        <v>1.4999999999999999E-5</v>
      </c>
      <c r="DW246" s="26">
        <f t="shared" si="322"/>
        <v>0.59999999999999987</v>
      </c>
      <c r="DX246" s="7">
        <v>13.9197556312158</v>
      </c>
      <c r="DY246" s="7">
        <v>54.539450656433999</v>
      </c>
      <c r="DZ246" s="7">
        <v>104.236562937325</v>
      </c>
      <c r="EA246" s="7">
        <v>54.539450656433999</v>
      </c>
      <c r="EB246" s="7">
        <v>59504.045386749298</v>
      </c>
      <c r="EC246" s="7">
        <v>1018.59163578813</v>
      </c>
      <c r="ED246" s="7">
        <f t="shared" si="323"/>
        <v>213.31546425019297</v>
      </c>
    </row>
    <row r="247" spans="1:134" x14ac:dyDescent="0.4">
      <c r="A247" s="28">
        <v>50</v>
      </c>
      <c r="B247" s="26">
        <v>1.0000000000000001E-5</v>
      </c>
      <c r="C247" s="28">
        <v>0.2</v>
      </c>
      <c r="D247" s="28">
        <v>30</v>
      </c>
      <c r="E247" s="26">
        <v>2.5000000000000002E-6</v>
      </c>
      <c r="F247" s="26">
        <f t="shared" si="297"/>
        <v>5.0000000000000008E-7</v>
      </c>
      <c r="G247" s="26">
        <f t="shared" si="298"/>
        <v>0.1</v>
      </c>
      <c r="H247" s="7">
        <v>0.96185687415589805</v>
      </c>
      <c r="I247" s="7">
        <v>2422.0764785389101</v>
      </c>
      <c r="J247" s="7">
        <v>5581.9822447758097</v>
      </c>
      <c r="K247" s="7">
        <v>2422.0764785389101</v>
      </c>
      <c r="L247" s="7">
        <v>38032949.861855596</v>
      </c>
      <c r="M247" s="7">
        <v>76394.372684109796</v>
      </c>
      <c r="N247" s="7">
        <f t="shared" si="299"/>
        <v>10426.135201853631</v>
      </c>
      <c r="P247" s="28">
        <v>50</v>
      </c>
      <c r="Q247" s="26">
        <v>3.0000000000000001E-5</v>
      </c>
      <c r="R247" s="28">
        <v>0.2</v>
      </c>
      <c r="S247" s="28">
        <v>30</v>
      </c>
      <c r="T247" s="26">
        <v>2.5000000000000002E-6</v>
      </c>
      <c r="U247" s="26">
        <f t="shared" si="300"/>
        <v>5.0000000000000008E-7</v>
      </c>
      <c r="V247" s="26">
        <f t="shared" si="301"/>
        <v>3.333333333333334E-2</v>
      </c>
      <c r="W247" s="7">
        <v>2.5518519388546301</v>
      </c>
      <c r="X247" s="7">
        <v>807.35882617166396</v>
      </c>
      <c r="Y247" s="7">
        <v>1860.6607482586001</v>
      </c>
      <c r="Z247" s="7">
        <v>807.35882617166396</v>
      </c>
      <c r="AA247" s="7">
        <v>12677649.9784535</v>
      </c>
      <c r="AB247" s="7">
        <v>8488.2636315677501</v>
      </c>
      <c r="AC247" s="7">
        <f t="shared" si="302"/>
        <v>3475.3784006019282</v>
      </c>
      <c r="AE247" s="28">
        <v>50</v>
      </c>
      <c r="AF247" s="26">
        <v>5.0000000000000002E-5</v>
      </c>
      <c r="AG247" s="28">
        <v>0.2</v>
      </c>
      <c r="AH247" s="28">
        <v>30</v>
      </c>
      <c r="AI247" s="26">
        <v>2.5000000000000002E-6</v>
      </c>
      <c r="AJ247" s="26">
        <f t="shared" si="303"/>
        <v>5.0000000000000008E-7</v>
      </c>
      <c r="AK247" s="26">
        <f t="shared" si="304"/>
        <v>2.0000000000000004E-2</v>
      </c>
      <c r="AL247" s="7">
        <v>3.8182563276565</v>
      </c>
      <c r="AM247" s="7">
        <v>484.41529563550102</v>
      </c>
      <c r="AN247" s="7">
        <v>1116.3964489551599</v>
      </c>
      <c r="AO247" s="7">
        <v>484.41529563550102</v>
      </c>
      <c r="AP247" s="7">
        <v>7606590.1945190197</v>
      </c>
      <c r="AQ247" s="7">
        <v>3055.7749073643899</v>
      </c>
      <c r="AR247" s="7">
        <f t="shared" si="305"/>
        <v>2085.227040226162</v>
      </c>
      <c r="AT247" s="28">
        <v>50</v>
      </c>
      <c r="AU247" s="26">
        <v>1.0000000000000001E-5</v>
      </c>
      <c r="AV247" s="28">
        <v>0.2</v>
      </c>
      <c r="AW247" s="28">
        <v>200</v>
      </c>
      <c r="AX247" s="26">
        <v>2.5000000000000002E-6</v>
      </c>
      <c r="AY247" s="26">
        <f t="shared" si="306"/>
        <v>5.0000000000000008E-7</v>
      </c>
      <c r="AZ247" s="26">
        <f t="shared" si="307"/>
        <v>0.1</v>
      </c>
      <c r="BA247" s="7">
        <v>1.01679391349521</v>
      </c>
      <c r="BB247" s="7">
        <v>365.18105956717</v>
      </c>
      <c r="BC247" s="7">
        <v>841.53641728653497</v>
      </c>
      <c r="BD247" s="7">
        <v>365.18105956717</v>
      </c>
      <c r="BE247" s="7">
        <v>38032949.861855596</v>
      </c>
      <c r="BF247" s="7">
        <v>76394.372684109796</v>
      </c>
      <c r="BG247" s="7">
        <f t="shared" si="308"/>
        <v>1571.898536420875</v>
      </c>
      <c r="BI247" s="28">
        <v>50</v>
      </c>
      <c r="BJ247" s="26">
        <v>1.0000000000000001E-5</v>
      </c>
      <c r="BK247" s="28">
        <v>0.5</v>
      </c>
      <c r="BL247" s="28">
        <v>200</v>
      </c>
      <c r="BM247" s="26">
        <v>2.5000000000000002E-6</v>
      </c>
      <c r="BN247" s="26">
        <f t="shared" si="309"/>
        <v>1.2500000000000001E-6</v>
      </c>
      <c r="BO247" s="26">
        <f t="shared" si="310"/>
        <v>0.25</v>
      </c>
      <c r="BP247" s="7">
        <v>1.02297294486698</v>
      </c>
      <c r="BQ247" s="7">
        <v>364.68421056947602</v>
      </c>
      <c r="BR247" s="7">
        <v>840.41004328064798</v>
      </c>
      <c r="BS247" s="7">
        <v>364.68421056947602</v>
      </c>
      <c r="BT247" s="7">
        <v>15213179.944742201</v>
      </c>
      <c r="BU247" s="7">
        <v>76394.372684109796</v>
      </c>
      <c r="BV247" s="7">
        <f t="shared" si="311"/>
        <v>1569.7784644195999</v>
      </c>
      <c r="BX247" s="28">
        <v>50</v>
      </c>
      <c r="BY247" s="26">
        <v>5.0000000000000002E-5</v>
      </c>
      <c r="BZ247" s="28">
        <v>0.5</v>
      </c>
      <c r="CA247" s="28">
        <v>200</v>
      </c>
      <c r="CB247" s="26">
        <v>2.5000000000000002E-6</v>
      </c>
      <c r="CC247" s="26">
        <f t="shared" si="312"/>
        <v>1.2500000000000001E-6</v>
      </c>
      <c r="CD247" s="26">
        <f t="shared" si="313"/>
        <v>0.05</v>
      </c>
      <c r="CE247" s="7">
        <v>4.8758387979209497</v>
      </c>
      <c r="CF247" s="7">
        <v>72.936842109798505</v>
      </c>
      <c r="CG247" s="7">
        <v>168.08200865613</v>
      </c>
      <c r="CH247" s="7">
        <v>72.936842109798505</v>
      </c>
      <c r="CI247" s="7">
        <v>3042636.0778076099</v>
      </c>
      <c r="CJ247" s="7">
        <v>3055.7749073643899</v>
      </c>
      <c r="CK247" s="7">
        <f t="shared" si="314"/>
        <v>313.95569287572698</v>
      </c>
      <c r="CM247" s="28">
        <v>50</v>
      </c>
      <c r="CN247" s="26">
        <v>5.0000000000000002E-5</v>
      </c>
      <c r="CO247" s="28">
        <v>1</v>
      </c>
      <c r="CP247" s="28">
        <v>200</v>
      </c>
      <c r="CQ247" s="26">
        <v>2.5000000000000002E-6</v>
      </c>
      <c r="CR247" s="26">
        <f t="shared" si="315"/>
        <v>2.5000000000000002E-6</v>
      </c>
      <c r="CS247" s="26">
        <f t="shared" si="316"/>
        <v>0.1</v>
      </c>
      <c r="CT247" s="7">
        <v>4.8866471996371299</v>
      </c>
      <c r="CU247" s="7">
        <v>72.771853396363895</v>
      </c>
      <c r="CV247" s="7">
        <v>167.707917393011</v>
      </c>
      <c r="CW247" s="7">
        <v>72.771853396363895</v>
      </c>
      <c r="CX247" s="7">
        <v>1521318.0389038101</v>
      </c>
      <c r="CY247" s="7">
        <v>3055.7749073643899</v>
      </c>
      <c r="CZ247" s="7">
        <f t="shared" si="317"/>
        <v>313.25162418573882</v>
      </c>
      <c r="DB247" s="28">
        <v>50</v>
      </c>
      <c r="DC247" s="26">
        <v>5.0000000000000002E-5</v>
      </c>
      <c r="DD247" s="28">
        <v>2</v>
      </c>
      <c r="DE247" s="28">
        <v>200</v>
      </c>
      <c r="DF247" s="26">
        <v>2.5000000000000002E-6</v>
      </c>
      <c r="DG247" s="26">
        <f t="shared" si="318"/>
        <v>5.0000000000000004E-6</v>
      </c>
      <c r="DH247" s="26">
        <f t="shared" si="319"/>
        <v>0.2</v>
      </c>
      <c r="DI247" s="7">
        <v>4.9082569672495202</v>
      </c>
      <c r="DJ247" s="7">
        <v>72.444208829560395</v>
      </c>
      <c r="DK247" s="7">
        <v>166.964817403171</v>
      </c>
      <c r="DL247" s="7">
        <v>72.444208829560395</v>
      </c>
      <c r="DM247" s="7">
        <v>760659.01945190295</v>
      </c>
      <c r="DN247" s="7">
        <v>3055.7749073643899</v>
      </c>
      <c r="DO247" s="7">
        <f t="shared" si="320"/>
        <v>311.85323506229179</v>
      </c>
      <c r="DQ247" s="28">
        <v>50</v>
      </c>
      <c r="DR247" s="26">
        <v>5.0000000000000002E-5</v>
      </c>
      <c r="DS247" s="28">
        <v>15</v>
      </c>
      <c r="DT247" s="28">
        <v>300</v>
      </c>
      <c r="DU247" s="26">
        <v>9.9999999999999995E-7</v>
      </c>
      <c r="DV247" s="26">
        <f t="shared" si="321"/>
        <v>1.4999999999999999E-5</v>
      </c>
      <c r="DW247" s="26">
        <f t="shared" si="322"/>
        <v>0.59999999999999987</v>
      </c>
      <c r="DX247" s="7">
        <v>14.278203912025299</v>
      </c>
      <c r="DY247" s="7">
        <v>46.620018473906597</v>
      </c>
      <c r="DZ247" s="7">
        <v>107.50242472112301</v>
      </c>
      <c r="EA247" s="7">
        <v>46.620018473906597</v>
      </c>
      <c r="EB247" s="7">
        <v>101421.202593587</v>
      </c>
      <c r="EC247" s="7">
        <v>1018.59163578813</v>
      </c>
      <c r="ED247" s="7">
        <f t="shared" si="323"/>
        <v>200.74246166893619</v>
      </c>
    </row>
    <row r="248" spans="1:134" x14ac:dyDescent="0.4">
      <c r="A248" s="28">
        <v>55.000000000000007</v>
      </c>
      <c r="B248" s="26">
        <v>1.0000000000000001E-5</v>
      </c>
      <c r="C248" s="28">
        <v>0.2</v>
      </c>
      <c r="D248" s="28">
        <v>30</v>
      </c>
      <c r="E248" s="26">
        <v>2.5000000000000002E-6</v>
      </c>
      <c r="F248" s="26">
        <f t="shared" si="297"/>
        <v>5.0000000000000008E-7</v>
      </c>
      <c r="G248" s="26">
        <f t="shared" si="298"/>
        <v>0.1</v>
      </c>
      <c r="H248" s="7">
        <v>0.99460755549499003</v>
      </c>
      <c r="I248" s="7">
        <v>2061.2283400943002</v>
      </c>
      <c r="J248" s="7">
        <v>5692.8014386926097</v>
      </c>
      <c r="K248" s="7">
        <v>2061.2283400943002</v>
      </c>
      <c r="L248" s="7">
        <v>72349793.874809399</v>
      </c>
      <c r="M248" s="7">
        <v>76394.372684109796</v>
      </c>
      <c r="N248" s="7">
        <f t="shared" si="299"/>
        <v>9815.2581188812092</v>
      </c>
      <c r="P248" s="28">
        <v>55.000000000000007</v>
      </c>
      <c r="Q248" s="26">
        <v>3.0000000000000001E-5</v>
      </c>
      <c r="R248" s="28">
        <v>0.2</v>
      </c>
      <c r="S248" s="28">
        <v>30</v>
      </c>
      <c r="T248" s="26">
        <v>2.5000000000000002E-6</v>
      </c>
      <c r="U248" s="26">
        <f t="shared" si="300"/>
        <v>5.0000000000000008E-7</v>
      </c>
      <c r="V248" s="26">
        <f t="shared" si="301"/>
        <v>3.333333333333334E-2</v>
      </c>
      <c r="W248" s="7">
        <v>2.65866187618448</v>
      </c>
      <c r="X248" s="7">
        <v>687.07611335802699</v>
      </c>
      <c r="Y248" s="7">
        <v>1897.6004795642</v>
      </c>
      <c r="Z248" s="7">
        <v>687.07611335802699</v>
      </c>
      <c r="AA248" s="7">
        <v>24116597.9983452</v>
      </c>
      <c r="AB248" s="7">
        <v>8488.2636315677501</v>
      </c>
      <c r="AC248" s="7">
        <f t="shared" si="302"/>
        <v>3271.7527062802537</v>
      </c>
      <c r="AE248" s="28">
        <v>55.000000000000007</v>
      </c>
      <c r="AF248" s="26">
        <v>5.0000000000000002E-5</v>
      </c>
      <c r="AG248" s="28">
        <v>0.2</v>
      </c>
      <c r="AH248" s="28">
        <v>30</v>
      </c>
      <c r="AI248" s="26">
        <v>2.5000000000000002E-6</v>
      </c>
      <c r="AJ248" s="26">
        <f t="shared" si="303"/>
        <v>5.0000000000000008E-7</v>
      </c>
      <c r="AK248" s="26">
        <f t="shared" si="304"/>
        <v>2.0000000000000004E-2</v>
      </c>
      <c r="AL248" s="7">
        <v>3.99907178558467</v>
      </c>
      <c r="AM248" s="7">
        <v>412.24566795777702</v>
      </c>
      <c r="AN248" s="7">
        <v>1138.5602877385199</v>
      </c>
      <c r="AO248" s="7">
        <v>412.24566795777702</v>
      </c>
      <c r="AP248" s="7">
        <v>14469959.1382923</v>
      </c>
      <c r="AQ248" s="7">
        <v>3055.7749073643899</v>
      </c>
      <c r="AR248" s="7">
        <f t="shared" si="305"/>
        <v>1963.0516236540739</v>
      </c>
      <c r="AT248" s="28">
        <v>55.000000000000007</v>
      </c>
      <c r="AU248" s="26">
        <v>1.0000000000000001E-5</v>
      </c>
      <c r="AV248" s="28">
        <v>0.2</v>
      </c>
      <c r="AW248" s="28">
        <v>200</v>
      </c>
      <c r="AX248" s="26">
        <v>2.5000000000000002E-6</v>
      </c>
      <c r="AY248" s="26">
        <f t="shared" si="306"/>
        <v>5.0000000000000008E-7</v>
      </c>
      <c r="AZ248" s="26">
        <f t="shared" si="307"/>
        <v>0.1</v>
      </c>
      <c r="BA248" s="7">
        <v>1.0482353100541499</v>
      </c>
      <c r="BB248" s="7">
        <v>310.62949089263498</v>
      </c>
      <c r="BC248" s="7">
        <v>857.43494866405695</v>
      </c>
      <c r="BD248" s="7">
        <v>310.62949089263498</v>
      </c>
      <c r="BE248" s="7">
        <v>72349793.874809399</v>
      </c>
      <c r="BF248" s="7">
        <v>76394.372684109796</v>
      </c>
      <c r="BG248" s="7">
        <f t="shared" si="308"/>
        <v>1478.6939304493269</v>
      </c>
      <c r="BI248" s="28">
        <v>55.000000000000007</v>
      </c>
      <c r="BJ248" s="26">
        <v>1.0000000000000001E-5</v>
      </c>
      <c r="BK248" s="28">
        <v>0.5</v>
      </c>
      <c r="BL248" s="28">
        <v>200</v>
      </c>
      <c r="BM248" s="26">
        <v>2.5000000000000002E-6</v>
      </c>
      <c r="BN248" s="26">
        <f t="shared" si="309"/>
        <v>1.2500000000000001E-6</v>
      </c>
      <c r="BO248" s="26">
        <f t="shared" si="310"/>
        <v>0.25</v>
      </c>
      <c r="BP248" s="7">
        <v>1.0515923517947301</v>
      </c>
      <c r="BQ248" s="7">
        <v>310.245574031601</v>
      </c>
      <c r="BR248" s="7">
        <v>856.50167124423206</v>
      </c>
      <c r="BS248" s="7">
        <v>310.245574031601</v>
      </c>
      <c r="BT248" s="7">
        <v>28939917.5499238</v>
      </c>
      <c r="BU248" s="7">
        <v>76394.372684109796</v>
      </c>
      <c r="BV248" s="7">
        <f t="shared" si="311"/>
        <v>1476.9928193074338</v>
      </c>
      <c r="BX248" s="28">
        <v>55.000000000000007</v>
      </c>
      <c r="BY248" s="26">
        <v>5.0000000000000002E-5</v>
      </c>
      <c r="BZ248" s="28">
        <v>0.5</v>
      </c>
      <c r="CA248" s="28">
        <v>200</v>
      </c>
      <c r="CB248" s="26">
        <v>2.5000000000000002E-6</v>
      </c>
      <c r="CC248" s="26">
        <f t="shared" si="312"/>
        <v>1.2500000000000001E-6</v>
      </c>
      <c r="CD248" s="26">
        <f t="shared" si="313"/>
        <v>0.05</v>
      </c>
      <c r="CE248" s="7">
        <v>5.0427479581107297</v>
      </c>
      <c r="CF248" s="7">
        <v>62.049114802860501</v>
      </c>
      <c r="CG248" s="7">
        <v>171.30033424884601</v>
      </c>
      <c r="CH248" s="7">
        <v>62.049114802860501</v>
      </c>
      <c r="CI248" s="7">
        <v>5787983.6553169098</v>
      </c>
      <c r="CJ248" s="7">
        <v>3055.7749073643899</v>
      </c>
      <c r="CK248" s="7">
        <f t="shared" si="314"/>
        <v>295.39856385456704</v>
      </c>
      <c r="CM248" s="28">
        <v>55.000000000000007</v>
      </c>
      <c r="CN248" s="26">
        <v>5.0000000000000002E-5</v>
      </c>
      <c r="CO248" s="28">
        <v>1</v>
      </c>
      <c r="CP248" s="28">
        <v>200</v>
      </c>
      <c r="CQ248" s="26">
        <v>2.5000000000000002E-6</v>
      </c>
      <c r="CR248" s="26">
        <f t="shared" si="315"/>
        <v>2.5000000000000002E-6</v>
      </c>
      <c r="CS248" s="26">
        <f t="shared" si="316"/>
        <v>0.1</v>
      </c>
      <c r="CT248" s="7">
        <v>5.0487682355348298</v>
      </c>
      <c r="CU248" s="7">
        <v>61.921576216120698</v>
      </c>
      <c r="CV248" s="7">
        <v>170.99017320176</v>
      </c>
      <c r="CW248" s="7">
        <v>61.921576216120698</v>
      </c>
      <c r="CX248" s="7">
        <v>2893991.8276584502</v>
      </c>
      <c r="CY248" s="7">
        <v>3055.7749073643899</v>
      </c>
      <c r="CZ248" s="7">
        <f t="shared" si="317"/>
        <v>294.83332563400137</v>
      </c>
      <c r="DB248" s="28">
        <v>55.000000000000007</v>
      </c>
      <c r="DC248" s="26">
        <v>5.0000000000000002E-5</v>
      </c>
      <c r="DD248" s="28">
        <v>2</v>
      </c>
      <c r="DE248" s="28">
        <v>200</v>
      </c>
      <c r="DF248" s="26">
        <v>2.5000000000000002E-6</v>
      </c>
      <c r="DG248" s="26">
        <f t="shared" si="318"/>
        <v>5.0000000000000004E-6</v>
      </c>
      <c r="DH248" s="26">
        <f t="shared" si="319"/>
        <v>0.2</v>
      </c>
      <c r="DI248" s="7">
        <v>5.0608037584438401</v>
      </c>
      <c r="DJ248" s="7">
        <v>61.6681127663864</v>
      </c>
      <c r="DK248" s="7">
        <v>170.373319720317</v>
      </c>
      <c r="DL248" s="7">
        <v>61.6681127663864</v>
      </c>
      <c r="DM248" s="7">
        <v>1446995.91382923</v>
      </c>
      <c r="DN248" s="7">
        <v>3055.7749073643899</v>
      </c>
      <c r="DO248" s="7">
        <f t="shared" si="320"/>
        <v>293.7095452530898</v>
      </c>
      <c r="DQ248" s="28">
        <v>55.000000000000007</v>
      </c>
      <c r="DR248" s="26">
        <v>5.0000000000000002E-5</v>
      </c>
      <c r="DS248" s="28">
        <v>15</v>
      </c>
      <c r="DT248" s="28">
        <v>300</v>
      </c>
      <c r="DU248" s="26">
        <v>9.9999999999999995E-7</v>
      </c>
      <c r="DV248" s="26">
        <f t="shared" si="321"/>
        <v>1.4999999999999999E-5</v>
      </c>
      <c r="DW248" s="26">
        <f t="shared" si="322"/>
        <v>0.59999999999999987</v>
      </c>
      <c r="DX248" s="7">
        <v>14.657607289162501</v>
      </c>
      <c r="DY248" s="7">
        <v>39.809859656104699</v>
      </c>
      <c r="DZ248" s="7">
        <v>110.399385072318</v>
      </c>
      <c r="EA248" s="7">
        <v>39.809859656104699</v>
      </c>
      <c r="EB248" s="7">
        <v>192932.78851056399</v>
      </c>
      <c r="EC248" s="7">
        <v>1018.59163578813</v>
      </c>
      <c r="ED248" s="7">
        <f t="shared" si="323"/>
        <v>190.0191043845274</v>
      </c>
    </row>
    <row r="249" spans="1:134" x14ac:dyDescent="0.4">
      <c r="A249" s="28">
        <v>60</v>
      </c>
      <c r="B249" s="26">
        <v>1.0000000000000001E-5</v>
      </c>
      <c r="C249" s="28">
        <v>0.2</v>
      </c>
      <c r="D249" s="28">
        <v>30</v>
      </c>
      <c r="E249" s="26">
        <v>2.5000000000000002E-6</v>
      </c>
      <c r="F249" s="26">
        <f t="shared" si="297"/>
        <v>5.0000000000000008E-7</v>
      </c>
      <c r="G249" s="26">
        <f t="shared" si="298"/>
        <v>0.1</v>
      </c>
      <c r="H249" s="7">
        <v>1.0258558478514299</v>
      </c>
      <c r="I249" s="7">
        <v>1747.4582681561301</v>
      </c>
      <c r="J249" s="7">
        <v>5794.3371345962596</v>
      </c>
      <c r="K249" s="7">
        <v>1747.4582681561301</v>
      </c>
      <c r="L249" s="7">
        <v>173207643.02618799</v>
      </c>
      <c r="M249" s="7">
        <v>76394.372684109796</v>
      </c>
      <c r="N249" s="7">
        <f t="shared" si="299"/>
        <v>9289.2536709085198</v>
      </c>
      <c r="P249" s="28">
        <v>60</v>
      </c>
      <c r="Q249" s="26">
        <v>3.0000000000000001E-5</v>
      </c>
      <c r="R249" s="28">
        <v>0.2</v>
      </c>
      <c r="S249" s="28">
        <v>30</v>
      </c>
      <c r="T249" s="26">
        <v>2.5000000000000002E-6</v>
      </c>
      <c r="U249" s="26">
        <f t="shared" si="300"/>
        <v>5.0000000000000008E-7</v>
      </c>
      <c r="V249" s="26">
        <f t="shared" si="301"/>
        <v>3.333333333333334E-2</v>
      </c>
      <c r="W249" s="7">
        <v>2.7594518350025701</v>
      </c>
      <c r="X249" s="7">
        <v>582.48608937969198</v>
      </c>
      <c r="Y249" s="7">
        <v>1931.4457115320899</v>
      </c>
      <c r="Z249" s="7">
        <v>582.48608937969198</v>
      </c>
      <c r="AA249" s="7">
        <v>57735881.0752545</v>
      </c>
      <c r="AB249" s="7">
        <v>8488.2636315677501</v>
      </c>
      <c r="AC249" s="7">
        <f t="shared" si="302"/>
        <v>3096.4178902914737</v>
      </c>
      <c r="AE249" s="28">
        <v>60</v>
      </c>
      <c r="AF249" s="26">
        <v>5.0000000000000002E-5</v>
      </c>
      <c r="AG249" s="28">
        <v>0.2</v>
      </c>
      <c r="AH249" s="28">
        <v>30</v>
      </c>
      <c r="AI249" s="26">
        <v>2.5000000000000002E-6</v>
      </c>
      <c r="AJ249" s="26">
        <f t="shared" si="303"/>
        <v>5.0000000000000008E-7</v>
      </c>
      <c r="AK249" s="26">
        <f t="shared" si="304"/>
        <v>2.0000000000000004E-2</v>
      </c>
      <c r="AL249" s="7">
        <v>4.1697349147525502</v>
      </c>
      <c r="AM249" s="7">
        <v>349.491653579706</v>
      </c>
      <c r="AN249" s="7">
        <v>1158.86742691925</v>
      </c>
      <c r="AO249" s="7">
        <v>349.491653579706</v>
      </c>
      <c r="AP249" s="7">
        <v>34641529.208382502</v>
      </c>
      <c r="AQ249" s="7">
        <v>3055.7749073643899</v>
      </c>
      <c r="AR249" s="7">
        <f t="shared" si="305"/>
        <v>1857.8507340786621</v>
      </c>
      <c r="AT249" s="28">
        <v>60</v>
      </c>
      <c r="AU249" s="26">
        <v>1.0000000000000001E-5</v>
      </c>
      <c r="AV249" s="28">
        <v>0.2</v>
      </c>
      <c r="AW249" s="28">
        <v>200</v>
      </c>
      <c r="AX249" s="26">
        <v>2.5000000000000002E-6</v>
      </c>
      <c r="AY249" s="26">
        <f t="shared" si="306"/>
        <v>5.0000000000000008E-7</v>
      </c>
      <c r="AZ249" s="26">
        <f t="shared" si="307"/>
        <v>0.1</v>
      </c>
      <c r="BA249" s="7">
        <v>1.07830618920598</v>
      </c>
      <c r="BB249" s="7">
        <v>263.235986756096</v>
      </c>
      <c r="BC249" s="7">
        <v>872.060132412553</v>
      </c>
      <c r="BD249" s="7">
        <v>263.235986756096</v>
      </c>
      <c r="BE249" s="7">
        <v>173207643.02618799</v>
      </c>
      <c r="BF249" s="7">
        <v>76394.372684109796</v>
      </c>
      <c r="BG249" s="7">
        <f t="shared" si="308"/>
        <v>1398.5321059247451</v>
      </c>
      <c r="BI249" s="28">
        <v>60</v>
      </c>
      <c r="BJ249" s="26">
        <v>1.0000000000000001E-5</v>
      </c>
      <c r="BK249" s="28">
        <v>0.5</v>
      </c>
      <c r="BL249" s="28">
        <v>200</v>
      </c>
      <c r="BM249" s="26">
        <v>2.5000000000000002E-6</v>
      </c>
      <c r="BN249" s="26">
        <f t="shared" si="309"/>
        <v>1.2500000000000001E-6</v>
      </c>
      <c r="BO249" s="26">
        <f t="shared" si="310"/>
        <v>0.25</v>
      </c>
      <c r="BP249" s="7">
        <v>1.0797542920890699</v>
      </c>
      <c r="BQ249" s="7">
        <v>262.93930247937197</v>
      </c>
      <c r="BR249" s="7">
        <v>871.287964463192</v>
      </c>
      <c r="BS249" s="7">
        <v>262.93930247937197</v>
      </c>
      <c r="BT249" s="7">
        <v>69283057.210475206</v>
      </c>
      <c r="BU249" s="7">
        <v>76394.372684109796</v>
      </c>
      <c r="BV249" s="7">
        <f t="shared" si="311"/>
        <v>1397.1665694219359</v>
      </c>
      <c r="BX249" s="28">
        <v>60</v>
      </c>
      <c r="BY249" s="26">
        <v>5.0000000000000002E-5</v>
      </c>
      <c r="BZ249" s="28">
        <v>0.5</v>
      </c>
      <c r="CA249" s="28">
        <v>200</v>
      </c>
      <c r="CB249" s="26">
        <v>2.5000000000000002E-6</v>
      </c>
      <c r="CC249" s="26">
        <f t="shared" si="312"/>
        <v>1.2500000000000001E-6</v>
      </c>
      <c r="CD249" s="26">
        <f t="shared" si="313"/>
        <v>0.05</v>
      </c>
      <c r="CE249" s="7">
        <v>5.2007597428954897</v>
      </c>
      <c r="CF249" s="7">
        <v>52.5878604929581</v>
      </c>
      <c r="CG249" s="7">
        <v>174.257592892638</v>
      </c>
      <c r="CH249" s="7">
        <v>52.5878604929581</v>
      </c>
      <c r="CI249" s="7">
        <v>13856611.683352999</v>
      </c>
      <c r="CJ249" s="7">
        <v>3055.7749073643899</v>
      </c>
      <c r="CK249" s="7">
        <f t="shared" si="314"/>
        <v>279.4333138785542</v>
      </c>
      <c r="CM249" s="28">
        <v>60</v>
      </c>
      <c r="CN249" s="26">
        <v>5.0000000000000002E-5</v>
      </c>
      <c r="CO249" s="28">
        <v>1</v>
      </c>
      <c r="CP249" s="28">
        <v>200</v>
      </c>
      <c r="CQ249" s="26">
        <v>2.5000000000000002E-6</v>
      </c>
      <c r="CR249" s="26">
        <f t="shared" si="315"/>
        <v>2.5000000000000002E-6</v>
      </c>
      <c r="CS249" s="26">
        <f t="shared" si="316"/>
        <v>0.1</v>
      </c>
      <c r="CT249" s="7">
        <v>5.2035265996668603</v>
      </c>
      <c r="CU249" s="7">
        <v>52.489267736237203</v>
      </c>
      <c r="CV249" s="7">
        <v>174.00084097458901</v>
      </c>
      <c r="CW249" s="7">
        <v>52.489267736237203</v>
      </c>
      <c r="CX249" s="7">
        <v>6928305.8416764997</v>
      </c>
      <c r="CY249" s="7">
        <v>3055.7749073643899</v>
      </c>
      <c r="CZ249" s="7">
        <f t="shared" si="317"/>
        <v>278.97937644706343</v>
      </c>
      <c r="DB249" s="28">
        <v>60</v>
      </c>
      <c r="DC249" s="26">
        <v>5.0000000000000002E-5</v>
      </c>
      <c r="DD249" s="28">
        <v>2</v>
      </c>
      <c r="DE249" s="28">
        <v>200</v>
      </c>
      <c r="DF249" s="26">
        <v>2.5000000000000002E-6</v>
      </c>
      <c r="DG249" s="26">
        <f t="shared" si="318"/>
        <v>5.0000000000000004E-6</v>
      </c>
      <c r="DH249" s="26">
        <f t="shared" si="319"/>
        <v>0.2</v>
      </c>
      <c r="DI249" s="7">
        <v>5.2090567065948399</v>
      </c>
      <c r="DJ249" s="7">
        <v>52.293206867341603</v>
      </c>
      <c r="DK249" s="7">
        <v>173.489713442035</v>
      </c>
      <c r="DL249" s="7">
        <v>52.293206867341603</v>
      </c>
      <c r="DM249" s="7">
        <v>3464152.9208382498</v>
      </c>
      <c r="DN249" s="7">
        <v>3055.7749073643899</v>
      </c>
      <c r="DO249" s="7">
        <f t="shared" si="320"/>
        <v>278.07612717671822</v>
      </c>
      <c r="DQ249" s="28">
        <v>60</v>
      </c>
      <c r="DR249" s="26">
        <v>5.0000000000000002E-5</v>
      </c>
      <c r="DS249" s="28">
        <v>15</v>
      </c>
      <c r="DT249" s="28">
        <v>300</v>
      </c>
      <c r="DU249" s="26">
        <v>9.9999999999999995E-7</v>
      </c>
      <c r="DV249" s="26">
        <f t="shared" si="321"/>
        <v>1.4999999999999999E-5</v>
      </c>
      <c r="DW249" s="26">
        <f t="shared" si="322"/>
        <v>0.59999999999999987</v>
      </c>
      <c r="DX249" s="7">
        <v>15.0512988699722</v>
      </c>
      <c r="DY249" s="7">
        <v>33.851188115179603</v>
      </c>
      <c r="DZ249" s="7">
        <v>113.007558882322</v>
      </c>
      <c r="EA249" s="7">
        <v>33.851188115179603</v>
      </c>
      <c r="EB249" s="7">
        <v>461887.05611176701</v>
      </c>
      <c r="EC249" s="7">
        <v>1018.59163578813</v>
      </c>
      <c r="ED249" s="7">
        <f t="shared" si="323"/>
        <v>180.70993511268122</v>
      </c>
    </row>
    <row r="250" spans="1:134" x14ac:dyDescent="0.4">
      <c r="A250" s="28">
        <v>65</v>
      </c>
      <c r="B250" s="26">
        <v>1.0000000000000001E-5</v>
      </c>
      <c r="C250" s="28">
        <v>0.2</v>
      </c>
      <c r="D250" s="28">
        <v>30</v>
      </c>
      <c r="E250" s="26">
        <v>2.5000000000000002E-6</v>
      </c>
      <c r="F250" s="26">
        <f t="shared" si="297"/>
        <v>5.0000000000000008E-7</v>
      </c>
      <c r="G250" s="26">
        <f t="shared" si="298"/>
        <v>0.1</v>
      </c>
      <c r="H250" s="7">
        <v>1.0558051556157999</v>
      </c>
      <c r="I250" s="7">
        <v>1470.52695643265</v>
      </c>
      <c r="J250" s="7">
        <v>5888.0994972997396</v>
      </c>
      <c r="K250" s="7">
        <v>1470.52695643265</v>
      </c>
      <c r="L250" s="7">
        <v>859463306.304919</v>
      </c>
      <c r="M250" s="7">
        <v>76394.372684109796</v>
      </c>
      <c r="N250" s="7">
        <f t="shared" si="299"/>
        <v>8829.1534101650395</v>
      </c>
      <c r="P250" s="28">
        <v>65</v>
      </c>
      <c r="Q250" s="26">
        <v>3.0000000000000001E-5</v>
      </c>
      <c r="R250" s="28">
        <v>0.2</v>
      </c>
      <c r="S250" s="28">
        <v>30</v>
      </c>
      <c r="T250" s="26">
        <v>2.5000000000000002E-6</v>
      </c>
      <c r="U250" s="26">
        <f t="shared" si="300"/>
        <v>5.0000000000000008E-7</v>
      </c>
      <c r="V250" s="26">
        <f t="shared" si="301"/>
        <v>3.333333333333334E-2</v>
      </c>
      <c r="W250" s="7">
        <v>2.85509375295393</v>
      </c>
      <c r="X250" s="7">
        <v>490.175652139448</v>
      </c>
      <c r="Y250" s="7">
        <v>1962.6998324332501</v>
      </c>
      <c r="Z250" s="7">
        <v>490.175652139448</v>
      </c>
      <c r="AA250" s="7">
        <v>286487768.88169003</v>
      </c>
      <c r="AB250" s="7">
        <v>8488.2636315677501</v>
      </c>
      <c r="AC250" s="7">
        <f t="shared" si="302"/>
        <v>2943.0511367121462</v>
      </c>
      <c r="AE250" s="28">
        <v>65</v>
      </c>
      <c r="AF250" s="26">
        <v>5.0000000000000002E-5</v>
      </c>
      <c r="AG250" s="28">
        <v>0.2</v>
      </c>
      <c r="AH250" s="28">
        <v>30</v>
      </c>
      <c r="AI250" s="26">
        <v>2.5000000000000002E-6</v>
      </c>
      <c r="AJ250" s="26">
        <f t="shared" si="303"/>
        <v>5.0000000000000008E-7</v>
      </c>
      <c r="AK250" s="26">
        <f t="shared" si="304"/>
        <v>2.0000000000000004E-2</v>
      </c>
      <c r="AL250" s="7">
        <v>4.3317127509870703</v>
      </c>
      <c r="AM250" s="7">
        <v>294.10539124333502</v>
      </c>
      <c r="AN250" s="7">
        <v>1177.6198994599499</v>
      </c>
      <c r="AO250" s="7">
        <v>294.10539124333502</v>
      </c>
      <c r="AP250" s="7">
        <v>171892662.28655201</v>
      </c>
      <c r="AQ250" s="7">
        <v>3055.7749073643899</v>
      </c>
      <c r="AR250" s="7">
        <f t="shared" si="305"/>
        <v>1765.8306819466197</v>
      </c>
      <c r="AT250" s="28">
        <v>65</v>
      </c>
      <c r="AU250" s="26">
        <v>1.0000000000000001E-5</v>
      </c>
      <c r="AV250" s="28">
        <v>0.2</v>
      </c>
      <c r="AW250" s="28">
        <v>200</v>
      </c>
      <c r="AX250" s="26">
        <v>2.5000000000000002E-6</v>
      </c>
      <c r="AY250" s="26">
        <f t="shared" si="306"/>
        <v>5.0000000000000008E-7</v>
      </c>
      <c r="AZ250" s="26">
        <f t="shared" si="307"/>
        <v>0.1</v>
      </c>
      <c r="BA250" s="7">
        <v>1.10718007988581</v>
      </c>
      <c r="BB250" s="7">
        <v>221.436390808456</v>
      </c>
      <c r="BC250" s="7">
        <v>885.60719905590599</v>
      </c>
      <c r="BD250" s="7">
        <v>221.436390808456</v>
      </c>
      <c r="BE250" s="7">
        <v>859463306.304919</v>
      </c>
      <c r="BF250" s="7">
        <v>76394.372684109796</v>
      </c>
      <c r="BG250" s="7">
        <f t="shared" si="308"/>
        <v>1328.4799806728181</v>
      </c>
      <c r="BI250" s="28">
        <v>65</v>
      </c>
      <c r="BJ250" s="26">
        <v>1.0000000000000001E-5</v>
      </c>
      <c r="BK250" s="28">
        <v>0.5</v>
      </c>
      <c r="BL250" s="28">
        <v>200</v>
      </c>
      <c r="BM250" s="26">
        <v>2.5000000000000002E-6</v>
      </c>
      <c r="BN250" s="26">
        <f t="shared" si="309"/>
        <v>1.2500000000000001E-6</v>
      </c>
      <c r="BO250" s="26">
        <f t="shared" si="310"/>
        <v>0.25</v>
      </c>
      <c r="BP250" s="7">
        <v>1.1074856602574199</v>
      </c>
      <c r="BQ250" s="7">
        <v>221.20879187134</v>
      </c>
      <c r="BR250" s="7">
        <v>884.97259280428204</v>
      </c>
      <c r="BS250" s="7">
        <v>221.20879187134</v>
      </c>
      <c r="BT250" s="7">
        <v>343785322.52196801</v>
      </c>
      <c r="BU250" s="7">
        <v>76394.372684109796</v>
      </c>
      <c r="BV250" s="7">
        <f t="shared" si="311"/>
        <v>1327.390176546962</v>
      </c>
      <c r="BX250" s="28">
        <v>65</v>
      </c>
      <c r="BY250" s="26">
        <v>5.0000000000000002E-5</v>
      </c>
      <c r="BZ250" s="28">
        <v>0.5</v>
      </c>
      <c r="CA250" s="28">
        <v>200</v>
      </c>
      <c r="CB250" s="26">
        <v>2.5000000000000002E-6</v>
      </c>
      <c r="CC250" s="26">
        <f t="shared" si="312"/>
        <v>1.2500000000000001E-6</v>
      </c>
      <c r="CD250" s="26">
        <f t="shared" si="313"/>
        <v>0.05</v>
      </c>
      <c r="CE250" s="7">
        <v>5.3511057655815604</v>
      </c>
      <c r="CF250" s="7">
        <v>44.241758371824098</v>
      </c>
      <c r="CG250" s="7">
        <v>176.99451856085599</v>
      </c>
      <c r="CH250" s="7">
        <v>44.241758371824098</v>
      </c>
      <c r="CI250" s="7">
        <v>68757064.914620593</v>
      </c>
      <c r="CJ250" s="7">
        <v>3055.7749073643899</v>
      </c>
      <c r="CK250" s="7">
        <f t="shared" si="314"/>
        <v>265.4780353045042</v>
      </c>
      <c r="CM250" s="28">
        <v>65</v>
      </c>
      <c r="CN250" s="26">
        <v>5.0000000000000002E-5</v>
      </c>
      <c r="CO250" s="28">
        <v>1</v>
      </c>
      <c r="CP250" s="28">
        <v>200</v>
      </c>
      <c r="CQ250" s="26">
        <v>2.5000000000000002E-6</v>
      </c>
      <c r="CR250" s="26">
        <f t="shared" si="315"/>
        <v>2.5000000000000002E-6</v>
      </c>
      <c r="CS250" s="26">
        <f t="shared" si="316"/>
        <v>0.1</v>
      </c>
      <c r="CT250" s="7">
        <v>5.35190611879481</v>
      </c>
      <c r="CU250" s="7">
        <v>44.166101596649497</v>
      </c>
      <c r="CV250" s="7">
        <v>176.783417824277</v>
      </c>
      <c r="CW250" s="7">
        <v>44.166101596649497</v>
      </c>
      <c r="CX250" s="7">
        <v>34378532.457310297</v>
      </c>
      <c r="CY250" s="7">
        <v>3055.7749073643899</v>
      </c>
      <c r="CZ250" s="7">
        <f t="shared" si="317"/>
        <v>265.11562101757602</v>
      </c>
      <c r="DB250" s="28">
        <v>65</v>
      </c>
      <c r="DC250" s="26">
        <v>5.0000000000000002E-5</v>
      </c>
      <c r="DD250" s="28">
        <v>2</v>
      </c>
      <c r="DE250" s="28">
        <v>200</v>
      </c>
      <c r="DF250" s="26">
        <v>2.5000000000000002E-6</v>
      </c>
      <c r="DG250" s="26">
        <f t="shared" si="318"/>
        <v>5.0000000000000004E-6</v>
      </c>
      <c r="DH250" s="26">
        <f t="shared" si="319"/>
        <v>0.2</v>
      </c>
      <c r="DI250" s="7">
        <v>5.3535042567445803</v>
      </c>
      <c r="DJ250" s="7">
        <v>44.0155689113517</v>
      </c>
      <c r="DK250" s="7">
        <v>176.36283833637401</v>
      </c>
      <c r="DL250" s="7">
        <v>44.0155689113517</v>
      </c>
      <c r="DM250" s="7">
        <v>17189266.2286552</v>
      </c>
      <c r="DN250" s="7">
        <v>3055.7749073643899</v>
      </c>
      <c r="DO250" s="7">
        <f t="shared" si="320"/>
        <v>264.3939761590774</v>
      </c>
      <c r="DQ250" s="28">
        <v>65</v>
      </c>
      <c r="DR250" s="26">
        <v>5.0000000000000002E-5</v>
      </c>
      <c r="DS250" s="28">
        <v>15</v>
      </c>
      <c r="DT250" s="28">
        <v>300</v>
      </c>
      <c r="DU250" s="26">
        <v>9.9999999999999995E-7</v>
      </c>
      <c r="DV250" s="26">
        <f t="shared" si="321"/>
        <v>1.4999999999999999E-5</v>
      </c>
      <c r="DW250" s="26">
        <f t="shared" si="322"/>
        <v>0.59999999999999987</v>
      </c>
      <c r="DX250" s="7">
        <v>15.456371116443799</v>
      </c>
      <c r="DY250" s="7">
        <v>28.565057936355299</v>
      </c>
      <c r="DZ250" s="7">
        <v>115.382714159923</v>
      </c>
      <c r="EA250" s="7">
        <v>28.565057936355299</v>
      </c>
      <c r="EB250" s="7">
        <v>2291902.16382069</v>
      </c>
      <c r="EC250" s="7">
        <v>1018.59163578813</v>
      </c>
      <c r="ED250" s="7">
        <f t="shared" si="323"/>
        <v>172.51283003263359</v>
      </c>
    </row>
    <row r="251" spans="1:134" x14ac:dyDescent="0.4">
      <c r="A251" s="28">
        <v>70</v>
      </c>
      <c r="B251" s="26">
        <v>1.0000000000000001E-5</v>
      </c>
      <c r="C251" s="28">
        <v>0.2</v>
      </c>
      <c r="D251" s="28">
        <v>30</v>
      </c>
      <c r="E251" s="26">
        <v>2.5000000000000002E-6</v>
      </c>
      <c r="F251" s="26">
        <f t="shared" si="297"/>
        <v>5.0000000000000008E-7</v>
      </c>
      <c r="G251" s="26">
        <f t="shared" si="298"/>
        <v>0.1</v>
      </c>
      <c r="H251" s="7">
        <v>1.0847435785217701</v>
      </c>
      <c r="I251" s="7">
        <v>1223.14114606982</v>
      </c>
      <c r="J251" s="7">
        <v>5975.2459753258199</v>
      </c>
      <c r="K251" s="7">
        <v>1223.14114606982</v>
      </c>
      <c r="L251" s="7" t="s">
        <v>94</v>
      </c>
      <c r="M251" s="7">
        <v>76394.372684109796</v>
      </c>
      <c r="N251" s="7">
        <f t="shared" si="299"/>
        <v>8421.5282674654591</v>
      </c>
      <c r="P251" s="28">
        <v>70</v>
      </c>
      <c r="Q251" s="26">
        <v>3.0000000000000001E-5</v>
      </c>
      <c r="R251" s="28">
        <v>0.2</v>
      </c>
      <c r="S251" s="28">
        <v>30</v>
      </c>
      <c r="T251" s="26">
        <v>2.5000000000000002E-6</v>
      </c>
      <c r="U251" s="26">
        <f t="shared" si="300"/>
        <v>5.0000000000000008E-7</v>
      </c>
      <c r="V251" s="26">
        <f t="shared" si="301"/>
        <v>3.333333333333334E-2</v>
      </c>
      <c r="W251" s="7">
        <v>2.9463949191607299</v>
      </c>
      <c r="X251" s="7">
        <v>407.71371535265399</v>
      </c>
      <c r="Y251" s="7">
        <v>1991.7486584419401</v>
      </c>
      <c r="Z251" s="7">
        <v>407.71371535265399</v>
      </c>
      <c r="AA251" s="7" t="s">
        <v>94</v>
      </c>
      <c r="AB251" s="7">
        <v>8488.2636315677501</v>
      </c>
      <c r="AC251" s="7">
        <f t="shared" si="302"/>
        <v>2807.1760891472481</v>
      </c>
      <c r="AE251" s="28">
        <v>70</v>
      </c>
      <c r="AF251" s="26">
        <v>5.0000000000000002E-5</v>
      </c>
      <c r="AG251" s="28">
        <v>0.2</v>
      </c>
      <c r="AH251" s="28">
        <v>30</v>
      </c>
      <c r="AI251" s="26">
        <v>2.5000000000000002E-6</v>
      </c>
      <c r="AJ251" s="26">
        <f t="shared" si="303"/>
        <v>5.0000000000000008E-7</v>
      </c>
      <c r="AK251" s="26">
        <f t="shared" si="304"/>
        <v>2.0000000000000004E-2</v>
      </c>
      <c r="AL251" s="7">
        <v>4.4862763254778502</v>
      </c>
      <c r="AM251" s="7">
        <v>244.62822917813699</v>
      </c>
      <c r="AN251" s="7">
        <v>1195.0491950651599</v>
      </c>
      <c r="AO251" s="7">
        <v>244.62822917813699</v>
      </c>
      <c r="AP251" s="7" t="s">
        <v>94</v>
      </c>
      <c r="AQ251" s="7">
        <v>3055.7749073643899</v>
      </c>
      <c r="AR251" s="7">
        <f t="shared" si="305"/>
        <v>1684.3056534214338</v>
      </c>
      <c r="AT251" s="28">
        <v>70</v>
      </c>
      <c r="AU251" s="26">
        <v>1.0000000000000001E-5</v>
      </c>
      <c r="AV251" s="28">
        <v>0.2</v>
      </c>
      <c r="AW251" s="28">
        <v>200</v>
      </c>
      <c r="AX251" s="26">
        <v>2.5000000000000002E-6</v>
      </c>
      <c r="AY251" s="26">
        <f t="shared" si="306"/>
        <v>5.0000000000000008E-7</v>
      </c>
      <c r="AZ251" s="26">
        <f t="shared" si="307"/>
        <v>0.1</v>
      </c>
      <c r="BA251" s="7">
        <v>1.1351242697397801</v>
      </c>
      <c r="BB251" s="7">
        <v>184.11844341766201</v>
      </c>
      <c r="BC251" s="7">
        <v>898.22894938474894</v>
      </c>
      <c r="BD251" s="7">
        <v>184.11844341766201</v>
      </c>
      <c r="BE251" s="7" t="s">
        <v>94</v>
      </c>
      <c r="BF251" s="7">
        <v>76394.372684109796</v>
      </c>
      <c r="BG251" s="7">
        <f t="shared" si="308"/>
        <v>1266.465836220073</v>
      </c>
      <c r="BI251" s="28">
        <v>70</v>
      </c>
      <c r="BJ251" s="26">
        <v>1.0000000000000001E-5</v>
      </c>
      <c r="BK251" s="28">
        <v>0.5</v>
      </c>
      <c r="BL251" s="28">
        <v>200</v>
      </c>
      <c r="BM251" s="26">
        <v>2.5000000000000002E-6</v>
      </c>
      <c r="BN251" s="26">
        <f t="shared" si="309"/>
        <v>1.2500000000000001E-6</v>
      </c>
      <c r="BO251" s="26">
        <f t="shared" si="310"/>
        <v>0.25</v>
      </c>
      <c r="BP251" s="7">
        <v>1.1351305958606801</v>
      </c>
      <c r="BQ251" s="7">
        <v>183.946660682919</v>
      </c>
      <c r="BR251" s="7">
        <v>897.71395999315905</v>
      </c>
      <c r="BS251" s="7">
        <v>183.946660682919</v>
      </c>
      <c r="BT251" s="7" t="s">
        <v>94</v>
      </c>
      <c r="BU251" s="7">
        <v>76394.372684109796</v>
      </c>
      <c r="BV251" s="7">
        <f t="shared" si="311"/>
        <v>1265.6072813589969</v>
      </c>
      <c r="BX251" s="28">
        <v>70</v>
      </c>
      <c r="BY251" s="26">
        <v>5.0000000000000002E-5</v>
      </c>
      <c r="BZ251" s="28">
        <v>0.5</v>
      </c>
      <c r="CA251" s="28">
        <v>200</v>
      </c>
      <c r="CB251" s="26">
        <v>2.5000000000000002E-6</v>
      </c>
      <c r="CC251" s="26">
        <f t="shared" si="312"/>
        <v>1.2500000000000001E-6</v>
      </c>
      <c r="CD251" s="26">
        <f t="shared" si="313"/>
        <v>0.05</v>
      </c>
      <c r="CE251" s="7">
        <v>5.4950774886026998</v>
      </c>
      <c r="CF251" s="7">
        <v>36.7893321345583</v>
      </c>
      <c r="CG251" s="7">
        <v>179.542791998632</v>
      </c>
      <c r="CH251" s="7">
        <v>36.7893321345583</v>
      </c>
      <c r="CI251" s="7" t="s">
        <v>94</v>
      </c>
      <c r="CJ251" s="7">
        <v>3055.7749073643899</v>
      </c>
      <c r="CK251" s="7">
        <f t="shared" si="314"/>
        <v>253.12145626774858</v>
      </c>
      <c r="CM251" s="28">
        <v>70</v>
      </c>
      <c r="CN251" s="26">
        <v>5.0000000000000002E-5</v>
      </c>
      <c r="CO251" s="28">
        <v>1</v>
      </c>
      <c r="CP251" s="28">
        <v>200</v>
      </c>
      <c r="CQ251" s="26">
        <v>2.5000000000000002E-6</v>
      </c>
      <c r="CR251" s="26">
        <f t="shared" si="315"/>
        <v>2.5000000000000002E-6</v>
      </c>
      <c r="CS251" s="26">
        <f t="shared" si="316"/>
        <v>0.1</v>
      </c>
      <c r="CT251" s="7">
        <v>5.4953240834811696</v>
      </c>
      <c r="CU251" s="7">
        <v>36.732214141098297</v>
      </c>
      <c r="CV251" s="7">
        <v>179.37142238436701</v>
      </c>
      <c r="CW251" s="7">
        <v>36.732214141098297</v>
      </c>
      <c r="CX251" s="7" t="s">
        <v>94</v>
      </c>
      <c r="CY251" s="7">
        <v>3055.7749073643899</v>
      </c>
      <c r="CZ251" s="7">
        <f t="shared" si="317"/>
        <v>252.8358506665636</v>
      </c>
      <c r="DB251" s="28">
        <v>70</v>
      </c>
      <c r="DC251" s="26">
        <v>5.0000000000000002E-5</v>
      </c>
      <c r="DD251" s="28">
        <v>2</v>
      </c>
      <c r="DE251" s="28">
        <v>200</v>
      </c>
      <c r="DF251" s="26">
        <v>2.5000000000000002E-6</v>
      </c>
      <c r="DG251" s="26">
        <f t="shared" si="318"/>
        <v>5.0000000000000004E-6</v>
      </c>
      <c r="DH251" s="26">
        <f t="shared" si="319"/>
        <v>0.2</v>
      </c>
      <c r="DI251" s="7">
        <v>5.4958154726275499</v>
      </c>
      <c r="DJ251" s="7">
        <v>36.618511090650998</v>
      </c>
      <c r="DK251" s="7">
        <v>179.02977916857401</v>
      </c>
      <c r="DL251" s="7">
        <v>36.618511090650998</v>
      </c>
      <c r="DM251" s="7" t="s">
        <v>94</v>
      </c>
      <c r="DN251" s="7">
        <v>3055.7749073643899</v>
      </c>
      <c r="DO251" s="7">
        <f t="shared" si="320"/>
        <v>252.266801349876</v>
      </c>
      <c r="DQ251" s="28">
        <v>70</v>
      </c>
      <c r="DR251" s="26">
        <v>5.0000000000000002E-5</v>
      </c>
      <c r="DS251" s="28">
        <v>15</v>
      </c>
      <c r="DT251" s="28">
        <v>300</v>
      </c>
      <c r="DU251" s="26">
        <v>9.9999999999999995E-7</v>
      </c>
      <c r="DV251" s="26">
        <f t="shared" si="321"/>
        <v>1.4999999999999999E-5</v>
      </c>
      <c r="DW251" s="26">
        <f t="shared" si="322"/>
        <v>0.59999999999999987</v>
      </c>
      <c r="DX251" s="7">
        <v>15.880159345797701</v>
      </c>
      <c r="DY251" s="7">
        <v>23.8224846510956</v>
      </c>
      <c r="DZ251" s="7">
        <v>117.565391453988</v>
      </c>
      <c r="EA251" s="7">
        <v>23.8224846510956</v>
      </c>
      <c r="EB251" s="7" t="s">
        <v>94</v>
      </c>
      <c r="EC251" s="7">
        <v>1018.59163578813</v>
      </c>
      <c r="ED251" s="7">
        <f t="shared" si="323"/>
        <v>165.2103607561792</v>
      </c>
    </row>
    <row r="252" spans="1:134" x14ac:dyDescent="0.4">
      <c r="B252" s="26"/>
      <c r="E252" s="26"/>
      <c r="F252" s="26"/>
      <c r="G252" s="26"/>
      <c r="Q252" s="26"/>
      <c r="T252" s="26"/>
      <c r="U252" s="26"/>
      <c r="V252" s="26"/>
      <c r="AF252" s="26"/>
      <c r="AI252" s="26"/>
      <c r="AJ252" s="26"/>
      <c r="AK252" s="26"/>
      <c r="AU252" s="26"/>
      <c r="AX252" s="26"/>
      <c r="AY252" s="26"/>
      <c r="AZ252" s="26"/>
      <c r="BJ252" s="26"/>
      <c r="BM252" s="26"/>
      <c r="BN252" s="26"/>
      <c r="BO252" s="26"/>
      <c r="BY252" s="26"/>
      <c r="CB252" s="26"/>
      <c r="CC252" s="26"/>
      <c r="CD252" s="26"/>
      <c r="CN252" s="26"/>
      <c r="CQ252" s="26"/>
      <c r="CR252" s="26"/>
      <c r="CS252" s="26"/>
      <c r="DC252" s="26"/>
      <c r="DF252" s="26"/>
      <c r="DG252" s="26"/>
      <c r="DH252" s="26"/>
      <c r="DR252" s="26"/>
      <c r="DU252" s="26"/>
      <c r="DV252" s="26"/>
      <c r="DW252" s="26"/>
    </row>
    <row r="253" spans="1:134" s="36" customFormat="1" ht="47.25" x14ac:dyDescent="0.4">
      <c r="A253" s="53" t="s">
        <v>69</v>
      </c>
      <c r="B253" s="54" t="s">
        <v>93</v>
      </c>
      <c r="C253" s="39" t="s">
        <v>73</v>
      </c>
      <c r="D253" s="39" t="s">
        <v>98</v>
      </c>
      <c r="E253" s="39" t="s">
        <v>97</v>
      </c>
      <c r="F253" s="39" t="s">
        <v>99</v>
      </c>
      <c r="G253" s="39" t="s">
        <v>96</v>
      </c>
      <c r="H253" s="37" t="s">
        <v>60</v>
      </c>
      <c r="I253" s="37" t="s">
        <v>100</v>
      </c>
      <c r="J253" s="37" t="s">
        <v>101</v>
      </c>
      <c r="K253" s="37" t="s">
        <v>102</v>
      </c>
      <c r="L253" s="37" t="s">
        <v>103</v>
      </c>
      <c r="M253" s="37" t="s">
        <v>65</v>
      </c>
      <c r="N253" s="37" t="s">
        <v>68</v>
      </c>
      <c r="O253" s="55"/>
      <c r="P253" s="53" t="s">
        <v>69</v>
      </c>
      <c r="Q253" s="54" t="s">
        <v>93</v>
      </c>
      <c r="R253" s="39" t="s">
        <v>73</v>
      </c>
      <c r="S253" s="39" t="s">
        <v>98</v>
      </c>
      <c r="T253" s="39" t="s">
        <v>97</v>
      </c>
      <c r="U253" s="39" t="s">
        <v>99</v>
      </c>
      <c r="V253" s="39" t="s">
        <v>96</v>
      </c>
      <c r="W253" s="37" t="s">
        <v>60</v>
      </c>
      <c r="X253" s="37" t="s">
        <v>100</v>
      </c>
      <c r="Y253" s="37" t="s">
        <v>101</v>
      </c>
      <c r="Z253" s="37" t="s">
        <v>102</v>
      </c>
      <c r="AA253" s="37" t="s">
        <v>103</v>
      </c>
      <c r="AB253" s="37" t="s">
        <v>65</v>
      </c>
      <c r="AC253" s="37" t="s">
        <v>68</v>
      </c>
      <c r="AD253" s="55"/>
      <c r="AE253" s="53" t="s">
        <v>69</v>
      </c>
      <c r="AF253" s="54" t="s">
        <v>93</v>
      </c>
      <c r="AG253" s="39" t="s">
        <v>73</v>
      </c>
      <c r="AH253" s="39" t="s">
        <v>98</v>
      </c>
      <c r="AI253" s="39" t="s">
        <v>97</v>
      </c>
      <c r="AJ253" s="39" t="s">
        <v>99</v>
      </c>
      <c r="AK253" s="39" t="s">
        <v>96</v>
      </c>
      <c r="AL253" s="37" t="s">
        <v>60</v>
      </c>
      <c r="AM253" s="37" t="s">
        <v>100</v>
      </c>
      <c r="AN253" s="37" t="s">
        <v>101</v>
      </c>
      <c r="AO253" s="37" t="s">
        <v>102</v>
      </c>
      <c r="AP253" s="37" t="s">
        <v>103</v>
      </c>
      <c r="AQ253" s="37" t="s">
        <v>65</v>
      </c>
      <c r="AR253" s="37" t="s">
        <v>68</v>
      </c>
      <c r="AS253" s="55"/>
      <c r="AT253" s="53" t="s">
        <v>69</v>
      </c>
      <c r="AU253" s="54" t="s">
        <v>93</v>
      </c>
      <c r="AV253" s="39" t="s">
        <v>73</v>
      </c>
      <c r="AW253" s="39" t="s">
        <v>98</v>
      </c>
      <c r="AX253" s="39" t="s">
        <v>97</v>
      </c>
      <c r="AY253" s="39" t="s">
        <v>99</v>
      </c>
      <c r="AZ253" s="39" t="s">
        <v>96</v>
      </c>
      <c r="BA253" s="37" t="s">
        <v>60</v>
      </c>
      <c r="BB253" s="37" t="s">
        <v>100</v>
      </c>
      <c r="BC253" s="37" t="s">
        <v>101</v>
      </c>
      <c r="BD253" s="37" t="s">
        <v>102</v>
      </c>
      <c r="BE253" s="37" t="s">
        <v>103</v>
      </c>
      <c r="BF253" s="37" t="s">
        <v>65</v>
      </c>
      <c r="BG253" s="37" t="s">
        <v>68</v>
      </c>
      <c r="BH253" s="55"/>
      <c r="BI253" s="53" t="s">
        <v>69</v>
      </c>
      <c r="BJ253" s="54" t="s">
        <v>93</v>
      </c>
      <c r="BK253" s="39" t="s">
        <v>73</v>
      </c>
      <c r="BL253" s="39" t="s">
        <v>98</v>
      </c>
      <c r="BM253" s="39" t="s">
        <v>97</v>
      </c>
      <c r="BN253" s="39" t="s">
        <v>99</v>
      </c>
      <c r="BO253" s="39" t="s">
        <v>96</v>
      </c>
      <c r="BP253" s="37" t="s">
        <v>60</v>
      </c>
      <c r="BQ253" s="37" t="s">
        <v>100</v>
      </c>
      <c r="BR253" s="37" t="s">
        <v>101</v>
      </c>
      <c r="BS253" s="37" t="s">
        <v>102</v>
      </c>
      <c r="BT253" s="37" t="s">
        <v>103</v>
      </c>
      <c r="BU253" s="37" t="s">
        <v>65</v>
      </c>
      <c r="BV253" s="37" t="s">
        <v>68</v>
      </c>
      <c r="BW253" s="55"/>
      <c r="BX253" s="53" t="s">
        <v>69</v>
      </c>
      <c r="BY253" s="54" t="s">
        <v>93</v>
      </c>
      <c r="BZ253" s="39" t="s">
        <v>73</v>
      </c>
      <c r="CA253" s="39" t="s">
        <v>98</v>
      </c>
      <c r="CB253" s="39" t="s">
        <v>97</v>
      </c>
      <c r="CC253" s="39" t="s">
        <v>99</v>
      </c>
      <c r="CD253" s="39" t="s">
        <v>96</v>
      </c>
      <c r="CE253" s="37" t="s">
        <v>60</v>
      </c>
      <c r="CF253" s="37" t="s">
        <v>100</v>
      </c>
      <c r="CG253" s="37" t="s">
        <v>101</v>
      </c>
      <c r="CH253" s="37" t="s">
        <v>102</v>
      </c>
      <c r="CI253" s="37" t="s">
        <v>103</v>
      </c>
      <c r="CJ253" s="37" t="s">
        <v>65</v>
      </c>
      <c r="CK253" s="37" t="s">
        <v>68</v>
      </c>
      <c r="CL253" s="55"/>
      <c r="CM253" s="53" t="s">
        <v>69</v>
      </c>
      <c r="CN253" s="54" t="s">
        <v>93</v>
      </c>
      <c r="CO253" s="39" t="s">
        <v>73</v>
      </c>
      <c r="CP253" s="39" t="s">
        <v>98</v>
      </c>
      <c r="CQ253" s="39" t="s">
        <v>97</v>
      </c>
      <c r="CR253" s="39" t="s">
        <v>99</v>
      </c>
      <c r="CS253" s="39" t="s">
        <v>96</v>
      </c>
      <c r="CT253" s="37" t="s">
        <v>60</v>
      </c>
      <c r="CU253" s="37" t="s">
        <v>100</v>
      </c>
      <c r="CV253" s="37" t="s">
        <v>101</v>
      </c>
      <c r="CW253" s="37" t="s">
        <v>102</v>
      </c>
      <c r="CX253" s="37" t="s">
        <v>103</v>
      </c>
      <c r="CY253" s="37" t="s">
        <v>65</v>
      </c>
      <c r="CZ253" s="37" t="s">
        <v>68</v>
      </c>
      <c r="DA253" s="55"/>
      <c r="DB253" s="53" t="s">
        <v>69</v>
      </c>
      <c r="DC253" s="54" t="s">
        <v>93</v>
      </c>
      <c r="DD253" s="39" t="s">
        <v>73</v>
      </c>
      <c r="DE253" s="39" t="s">
        <v>98</v>
      </c>
      <c r="DF253" s="39" t="s">
        <v>97</v>
      </c>
      <c r="DG253" s="39" t="s">
        <v>99</v>
      </c>
      <c r="DH253" s="39" t="s">
        <v>96</v>
      </c>
      <c r="DI253" s="37" t="s">
        <v>60</v>
      </c>
      <c r="DJ253" s="37" t="s">
        <v>100</v>
      </c>
      <c r="DK253" s="37" t="s">
        <v>101</v>
      </c>
      <c r="DL253" s="37" t="s">
        <v>102</v>
      </c>
      <c r="DM253" s="37" t="s">
        <v>103</v>
      </c>
      <c r="DN253" s="37" t="s">
        <v>65</v>
      </c>
      <c r="DO253" s="37" t="s">
        <v>68</v>
      </c>
      <c r="DP253" s="55"/>
      <c r="DQ253" s="53" t="s">
        <v>69</v>
      </c>
      <c r="DR253" s="54" t="s">
        <v>93</v>
      </c>
      <c r="DS253" s="39" t="s">
        <v>73</v>
      </c>
      <c r="DT253" s="39" t="s">
        <v>98</v>
      </c>
      <c r="DU253" s="39" t="s">
        <v>97</v>
      </c>
      <c r="DV253" s="39" t="s">
        <v>99</v>
      </c>
      <c r="DW253" s="39" t="s">
        <v>96</v>
      </c>
      <c r="DX253" s="37" t="s">
        <v>60</v>
      </c>
      <c r="DY253" s="37" t="s">
        <v>100</v>
      </c>
      <c r="DZ253" s="37" t="s">
        <v>101</v>
      </c>
      <c r="EA253" s="37" t="s">
        <v>102</v>
      </c>
      <c r="EB253" s="37" t="s">
        <v>103</v>
      </c>
      <c r="EC253" s="37" t="s">
        <v>65</v>
      </c>
      <c r="ED253" s="37" t="s">
        <v>68</v>
      </c>
    </row>
    <row r="254" spans="1:134" x14ac:dyDescent="0.4">
      <c r="A254" s="28">
        <v>1</v>
      </c>
      <c r="B254" s="26">
        <v>1.0000000000000001E-5</v>
      </c>
      <c r="C254" s="28">
        <v>0.2</v>
      </c>
      <c r="D254" s="28">
        <v>30</v>
      </c>
      <c r="E254" s="26">
        <v>5.0000000000000004E-6</v>
      </c>
      <c r="F254" s="26">
        <f t="shared" ref="F254:F272" si="324">C254*E254</f>
        <v>1.0000000000000002E-6</v>
      </c>
      <c r="G254" s="26">
        <f t="shared" ref="G254:G272" si="325">F254/(B254/2)</f>
        <v>0.2</v>
      </c>
      <c r="H254" s="7">
        <v>0.212706740220545</v>
      </c>
      <c r="I254" s="7">
        <v>20967.675665585699</v>
      </c>
      <c r="J254" s="7">
        <v>750067.42850576504</v>
      </c>
      <c r="K254" s="7">
        <v>20967.675665585699</v>
      </c>
      <c r="L254" s="7">
        <v>246455.34799285</v>
      </c>
      <c r="M254" s="7">
        <v>127323.954473516</v>
      </c>
      <c r="N254" s="7">
        <f t="shared" ref="N254:N272" si="326">I254+J254+K254</f>
        <v>792002.77983693639</v>
      </c>
      <c r="P254" s="28">
        <v>1</v>
      </c>
      <c r="Q254" s="26">
        <v>3.0000000000000001E-5</v>
      </c>
      <c r="R254" s="28">
        <v>0.2</v>
      </c>
      <c r="S254" s="28">
        <v>30</v>
      </c>
      <c r="T254" s="26">
        <v>5.0000000000000004E-6</v>
      </c>
      <c r="U254" s="26">
        <f t="shared" ref="U254:U272" si="327">R254*T254</f>
        <v>1.0000000000000002E-6</v>
      </c>
      <c r="V254" s="26">
        <f t="shared" ref="V254:V272" si="328">U254/(Q254/2)</f>
        <v>6.666666666666668E-2</v>
      </c>
      <c r="W254" s="7">
        <v>0.22055532524414501</v>
      </c>
      <c r="X254" s="7">
        <v>6989.2252213633501</v>
      </c>
      <c r="Y254" s="7">
        <v>250022.476149864</v>
      </c>
      <c r="Z254" s="7">
        <v>6989.2252213633501</v>
      </c>
      <c r="AA254" s="7">
        <v>82151.782666878105</v>
      </c>
      <c r="AB254" s="7">
        <v>14147.1060526129</v>
      </c>
      <c r="AC254" s="7">
        <f t="shared" ref="AC254:AC272" si="329">X254+Y254+Z254</f>
        <v>264000.92659259069</v>
      </c>
      <c r="AE254" s="28">
        <v>1</v>
      </c>
      <c r="AF254" s="26">
        <v>5.0000000000000002E-5</v>
      </c>
      <c r="AG254" s="28">
        <v>0.2</v>
      </c>
      <c r="AH254" s="28">
        <v>30</v>
      </c>
      <c r="AI254" s="26">
        <v>5.0000000000000004E-6</v>
      </c>
      <c r="AJ254" s="26">
        <f t="shared" ref="AJ254:AJ272" si="330">AG254*AI254</f>
        <v>1.0000000000000002E-6</v>
      </c>
      <c r="AK254" s="26">
        <f t="shared" ref="AK254:AK272" si="331">AJ254/(AF254/2)</f>
        <v>4.0000000000000008E-2</v>
      </c>
      <c r="AL254" s="7">
        <v>0.22250440851227499</v>
      </c>
      <c r="AM254" s="7">
        <v>4193.5351285970401</v>
      </c>
      <c r="AN254" s="7">
        <v>150013.48553139099</v>
      </c>
      <c r="AO254" s="7">
        <v>4193.5351285970401</v>
      </c>
      <c r="AP254" s="7">
        <v>49291.069622095303</v>
      </c>
      <c r="AQ254" s="7">
        <v>5092.9581789406502</v>
      </c>
      <c r="AR254" s="7">
        <f t="shared" ref="AR254:AR272" si="332">AM254+AN254+AO254</f>
        <v>158400.5557885851</v>
      </c>
      <c r="AT254" s="28">
        <v>1</v>
      </c>
      <c r="AU254" s="26">
        <v>1.0000000000000001E-5</v>
      </c>
      <c r="AV254" s="28">
        <v>0.2</v>
      </c>
      <c r="AW254" s="28">
        <v>200</v>
      </c>
      <c r="AX254" s="26">
        <v>5.0000000000000004E-6</v>
      </c>
      <c r="AY254" s="26">
        <f t="shared" ref="AY254:AY272" si="333">AV254*AX254</f>
        <v>1.0000000000000002E-6</v>
      </c>
      <c r="AZ254" s="26">
        <f t="shared" ref="AZ254:AZ272" si="334">AY254/(AU254/2)</f>
        <v>0.2</v>
      </c>
      <c r="BA254" s="7">
        <v>0.21403665349818701</v>
      </c>
      <c r="BB254" s="7">
        <v>4345.3623253436699</v>
      </c>
      <c r="BC254" s="7">
        <v>750067.42850576504</v>
      </c>
      <c r="BD254" s="7">
        <v>4345.3623253436699</v>
      </c>
      <c r="BE254" s="7">
        <v>246455.34799285</v>
      </c>
      <c r="BF254" s="7">
        <v>127323.954473516</v>
      </c>
      <c r="BG254" s="7">
        <f t="shared" ref="BG254:BG272" si="335">BB254+BC254+BD254</f>
        <v>758758.15315645235</v>
      </c>
      <c r="BI254" s="28">
        <v>1</v>
      </c>
      <c r="BJ254" s="26">
        <v>1.0000000000000001E-5</v>
      </c>
      <c r="BK254" s="28">
        <v>0.5</v>
      </c>
      <c r="BL254" s="28">
        <v>200</v>
      </c>
      <c r="BM254" s="26">
        <v>5.0000000000000004E-6</v>
      </c>
      <c r="BN254" s="26">
        <f t="shared" ref="BN254:BN272" si="336">BK254*BM254</f>
        <v>2.5000000000000002E-6</v>
      </c>
      <c r="BO254" s="26">
        <f t="shared" ref="BO254:BO272" si="337">BN254/(BJ254/2)</f>
        <v>0.5</v>
      </c>
      <c r="BP254" s="7">
        <v>0.50588986475753295</v>
      </c>
      <c r="BQ254" s="7">
        <v>3764.12485338133</v>
      </c>
      <c r="BR254" s="7">
        <v>300026.97140230599</v>
      </c>
      <c r="BS254" s="7">
        <v>3764.12485338133</v>
      </c>
      <c r="BT254" s="7">
        <v>98582.139197140001</v>
      </c>
      <c r="BU254" s="7">
        <v>127323.954473516</v>
      </c>
      <c r="BV254" s="7">
        <f t="shared" ref="BV254:BV272" si="338">BQ254+BR254+BS254</f>
        <v>307555.2211090686</v>
      </c>
      <c r="BX254" s="28">
        <v>1</v>
      </c>
      <c r="BY254" s="26">
        <v>5.0000000000000002E-5</v>
      </c>
      <c r="BZ254" s="28">
        <v>0.5</v>
      </c>
      <c r="CA254" s="28">
        <v>200</v>
      </c>
      <c r="CB254" s="26">
        <v>5.0000000000000004E-6</v>
      </c>
      <c r="CC254" s="26">
        <f t="shared" ref="CC254:CC272" si="339">BZ254*CB254</f>
        <v>2.5000000000000002E-6</v>
      </c>
      <c r="CD254" s="26">
        <f t="shared" ref="CD254:CD272" si="340">CC254/(BY254/2)</f>
        <v>0.1</v>
      </c>
      <c r="CE254" s="7">
        <v>0.548779585116143</v>
      </c>
      <c r="CF254" s="7">
        <v>752.82497001808497</v>
      </c>
      <c r="CG254" s="7">
        <v>60005.394212556603</v>
      </c>
      <c r="CH254" s="7">
        <v>752.82497001808497</v>
      </c>
      <c r="CI254" s="7">
        <v>19716.427848838099</v>
      </c>
      <c r="CJ254" s="7">
        <v>5092.9581789406502</v>
      </c>
      <c r="CK254" s="7">
        <f t="shared" ref="CK254:CK272" si="341">CF254+CG254+CH254</f>
        <v>61511.044152592767</v>
      </c>
      <c r="CM254" s="28">
        <v>1</v>
      </c>
      <c r="CN254" s="26">
        <v>5.0000000000000002E-5</v>
      </c>
      <c r="CO254" s="28">
        <v>1</v>
      </c>
      <c r="CP254" s="28">
        <v>200</v>
      </c>
      <c r="CQ254" s="26">
        <v>5.0000000000000004E-6</v>
      </c>
      <c r="CR254" s="26">
        <f t="shared" ref="CR254:CR272" si="342">CO254*CQ254</f>
        <v>5.0000000000000004E-6</v>
      </c>
      <c r="CS254" s="26">
        <f t="shared" ref="CS254:CS272" si="343">CR254/(CN254/2)</f>
        <v>0.2</v>
      </c>
      <c r="CT254" s="7">
        <v>1.0652275386498999</v>
      </c>
      <c r="CU254" s="7">
        <v>665.23311259709499</v>
      </c>
      <c r="CV254" s="7">
        <v>30002.697106278301</v>
      </c>
      <c r="CW254" s="7">
        <v>665.23311259709499</v>
      </c>
      <c r="CX254" s="7">
        <v>9858.2139244190694</v>
      </c>
      <c r="CY254" s="7">
        <v>5092.9581789406502</v>
      </c>
      <c r="CZ254" s="7">
        <f t="shared" ref="CZ254:CZ272" si="344">CU254+CV254+CW254</f>
        <v>31333.163331472493</v>
      </c>
      <c r="DB254" s="28">
        <v>1</v>
      </c>
      <c r="DC254" s="26">
        <v>5.0000000000000002E-5</v>
      </c>
      <c r="DD254" s="28">
        <v>2</v>
      </c>
      <c r="DE254" s="28">
        <v>200</v>
      </c>
      <c r="DF254" s="26">
        <v>5.0000000000000004E-6</v>
      </c>
      <c r="DG254" s="26">
        <f t="shared" ref="DG254:DG272" si="345">DD254*DF254</f>
        <v>1.0000000000000001E-5</v>
      </c>
      <c r="DH254" s="26">
        <f t="shared" ref="DH254:DH272" si="346">DG254/(DC254/2)</f>
        <v>0.4</v>
      </c>
      <c r="DI254" s="7">
        <v>2.04380240051213</v>
      </c>
      <c r="DJ254" s="7">
        <v>578.22973015081095</v>
      </c>
      <c r="DK254" s="7">
        <v>15001.3485531391</v>
      </c>
      <c r="DL254" s="7">
        <v>578.22973015081095</v>
      </c>
      <c r="DM254" s="7">
        <v>4929.1069622095301</v>
      </c>
      <c r="DN254" s="7">
        <v>5092.9581789406502</v>
      </c>
      <c r="DO254" s="7">
        <f t="shared" ref="DO254:DO272" si="347">DJ254+DK254+DL254</f>
        <v>16157.808013440723</v>
      </c>
      <c r="DQ254" s="28">
        <v>1</v>
      </c>
      <c r="DR254" s="26">
        <v>5.0000000000000002E-5</v>
      </c>
      <c r="DS254" s="28">
        <v>15</v>
      </c>
      <c r="DT254" s="28">
        <v>300</v>
      </c>
      <c r="DU254" s="26">
        <v>2.5000000000000002E-6</v>
      </c>
      <c r="DV254" s="26">
        <f t="shared" ref="DV254:DV272" si="348">DS254*DU254</f>
        <v>3.7500000000000003E-5</v>
      </c>
      <c r="DW254" s="26">
        <f t="shared" ref="DW254:DW272" si="349">DV254/(DR254/2)</f>
        <v>1.5</v>
      </c>
      <c r="DX254" s="7">
        <v>13.8968886198984</v>
      </c>
      <c r="DY254" s="7">
        <v>254.539230510376</v>
      </c>
      <c r="DZ254" s="7">
        <v>2000.1798070852201</v>
      </c>
      <c r="EA254" s="7">
        <v>254.539230510376</v>
      </c>
      <c r="EB254" s="7">
        <v>657.21426162793796</v>
      </c>
      <c r="EC254" s="7">
        <v>3055.7749073643899</v>
      </c>
      <c r="ED254" s="7">
        <f t="shared" ref="ED254:ED272" si="350">DY254+DZ254+EA254</f>
        <v>2509.2582681059721</v>
      </c>
    </row>
    <row r="255" spans="1:134" x14ac:dyDescent="0.4">
      <c r="A255" s="28">
        <v>2</v>
      </c>
      <c r="B255" s="26">
        <v>1.0000000000000001E-5</v>
      </c>
      <c r="C255" s="28">
        <v>0.2</v>
      </c>
      <c r="D255" s="28">
        <v>30</v>
      </c>
      <c r="E255" s="26">
        <v>5.0000000000000004E-6</v>
      </c>
      <c r="F255" s="26">
        <f t="shared" si="324"/>
        <v>1.0000000000000002E-6</v>
      </c>
      <c r="G255" s="26">
        <f t="shared" si="325"/>
        <v>0.2</v>
      </c>
      <c r="H255" s="7">
        <v>0.226210504519997</v>
      </c>
      <c r="I255" s="7">
        <v>20967.675665585699</v>
      </c>
      <c r="J255" s="7">
        <v>482013.76177816797</v>
      </c>
      <c r="K255" s="7">
        <v>20967.675665585699</v>
      </c>
      <c r="L255" s="7">
        <v>339325.67523914197</v>
      </c>
      <c r="M255" s="7">
        <v>127323.954473516</v>
      </c>
      <c r="N255" s="7">
        <f t="shared" si="326"/>
        <v>523949.11310933932</v>
      </c>
      <c r="P255" s="28">
        <v>2</v>
      </c>
      <c r="Q255" s="26">
        <v>3.0000000000000001E-5</v>
      </c>
      <c r="R255" s="28">
        <v>0.2</v>
      </c>
      <c r="S255" s="28">
        <v>30</v>
      </c>
      <c r="T255" s="26">
        <v>5.0000000000000004E-6</v>
      </c>
      <c r="U255" s="26">
        <f t="shared" si="327"/>
        <v>1.0000000000000002E-6</v>
      </c>
      <c r="V255" s="26">
        <f t="shared" si="328"/>
        <v>6.666666666666668E-2</v>
      </c>
      <c r="W255" s="7">
        <v>0.245356117684392</v>
      </c>
      <c r="X255" s="7">
        <v>6989.2252213633501</v>
      </c>
      <c r="Y255" s="7">
        <v>160671.25390733199</v>
      </c>
      <c r="Z255" s="7">
        <v>6989.2252213633501</v>
      </c>
      <c r="AA255" s="7">
        <v>113108.558420806</v>
      </c>
      <c r="AB255" s="7">
        <v>14147.1060526129</v>
      </c>
      <c r="AC255" s="7">
        <f t="shared" si="329"/>
        <v>174649.70435005872</v>
      </c>
      <c r="AE255" s="28">
        <v>2</v>
      </c>
      <c r="AF255" s="26">
        <v>5.0000000000000002E-5</v>
      </c>
      <c r="AG255" s="28">
        <v>0.2</v>
      </c>
      <c r="AH255" s="28">
        <v>30</v>
      </c>
      <c r="AI255" s="26">
        <v>5.0000000000000004E-6</v>
      </c>
      <c r="AJ255" s="26">
        <f t="shared" si="330"/>
        <v>1.0000000000000002E-6</v>
      </c>
      <c r="AK255" s="26">
        <f t="shared" si="331"/>
        <v>4.0000000000000008E-2</v>
      </c>
      <c r="AL255" s="7">
        <v>0.25054215692436899</v>
      </c>
      <c r="AM255" s="7">
        <v>4193.5351285970401</v>
      </c>
      <c r="AN255" s="7">
        <v>96402.752185872101</v>
      </c>
      <c r="AO255" s="7">
        <v>4193.5351285970401</v>
      </c>
      <c r="AP255" s="7">
        <v>67865.135118168895</v>
      </c>
      <c r="AQ255" s="7">
        <v>5092.9581789406502</v>
      </c>
      <c r="AR255" s="7">
        <f t="shared" si="332"/>
        <v>104789.82244306618</v>
      </c>
      <c r="AT255" s="28">
        <v>2</v>
      </c>
      <c r="AU255" s="26">
        <v>1.0000000000000001E-5</v>
      </c>
      <c r="AV255" s="28">
        <v>0.2</v>
      </c>
      <c r="AW255" s="28">
        <v>200</v>
      </c>
      <c r="AX255" s="26">
        <v>5.0000000000000004E-6</v>
      </c>
      <c r="AY255" s="26">
        <f t="shared" si="333"/>
        <v>1.0000000000000002E-6</v>
      </c>
      <c r="AZ255" s="26">
        <f t="shared" si="334"/>
        <v>0.2</v>
      </c>
      <c r="BA255" s="7">
        <v>0.22927301459055099</v>
      </c>
      <c r="BB255" s="7">
        <v>4345.3623253436699</v>
      </c>
      <c r="BC255" s="7">
        <v>482013.76177816797</v>
      </c>
      <c r="BD255" s="7">
        <v>4345.3623253436699</v>
      </c>
      <c r="BE255" s="7">
        <v>339325.67523914197</v>
      </c>
      <c r="BF255" s="7">
        <v>127323.954473516</v>
      </c>
      <c r="BG255" s="7">
        <f t="shared" si="335"/>
        <v>490704.48642885528</v>
      </c>
      <c r="BI255" s="28">
        <v>2</v>
      </c>
      <c r="BJ255" s="26">
        <v>1.0000000000000001E-5</v>
      </c>
      <c r="BK255" s="28">
        <v>0.5</v>
      </c>
      <c r="BL255" s="28">
        <v>200</v>
      </c>
      <c r="BM255" s="26">
        <v>5.0000000000000004E-6</v>
      </c>
      <c r="BN255" s="26">
        <f t="shared" si="336"/>
        <v>2.5000000000000002E-6</v>
      </c>
      <c r="BO255" s="26">
        <f t="shared" si="337"/>
        <v>0.5</v>
      </c>
      <c r="BP255" s="7">
        <v>0.51137040718658999</v>
      </c>
      <c r="BQ255" s="7">
        <v>3764.12485338133</v>
      </c>
      <c r="BR255" s="7">
        <v>192805.50471126701</v>
      </c>
      <c r="BS255" s="7">
        <v>3764.12485338133</v>
      </c>
      <c r="BT255" s="7">
        <v>135730.270095657</v>
      </c>
      <c r="BU255" s="7">
        <v>127323.954473516</v>
      </c>
      <c r="BV255" s="7">
        <f t="shared" si="338"/>
        <v>200333.75441802968</v>
      </c>
      <c r="BX255" s="28">
        <v>2</v>
      </c>
      <c r="BY255" s="26">
        <v>5.0000000000000002E-5</v>
      </c>
      <c r="BZ255" s="28">
        <v>0.5</v>
      </c>
      <c r="CA255" s="28">
        <v>200</v>
      </c>
      <c r="CB255" s="26">
        <v>5.0000000000000004E-6</v>
      </c>
      <c r="CC255" s="26">
        <f t="shared" si="339"/>
        <v>2.5000000000000002E-6</v>
      </c>
      <c r="CD255" s="26">
        <f t="shared" si="340"/>
        <v>0.1</v>
      </c>
      <c r="CE255" s="7">
        <v>0.60663632142948798</v>
      </c>
      <c r="CF255" s="7">
        <v>752.82497001808497</v>
      </c>
      <c r="CG255" s="7">
        <v>38561.1008743489</v>
      </c>
      <c r="CH255" s="7">
        <v>752.82497001808497</v>
      </c>
      <c r="CI255" s="7">
        <v>27146.0540472676</v>
      </c>
      <c r="CJ255" s="7">
        <v>5092.9581789406502</v>
      </c>
      <c r="CK255" s="7">
        <f t="shared" si="341"/>
        <v>40066.750814385065</v>
      </c>
      <c r="CM255" s="28">
        <v>2</v>
      </c>
      <c r="CN255" s="26">
        <v>5.0000000000000002E-5</v>
      </c>
      <c r="CO255" s="28">
        <v>1</v>
      </c>
      <c r="CP255" s="28">
        <v>200</v>
      </c>
      <c r="CQ255" s="26">
        <v>5.0000000000000004E-6</v>
      </c>
      <c r="CR255" s="26">
        <f t="shared" si="342"/>
        <v>5.0000000000000004E-6</v>
      </c>
      <c r="CS255" s="26">
        <f t="shared" si="343"/>
        <v>0.2</v>
      </c>
      <c r="CT255" s="7">
        <v>1.1349201477559601</v>
      </c>
      <c r="CU255" s="7">
        <v>665.23311259709499</v>
      </c>
      <c r="CV255" s="7">
        <v>19280.550437174399</v>
      </c>
      <c r="CW255" s="7">
        <v>665.23311259709499</v>
      </c>
      <c r="CX255" s="7">
        <v>13573.0270236338</v>
      </c>
      <c r="CY255" s="7">
        <v>5092.9581789406502</v>
      </c>
      <c r="CZ255" s="7">
        <f t="shared" si="344"/>
        <v>20611.016662368591</v>
      </c>
      <c r="DB255" s="28">
        <v>2</v>
      </c>
      <c r="DC255" s="26">
        <v>5.0000000000000002E-5</v>
      </c>
      <c r="DD255" s="28">
        <v>2</v>
      </c>
      <c r="DE255" s="28">
        <v>200</v>
      </c>
      <c r="DF255" s="26">
        <v>5.0000000000000004E-6</v>
      </c>
      <c r="DG255" s="26">
        <f t="shared" si="345"/>
        <v>1.0000000000000001E-5</v>
      </c>
      <c r="DH255" s="26">
        <f t="shared" si="346"/>
        <v>0.4</v>
      </c>
      <c r="DI255" s="7">
        <v>2.0850486295888899</v>
      </c>
      <c r="DJ255" s="7">
        <v>578.22973015081095</v>
      </c>
      <c r="DK255" s="7">
        <v>9640.2752185872196</v>
      </c>
      <c r="DL255" s="7">
        <v>578.22973015081095</v>
      </c>
      <c r="DM255" s="7">
        <v>6786.5135118168901</v>
      </c>
      <c r="DN255" s="7">
        <v>5092.9581789406502</v>
      </c>
      <c r="DO255" s="7">
        <f t="shared" si="347"/>
        <v>10796.734678888843</v>
      </c>
      <c r="DQ255" s="28">
        <v>2</v>
      </c>
      <c r="DR255" s="26">
        <v>5.0000000000000002E-5</v>
      </c>
      <c r="DS255" s="28">
        <v>15</v>
      </c>
      <c r="DT255" s="28">
        <v>300</v>
      </c>
      <c r="DU255" s="26">
        <v>2.5000000000000002E-6</v>
      </c>
      <c r="DV255" s="26">
        <f t="shared" si="348"/>
        <v>3.7500000000000003E-5</v>
      </c>
      <c r="DW255" s="26">
        <f t="shared" si="349"/>
        <v>1.5</v>
      </c>
      <c r="DX255" s="7">
        <v>13.1685183540484</v>
      </c>
      <c r="DY255" s="7">
        <v>254.539230510376</v>
      </c>
      <c r="DZ255" s="7">
        <v>1285.37002914496</v>
      </c>
      <c r="EA255" s="7">
        <v>254.539230510376</v>
      </c>
      <c r="EB255" s="7">
        <v>904.86846824225199</v>
      </c>
      <c r="EC255" s="7">
        <v>3055.7749073643899</v>
      </c>
      <c r="ED255" s="7">
        <f t="shared" si="350"/>
        <v>1794.448490165712</v>
      </c>
    </row>
    <row r="256" spans="1:134" x14ac:dyDescent="0.4">
      <c r="A256" s="28">
        <v>4</v>
      </c>
      <c r="B256" s="26">
        <v>1.0000000000000001E-5</v>
      </c>
      <c r="C256" s="28">
        <v>0.2</v>
      </c>
      <c r="D256" s="28">
        <v>30</v>
      </c>
      <c r="E256" s="26">
        <v>5.0000000000000004E-6</v>
      </c>
      <c r="F256" s="26">
        <f t="shared" si="324"/>
        <v>1.0000000000000002E-6</v>
      </c>
      <c r="G256" s="26">
        <f t="shared" si="325"/>
        <v>0.2</v>
      </c>
      <c r="H256" s="7">
        <v>0.25477717065514499</v>
      </c>
      <c r="I256" s="7">
        <v>20967.675665585699</v>
      </c>
      <c r="J256" s="7">
        <v>269259.42550450901</v>
      </c>
      <c r="K256" s="7">
        <v>20967.675665585699</v>
      </c>
      <c r="L256" s="7">
        <v>496205.96663466899</v>
      </c>
      <c r="M256" s="7">
        <v>127323.954473516</v>
      </c>
      <c r="N256" s="7">
        <f t="shared" si="326"/>
        <v>311194.77683568036</v>
      </c>
      <c r="P256" s="28">
        <v>4</v>
      </c>
      <c r="Q256" s="26">
        <v>3.0000000000000001E-5</v>
      </c>
      <c r="R256" s="28">
        <v>0.2</v>
      </c>
      <c r="S256" s="28">
        <v>30</v>
      </c>
      <c r="T256" s="26">
        <v>5.0000000000000004E-6</v>
      </c>
      <c r="U256" s="26">
        <f t="shared" si="327"/>
        <v>1.0000000000000002E-6</v>
      </c>
      <c r="V256" s="26">
        <f t="shared" si="328"/>
        <v>6.666666666666668E-2</v>
      </c>
      <c r="W256" s="7">
        <v>0.30579792303967601</v>
      </c>
      <c r="X256" s="7">
        <v>6989.2252213633501</v>
      </c>
      <c r="Y256" s="7">
        <v>89753.141816112096</v>
      </c>
      <c r="Z256" s="7">
        <v>6989.2252213633501</v>
      </c>
      <c r="AA256" s="7">
        <v>165401.98890513901</v>
      </c>
      <c r="AB256" s="7">
        <v>14147.1060526129</v>
      </c>
      <c r="AC256" s="7">
        <f t="shared" si="329"/>
        <v>103731.59225883879</v>
      </c>
      <c r="AE256" s="28">
        <v>4</v>
      </c>
      <c r="AF256" s="26">
        <v>5.0000000000000002E-5</v>
      </c>
      <c r="AG256" s="28">
        <v>0.2</v>
      </c>
      <c r="AH256" s="28">
        <v>30</v>
      </c>
      <c r="AI256" s="26">
        <v>5.0000000000000004E-6</v>
      </c>
      <c r="AJ256" s="26">
        <f t="shared" si="330"/>
        <v>1.0000000000000002E-6</v>
      </c>
      <c r="AK256" s="26">
        <f t="shared" si="331"/>
        <v>4.0000000000000008E-2</v>
      </c>
      <c r="AL256" s="7">
        <v>0.32174256696737602</v>
      </c>
      <c r="AM256" s="7">
        <v>4193.5351285970401</v>
      </c>
      <c r="AN256" s="7">
        <v>53851.884931140201</v>
      </c>
      <c r="AO256" s="7">
        <v>4193.5351285970401</v>
      </c>
      <c r="AP256" s="7">
        <v>99241.193570966701</v>
      </c>
      <c r="AQ256" s="7">
        <v>5092.9581789406502</v>
      </c>
      <c r="AR256" s="7">
        <f t="shared" si="332"/>
        <v>62238.955188334279</v>
      </c>
      <c r="AT256" s="28">
        <v>4</v>
      </c>
      <c r="AU256" s="26">
        <v>1.0000000000000001E-5</v>
      </c>
      <c r="AV256" s="28">
        <v>0.2</v>
      </c>
      <c r="AW256" s="28">
        <v>200</v>
      </c>
      <c r="AX256" s="26">
        <v>5.0000000000000004E-6</v>
      </c>
      <c r="AY256" s="26">
        <f t="shared" si="333"/>
        <v>1.0000000000000002E-6</v>
      </c>
      <c r="AZ256" s="26">
        <f t="shared" si="334"/>
        <v>0.2</v>
      </c>
      <c r="BA256" s="7">
        <v>0.26220736137179002</v>
      </c>
      <c r="BB256" s="7">
        <v>4345.3623253436699</v>
      </c>
      <c r="BC256" s="7">
        <v>269259.42550450901</v>
      </c>
      <c r="BD256" s="7">
        <v>4345.3623253436699</v>
      </c>
      <c r="BE256" s="7">
        <v>496205.96663466899</v>
      </c>
      <c r="BF256" s="7">
        <v>127323.954473516</v>
      </c>
      <c r="BG256" s="7">
        <f t="shared" si="335"/>
        <v>277950.15015519632</v>
      </c>
      <c r="BI256" s="28">
        <v>4</v>
      </c>
      <c r="BJ256" s="26">
        <v>1.0000000000000001E-5</v>
      </c>
      <c r="BK256" s="28">
        <v>0.5</v>
      </c>
      <c r="BL256" s="28">
        <v>200</v>
      </c>
      <c r="BM256" s="26">
        <v>5.0000000000000004E-6</v>
      </c>
      <c r="BN256" s="26">
        <f t="shared" si="336"/>
        <v>2.5000000000000002E-6</v>
      </c>
      <c r="BO256" s="26">
        <f t="shared" si="337"/>
        <v>0.5</v>
      </c>
      <c r="BP256" s="7">
        <v>0.52145438370651298</v>
      </c>
      <c r="BQ256" s="7">
        <v>3764.12485338133</v>
      </c>
      <c r="BR256" s="7">
        <v>107703.770201803</v>
      </c>
      <c r="BS256" s="7">
        <v>3764.12485338133</v>
      </c>
      <c r="BT256" s="7">
        <v>198482.38665386799</v>
      </c>
      <c r="BU256" s="7">
        <v>127323.954473516</v>
      </c>
      <c r="BV256" s="7">
        <f t="shared" si="338"/>
        <v>115232.01990856566</v>
      </c>
      <c r="BX256" s="28">
        <v>4</v>
      </c>
      <c r="BY256" s="26">
        <v>5.0000000000000002E-5</v>
      </c>
      <c r="BZ256" s="28">
        <v>0.5</v>
      </c>
      <c r="CA256" s="28">
        <v>200</v>
      </c>
      <c r="CB256" s="26">
        <v>5.0000000000000004E-6</v>
      </c>
      <c r="CC256" s="26">
        <f t="shared" si="339"/>
        <v>2.5000000000000002E-6</v>
      </c>
      <c r="CD256" s="26">
        <f t="shared" si="340"/>
        <v>0.1</v>
      </c>
      <c r="CE256" s="7">
        <v>0.74471517146537103</v>
      </c>
      <c r="CF256" s="7">
        <v>752.82497001808497</v>
      </c>
      <c r="CG256" s="7">
        <v>21540.753972456099</v>
      </c>
      <c r="CH256" s="7">
        <v>752.82497001808497</v>
      </c>
      <c r="CI256" s="7">
        <v>39696.477428386701</v>
      </c>
      <c r="CJ256" s="7">
        <v>5092.9581789406502</v>
      </c>
      <c r="CK256" s="7">
        <f t="shared" si="341"/>
        <v>23046.403912492271</v>
      </c>
      <c r="CM256" s="28">
        <v>4</v>
      </c>
      <c r="CN256" s="26">
        <v>5.0000000000000002E-5</v>
      </c>
      <c r="CO256" s="28">
        <v>1</v>
      </c>
      <c r="CP256" s="28">
        <v>200</v>
      </c>
      <c r="CQ256" s="26">
        <v>5.0000000000000004E-6</v>
      </c>
      <c r="CR256" s="26">
        <f t="shared" si="342"/>
        <v>5.0000000000000004E-6</v>
      </c>
      <c r="CS256" s="26">
        <f t="shared" si="343"/>
        <v>0.2</v>
      </c>
      <c r="CT256" s="7">
        <v>1.2831512771907101</v>
      </c>
      <c r="CU256" s="7">
        <v>665.23311259709499</v>
      </c>
      <c r="CV256" s="7">
        <v>10770.376986228001</v>
      </c>
      <c r="CW256" s="7">
        <v>665.23311259709499</v>
      </c>
      <c r="CX256" s="7">
        <v>19848.2387141933</v>
      </c>
      <c r="CY256" s="7">
        <v>5092.9581789406502</v>
      </c>
      <c r="CZ256" s="7">
        <f t="shared" si="344"/>
        <v>12100.843211422191</v>
      </c>
      <c r="DB256" s="28">
        <v>4</v>
      </c>
      <c r="DC256" s="26">
        <v>5.0000000000000002E-5</v>
      </c>
      <c r="DD256" s="28">
        <v>2</v>
      </c>
      <c r="DE256" s="28">
        <v>200</v>
      </c>
      <c r="DF256" s="26">
        <v>5.0000000000000004E-6</v>
      </c>
      <c r="DG256" s="26">
        <f t="shared" si="345"/>
        <v>1.0000000000000001E-5</v>
      </c>
      <c r="DH256" s="26">
        <f t="shared" si="346"/>
        <v>0.4</v>
      </c>
      <c r="DI256" s="7">
        <v>2.1627371745711401</v>
      </c>
      <c r="DJ256" s="7">
        <v>578.22973015081095</v>
      </c>
      <c r="DK256" s="7">
        <v>5385.1884931140203</v>
      </c>
      <c r="DL256" s="7">
        <v>578.22973015081095</v>
      </c>
      <c r="DM256" s="7">
        <v>9924.1193570966698</v>
      </c>
      <c r="DN256" s="7">
        <v>5092.9581789406502</v>
      </c>
      <c r="DO256" s="7">
        <f t="shared" si="347"/>
        <v>6541.6479534156415</v>
      </c>
      <c r="DQ256" s="28">
        <v>4</v>
      </c>
      <c r="DR256" s="26">
        <v>5.0000000000000002E-5</v>
      </c>
      <c r="DS256" s="28">
        <v>15</v>
      </c>
      <c r="DT256" s="28">
        <v>300</v>
      </c>
      <c r="DU256" s="26">
        <v>2.5000000000000002E-6</v>
      </c>
      <c r="DV256" s="26">
        <f t="shared" si="348"/>
        <v>3.7500000000000003E-5</v>
      </c>
      <c r="DW256" s="26">
        <f t="shared" si="349"/>
        <v>1.5</v>
      </c>
      <c r="DX256" s="7">
        <v>12.016232344060001</v>
      </c>
      <c r="DY256" s="7">
        <v>254.539230510376</v>
      </c>
      <c r="DZ256" s="7">
        <v>718.02513241520205</v>
      </c>
      <c r="EA256" s="7">
        <v>254.539230510376</v>
      </c>
      <c r="EB256" s="7">
        <v>1323.2159142795599</v>
      </c>
      <c r="EC256" s="7">
        <v>3055.7749073643899</v>
      </c>
      <c r="ED256" s="7">
        <f t="shared" si="350"/>
        <v>1227.1035934359541</v>
      </c>
    </row>
    <row r="257" spans="1:134" x14ac:dyDescent="0.4">
      <c r="A257" s="28">
        <v>6</v>
      </c>
      <c r="B257" s="26">
        <v>1.0000000000000001E-5</v>
      </c>
      <c r="C257" s="28">
        <v>0.2</v>
      </c>
      <c r="D257" s="28">
        <v>30</v>
      </c>
      <c r="E257" s="26">
        <v>5.0000000000000004E-6</v>
      </c>
      <c r="F257" s="26">
        <f t="shared" si="324"/>
        <v>1.0000000000000002E-6</v>
      </c>
      <c r="G257" s="26">
        <f t="shared" si="325"/>
        <v>0.2</v>
      </c>
      <c r="H257" s="7">
        <v>0.28511116894463001</v>
      </c>
      <c r="I257" s="7">
        <v>20967.675665585699</v>
      </c>
      <c r="J257" s="7">
        <v>165780.67944707401</v>
      </c>
      <c r="K257" s="7">
        <v>20967.675665585699</v>
      </c>
      <c r="L257" s="7">
        <v>651465.34785778704</v>
      </c>
      <c r="M257" s="7">
        <v>127323.954473516</v>
      </c>
      <c r="N257" s="7">
        <f t="shared" si="326"/>
        <v>207716.03077824542</v>
      </c>
      <c r="P257" s="28">
        <v>6</v>
      </c>
      <c r="Q257" s="26">
        <v>3.0000000000000001E-5</v>
      </c>
      <c r="R257" s="28">
        <v>0.2</v>
      </c>
      <c r="S257" s="28">
        <v>30</v>
      </c>
      <c r="T257" s="26">
        <v>5.0000000000000004E-6</v>
      </c>
      <c r="U257" s="26">
        <f t="shared" si="327"/>
        <v>1.0000000000000002E-6</v>
      </c>
      <c r="V257" s="26">
        <f t="shared" si="328"/>
        <v>6.666666666666668E-2</v>
      </c>
      <c r="W257" s="7">
        <v>0.38186394381182198</v>
      </c>
      <c r="X257" s="7">
        <v>6989.2252213633501</v>
      </c>
      <c r="Y257" s="7">
        <v>55260.226463633997</v>
      </c>
      <c r="Z257" s="7">
        <v>6989.2252213633501</v>
      </c>
      <c r="AA257" s="7">
        <v>217155.11601730101</v>
      </c>
      <c r="AB257" s="7">
        <v>14147.1060526129</v>
      </c>
      <c r="AC257" s="7">
        <f t="shared" si="329"/>
        <v>69238.676906360692</v>
      </c>
      <c r="AE257" s="28">
        <v>6</v>
      </c>
      <c r="AF257" s="26">
        <v>5.0000000000000002E-5</v>
      </c>
      <c r="AG257" s="28">
        <v>0.2</v>
      </c>
      <c r="AH257" s="28">
        <v>30</v>
      </c>
      <c r="AI257" s="26">
        <v>5.0000000000000004E-6</v>
      </c>
      <c r="AJ257" s="26">
        <f t="shared" si="330"/>
        <v>1.0000000000000002E-6</v>
      </c>
      <c r="AK257" s="26">
        <f t="shared" si="331"/>
        <v>4.0000000000000008E-2</v>
      </c>
      <c r="AL257" s="7">
        <v>0.41645567288436502</v>
      </c>
      <c r="AM257" s="7">
        <v>4193.5351285970401</v>
      </c>
      <c r="AN257" s="7">
        <v>33156.135719653299</v>
      </c>
      <c r="AO257" s="7">
        <v>4193.5351285970401</v>
      </c>
      <c r="AP257" s="7">
        <v>130293.0701582</v>
      </c>
      <c r="AQ257" s="7">
        <v>5092.9581789406502</v>
      </c>
      <c r="AR257" s="7">
        <f t="shared" si="332"/>
        <v>41543.205976847377</v>
      </c>
      <c r="AT257" s="28">
        <v>6</v>
      </c>
      <c r="AU257" s="26">
        <v>1.0000000000000001E-5</v>
      </c>
      <c r="AV257" s="28">
        <v>0.2</v>
      </c>
      <c r="AW257" s="28">
        <v>200</v>
      </c>
      <c r="AX257" s="26">
        <v>5.0000000000000004E-6</v>
      </c>
      <c r="AY257" s="26">
        <f t="shared" si="333"/>
        <v>1.0000000000000002E-6</v>
      </c>
      <c r="AZ257" s="26">
        <f t="shared" si="334"/>
        <v>0.2</v>
      </c>
      <c r="BA257" s="7">
        <v>0.29803021114866102</v>
      </c>
      <c r="BB257" s="7">
        <v>4345.3623253436699</v>
      </c>
      <c r="BC257" s="7">
        <v>165780.67944707401</v>
      </c>
      <c r="BD257" s="7">
        <v>4345.3623253436699</v>
      </c>
      <c r="BE257" s="7">
        <v>651465.34785778704</v>
      </c>
      <c r="BF257" s="7">
        <v>127323.954473516</v>
      </c>
      <c r="BG257" s="7">
        <f t="shared" si="335"/>
        <v>174471.40409776138</v>
      </c>
      <c r="BI257" s="28">
        <v>6</v>
      </c>
      <c r="BJ257" s="26">
        <v>1.0000000000000001E-5</v>
      </c>
      <c r="BK257" s="28">
        <v>0.5</v>
      </c>
      <c r="BL257" s="28">
        <v>200</v>
      </c>
      <c r="BM257" s="26">
        <v>5.0000000000000004E-6</v>
      </c>
      <c r="BN257" s="26">
        <f t="shared" si="336"/>
        <v>2.5000000000000002E-6</v>
      </c>
      <c r="BO257" s="26">
        <f t="shared" si="337"/>
        <v>0.5</v>
      </c>
      <c r="BP257" s="7">
        <v>0.53060306982693295</v>
      </c>
      <c r="BQ257" s="7">
        <v>3764.12485338133</v>
      </c>
      <c r="BR257" s="7">
        <v>66312.271778829701</v>
      </c>
      <c r="BS257" s="7">
        <v>3764.12485338133</v>
      </c>
      <c r="BT257" s="7">
        <v>260586.139143115</v>
      </c>
      <c r="BU257" s="7">
        <v>127323.954473516</v>
      </c>
      <c r="BV257" s="7">
        <f t="shared" si="338"/>
        <v>73840.52148559237</v>
      </c>
      <c r="BX257" s="28">
        <v>6</v>
      </c>
      <c r="BY257" s="26">
        <v>5.0000000000000002E-5</v>
      </c>
      <c r="BZ257" s="28">
        <v>0.5</v>
      </c>
      <c r="CA257" s="28">
        <v>200</v>
      </c>
      <c r="CB257" s="26">
        <v>5.0000000000000004E-6</v>
      </c>
      <c r="CC257" s="26">
        <f t="shared" si="339"/>
        <v>2.5000000000000002E-6</v>
      </c>
      <c r="CD257" s="26">
        <f t="shared" si="340"/>
        <v>0.1</v>
      </c>
      <c r="CE257" s="7">
        <v>0.91384265574958101</v>
      </c>
      <c r="CF257" s="7">
        <v>752.82497001808497</v>
      </c>
      <c r="CG257" s="7">
        <v>13262.454287861299</v>
      </c>
      <c r="CH257" s="7">
        <v>752.82497001808497</v>
      </c>
      <c r="CI257" s="7">
        <v>52117.228063280199</v>
      </c>
      <c r="CJ257" s="7">
        <v>5092.9581789406502</v>
      </c>
      <c r="CK257" s="7">
        <f t="shared" si="341"/>
        <v>14768.104227897471</v>
      </c>
      <c r="CM257" s="28">
        <v>6</v>
      </c>
      <c r="CN257" s="26">
        <v>5.0000000000000002E-5</v>
      </c>
      <c r="CO257" s="28">
        <v>1</v>
      </c>
      <c r="CP257" s="28">
        <v>200</v>
      </c>
      <c r="CQ257" s="26">
        <v>5.0000000000000004E-6</v>
      </c>
      <c r="CR257" s="26">
        <f t="shared" si="342"/>
        <v>5.0000000000000004E-6</v>
      </c>
      <c r="CS257" s="26">
        <f t="shared" si="343"/>
        <v>0.2</v>
      </c>
      <c r="CT257" s="7">
        <v>1.4414963334995701</v>
      </c>
      <c r="CU257" s="7">
        <v>665.23311259709499</v>
      </c>
      <c r="CV257" s="7">
        <v>6631.2271439306596</v>
      </c>
      <c r="CW257" s="7">
        <v>665.23311259709499</v>
      </c>
      <c r="CX257" s="7">
        <v>26058.6140316401</v>
      </c>
      <c r="CY257" s="7">
        <v>5092.9581789406502</v>
      </c>
      <c r="CZ257" s="7">
        <f t="shared" si="344"/>
        <v>7961.6933691248496</v>
      </c>
      <c r="DB257" s="28">
        <v>6</v>
      </c>
      <c r="DC257" s="26">
        <v>5.0000000000000002E-5</v>
      </c>
      <c r="DD257" s="28">
        <v>2</v>
      </c>
      <c r="DE257" s="28">
        <v>200</v>
      </c>
      <c r="DF257" s="26">
        <v>5.0000000000000004E-6</v>
      </c>
      <c r="DG257" s="26">
        <f t="shared" si="345"/>
        <v>1.0000000000000001E-5</v>
      </c>
      <c r="DH257" s="26">
        <f t="shared" si="346"/>
        <v>0.4</v>
      </c>
      <c r="DI257" s="7">
        <v>2.23555674579032</v>
      </c>
      <c r="DJ257" s="7">
        <v>578.22973015081095</v>
      </c>
      <c r="DK257" s="7">
        <v>3315.6135719653298</v>
      </c>
      <c r="DL257" s="7">
        <v>578.22973015081095</v>
      </c>
      <c r="DM257" s="7">
        <v>13029.307015820101</v>
      </c>
      <c r="DN257" s="7">
        <v>5092.9581789406502</v>
      </c>
      <c r="DO257" s="7">
        <f t="shared" si="347"/>
        <v>4472.0730322669515</v>
      </c>
      <c r="DQ257" s="28">
        <v>6</v>
      </c>
      <c r="DR257" s="26">
        <v>5.0000000000000002E-5</v>
      </c>
      <c r="DS257" s="28">
        <v>15</v>
      </c>
      <c r="DT257" s="28">
        <v>300</v>
      </c>
      <c r="DU257" s="26">
        <v>2.5000000000000002E-6</v>
      </c>
      <c r="DV257" s="26">
        <f t="shared" si="348"/>
        <v>3.7500000000000003E-5</v>
      </c>
      <c r="DW257" s="26">
        <f t="shared" si="349"/>
        <v>1.5</v>
      </c>
      <c r="DX257" s="7">
        <v>11.0598615402572</v>
      </c>
      <c r="DY257" s="7">
        <v>254.539230510376</v>
      </c>
      <c r="DZ257" s="7">
        <v>442.08180959537702</v>
      </c>
      <c r="EA257" s="7">
        <v>254.539230510376</v>
      </c>
      <c r="EB257" s="7">
        <v>1737.24093544267</v>
      </c>
      <c r="EC257" s="7">
        <v>3055.7749073643899</v>
      </c>
      <c r="ED257" s="7">
        <f t="shared" si="350"/>
        <v>951.16027061612908</v>
      </c>
    </row>
    <row r="258" spans="1:134" x14ac:dyDescent="0.4">
      <c r="A258" s="28">
        <v>8</v>
      </c>
      <c r="B258" s="26">
        <v>1.0000000000000001E-5</v>
      </c>
      <c r="C258" s="28">
        <v>0.2</v>
      </c>
      <c r="D258" s="28">
        <v>30</v>
      </c>
      <c r="E258" s="26">
        <v>5.0000000000000004E-6</v>
      </c>
      <c r="F258" s="26">
        <f t="shared" si="324"/>
        <v>1.0000000000000002E-6</v>
      </c>
      <c r="G258" s="26">
        <f t="shared" si="325"/>
        <v>0.2</v>
      </c>
      <c r="H258" s="7">
        <v>0.31711676466220601</v>
      </c>
      <c r="I258" s="7">
        <v>20967.675665585699</v>
      </c>
      <c r="J258" s="7">
        <v>100396.196898707</v>
      </c>
      <c r="K258" s="7">
        <v>20967.675665585699</v>
      </c>
      <c r="L258" s="7">
        <v>821154.82400854595</v>
      </c>
      <c r="M258" s="7">
        <v>127323.954473516</v>
      </c>
      <c r="N258" s="7">
        <f t="shared" si="326"/>
        <v>142331.54822987839</v>
      </c>
      <c r="P258" s="28">
        <v>8</v>
      </c>
      <c r="Q258" s="26">
        <v>3.0000000000000001E-5</v>
      </c>
      <c r="R258" s="28">
        <v>0.2</v>
      </c>
      <c r="S258" s="28">
        <v>30</v>
      </c>
      <c r="T258" s="26">
        <v>5.0000000000000004E-6</v>
      </c>
      <c r="U258" s="26">
        <f t="shared" si="327"/>
        <v>1.0000000000000002E-6</v>
      </c>
      <c r="V258" s="26">
        <f t="shared" si="328"/>
        <v>6.666666666666668E-2</v>
      </c>
      <c r="W258" s="7">
        <v>0.47683794112377897</v>
      </c>
      <c r="X258" s="7">
        <v>6989.2252213633501</v>
      </c>
      <c r="Y258" s="7">
        <v>33465.398947511501</v>
      </c>
      <c r="Z258" s="7">
        <v>6989.2252213633501</v>
      </c>
      <c r="AA258" s="7">
        <v>273718.27480960399</v>
      </c>
      <c r="AB258" s="7">
        <v>14147.1060526129</v>
      </c>
      <c r="AC258" s="7">
        <f t="shared" si="329"/>
        <v>47443.849390238196</v>
      </c>
      <c r="AE258" s="28">
        <v>8</v>
      </c>
      <c r="AF258" s="26">
        <v>5.0000000000000002E-5</v>
      </c>
      <c r="AG258" s="28">
        <v>0.2</v>
      </c>
      <c r="AH258" s="28">
        <v>30</v>
      </c>
      <c r="AI258" s="26">
        <v>5.0000000000000004E-6</v>
      </c>
      <c r="AJ258" s="26">
        <f t="shared" si="330"/>
        <v>1.0000000000000002E-6</v>
      </c>
      <c r="AK258" s="26">
        <f t="shared" si="331"/>
        <v>4.0000000000000008E-2</v>
      </c>
      <c r="AL258" s="7">
        <v>0.54245488857212998</v>
      </c>
      <c r="AM258" s="7">
        <v>4193.5351285970401</v>
      </c>
      <c r="AN258" s="7">
        <v>20079.239209979802</v>
      </c>
      <c r="AO258" s="7">
        <v>4193.5351285970401</v>
      </c>
      <c r="AP258" s="7">
        <v>164230.96607182099</v>
      </c>
      <c r="AQ258" s="7">
        <v>5092.9581789406502</v>
      </c>
      <c r="AR258" s="7">
        <f t="shared" si="332"/>
        <v>28466.30946717388</v>
      </c>
      <c r="AT258" s="28">
        <v>8</v>
      </c>
      <c r="AU258" s="26">
        <v>1.0000000000000001E-5</v>
      </c>
      <c r="AV258" s="28">
        <v>0.2</v>
      </c>
      <c r="AW258" s="28">
        <v>200</v>
      </c>
      <c r="AX258" s="26">
        <v>5.0000000000000004E-6</v>
      </c>
      <c r="AY258" s="26">
        <f t="shared" si="333"/>
        <v>1.0000000000000002E-6</v>
      </c>
      <c r="AZ258" s="26">
        <f t="shared" si="334"/>
        <v>0.2</v>
      </c>
      <c r="BA258" s="7">
        <v>0.33665501435036599</v>
      </c>
      <c r="BB258" s="7">
        <v>4345.3623253436699</v>
      </c>
      <c r="BC258" s="7">
        <v>100396.196898707</v>
      </c>
      <c r="BD258" s="7">
        <v>4345.3623253436699</v>
      </c>
      <c r="BE258" s="7">
        <v>821154.82400854595</v>
      </c>
      <c r="BF258" s="7">
        <v>127323.954473516</v>
      </c>
      <c r="BG258" s="7">
        <f t="shared" si="335"/>
        <v>109086.92154939433</v>
      </c>
      <c r="BI258" s="28">
        <v>8</v>
      </c>
      <c r="BJ258" s="26">
        <v>1.0000000000000001E-5</v>
      </c>
      <c r="BK258" s="28">
        <v>0.5</v>
      </c>
      <c r="BL258" s="28">
        <v>200</v>
      </c>
      <c r="BM258" s="26">
        <v>5.0000000000000004E-6</v>
      </c>
      <c r="BN258" s="26">
        <f t="shared" si="336"/>
        <v>2.5000000000000002E-6</v>
      </c>
      <c r="BO258" s="26">
        <f t="shared" si="337"/>
        <v>0.5</v>
      </c>
      <c r="BP258" s="7">
        <v>0.53905551582540501</v>
      </c>
      <c r="BQ258" s="7">
        <v>3764.12485338133</v>
      </c>
      <c r="BR258" s="7">
        <v>40158.478759482699</v>
      </c>
      <c r="BS258" s="7">
        <v>3764.12485338133</v>
      </c>
      <c r="BT258" s="7">
        <v>328461.92960341799</v>
      </c>
      <c r="BU258" s="7">
        <v>127323.954473516</v>
      </c>
      <c r="BV258" s="7">
        <f t="shared" si="338"/>
        <v>47686.728466245353</v>
      </c>
      <c r="BX258" s="28">
        <v>8</v>
      </c>
      <c r="BY258" s="26">
        <v>5.0000000000000002E-5</v>
      </c>
      <c r="BZ258" s="28">
        <v>0.5</v>
      </c>
      <c r="CA258" s="28">
        <v>200</v>
      </c>
      <c r="CB258" s="26">
        <v>5.0000000000000004E-6</v>
      </c>
      <c r="CC258" s="26">
        <f t="shared" si="339"/>
        <v>2.5000000000000002E-6</v>
      </c>
      <c r="CD258" s="26">
        <f t="shared" si="340"/>
        <v>0.1</v>
      </c>
      <c r="CE258" s="7">
        <v>1.1188987123303</v>
      </c>
      <c r="CF258" s="7">
        <v>752.82497001808497</v>
      </c>
      <c r="CG258" s="7">
        <v>8031.6956839919103</v>
      </c>
      <c r="CH258" s="7">
        <v>752.82497001808497</v>
      </c>
      <c r="CI258" s="7">
        <v>65692.386428728598</v>
      </c>
      <c r="CJ258" s="7">
        <v>5092.9581789406502</v>
      </c>
      <c r="CK258" s="7">
        <f t="shared" si="341"/>
        <v>9537.3456240280793</v>
      </c>
      <c r="CM258" s="28">
        <v>8</v>
      </c>
      <c r="CN258" s="26">
        <v>5.0000000000000002E-5</v>
      </c>
      <c r="CO258" s="28">
        <v>1</v>
      </c>
      <c r="CP258" s="28">
        <v>200</v>
      </c>
      <c r="CQ258" s="26">
        <v>5.0000000000000004E-6</v>
      </c>
      <c r="CR258" s="26">
        <f t="shared" si="342"/>
        <v>5.0000000000000004E-6</v>
      </c>
      <c r="CS258" s="26">
        <f t="shared" si="343"/>
        <v>0.2</v>
      </c>
      <c r="CT258" s="7">
        <v>1.60945915465877</v>
      </c>
      <c r="CU258" s="7">
        <v>665.23311259709499</v>
      </c>
      <c r="CV258" s="7">
        <v>4015.8478419959501</v>
      </c>
      <c r="CW258" s="7">
        <v>665.23311259709499</v>
      </c>
      <c r="CX258" s="7">
        <v>32846.193214364299</v>
      </c>
      <c r="CY258" s="7">
        <v>5092.9581789406502</v>
      </c>
      <c r="CZ258" s="7">
        <f t="shared" si="344"/>
        <v>5346.3140671901401</v>
      </c>
      <c r="DB258" s="28">
        <v>8</v>
      </c>
      <c r="DC258" s="26">
        <v>5.0000000000000002E-5</v>
      </c>
      <c r="DD258" s="28">
        <v>2</v>
      </c>
      <c r="DE258" s="28">
        <v>200</v>
      </c>
      <c r="DF258" s="26">
        <v>5.0000000000000004E-6</v>
      </c>
      <c r="DG258" s="26">
        <f t="shared" si="345"/>
        <v>1.0000000000000001E-5</v>
      </c>
      <c r="DH258" s="26">
        <f t="shared" si="346"/>
        <v>0.4</v>
      </c>
      <c r="DI258" s="7">
        <v>2.3047797473928799</v>
      </c>
      <c r="DJ258" s="7">
        <v>578.22973015081095</v>
      </c>
      <c r="DK258" s="7">
        <v>2007.9239209979801</v>
      </c>
      <c r="DL258" s="7">
        <v>578.22973015081095</v>
      </c>
      <c r="DM258" s="7">
        <v>16423.096607182099</v>
      </c>
      <c r="DN258" s="7">
        <v>5092.9581789406502</v>
      </c>
      <c r="DO258" s="7">
        <f t="shared" si="347"/>
        <v>3164.3833812996022</v>
      </c>
      <c r="DQ258" s="28">
        <v>8</v>
      </c>
      <c r="DR258" s="26">
        <v>5.0000000000000002E-5</v>
      </c>
      <c r="DS258" s="28">
        <v>15</v>
      </c>
      <c r="DT258" s="28">
        <v>300</v>
      </c>
      <c r="DU258" s="26">
        <v>2.5000000000000002E-6</v>
      </c>
      <c r="DV258" s="26">
        <f t="shared" si="348"/>
        <v>3.7500000000000003E-5</v>
      </c>
      <c r="DW258" s="26">
        <f t="shared" si="349"/>
        <v>1.5</v>
      </c>
      <c r="DX258" s="7">
        <v>10.2148709298918</v>
      </c>
      <c r="DY258" s="7">
        <v>254.539230510376</v>
      </c>
      <c r="DZ258" s="7">
        <v>267.723189466397</v>
      </c>
      <c r="EA258" s="7">
        <v>254.539230510376</v>
      </c>
      <c r="EB258" s="7">
        <v>2189.7462142909499</v>
      </c>
      <c r="EC258" s="7">
        <v>3055.7749073643899</v>
      </c>
      <c r="ED258" s="7">
        <f t="shared" si="350"/>
        <v>776.801650487149</v>
      </c>
    </row>
    <row r="259" spans="1:134" x14ac:dyDescent="0.4">
      <c r="A259" s="28">
        <v>10</v>
      </c>
      <c r="B259" s="26">
        <v>1.0000000000000001E-5</v>
      </c>
      <c r="C259" s="28">
        <v>0.2</v>
      </c>
      <c r="D259" s="28">
        <v>30</v>
      </c>
      <c r="E259" s="26">
        <v>5.0000000000000004E-6</v>
      </c>
      <c r="F259" s="26">
        <f t="shared" si="324"/>
        <v>1.0000000000000002E-6</v>
      </c>
      <c r="G259" s="26">
        <f t="shared" si="325"/>
        <v>0.2</v>
      </c>
      <c r="H259" s="7">
        <v>0.35096896884081302</v>
      </c>
      <c r="I259" s="7">
        <v>20967.675665585699</v>
      </c>
      <c r="J259" s="7">
        <v>53826.312121005001</v>
      </c>
      <c r="K259" s="7">
        <v>20967.675665585699</v>
      </c>
      <c r="L259" s="7">
        <v>1014751.21705289</v>
      </c>
      <c r="M259" s="7">
        <v>127323.954473516</v>
      </c>
      <c r="N259" s="7">
        <f t="shared" si="326"/>
        <v>95761.663452176406</v>
      </c>
      <c r="P259" s="28">
        <v>10</v>
      </c>
      <c r="Q259" s="26">
        <v>3.0000000000000001E-5</v>
      </c>
      <c r="R259" s="28">
        <v>0.2</v>
      </c>
      <c r="S259" s="28">
        <v>30</v>
      </c>
      <c r="T259" s="26">
        <v>5.0000000000000004E-6</v>
      </c>
      <c r="U259" s="26">
        <f t="shared" si="327"/>
        <v>1.0000000000000002E-6</v>
      </c>
      <c r="V259" s="26">
        <f t="shared" si="328"/>
        <v>6.666666666666668E-2</v>
      </c>
      <c r="W259" s="7">
        <v>0.59613996303601902</v>
      </c>
      <c r="X259" s="7">
        <v>6989.2252213633501</v>
      </c>
      <c r="Y259" s="7">
        <v>17942.1040216109</v>
      </c>
      <c r="Z259" s="7">
        <v>6989.2252213633501</v>
      </c>
      <c r="AA259" s="7">
        <v>338250.40599296999</v>
      </c>
      <c r="AB259" s="7">
        <v>14147.1060526129</v>
      </c>
      <c r="AC259" s="7">
        <f t="shared" si="329"/>
        <v>31920.554464337602</v>
      </c>
      <c r="AE259" s="28">
        <v>10</v>
      </c>
      <c r="AF259" s="26">
        <v>5.0000000000000002E-5</v>
      </c>
      <c r="AG259" s="28">
        <v>0.2</v>
      </c>
      <c r="AH259" s="28">
        <v>30</v>
      </c>
      <c r="AI259" s="26">
        <v>5.0000000000000004E-6</v>
      </c>
      <c r="AJ259" s="26">
        <f t="shared" si="330"/>
        <v>1.0000000000000002E-6</v>
      </c>
      <c r="AK259" s="26">
        <f t="shared" si="331"/>
        <v>4.0000000000000008E-2</v>
      </c>
      <c r="AL259" s="7">
        <v>0.71327069552538502</v>
      </c>
      <c r="AM259" s="7">
        <v>4193.5351285970401</v>
      </c>
      <c r="AN259" s="7">
        <v>10765.2622544394</v>
      </c>
      <c r="AO259" s="7">
        <v>4193.5351285970401</v>
      </c>
      <c r="AP259" s="7">
        <v>202950.24620916101</v>
      </c>
      <c r="AQ259" s="7">
        <v>5092.9581789406502</v>
      </c>
      <c r="AR259" s="7">
        <f t="shared" si="332"/>
        <v>19152.332511633478</v>
      </c>
      <c r="AT259" s="28">
        <v>10</v>
      </c>
      <c r="AU259" s="26">
        <v>1.0000000000000001E-5</v>
      </c>
      <c r="AV259" s="28">
        <v>0.2</v>
      </c>
      <c r="AW259" s="28">
        <v>200</v>
      </c>
      <c r="AX259" s="26">
        <v>5.0000000000000004E-6</v>
      </c>
      <c r="AY259" s="26">
        <f t="shared" si="333"/>
        <v>1.0000000000000002E-6</v>
      </c>
      <c r="AZ259" s="26">
        <f t="shared" si="334"/>
        <v>0.2</v>
      </c>
      <c r="BA259" s="7">
        <v>0.37831414803937002</v>
      </c>
      <c r="BB259" s="7">
        <v>4345.3623253436699</v>
      </c>
      <c r="BC259" s="7">
        <v>53826.312121005001</v>
      </c>
      <c r="BD259" s="7">
        <v>4345.3623253436699</v>
      </c>
      <c r="BE259" s="7">
        <v>1014751.21705289</v>
      </c>
      <c r="BF259" s="7">
        <v>127323.954473516</v>
      </c>
      <c r="BG259" s="7">
        <f t="shared" si="335"/>
        <v>62517.036771692336</v>
      </c>
      <c r="BI259" s="28">
        <v>10</v>
      </c>
      <c r="BJ259" s="26">
        <v>1.0000000000000001E-5</v>
      </c>
      <c r="BK259" s="28">
        <v>0.5</v>
      </c>
      <c r="BL259" s="28">
        <v>200</v>
      </c>
      <c r="BM259" s="26">
        <v>5.0000000000000004E-6</v>
      </c>
      <c r="BN259" s="26">
        <f t="shared" si="336"/>
        <v>2.5000000000000002E-6</v>
      </c>
      <c r="BO259" s="26">
        <f t="shared" si="337"/>
        <v>0.5</v>
      </c>
      <c r="BP259" s="7">
        <v>0.54743566219523998</v>
      </c>
      <c r="BQ259" s="7">
        <v>3764.12485338133</v>
      </c>
      <c r="BR259" s="7">
        <v>21530.524848402001</v>
      </c>
      <c r="BS259" s="7">
        <v>3764.12485338133</v>
      </c>
      <c r="BT259" s="7">
        <v>405900.48682115501</v>
      </c>
      <c r="BU259" s="7">
        <v>127323.954473516</v>
      </c>
      <c r="BV259" s="7">
        <f t="shared" si="338"/>
        <v>29058.774555164662</v>
      </c>
      <c r="BX259" s="28">
        <v>10</v>
      </c>
      <c r="BY259" s="26">
        <v>5.0000000000000002E-5</v>
      </c>
      <c r="BZ259" s="28">
        <v>0.5</v>
      </c>
      <c r="CA259" s="28">
        <v>200</v>
      </c>
      <c r="CB259" s="26">
        <v>5.0000000000000004E-6</v>
      </c>
      <c r="CC259" s="26">
        <f t="shared" si="339"/>
        <v>2.5000000000000002E-6</v>
      </c>
      <c r="CD259" s="26">
        <f t="shared" si="340"/>
        <v>0.1</v>
      </c>
      <c r="CE259" s="7">
        <v>1.36807856697085</v>
      </c>
      <c r="CF259" s="7">
        <v>752.82497001808497</v>
      </c>
      <c r="CG259" s="7">
        <v>4306.1049017757796</v>
      </c>
      <c r="CH259" s="7">
        <v>752.82497001808497</v>
      </c>
      <c r="CI259" s="7">
        <v>81180.098483664406</v>
      </c>
      <c r="CJ259" s="7">
        <v>5092.9581789406502</v>
      </c>
      <c r="CK259" s="7">
        <f t="shared" si="341"/>
        <v>5811.7548418119495</v>
      </c>
      <c r="CM259" s="28">
        <v>10</v>
      </c>
      <c r="CN259" s="26">
        <v>5.0000000000000002E-5</v>
      </c>
      <c r="CO259" s="28">
        <v>1</v>
      </c>
      <c r="CP259" s="28">
        <v>200</v>
      </c>
      <c r="CQ259" s="26">
        <v>5.0000000000000004E-6</v>
      </c>
      <c r="CR259" s="26">
        <f t="shared" si="342"/>
        <v>5.0000000000000004E-6</v>
      </c>
      <c r="CS259" s="26">
        <f t="shared" si="343"/>
        <v>0.2</v>
      </c>
      <c r="CT259" s="7">
        <v>1.7879524722884901</v>
      </c>
      <c r="CU259" s="7">
        <v>665.23311259709499</v>
      </c>
      <c r="CV259" s="7">
        <v>2153.0524508878898</v>
      </c>
      <c r="CW259" s="7">
        <v>665.23311259709499</v>
      </c>
      <c r="CX259" s="7">
        <v>40590.049241832203</v>
      </c>
      <c r="CY259" s="7">
        <v>5092.9581789406502</v>
      </c>
      <c r="CZ259" s="7">
        <f t="shared" si="344"/>
        <v>3483.5186760820798</v>
      </c>
      <c r="DB259" s="28">
        <v>10</v>
      </c>
      <c r="DC259" s="26">
        <v>5.0000000000000002E-5</v>
      </c>
      <c r="DD259" s="28">
        <v>2</v>
      </c>
      <c r="DE259" s="28">
        <v>200</v>
      </c>
      <c r="DF259" s="26">
        <v>5.0000000000000004E-6</v>
      </c>
      <c r="DG259" s="26">
        <f t="shared" si="345"/>
        <v>1.0000000000000001E-5</v>
      </c>
      <c r="DH259" s="26">
        <f t="shared" si="346"/>
        <v>0.4</v>
      </c>
      <c r="DI259" s="7">
        <v>2.3730688780345002</v>
      </c>
      <c r="DJ259" s="7">
        <v>578.22973015081095</v>
      </c>
      <c r="DK259" s="7">
        <v>1076.5262254439399</v>
      </c>
      <c r="DL259" s="7">
        <v>578.22973015081095</v>
      </c>
      <c r="DM259" s="7">
        <v>20295.024620916101</v>
      </c>
      <c r="DN259" s="7">
        <v>5092.9581789406502</v>
      </c>
      <c r="DO259" s="7">
        <f t="shared" si="347"/>
        <v>2232.985685745562</v>
      </c>
      <c r="DQ259" s="28">
        <v>10</v>
      </c>
      <c r="DR259" s="26">
        <v>5.0000000000000002E-5</v>
      </c>
      <c r="DS259" s="28">
        <v>15</v>
      </c>
      <c r="DT259" s="28">
        <v>300</v>
      </c>
      <c r="DU259" s="26">
        <v>2.5000000000000002E-6</v>
      </c>
      <c r="DV259" s="26">
        <f t="shared" si="348"/>
        <v>3.7500000000000003E-5</v>
      </c>
      <c r="DW259" s="26">
        <f t="shared" si="349"/>
        <v>1.5</v>
      </c>
      <c r="DX259" s="7">
        <v>9.4594445203888409</v>
      </c>
      <c r="DY259" s="7">
        <v>254.539230510376</v>
      </c>
      <c r="DZ259" s="7">
        <v>143.53683005919299</v>
      </c>
      <c r="EA259" s="7">
        <v>254.539230510376</v>
      </c>
      <c r="EB259" s="7">
        <v>2706.0032827888099</v>
      </c>
      <c r="EC259" s="7">
        <v>3055.7749073643899</v>
      </c>
      <c r="ED259" s="7">
        <f t="shared" si="350"/>
        <v>652.615291079945</v>
      </c>
    </row>
    <row r="260" spans="1:134" x14ac:dyDescent="0.4">
      <c r="A260" s="28">
        <v>12</v>
      </c>
      <c r="B260" s="26">
        <v>1.0000000000000001E-5</v>
      </c>
      <c r="C260" s="28">
        <v>0.2</v>
      </c>
      <c r="D260" s="28">
        <v>30</v>
      </c>
      <c r="E260" s="26">
        <v>5.0000000000000004E-6</v>
      </c>
      <c r="F260" s="26">
        <f t="shared" si="324"/>
        <v>1.0000000000000002E-6</v>
      </c>
      <c r="G260" s="26">
        <f t="shared" si="325"/>
        <v>0.2</v>
      </c>
      <c r="H260" s="7">
        <v>0.387982577619854</v>
      </c>
      <c r="I260" s="7">
        <v>20967.675665585699</v>
      </c>
      <c r="J260" s="7">
        <v>18265.061724746</v>
      </c>
      <c r="K260" s="7">
        <v>20967.675665585699</v>
      </c>
      <c r="L260" s="7">
        <v>1222830.0672564299</v>
      </c>
      <c r="M260" s="7">
        <v>127323.954473516</v>
      </c>
      <c r="N260" s="7">
        <f t="shared" si="326"/>
        <v>60200.413055917394</v>
      </c>
      <c r="P260" s="28">
        <v>12</v>
      </c>
      <c r="Q260" s="26">
        <v>3.0000000000000001E-5</v>
      </c>
      <c r="R260" s="28">
        <v>0.2</v>
      </c>
      <c r="S260" s="28">
        <v>30</v>
      </c>
      <c r="T260" s="26">
        <v>5.0000000000000004E-6</v>
      </c>
      <c r="U260" s="26">
        <f t="shared" si="327"/>
        <v>1.0000000000000002E-6</v>
      </c>
      <c r="V260" s="26">
        <f t="shared" si="328"/>
        <v>6.666666666666668E-2</v>
      </c>
      <c r="W260" s="7">
        <v>0.74901399992715001</v>
      </c>
      <c r="X260" s="7">
        <v>6989.2252213633501</v>
      </c>
      <c r="Y260" s="7">
        <v>6088.3538895246002</v>
      </c>
      <c r="Z260" s="7">
        <v>6989.2252213633501</v>
      </c>
      <c r="AA260" s="7">
        <v>407610.02322415198</v>
      </c>
      <c r="AB260" s="7">
        <v>14147.1060526129</v>
      </c>
      <c r="AC260" s="7">
        <f t="shared" si="329"/>
        <v>20066.8043322513</v>
      </c>
      <c r="AE260" s="28">
        <v>12</v>
      </c>
      <c r="AF260" s="26">
        <v>5.0000000000000002E-5</v>
      </c>
      <c r="AG260" s="28">
        <v>0.2</v>
      </c>
      <c r="AH260" s="28">
        <v>30</v>
      </c>
      <c r="AI260" s="26">
        <v>5.0000000000000004E-6</v>
      </c>
      <c r="AJ260" s="26">
        <f t="shared" si="330"/>
        <v>1.0000000000000002E-6</v>
      </c>
      <c r="AK260" s="26">
        <f t="shared" si="331"/>
        <v>4.0000000000000008E-2</v>
      </c>
      <c r="AL260" s="7">
        <v>0.95358548425150103</v>
      </c>
      <c r="AM260" s="7">
        <v>4193.5351285970401</v>
      </c>
      <c r="AN260" s="7">
        <v>3653.01217518762</v>
      </c>
      <c r="AO260" s="7">
        <v>4193.5351285970401</v>
      </c>
      <c r="AP260" s="7">
        <v>244566.02075291699</v>
      </c>
      <c r="AQ260" s="7">
        <v>5092.9581789406502</v>
      </c>
      <c r="AR260" s="7">
        <f t="shared" si="332"/>
        <v>12040.0824323817</v>
      </c>
      <c r="AT260" s="28">
        <v>12</v>
      </c>
      <c r="AU260" s="26">
        <v>1.0000000000000001E-5</v>
      </c>
      <c r="AV260" s="28">
        <v>0.2</v>
      </c>
      <c r="AW260" s="28">
        <v>200</v>
      </c>
      <c r="AX260" s="26">
        <v>5.0000000000000004E-6</v>
      </c>
      <c r="AY260" s="26">
        <f t="shared" si="333"/>
        <v>1.0000000000000002E-6</v>
      </c>
      <c r="AZ260" s="26">
        <f t="shared" si="334"/>
        <v>0.2</v>
      </c>
      <c r="BA260" s="7">
        <v>0.42440727337172801</v>
      </c>
      <c r="BB260" s="7">
        <v>4345.3623253436699</v>
      </c>
      <c r="BC260" s="7">
        <v>18265.061724746</v>
      </c>
      <c r="BD260" s="7">
        <v>4345.3623253436699</v>
      </c>
      <c r="BE260" s="7">
        <v>1222830.0672564299</v>
      </c>
      <c r="BF260" s="7">
        <v>127323.954473516</v>
      </c>
      <c r="BG260" s="7">
        <f t="shared" si="335"/>
        <v>26955.786375433341</v>
      </c>
      <c r="BI260" s="28">
        <v>12</v>
      </c>
      <c r="BJ260" s="26">
        <v>1.0000000000000001E-5</v>
      </c>
      <c r="BK260" s="28">
        <v>0.5</v>
      </c>
      <c r="BL260" s="28">
        <v>200</v>
      </c>
      <c r="BM260" s="26">
        <v>5.0000000000000004E-6</v>
      </c>
      <c r="BN260" s="26">
        <f t="shared" si="336"/>
        <v>2.5000000000000002E-6</v>
      </c>
      <c r="BO260" s="26">
        <f t="shared" si="337"/>
        <v>0.5</v>
      </c>
      <c r="BP260" s="7">
        <v>0.55908651997912595</v>
      </c>
      <c r="BQ260" s="7">
        <v>3764.12485338133</v>
      </c>
      <c r="BR260" s="7">
        <v>7306.0246898983996</v>
      </c>
      <c r="BS260" s="7">
        <v>3764.12485338133</v>
      </c>
      <c r="BT260" s="7">
        <v>489132.02690256998</v>
      </c>
      <c r="BU260" s="7">
        <v>127323.954473516</v>
      </c>
      <c r="BV260" s="7">
        <f t="shared" si="338"/>
        <v>14834.27439666106</v>
      </c>
      <c r="BX260" s="28">
        <v>12</v>
      </c>
      <c r="BY260" s="26">
        <v>5.0000000000000002E-5</v>
      </c>
      <c r="BZ260" s="28">
        <v>0.5</v>
      </c>
      <c r="CA260" s="28">
        <v>200</v>
      </c>
      <c r="CB260" s="26">
        <v>5.0000000000000004E-6</v>
      </c>
      <c r="CC260" s="26">
        <f t="shared" si="339"/>
        <v>2.5000000000000002E-6</v>
      </c>
      <c r="CD260" s="26">
        <f t="shared" si="340"/>
        <v>0.1</v>
      </c>
      <c r="CE260" s="7">
        <v>1.6757619967623201</v>
      </c>
      <c r="CF260" s="7">
        <v>752.82497001808497</v>
      </c>
      <c r="CG260" s="7">
        <v>1461.2048700750499</v>
      </c>
      <c r="CH260" s="7">
        <v>752.82497001808497</v>
      </c>
      <c r="CI260" s="7">
        <v>97826.408301166695</v>
      </c>
      <c r="CJ260" s="7">
        <v>5092.9581789406502</v>
      </c>
      <c r="CK260" s="7">
        <f t="shared" si="341"/>
        <v>2966.8548101112201</v>
      </c>
      <c r="CM260" s="28">
        <v>12</v>
      </c>
      <c r="CN260" s="26">
        <v>5.0000000000000002E-5</v>
      </c>
      <c r="CO260" s="28">
        <v>1</v>
      </c>
      <c r="CP260" s="28">
        <v>200</v>
      </c>
      <c r="CQ260" s="26">
        <v>5.0000000000000004E-6</v>
      </c>
      <c r="CR260" s="26">
        <f t="shared" si="342"/>
        <v>5.0000000000000004E-6</v>
      </c>
      <c r="CS260" s="26">
        <f t="shared" si="343"/>
        <v>0.2</v>
      </c>
      <c r="CT260" s="7">
        <v>1.9836165409167701</v>
      </c>
      <c r="CU260" s="7">
        <v>665.23311259709499</v>
      </c>
      <c r="CV260" s="7">
        <v>730.60243503752497</v>
      </c>
      <c r="CW260" s="7">
        <v>665.23311259709499</v>
      </c>
      <c r="CX260" s="7">
        <v>48913.204150583399</v>
      </c>
      <c r="CY260" s="7">
        <v>5092.9581789406502</v>
      </c>
      <c r="CZ260" s="7">
        <f t="shared" si="344"/>
        <v>2061.0686602317151</v>
      </c>
      <c r="DB260" s="28">
        <v>12</v>
      </c>
      <c r="DC260" s="26">
        <v>5.0000000000000002E-5</v>
      </c>
      <c r="DD260" s="28">
        <v>2</v>
      </c>
      <c r="DE260" s="28">
        <v>200</v>
      </c>
      <c r="DF260" s="26">
        <v>5.0000000000000004E-6</v>
      </c>
      <c r="DG260" s="26">
        <f t="shared" si="345"/>
        <v>1.0000000000000001E-5</v>
      </c>
      <c r="DH260" s="26">
        <f t="shared" si="346"/>
        <v>0.4</v>
      </c>
      <c r="DI260" s="7">
        <v>2.4539017035850401</v>
      </c>
      <c r="DJ260" s="7">
        <v>578.22973015081095</v>
      </c>
      <c r="DK260" s="7">
        <v>365.301217518763</v>
      </c>
      <c r="DL260" s="7">
        <v>578.22973015081095</v>
      </c>
      <c r="DM260" s="7">
        <v>24456.602075291699</v>
      </c>
      <c r="DN260" s="7">
        <v>5092.9581789406502</v>
      </c>
      <c r="DO260" s="7">
        <f t="shared" si="347"/>
        <v>1521.7606778203849</v>
      </c>
      <c r="DQ260" s="28">
        <v>12</v>
      </c>
      <c r="DR260" s="26">
        <v>5.0000000000000002E-5</v>
      </c>
      <c r="DS260" s="28">
        <v>15</v>
      </c>
      <c r="DT260" s="28">
        <v>300</v>
      </c>
      <c r="DU260" s="26">
        <v>2.5000000000000002E-6</v>
      </c>
      <c r="DV260" s="26">
        <f t="shared" si="348"/>
        <v>3.7500000000000003E-5</v>
      </c>
      <c r="DW260" s="26">
        <f t="shared" si="349"/>
        <v>1.5</v>
      </c>
      <c r="DX260" s="7">
        <v>8.8712634277292608</v>
      </c>
      <c r="DY260" s="7">
        <v>254.539230510376</v>
      </c>
      <c r="DZ260" s="7">
        <v>48.7068290025016</v>
      </c>
      <c r="EA260" s="7">
        <v>254.539230510376</v>
      </c>
      <c r="EB260" s="7">
        <v>3260.8802767055599</v>
      </c>
      <c r="EC260" s="7">
        <v>3055.7749073643899</v>
      </c>
      <c r="ED260" s="7">
        <f t="shared" si="350"/>
        <v>557.78529002325354</v>
      </c>
    </row>
    <row r="261" spans="1:134" x14ac:dyDescent="0.4">
      <c r="A261" s="28">
        <v>15</v>
      </c>
      <c r="B261" s="26">
        <v>1.0000000000000001E-5</v>
      </c>
      <c r="C261" s="28">
        <v>0.2</v>
      </c>
      <c r="D261" s="28">
        <v>30</v>
      </c>
      <c r="E261" s="26">
        <v>5.0000000000000004E-6</v>
      </c>
      <c r="F261" s="26">
        <f t="shared" si="324"/>
        <v>1.0000000000000002E-6</v>
      </c>
      <c r="G261" s="26">
        <f t="shared" si="325"/>
        <v>0.2</v>
      </c>
      <c r="H261" s="7">
        <v>0.43293162353610598</v>
      </c>
      <c r="I261" s="7">
        <v>12481.634129420599</v>
      </c>
      <c r="J261" s="7">
        <v>3828.3041509332402</v>
      </c>
      <c r="K261" s="7">
        <v>12481.634129420599</v>
      </c>
      <c r="L261" s="7">
        <v>1641861.5249040499</v>
      </c>
      <c r="M261" s="7">
        <v>127323.954473516</v>
      </c>
      <c r="N261" s="7">
        <f t="shared" si="326"/>
        <v>28791.572409774439</v>
      </c>
      <c r="P261" s="28">
        <v>15</v>
      </c>
      <c r="Q261" s="26">
        <v>3.0000000000000001E-5</v>
      </c>
      <c r="R261" s="28">
        <v>0.2</v>
      </c>
      <c r="S261" s="28">
        <v>30</v>
      </c>
      <c r="T261" s="26">
        <v>5.0000000000000004E-6</v>
      </c>
      <c r="U261" s="26">
        <f t="shared" si="327"/>
        <v>1.0000000000000002E-6</v>
      </c>
      <c r="V261" s="26">
        <f t="shared" si="328"/>
        <v>6.666666666666668E-2</v>
      </c>
      <c r="W261" s="7">
        <v>0.98430286892649899</v>
      </c>
      <c r="X261" s="7">
        <v>4160.5447097236602</v>
      </c>
      <c r="Y261" s="7">
        <v>1276.1013836444099</v>
      </c>
      <c r="Z261" s="7">
        <v>4160.5447097236602</v>
      </c>
      <c r="AA261" s="7">
        <v>547287.17553344101</v>
      </c>
      <c r="AB261" s="7">
        <v>14147.1060526129</v>
      </c>
      <c r="AC261" s="7">
        <f t="shared" si="329"/>
        <v>9597.1908030917293</v>
      </c>
      <c r="AE261" s="28">
        <v>15</v>
      </c>
      <c r="AF261" s="26">
        <v>5.0000000000000002E-5</v>
      </c>
      <c r="AG261" s="28">
        <v>0.2</v>
      </c>
      <c r="AH261" s="28">
        <v>30</v>
      </c>
      <c r="AI261" s="26">
        <v>5.0000000000000004E-6</v>
      </c>
      <c r="AJ261" s="26">
        <f t="shared" si="330"/>
        <v>1.0000000000000002E-6</v>
      </c>
      <c r="AK261" s="26">
        <f t="shared" si="331"/>
        <v>4.0000000000000008E-2</v>
      </c>
      <c r="AL261" s="7">
        <v>1.3763703975352599</v>
      </c>
      <c r="AM261" s="7">
        <v>2496.32682512977</v>
      </c>
      <c r="AN261" s="7">
        <v>765.66083018664904</v>
      </c>
      <c r="AO261" s="7">
        <v>2496.32682512977</v>
      </c>
      <c r="AP261" s="7">
        <v>328372.31010722602</v>
      </c>
      <c r="AQ261" s="7">
        <v>5092.9581789406502</v>
      </c>
      <c r="AR261" s="7">
        <f t="shared" si="332"/>
        <v>5758.314480446189</v>
      </c>
      <c r="AT261" s="28">
        <v>15</v>
      </c>
      <c r="AU261" s="26">
        <v>1.0000000000000001E-5</v>
      </c>
      <c r="AV261" s="28">
        <v>0.2</v>
      </c>
      <c r="AW261" s="28">
        <v>200</v>
      </c>
      <c r="AX261" s="26">
        <v>5.0000000000000004E-6</v>
      </c>
      <c r="AY261" s="26">
        <f t="shared" si="333"/>
        <v>1.0000000000000002E-6</v>
      </c>
      <c r="AZ261" s="26">
        <f t="shared" si="334"/>
        <v>0.2</v>
      </c>
      <c r="BA261" s="7">
        <v>0.46750079998411698</v>
      </c>
      <c r="BB261" s="7">
        <v>1941.00035424731</v>
      </c>
      <c r="BC261" s="7">
        <v>642.33504314082199</v>
      </c>
      <c r="BD261" s="7">
        <v>1941.00035424731</v>
      </c>
      <c r="BE261" s="7">
        <v>1641861.5249040499</v>
      </c>
      <c r="BF261" s="7">
        <v>127323.954473516</v>
      </c>
      <c r="BG261" s="7">
        <f t="shared" si="335"/>
        <v>4524.3357516354426</v>
      </c>
      <c r="BI261" s="28">
        <v>15</v>
      </c>
      <c r="BJ261" s="26">
        <v>1.0000000000000001E-5</v>
      </c>
      <c r="BK261" s="28">
        <v>0.5</v>
      </c>
      <c r="BL261" s="28">
        <v>200</v>
      </c>
      <c r="BM261" s="26">
        <v>5.0000000000000004E-6</v>
      </c>
      <c r="BN261" s="26">
        <f t="shared" si="336"/>
        <v>2.5000000000000002E-6</v>
      </c>
      <c r="BO261" s="26">
        <f t="shared" si="337"/>
        <v>0.5</v>
      </c>
      <c r="BP261" s="7">
        <v>0.56319375341956501</v>
      </c>
      <c r="BQ261" s="7">
        <v>1921.9637593119501</v>
      </c>
      <c r="BR261" s="7">
        <v>622.78773017584695</v>
      </c>
      <c r="BS261" s="7">
        <v>1921.9637593119501</v>
      </c>
      <c r="BT261" s="7">
        <v>656744.60996161995</v>
      </c>
      <c r="BU261" s="7">
        <v>127323.954473516</v>
      </c>
      <c r="BV261" s="7">
        <f t="shared" si="338"/>
        <v>4466.7152487997464</v>
      </c>
      <c r="BX261" s="28">
        <v>15</v>
      </c>
      <c r="BY261" s="26">
        <v>5.0000000000000002E-5</v>
      </c>
      <c r="BZ261" s="28">
        <v>0.5</v>
      </c>
      <c r="CA261" s="28">
        <v>200</v>
      </c>
      <c r="CB261" s="26">
        <v>5.0000000000000004E-6</v>
      </c>
      <c r="CC261" s="26">
        <f t="shared" si="339"/>
        <v>2.5000000000000002E-6</v>
      </c>
      <c r="CD261" s="26">
        <f t="shared" si="340"/>
        <v>0.1</v>
      </c>
      <c r="CE261" s="7">
        <v>2.0483597012408001</v>
      </c>
      <c r="CF261" s="7">
        <v>384.39275181655802</v>
      </c>
      <c r="CG261" s="7">
        <v>124.557546035169</v>
      </c>
      <c r="CH261" s="7">
        <v>384.39275181655802</v>
      </c>
      <c r="CI261" s="7">
        <v>131348.92404288999</v>
      </c>
      <c r="CJ261" s="7">
        <v>5092.9581789406502</v>
      </c>
      <c r="CK261" s="7">
        <f t="shared" si="341"/>
        <v>893.34304966828495</v>
      </c>
      <c r="CM261" s="28">
        <v>15</v>
      </c>
      <c r="CN261" s="26">
        <v>5.0000000000000002E-5</v>
      </c>
      <c r="CO261" s="28">
        <v>1</v>
      </c>
      <c r="CP261" s="28">
        <v>200</v>
      </c>
      <c r="CQ261" s="26">
        <v>5.0000000000000004E-6</v>
      </c>
      <c r="CR261" s="26">
        <f t="shared" si="342"/>
        <v>5.0000000000000004E-6</v>
      </c>
      <c r="CS261" s="26">
        <f t="shared" si="343"/>
        <v>0.2</v>
      </c>
      <c r="CT261" s="7">
        <v>2.2107990325617402</v>
      </c>
      <c r="CU261" s="7">
        <v>378.32091509688701</v>
      </c>
      <c r="CV261" s="7">
        <v>118.54503217394399</v>
      </c>
      <c r="CW261" s="7">
        <v>378.32091509688701</v>
      </c>
      <c r="CX261" s="7">
        <v>65674.462021445201</v>
      </c>
      <c r="CY261" s="7">
        <v>5092.9581789406502</v>
      </c>
      <c r="CZ261" s="7">
        <f t="shared" si="344"/>
        <v>875.18686236771805</v>
      </c>
      <c r="DB261" s="28">
        <v>15</v>
      </c>
      <c r="DC261" s="26">
        <v>5.0000000000000002E-5</v>
      </c>
      <c r="DD261" s="28">
        <v>2</v>
      </c>
      <c r="DE261" s="28">
        <v>200</v>
      </c>
      <c r="DF261" s="26">
        <v>5.0000000000000004E-6</v>
      </c>
      <c r="DG261" s="26">
        <f t="shared" si="345"/>
        <v>1.0000000000000001E-5</v>
      </c>
      <c r="DH261" s="26">
        <f t="shared" si="346"/>
        <v>0.4</v>
      </c>
      <c r="DI261" s="7">
        <v>2.53512124513479</v>
      </c>
      <c r="DJ261" s="7">
        <v>367.08848561923799</v>
      </c>
      <c r="DK261" s="7">
        <v>108.10811969663401</v>
      </c>
      <c r="DL261" s="7">
        <v>367.08848561923799</v>
      </c>
      <c r="DM261" s="7">
        <v>32837.2310107226</v>
      </c>
      <c r="DN261" s="7">
        <v>5092.9581789406502</v>
      </c>
      <c r="DO261" s="7">
        <f t="shared" si="347"/>
        <v>842.28509093511002</v>
      </c>
      <c r="DQ261" s="28">
        <v>15</v>
      </c>
      <c r="DR261" s="26">
        <v>5.0000000000000002E-5</v>
      </c>
      <c r="DS261" s="28">
        <v>15</v>
      </c>
      <c r="DT261" s="28">
        <v>300</v>
      </c>
      <c r="DU261" s="26">
        <v>2.5000000000000002E-6</v>
      </c>
      <c r="DV261" s="26">
        <f t="shared" si="348"/>
        <v>3.7500000000000003E-5</v>
      </c>
      <c r="DW261" s="26">
        <f t="shared" si="349"/>
        <v>1.5</v>
      </c>
      <c r="DX261" s="7">
        <v>7.9707729716926599</v>
      </c>
      <c r="DY261" s="7">
        <v>202.84957985735099</v>
      </c>
      <c r="DZ261" s="7">
        <v>42.287816140325297</v>
      </c>
      <c r="EA261" s="7">
        <v>202.84957985735099</v>
      </c>
      <c r="EB261" s="7">
        <v>4378.2974680963498</v>
      </c>
      <c r="EC261" s="7">
        <v>3055.7749073643899</v>
      </c>
      <c r="ED261" s="7">
        <f t="shared" si="350"/>
        <v>447.98697585502725</v>
      </c>
    </row>
    <row r="262" spans="1:134" x14ac:dyDescent="0.4">
      <c r="A262" s="28">
        <v>20</v>
      </c>
      <c r="B262" s="26">
        <v>1.0000000000000001E-5</v>
      </c>
      <c r="C262" s="28">
        <v>0.2</v>
      </c>
      <c r="D262" s="28">
        <v>30</v>
      </c>
      <c r="E262" s="26">
        <v>5.0000000000000004E-6</v>
      </c>
      <c r="F262" s="26">
        <f t="shared" si="324"/>
        <v>1.0000000000000002E-6</v>
      </c>
      <c r="G262" s="26">
        <f t="shared" si="325"/>
        <v>0.2</v>
      </c>
      <c r="H262" s="7">
        <v>0.46420146995605099</v>
      </c>
      <c r="I262" s="7">
        <v>7857.7524727739301</v>
      </c>
      <c r="J262" s="7">
        <v>4475.4086280782203</v>
      </c>
      <c r="K262" s="7">
        <v>7857.7524727739301</v>
      </c>
      <c r="L262" s="7">
        <v>2551974.2921694499</v>
      </c>
      <c r="M262" s="7">
        <v>127323.954473516</v>
      </c>
      <c r="N262" s="7">
        <f t="shared" si="326"/>
        <v>20190.91357362608</v>
      </c>
      <c r="P262" s="28">
        <v>20</v>
      </c>
      <c r="Q262" s="26">
        <v>3.0000000000000001E-5</v>
      </c>
      <c r="R262" s="28">
        <v>0.2</v>
      </c>
      <c r="S262" s="28">
        <v>30</v>
      </c>
      <c r="T262" s="26">
        <v>5.0000000000000004E-6</v>
      </c>
      <c r="U262" s="26">
        <f t="shared" si="327"/>
        <v>1.0000000000000002E-6</v>
      </c>
      <c r="V262" s="26">
        <f t="shared" si="328"/>
        <v>6.666666666666668E-2</v>
      </c>
      <c r="W262" s="7">
        <v>1.1412832996346201</v>
      </c>
      <c r="X262" s="7">
        <v>2619.2508242245099</v>
      </c>
      <c r="Y262" s="7">
        <v>1491.80287602607</v>
      </c>
      <c r="Z262" s="7">
        <v>2619.2508242245099</v>
      </c>
      <c r="AA262" s="7">
        <v>850658.09849467594</v>
      </c>
      <c r="AB262" s="7">
        <v>14147.1060526129</v>
      </c>
      <c r="AC262" s="7">
        <f t="shared" si="329"/>
        <v>6730.3045244750901</v>
      </c>
      <c r="AE262" s="28">
        <v>20</v>
      </c>
      <c r="AF262" s="26">
        <v>5.0000000000000002E-5</v>
      </c>
      <c r="AG262" s="28">
        <v>0.2</v>
      </c>
      <c r="AH262" s="28">
        <v>30</v>
      </c>
      <c r="AI262" s="26">
        <v>5.0000000000000004E-6</v>
      </c>
      <c r="AJ262" s="26">
        <f t="shared" si="330"/>
        <v>1.0000000000000002E-6</v>
      </c>
      <c r="AK262" s="26">
        <f t="shared" si="331"/>
        <v>4.0000000000000008E-2</v>
      </c>
      <c r="AL262" s="7">
        <v>1.6645877890489</v>
      </c>
      <c r="AM262" s="7">
        <v>1571.5504942513201</v>
      </c>
      <c r="AN262" s="7">
        <v>895.08172561564299</v>
      </c>
      <c r="AO262" s="7">
        <v>1571.5504942513201</v>
      </c>
      <c r="AP262" s="7">
        <v>510394.86845111102</v>
      </c>
      <c r="AQ262" s="7">
        <v>5092.9581789406502</v>
      </c>
      <c r="AR262" s="7">
        <f t="shared" si="332"/>
        <v>4038.182714118283</v>
      </c>
      <c r="AT262" s="28">
        <v>20</v>
      </c>
      <c r="AU262" s="26">
        <v>1.0000000000000001E-5</v>
      </c>
      <c r="AV262" s="28">
        <v>0.2</v>
      </c>
      <c r="AW262" s="28">
        <v>200</v>
      </c>
      <c r="AX262" s="26">
        <v>5.0000000000000004E-6</v>
      </c>
      <c r="AY262" s="26">
        <f t="shared" si="333"/>
        <v>1.0000000000000002E-6</v>
      </c>
      <c r="AZ262" s="26">
        <f t="shared" si="334"/>
        <v>0.2</v>
      </c>
      <c r="BA262" s="7">
        <v>0.49201010294148201</v>
      </c>
      <c r="BB262" s="7">
        <v>1196.98361424428</v>
      </c>
      <c r="BC262" s="7">
        <v>694.07852984949898</v>
      </c>
      <c r="BD262" s="7">
        <v>1196.98361424428</v>
      </c>
      <c r="BE262" s="7">
        <v>2551974.2921694499</v>
      </c>
      <c r="BF262" s="7">
        <v>127323.954473516</v>
      </c>
      <c r="BG262" s="7">
        <f t="shared" si="335"/>
        <v>3088.0457583380589</v>
      </c>
      <c r="BI262" s="28">
        <v>20</v>
      </c>
      <c r="BJ262" s="26">
        <v>1.0000000000000001E-5</v>
      </c>
      <c r="BK262" s="28">
        <v>0.5</v>
      </c>
      <c r="BL262" s="28">
        <v>200</v>
      </c>
      <c r="BM262" s="26">
        <v>5.0000000000000004E-6</v>
      </c>
      <c r="BN262" s="26">
        <f t="shared" si="336"/>
        <v>2.5000000000000002E-6</v>
      </c>
      <c r="BO262" s="26">
        <f t="shared" si="337"/>
        <v>0.5</v>
      </c>
      <c r="BP262" s="7">
        <v>0.55973634479760104</v>
      </c>
      <c r="BQ262" s="7">
        <v>1192.0586917390101</v>
      </c>
      <c r="BR262" s="7">
        <v>687.90288040570601</v>
      </c>
      <c r="BS262" s="7">
        <v>1192.0586917390101</v>
      </c>
      <c r="BT262" s="7">
        <v>1020789.71686778</v>
      </c>
      <c r="BU262" s="7">
        <v>127323.954473516</v>
      </c>
      <c r="BV262" s="7">
        <f t="shared" si="338"/>
        <v>3072.0202638837263</v>
      </c>
      <c r="BX262" s="28">
        <v>20</v>
      </c>
      <c r="BY262" s="26">
        <v>5.0000000000000002E-5</v>
      </c>
      <c r="BZ262" s="28">
        <v>0.5</v>
      </c>
      <c r="CA262" s="28">
        <v>200</v>
      </c>
      <c r="CB262" s="26">
        <v>5.0000000000000004E-6</v>
      </c>
      <c r="CC262" s="26">
        <f t="shared" si="339"/>
        <v>2.5000000000000002E-6</v>
      </c>
      <c r="CD262" s="26">
        <f t="shared" si="340"/>
        <v>0.1</v>
      </c>
      <c r="CE262" s="7">
        <v>2.2456651907784502</v>
      </c>
      <c r="CF262" s="7">
        <v>238.41173833028401</v>
      </c>
      <c r="CG262" s="7">
        <v>137.580576081141</v>
      </c>
      <c r="CH262" s="7">
        <v>238.41173833028401</v>
      </c>
      <c r="CI262" s="7">
        <v>204157.947380445</v>
      </c>
      <c r="CJ262" s="7">
        <v>5092.9581789406502</v>
      </c>
      <c r="CK262" s="7">
        <f t="shared" si="341"/>
        <v>614.40405274170905</v>
      </c>
      <c r="CM262" s="28">
        <v>20</v>
      </c>
      <c r="CN262" s="26">
        <v>5.0000000000000002E-5</v>
      </c>
      <c r="CO262" s="28">
        <v>1</v>
      </c>
      <c r="CP262" s="28">
        <v>200</v>
      </c>
      <c r="CQ262" s="26">
        <v>5.0000000000000004E-6</v>
      </c>
      <c r="CR262" s="26">
        <f t="shared" si="342"/>
        <v>5.0000000000000004E-6</v>
      </c>
      <c r="CS262" s="26">
        <f t="shared" si="343"/>
        <v>0.2</v>
      </c>
      <c r="CT262" s="7">
        <v>2.3595322502550098</v>
      </c>
      <c r="CU262" s="7">
        <v>236.794372688691</v>
      </c>
      <c r="CV262" s="7">
        <v>135.57018035757301</v>
      </c>
      <c r="CW262" s="7">
        <v>236.794372688691</v>
      </c>
      <c r="CX262" s="7">
        <v>102078.973690222</v>
      </c>
      <c r="CY262" s="7">
        <v>5092.9581789406502</v>
      </c>
      <c r="CZ262" s="7">
        <f t="shared" si="344"/>
        <v>609.15892573495501</v>
      </c>
      <c r="DB262" s="28">
        <v>20</v>
      </c>
      <c r="DC262" s="26">
        <v>5.0000000000000002E-5</v>
      </c>
      <c r="DD262" s="28">
        <v>2</v>
      </c>
      <c r="DE262" s="28">
        <v>200</v>
      </c>
      <c r="DF262" s="26">
        <v>5.0000000000000004E-6</v>
      </c>
      <c r="DG262" s="26">
        <f t="shared" si="345"/>
        <v>1.0000000000000001E-5</v>
      </c>
      <c r="DH262" s="26">
        <f t="shared" si="346"/>
        <v>0.4</v>
      </c>
      <c r="DI262" s="7">
        <v>2.5872007820042802</v>
      </c>
      <c r="DJ262" s="7">
        <v>233.64718966736299</v>
      </c>
      <c r="DK262" s="7">
        <v>131.72072797829401</v>
      </c>
      <c r="DL262" s="7">
        <v>233.64718966736299</v>
      </c>
      <c r="DM262" s="7">
        <v>51039.486845111103</v>
      </c>
      <c r="DN262" s="7">
        <v>5092.9581789406502</v>
      </c>
      <c r="DO262" s="7">
        <f t="shared" si="347"/>
        <v>599.01510731302005</v>
      </c>
      <c r="DQ262" s="28">
        <v>20</v>
      </c>
      <c r="DR262" s="26">
        <v>5.0000000000000002E-5</v>
      </c>
      <c r="DS262" s="28">
        <v>15</v>
      </c>
      <c r="DT262" s="28">
        <v>300</v>
      </c>
      <c r="DU262" s="26">
        <v>2.5000000000000002E-6</v>
      </c>
      <c r="DV262" s="26">
        <f t="shared" si="348"/>
        <v>3.7500000000000003E-5</v>
      </c>
      <c r="DW262" s="26">
        <f t="shared" si="349"/>
        <v>1.5</v>
      </c>
      <c r="DX262" s="7">
        <v>6.9476034683266503</v>
      </c>
      <c r="DY262" s="7">
        <v>141.30482192536101</v>
      </c>
      <c r="DZ262" s="7">
        <v>71.560155029152398</v>
      </c>
      <c r="EA262" s="7">
        <v>141.30482192536101</v>
      </c>
      <c r="EB262" s="7">
        <v>6805.2649126814904</v>
      </c>
      <c r="EC262" s="7">
        <v>3055.7749073643899</v>
      </c>
      <c r="ED262" s="7">
        <f t="shared" si="350"/>
        <v>354.16979887987441</v>
      </c>
    </row>
    <row r="263" spans="1:134" x14ac:dyDescent="0.4">
      <c r="A263" s="28">
        <v>25</v>
      </c>
      <c r="B263" s="26">
        <v>1.0000000000000001E-5</v>
      </c>
      <c r="C263" s="28">
        <v>0.2</v>
      </c>
      <c r="D263" s="28">
        <v>30</v>
      </c>
      <c r="E263" s="26">
        <v>5.0000000000000004E-6</v>
      </c>
      <c r="F263" s="26">
        <f t="shared" si="324"/>
        <v>1.0000000000000002E-6</v>
      </c>
      <c r="G263" s="26">
        <f t="shared" si="325"/>
        <v>0.2</v>
      </c>
      <c r="H263" s="7">
        <v>0.48912053780108899</v>
      </c>
      <c r="I263" s="7">
        <v>5967.7070610572</v>
      </c>
      <c r="J263" s="7">
        <v>4769.5933204541298</v>
      </c>
      <c r="K263" s="7">
        <v>5967.7070610572</v>
      </c>
      <c r="L263" s="7">
        <v>3890230.9388607698</v>
      </c>
      <c r="M263" s="7">
        <v>127323.954473516</v>
      </c>
      <c r="N263" s="7">
        <f t="shared" si="326"/>
        <v>16705.007442568531</v>
      </c>
      <c r="P263" s="28">
        <v>25</v>
      </c>
      <c r="Q263" s="26">
        <v>3.0000000000000001E-5</v>
      </c>
      <c r="R263" s="28">
        <v>0.2</v>
      </c>
      <c r="S263" s="28">
        <v>30</v>
      </c>
      <c r="T263" s="26">
        <v>5.0000000000000004E-6</v>
      </c>
      <c r="U263" s="26">
        <f t="shared" si="327"/>
        <v>1.0000000000000002E-6</v>
      </c>
      <c r="V263" s="26">
        <f t="shared" si="328"/>
        <v>6.666666666666668E-2</v>
      </c>
      <c r="W263" s="7">
        <v>1.2532036486317299</v>
      </c>
      <c r="X263" s="7">
        <v>1989.2356869965699</v>
      </c>
      <c r="Y263" s="7">
        <v>1589.86444015137</v>
      </c>
      <c r="Z263" s="7">
        <v>1989.2356869965699</v>
      </c>
      <c r="AA263" s="7">
        <v>1296743.6482743199</v>
      </c>
      <c r="AB263" s="7">
        <v>14147.1060526129</v>
      </c>
      <c r="AC263" s="7">
        <f t="shared" si="329"/>
        <v>5568.3358141445096</v>
      </c>
      <c r="AE263" s="28">
        <v>25</v>
      </c>
      <c r="AF263" s="26">
        <v>5.0000000000000002E-5</v>
      </c>
      <c r="AG263" s="28">
        <v>0.2</v>
      </c>
      <c r="AH263" s="28">
        <v>30</v>
      </c>
      <c r="AI263" s="26">
        <v>5.0000000000000004E-6</v>
      </c>
      <c r="AJ263" s="26">
        <f t="shared" si="330"/>
        <v>1.0000000000000002E-6</v>
      </c>
      <c r="AK263" s="26">
        <f t="shared" si="331"/>
        <v>4.0000000000000008E-2</v>
      </c>
      <c r="AL263" s="7">
        <v>1.8663105888529301</v>
      </c>
      <c r="AM263" s="7">
        <v>1193.54141200751</v>
      </c>
      <c r="AN263" s="7">
        <v>953.91866409082502</v>
      </c>
      <c r="AO263" s="7">
        <v>1193.54141200751</v>
      </c>
      <c r="AP263" s="7">
        <v>778046.205790887</v>
      </c>
      <c r="AQ263" s="7">
        <v>5092.9581789406502</v>
      </c>
      <c r="AR263" s="7">
        <f t="shared" si="332"/>
        <v>3341.0014881058451</v>
      </c>
      <c r="AT263" s="28">
        <v>25</v>
      </c>
      <c r="AU263" s="26">
        <v>1.0000000000000001E-5</v>
      </c>
      <c r="AV263" s="28">
        <v>0.2</v>
      </c>
      <c r="AW263" s="28">
        <v>200</v>
      </c>
      <c r="AX263" s="26">
        <v>5.0000000000000004E-6</v>
      </c>
      <c r="AY263" s="26">
        <f t="shared" si="333"/>
        <v>1.0000000000000002E-6</v>
      </c>
      <c r="AZ263" s="26">
        <f t="shared" si="334"/>
        <v>0.2</v>
      </c>
      <c r="BA263" s="7">
        <v>0.51430430734189703</v>
      </c>
      <c r="BB263" s="7">
        <v>904.92261526204402</v>
      </c>
      <c r="BC263" s="7">
        <v>729.47946385146201</v>
      </c>
      <c r="BD263" s="7">
        <v>904.92261526204402</v>
      </c>
      <c r="BE263" s="7">
        <v>3890230.9388607698</v>
      </c>
      <c r="BF263" s="7">
        <v>127323.954473516</v>
      </c>
      <c r="BG263" s="7">
        <f t="shared" si="335"/>
        <v>2539.3246943755503</v>
      </c>
      <c r="BI263" s="28">
        <v>25</v>
      </c>
      <c r="BJ263" s="26">
        <v>1.0000000000000001E-5</v>
      </c>
      <c r="BK263" s="28">
        <v>0.5</v>
      </c>
      <c r="BL263" s="28">
        <v>200</v>
      </c>
      <c r="BM263" s="26">
        <v>5.0000000000000004E-6</v>
      </c>
      <c r="BN263" s="26">
        <f t="shared" si="336"/>
        <v>2.5000000000000002E-6</v>
      </c>
      <c r="BO263" s="26">
        <f t="shared" si="337"/>
        <v>0.5</v>
      </c>
      <c r="BP263" s="7">
        <v>0.562160274646617</v>
      </c>
      <c r="BQ263" s="7">
        <v>902.31159397251201</v>
      </c>
      <c r="BR263" s="7">
        <v>725.70943403112403</v>
      </c>
      <c r="BS263" s="7">
        <v>902.31159397251201</v>
      </c>
      <c r="BT263" s="7">
        <v>1556092.3755443101</v>
      </c>
      <c r="BU263" s="7">
        <v>127323.954473516</v>
      </c>
      <c r="BV263" s="7">
        <f t="shared" si="338"/>
        <v>2530.3326219761479</v>
      </c>
      <c r="BX263" s="28">
        <v>25</v>
      </c>
      <c r="BY263" s="26">
        <v>5.0000000000000002E-5</v>
      </c>
      <c r="BZ263" s="28">
        <v>0.5</v>
      </c>
      <c r="CA263" s="28">
        <v>200</v>
      </c>
      <c r="CB263" s="26">
        <v>5.0000000000000004E-6</v>
      </c>
      <c r="CC263" s="26">
        <f t="shared" si="339"/>
        <v>2.5000000000000002E-6</v>
      </c>
      <c r="CD263" s="26">
        <f t="shared" si="340"/>
        <v>0.1</v>
      </c>
      <c r="CE263" s="7">
        <v>2.4005379823106998</v>
      </c>
      <c r="CF263" s="7">
        <v>180.46231878283399</v>
      </c>
      <c r="CG263" s="7">
        <v>145.14188680622499</v>
      </c>
      <c r="CH263" s="7">
        <v>180.46231878283399</v>
      </c>
      <c r="CI263" s="7">
        <v>311218.48231635499</v>
      </c>
      <c r="CJ263" s="7">
        <v>5092.9581789406502</v>
      </c>
      <c r="CK263" s="7">
        <f t="shared" si="341"/>
        <v>506.06652437189302</v>
      </c>
      <c r="CM263" s="28">
        <v>25</v>
      </c>
      <c r="CN263" s="26">
        <v>5.0000000000000002E-5</v>
      </c>
      <c r="CO263" s="28">
        <v>1</v>
      </c>
      <c r="CP263" s="28">
        <v>200</v>
      </c>
      <c r="CQ263" s="26">
        <v>5.0000000000000004E-6</v>
      </c>
      <c r="CR263" s="26">
        <f t="shared" si="342"/>
        <v>5.0000000000000004E-6</v>
      </c>
      <c r="CS263" s="26">
        <f t="shared" si="343"/>
        <v>0.2</v>
      </c>
      <c r="CT263" s="7">
        <v>2.48091327290456</v>
      </c>
      <c r="CU263" s="7">
        <v>179.60025764253999</v>
      </c>
      <c r="CV263" s="7">
        <v>143.90240734913101</v>
      </c>
      <c r="CW263" s="7">
        <v>179.60025764253999</v>
      </c>
      <c r="CX263" s="7">
        <v>155609.241158177</v>
      </c>
      <c r="CY263" s="7">
        <v>5092.9581789406502</v>
      </c>
      <c r="CZ263" s="7">
        <f t="shared" si="344"/>
        <v>503.10292263421098</v>
      </c>
      <c r="DB263" s="28">
        <v>25</v>
      </c>
      <c r="DC263" s="26">
        <v>5.0000000000000002E-5</v>
      </c>
      <c r="DD263" s="28">
        <v>2</v>
      </c>
      <c r="DE263" s="28">
        <v>200</v>
      </c>
      <c r="DF263" s="26">
        <v>5.0000000000000004E-6</v>
      </c>
      <c r="DG263" s="26">
        <f t="shared" si="345"/>
        <v>1.0000000000000001E-5</v>
      </c>
      <c r="DH263" s="26">
        <f t="shared" si="346"/>
        <v>0.4</v>
      </c>
      <c r="DI263" s="7">
        <v>2.64163815314412</v>
      </c>
      <c r="DJ263" s="7">
        <v>177.90643586546901</v>
      </c>
      <c r="DK263" s="7">
        <v>141.48598257191699</v>
      </c>
      <c r="DL263" s="7">
        <v>177.90643586546901</v>
      </c>
      <c r="DM263" s="7">
        <v>77804.620579088703</v>
      </c>
      <c r="DN263" s="7">
        <v>5092.9581789406502</v>
      </c>
      <c r="DO263" s="7">
        <f t="shared" si="347"/>
        <v>497.29885430285503</v>
      </c>
      <c r="DQ263" s="28">
        <v>25</v>
      </c>
      <c r="DR263" s="26">
        <v>5.0000000000000002E-5</v>
      </c>
      <c r="DS263" s="28">
        <v>15</v>
      </c>
      <c r="DT263" s="28">
        <v>300</v>
      </c>
      <c r="DU263" s="26">
        <v>2.5000000000000002E-6</v>
      </c>
      <c r="DV263" s="26">
        <f t="shared" si="348"/>
        <v>3.7500000000000003E-5</v>
      </c>
      <c r="DW263" s="26">
        <f t="shared" si="349"/>
        <v>1.5</v>
      </c>
      <c r="DX263" s="7">
        <v>6.2597388990835903</v>
      </c>
      <c r="DY263" s="7">
        <v>110.42994925436599</v>
      </c>
      <c r="DZ263" s="7">
        <v>83.155364315094602</v>
      </c>
      <c r="EA263" s="7">
        <v>110.42994925436599</v>
      </c>
      <c r="EB263" s="7">
        <v>10373.949410545199</v>
      </c>
      <c r="EC263" s="7">
        <v>3055.7749073643899</v>
      </c>
      <c r="ED263" s="7">
        <f t="shared" si="350"/>
        <v>304.01526282382656</v>
      </c>
    </row>
    <row r="264" spans="1:134" x14ac:dyDescent="0.4">
      <c r="A264" s="28">
        <v>30</v>
      </c>
      <c r="B264" s="26">
        <v>1.0000000000000001E-5</v>
      </c>
      <c r="C264" s="28">
        <v>0.2</v>
      </c>
      <c r="D264" s="28">
        <v>30</v>
      </c>
      <c r="E264" s="26">
        <v>5.0000000000000004E-6</v>
      </c>
      <c r="F264" s="26">
        <f t="shared" si="324"/>
        <v>1.0000000000000002E-6</v>
      </c>
      <c r="G264" s="26">
        <f t="shared" si="325"/>
        <v>0.2</v>
      </c>
      <c r="H264" s="7">
        <v>0.51204239101968296</v>
      </c>
      <c r="I264" s="7">
        <v>4807.3324198337996</v>
      </c>
      <c r="J264" s="7">
        <v>4988.6125859415297</v>
      </c>
      <c r="K264" s="7">
        <v>4807.3324198337996</v>
      </c>
      <c r="L264" s="7">
        <v>5893089.4851508904</v>
      </c>
      <c r="M264" s="7">
        <v>127323.954473516</v>
      </c>
      <c r="N264" s="7">
        <f t="shared" si="326"/>
        <v>14603.277425609129</v>
      </c>
      <c r="P264" s="28">
        <v>30</v>
      </c>
      <c r="Q264" s="26">
        <v>3.0000000000000001E-5</v>
      </c>
      <c r="R264" s="28">
        <v>0.2</v>
      </c>
      <c r="S264" s="28">
        <v>30</v>
      </c>
      <c r="T264" s="26">
        <v>5.0000000000000004E-6</v>
      </c>
      <c r="U264" s="26">
        <f t="shared" si="327"/>
        <v>1.0000000000000002E-6</v>
      </c>
      <c r="V264" s="26">
        <f t="shared" si="328"/>
        <v>6.666666666666668E-2</v>
      </c>
      <c r="W264" s="7">
        <v>1.3476271523788601</v>
      </c>
      <c r="X264" s="7">
        <v>1602.4441399274999</v>
      </c>
      <c r="Y264" s="7">
        <v>1662.87086198051</v>
      </c>
      <c r="Z264" s="7">
        <v>1602.4441399274999</v>
      </c>
      <c r="AA264" s="7">
        <v>1964363.1651242101</v>
      </c>
      <c r="AB264" s="7">
        <v>14147.1060526129</v>
      </c>
      <c r="AC264" s="7">
        <f t="shared" si="329"/>
        <v>4867.7591418355096</v>
      </c>
      <c r="AE264" s="28">
        <v>30</v>
      </c>
      <c r="AF264" s="26">
        <v>5.0000000000000002E-5</v>
      </c>
      <c r="AG264" s="28">
        <v>0.2</v>
      </c>
      <c r="AH264" s="28">
        <v>30</v>
      </c>
      <c r="AI264" s="26">
        <v>5.0000000000000004E-6</v>
      </c>
      <c r="AJ264" s="26">
        <f t="shared" si="330"/>
        <v>1.0000000000000002E-6</v>
      </c>
      <c r="AK264" s="26">
        <f t="shared" si="331"/>
        <v>4.0000000000000008E-2</v>
      </c>
      <c r="AL264" s="7">
        <v>2.0342512089257898</v>
      </c>
      <c r="AM264" s="7">
        <v>961.46648381169098</v>
      </c>
      <c r="AN264" s="7">
        <v>997.72251718830603</v>
      </c>
      <c r="AO264" s="7">
        <v>961.46648381169098</v>
      </c>
      <c r="AP264" s="7">
        <v>1178617.9279219799</v>
      </c>
      <c r="AQ264" s="7">
        <v>5092.9581789406502</v>
      </c>
      <c r="AR264" s="7">
        <f t="shared" si="332"/>
        <v>2920.655484811688</v>
      </c>
      <c r="AT264" s="28">
        <v>30</v>
      </c>
      <c r="AU264" s="26">
        <v>1.0000000000000001E-5</v>
      </c>
      <c r="AV264" s="28">
        <v>0.2</v>
      </c>
      <c r="AW264" s="28">
        <v>200</v>
      </c>
      <c r="AX264" s="26">
        <v>5.0000000000000004E-6</v>
      </c>
      <c r="AY264" s="26">
        <f t="shared" si="333"/>
        <v>1.0000000000000002E-6</v>
      </c>
      <c r="AZ264" s="26">
        <f t="shared" si="334"/>
        <v>0.2</v>
      </c>
      <c r="BA264" s="7">
        <v>0.535662390308839</v>
      </c>
      <c r="BB264" s="7">
        <v>727.37388968977803</v>
      </c>
      <c r="BC264" s="7">
        <v>758.42598130330396</v>
      </c>
      <c r="BD264" s="7">
        <v>727.37388968977803</v>
      </c>
      <c r="BE264" s="7">
        <v>5893089.4851508904</v>
      </c>
      <c r="BF264" s="7">
        <v>127323.954473516</v>
      </c>
      <c r="BG264" s="7">
        <f t="shared" si="335"/>
        <v>2213.1737606828601</v>
      </c>
      <c r="BI264" s="28">
        <v>30</v>
      </c>
      <c r="BJ264" s="26">
        <v>1.0000000000000001E-5</v>
      </c>
      <c r="BK264" s="28">
        <v>0.5</v>
      </c>
      <c r="BL264" s="28">
        <v>200</v>
      </c>
      <c r="BM264" s="26">
        <v>5.0000000000000004E-6</v>
      </c>
      <c r="BN264" s="26">
        <f t="shared" si="336"/>
        <v>2.5000000000000002E-6</v>
      </c>
      <c r="BO264" s="26">
        <f t="shared" si="337"/>
        <v>0.5</v>
      </c>
      <c r="BP264" s="7">
        <v>0.56923349860392203</v>
      </c>
      <c r="BQ264" s="7">
        <v>725.70064173773096</v>
      </c>
      <c r="BR264" s="7">
        <v>755.71672459466504</v>
      </c>
      <c r="BS264" s="7">
        <v>725.70064173773096</v>
      </c>
      <c r="BT264" s="7">
        <v>2357235.7940603602</v>
      </c>
      <c r="BU264" s="7">
        <v>127323.954473516</v>
      </c>
      <c r="BV264" s="7">
        <f t="shared" si="338"/>
        <v>2207.118008070127</v>
      </c>
      <c r="BX264" s="28">
        <v>30</v>
      </c>
      <c r="BY264" s="26">
        <v>5.0000000000000002E-5</v>
      </c>
      <c r="BZ264" s="28">
        <v>0.5</v>
      </c>
      <c r="CA264" s="28">
        <v>200</v>
      </c>
      <c r="CB264" s="26">
        <v>5.0000000000000004E-6</v>
      </c>
      <c r="CC264" s="26">
        <f t="shared" si="339"/>
        <v>2.5000000000000002E-6</v>
      </c>
      <c r="CD264" s="26">
        <f t="shared" si="340"/>
        <v>0.1</v>
      </c>
      <c r="CE264" s="7">
        <v>2.53715752428214</v>
      </c>
      <c r="CF264" s="7">
        <v>145.140128338708</v>
      </c>
      <c r="CG264" s="7">
        <v>151.143344918933</v>
      </c>
      <c r="CH264" s="7">
        <v>145.140128338708</v>
      </c>
      <c r="CI264" s="7">
        <v>471447.17116879002</v>
      </c>
      <c r="CJ264" s="7">
        <v>5092.9581789406502</v>
      </c>
      <c r="CK264" s="7">
        <f t="shared" si="341"/>
        <v>441.42360159634899</v>
      </c>
      <c r="CM264" s="28">
        <v>30</v>
      </c>
      <c r="CN264" s="26">
        <v>5.0000000000000002E-5</v>
      </c>
      <c r="CO264" s="28">
        <v>1</v>
      </c>
      <c r="CP264" s="28">
        <v>200</v>
      </c>
      <c r="CQ264" s="26">
        <v>5.0000000000000004E-6</v>
      </c>
      <c r="CR264" s="26">
        <f t="shared" si="342"/>
        <v>5.0000000000000004E-6</v>
      </c>
      <c r="CS264" s="26">
        <f t="shared" si="343"/>
        <v>0.2</v>
      </c>
      <c r="CT264" s="7">
        <v>2.5935567057426301</v>
      </c>
      <c r="CU264" s="7">
        <v>144.58638467526899</v>
      </c>
      <c r="CV264" s="7">
        <v>150.24883810203599</v>
      </c>
      <c r="CW264" s="7">
        <v>144.58638467526899</v>
      </c>
      <c r="CX264" s="7">
        <v>235723.58558439501</v>
      </c>
      <c r="CY264" s="7">
        <v>5092.9581789406502</v>
      </c>
      <c r="CZ264" s="7">
        <f t="shared" si="344"/>
        <v>439.42160745257399</v>
      </c>
      <c r="DB264" s="28">
        <v>30</v>
      </c>
      <c r="DC264" s="26">
        <v>5.0000000000000002E-5</v>
      </c>
      <c r="DD264" s="28">
        <v>2</v>
      </c>
      <c r="DE264" s="28">
        <v>200</v>
      </c>
      <c r="DF264" s="26">
        <v>5.0000000000000004E-6</v>
      </c>
      <c r="DG264" s="26">
        <f t="shared" si="345"/>
        <v>1.0000000000000001E-5</v>
      </c>
      <c r="DH264" s="26">
        <f t="shared" si="346"/>
        <v>0.4</v>
      </c>
      <c r="DI264" s="7">
        <v>2.7063413400801899</v>
      </c>
      <c r="DJ264" s="7">
        <v>143.493651420682</v>
      </c>
      <c r="DK264" s="7">
        <v>148.49131311393799</v>
      </c>
      <c r="DL264" s="7">
        <v>143.493651420682</v>
      </c>
      <c r="DM264" s="7">
        <v>117861.792792198</v>
      </c>
      <c r="DN264" s="7">
        <v>5092.9581789406502</v>
      </c>
      <c r="DO264" s="7">
        <f t="shared" si="347"/>
        <v>435.47861595530196</v>
      </c>
      <c r="DQ264" s="28">
        <v>30</v>
      </c>
      <c r="DR264" s="26">
        <v>5.0000000000000002E-5</v>
      </c>
      <c r="DS264" s="28">
        <v>15</v>
      </c>
      <c r="DT264" s="28">
        <v>300</v>
      </c>
      <c r="DU264" s="26">
        <v>2.5000000000000002E-6</v>
      </c>
      <c r="DV264" s="26">
        <f t="shared" si="348"/>
        <v>3.7500000000000003E-5</v>
      </c>
      <c r="DW264" s="26">
        <f t="shared" si="349"/>
        <v>1.5</v>
      </c>
      <c r="DX264" s="7">
        <v>5.8093077581572796</v>
      </c>
      <c r="DY264" s="7">
        <v>90.265822408235607</v>
      </c>
      <c r="DZ264" s="7">
        <v>90.525422516156297</v>
      </c>
      <c r="EA264" s="7">
        <v>90.265822408235607</v>
      </c>
      <c r="EB264" s="7">
        <v>15714.905705626299</v>
      </c>
      <c r="EC264" s="7">
        <v>3055.7749073643899</v>
      </c>
      <c r="ED264" s="7">
        <f t="shared" si="350"/>
        <v>271.05706733262753</v>
      </c>
    </row>
    <row r="265" spans="1:134" x14ac:dyDescent="0.4">
      <c r="A265" s="28">
        <v>35</v>
      </c>
      <c r="B265" s="26">
        <v>1.0000000000000001E-5</v>
      </c>
      <c r="C265" s="28">
        <v>0.2</v>
      </c>
      <c r="D265" s="28">
        <v>30</v>
      </c>
      <c r="E265" s="26">
        <v>5.0000000000000004E-6</v>
      </c>
      <c r="F265" s="26">
        <f t="shared" si="324"/>
        <v>1.0000000000000002E-6</v>
      </c>
      <c r="G265" s="26">
        <f t="shared" si="325"/>
        <v>0.2</v>
      </c>
      <c r="H265" s="7">
        <v>0.53377840829074796</v>
      </c>
      <c r="I265" s="7">
        <v>3984.07853527202</v>
      </c>
      <c r="J265" s="7">
        <v>5168.7820727017497</v>
      </c>
      <c r="K265" s="7">
        <v>3984.07853527202</v>
      </c>
      <c r="L265" s="7">
        <v>8973470.5022608098</v>
      </c>
      <c r="M265" s="7">
        <v>127323.954473516</v>
      </c>
      <c r="N265" s="7">
        <f t="shared" si="326"/>
        <v>13136.939143245789</v>
      </c>
      <c r="P265" s="28">
        <v>35</v>
      </c>
      <c r="Q265" s="26">
        <v>3.0000000000000001E-5</v>
      </c>
      <c r="R265" s="28">
        <v>0.2</v>
      </c>
      <c r="S265" s="28">
        <v>30</v>
      </c>
      <c r="T265" s="26">
        <v>5.0000000000000004E-6</v>
      </c>
      <c r="U265" s="26">
        <f t="shared" si="327"/>
        <v>1.0000000000000002E-6</v>
      </c>
      <c r="V265" s="26">
        <f t="shared" si="328"/>
        <v>6.666666666666668E-2</v>
      </c>
      <c r="W265" s="7">
        <v>1.4314686603323601</v>
      </c>
      <c r="X265" s="7">
        <v>1328.02617841029</v>
      </c>
      <c r="Y265" s="7">
        <v>1722.9273575672501</v>
      </c>
      <c r="Z265" s="7">
        <v>1328.02617841029</v>
      </c>
      <c r="AA265" s="7">
        <v>2991156.8397606201</v>
      </c>
      <c r="AB265" s="7">
        <v>14147.1060526129</v>
      </c>
      <c r="AC265" s="7">
        <f t="shared" si="329"/>
        <v>4378.9797143878295</v>
      </c>
      <c r="AE265" s="28">
        <v>35</v>
      </c>
      <c r="AF265" s="26">
        <v>5.0000000000000002E-5</v>
      </c>
      <c r="AG265" s="28">
        <v>0.2</v>
      </c>
      <c r="AH265" s="28">
        <v>30</v>
      </c>
      <c r="AI265" s="26">
        <v>5.0000000000000004E-6</v>
      </c>
      <c r="AJ265" s="26">
        <f t="shared" si="330"/>
        <v>1.0000000000000002E-6</v>
      </c>
      <c r="AK265" s="26">
        <f t="shared" si="331"/>
        <v>4.0000000000000008E-2</v>
      </c>
      <c r="AL265" s="7">
        <v>2.18190069304972</v>
      </c>
      <c r="AM265" s="7">
        <v>796.81570693005597</v>
      </c>
      <c r="AN265" s="7">
        <v>1033.7564145403501</v>
      </c>
      <c r="AO265" s="7">
        <v>796.81570693005597</v>
      </c>
      <c r="AP265" s="7">
        <v>1794694.1518928199</v>
      </c>
      <c r="AQ265" s="7">
        <v>5092.9581789406502</v>
      </c>
      <c r="AR265" s="7">
        <f t="shared" si="332"/>
        <v>2627.3878284004622</v>
      </c>
      <c r="AT265" s="28">
        <v>35</v>
      </c>
      <c r="AU265" s="26">
        <v>1.0000000000000001E-5</v>
      </c>
      <c r="AV265" s="28">
        <v>0.2</v>
      </c>
      <c r="AW265" s="28">
        <v>200</v>
      </c>
      <c r="AX265" s="26">
        <v>5.0000000000000004E-6</v>
      </c>
      <c r="AY265" s="26">
        <f t="shared" si="333"/>
        <v>1.0000000000000002E-6</v>
      </c>
      <c r="AZ265" s="26">
        <f t="shared" si="334"/>
        <v>0.2</v>
      </c>
      <c r="BA265" s="7">
        <v>0.55629697012516399</v>
      </c>
      <c r="BB265" s="7">
        <v>602.00500937137394</v>
      </c>
      <c r="BC265" s="7">
        <v>783.15203621901901</v>
      </c>
      <c r="BD265" s="7">
        <v>602.00500937137394</v>
      </c>
      <c r="BE265" s="7">
        <v>8973470.5022608098</v>
      </c>
      <c r="BF265" s="7">
        <v>127323.954473516</v>
      </c>
      <c r="BG265" s="7">
        <f t="shared" si="335"/>
        <v>1987.1620549617669</v>
      </c>
      <c r="BI265" s="28">
        <v>35</v>
      </c>
      <c r="BJ265" s="26">
        <v>1.0000000000000001E-5</v>
      </c>
      <c r="BK265" s="28">
        <v>0.5</v>
      </c>
      <c r="BL265" s="28">
        <v>200</v>
      </c>
      <c r="BM265" s="26">
        <v>5.0000000000000004E-6</v>
      </c>
      <c r="BN265" s="26">
        <f t="shared" si="336"/>
        <v>2.5000000000000002E-6</v>
      </c>
      <c r="BO265" s="26">
        <f t="shared" si="337"/>
        <v>0.5</v>
      </c>
      <c r="BP265" s="7">
        <v>0.57950733600242599</v>
      </c>
      <c r="BQ265" s="7">
        <v>600.83500597989303</v>
      </c>
      <c r="BR265" s="7">
        <v>781.06268252331097</v>
      </c>
      <c r="BS265" s="7">
        <v>600.83500597989303</v>
      </c>
      <c r="BT265" s="7">
        <v>3589388.20090432</v>
      </c>
      <c r="BU265" s="7">
        <v>127323.954473516</v>
      </c>
      <c r="BV265" s="7">
        <f t="shared" si="338"/>
        <v>1982.732694483097</v>
      </c>
      <c r="BX265" s="28">
        <v>35</v>
      </c>
      <c r="BY265" s="26">
        <v>5.0000000000000002E-5</v>
      </c>
      <c r="BZ265" s="28">
        <v>0.5</v>
      </c>
      <c r="CA265" s="28">
        <v>200</v>
      </c>
      <c r="CB265" s="26">
        <v>5.0000000000000004E-6</v>
      </c>
      <c r="CC265" s="26">
        <f t="shared" si="339"/>
        <v>2.5000000000000002E-6</v>
      </c>
      <c r="CD265" s="26">
        <f t="shared" si="340"/>
        <v>0.1</v>
      </c>
      <c r="CE265" s="7">
        <v>2.6617977680515001</v>
      </c>
      <c r="CF265" s="7">
        <v>120.167001188906</v>
      </c>
      <c r="CG265" s="7">
        <v>156.21253650466201</v>
      </c>
      <c r="CH265" s="7">
        <v>120.167001188906</v>
      </c>
      <c r="CI265" s="7">
        <v>717877.66075713001</v>
      </c>
      <c r="CJ265" s="7">
        <v>5092.9581789406502</v>
      </c>
      <c r="CK265" s="7">
        <f t="shared" si="341"/>
        <v>396.54653888247401</v>
      </c>
      <c r="CM265" s="28">
        <v>35</v>
      </c>
      <c r="CN265" s="26">
        <v>5.0000000000000002E-5</v>
      </c>
      <c r="CO265" s="28">
        <v>1</v>
      </c>
      <c r="CP265" s="28">
        <v>200</v>
      </c>
      <c r="CQ265" s="26">
        <v>5.0000000000000004E-6</v>
      </c>
      <c r="CR265" s="26">
        <f t="shared" si="342"/>
        <v>5.0000000000000004E-6</v>
      </c>
      <c r="CS265" s="26">
        <f t="shared" si="343"/>
        <v>0.2</v>
      </c>
      <c r="CT265" s="7">
        <v>2.7008298217012099</v>
      </c>
      <c r="CU265" s="7">
        <v>119.779274796552</v>
      </c>
      <c r="CV265" s="7">
        <v>155.521045898078</v>
      </c>
      <c r="CW265" s="7">
        <v>119.779274796552</v>
      </c>
      <c r="CX265" s="7">
        <v>358938.83037856501</v>
      </c>
      <c r="CY265" s="7">
        <v>5092.9581789406502</v>
      </c>
      <c r="CZ265" s="7">
        <f t="shared" si="344"/>
        <v>395.07959549118198</v>
      </c>
      <c r="DB265" s="28">
        <v>35</v>
      </c>
      <c r="DC265" s="26">
        <v>5.0000000000000002E-5</v>
      </c>
      <c r="DD265" s="28">
        <v>2</v>
      </c>
      <c r="DE265" s="28">
        <v>200</v>
      </c>
      <c r="DF265" s="26">
        <v>5.0000000000000004E-6</v>
      </c>
      <c r="DG265" s="26">
        <f t="shared" si="345"/>
        <v>1.0000000000000001E-5</v>
      </c>
      <c r="DH265" s="26">
        <f t="shared" si="346"/>
        <v>0.4</v>
      </c>
      <c r="DI265" s="7">
        <v>2.7788855180437602</v>
      </c>
      <c r="DJ265" s="7">
        <v>119.01223137089301</v>
      </c>
      <c r="DK265" s="7">
        <v>154.156369850555</v>
      </c>
      <c r="DL265" s="7">
        <v>119.01223137089301</v>
      </c>
      <c r="DM265" s="7">
        <v>179469.41518928201</v>
      </c>
      <c r="DN265" s="7">
        <v>5092.9581789406502</v>
      </c>
      <c r="DO265" s="7">
        <f t="shared" si="347"/>
        <v>392.18083259234101</v>
      </c>
      <c r="DQ265" s="28">
        <v>35</v>
      </c>
      <c r="DR265" s="26">
        <v>5.0000000000000002E-5</v>
      </c>
      <c r="DS265" s="28">
        <v>15</v>
      </c>
      <c r="DT265" s="28">
        <v>300</v>
      </c>
      <c r="DU265" s="26">
        <v>2.5000000000000002E-6</v>
      </c>
      <c r="DV265" s="26">
        <f t="shared" si="348"/>
        <v>3.7500000000000003E-5</v>
      </c>
      <c r="DW265" s="26">
        <f t="shared" si="349"/>
        <v>1.5</v>
      </c>
      <c r="DX265" s="7">
        <v>5.5256729284761104</v>
      </c>
      <c r="DY265" s="7">
        <v>75.5008244304708</v>
      </c>
      <c r="DZ265" s="7">
        <v>96.032312732024195</v>
      </c>
      <c r="EA265" s="7">
        <v>75.5008244304708</v>
      </c>
      <c r="EB265" s="7">
        <v>23929.255358571001</v>
      </c>
      <c r="EC265" s="7">
        <v>3055.7749073643899</v>
      </c>
      <c r="ED265" s="7">
        <f t="shared" si="350"/>
        <v>247.0339615929658</v>
      </c>
    </row>
    <row r="266" spans="1:134" x14ac:dyDescent="0.4">
      <c r="A266" s="28">
        <v>40</v>
      </c>
      <c r="B266" s="26">
        <v>1.0000000000000001E-5</v>
      </c>
      <c r="C266" s="28">
        <v>0.2</v>
      </c>
      <c r="D266" s="28">
        <v>30</v>
      </c>
      <c r="E266" s="26">
        <v>5.0000000000000004E-6</v>
      </c>
      <c r="F266" s="26">
        <f t="shared" si="324"/>
        <v>1.0000000000000002E-6</v>
      </c>
      <c r="G266" s="26">
        <f t="shared" si="325"/>
        <v>0.2</v>
      </c>
      <c r="H266" s="7">
        <v>0.55458598812395199</v>
      </c>
      <c r="I266" s="7">
        <v>3352.9677929484601</v>
      </c>
      <c r="J266" s="7">
        <v>5323.5334580216904</v>
      </c>
      <c r="K266" s="7">
        <v>3352.9677929484601</v>
      </c>
      <c r="L266" s="7">
        <v>13908939.478979601</v>
      </c>
      <c r="M266" s="7">
        <v>127323.954473516</v>
      </c>
      <c r="N266" s="7">
        <f t="shared" si="326"/>
        <v>12029.469043918611</v>
      </c>
      <c r="P266" s="28">
        <v>40</v>
      </c>
      <c r="Q266" s="26">
        <v>3.0000000000000001E-5</v>
      </c>
      <c r="R266" s="28">
        <v>0.2</v>
      </c>
      <c r="S266" s="28">
        <v>30</v>
      </c>
      <c r="T266" s="26">
        <v>5.0000000000000004E-6</v>
      </c>
      <c r="U266" s="26">
        <f t="shared" si="327"/>
        <v>1.0000000000000002E-6</v>
      </c>
      <c r="V266" s="26">
        <f t="shared" si="328"/>
        <v>6.666666666666668E-2</v>
      </c>
      <c r="W266" s="7">
        <v>1.5078029691313499</v>
      </c>
      <c r="X266" s="7">
        <v>1117.6559309715101</v>
      </c>
      <c r="Y266" s="7">
        <v>1774.5111526738999</v>
      </c>
      <c r="Z266" s="7">
        <v>1117.6559309715101</v>
      </c>
      <c r="AA266" s="7">
        <v>4636313.1689486196</v>
      </c>
      <c r="AB266" s="7">
        <v>14147.1060526129</v>
      </c>
      <c r="AC266" s="7">
        <f t="shared" si="329"/>
        <v>4009.8230146169199</v>
      </c>
      <c r="AE266" s="28">
        <v>40</v>
      </c>
      <c r="AF266" s="26">
        <v>5.0000000000000002E-5</v>
      </c>
      <c r="AG266" s="28">
        <v>0.2</v>
      </c>
      <c r="AH266" s="28">
        <v>30</v>
      </c>
      <c r="AI266" s="26">
        <v>5.0000000000000004E-6</v>
      </c>
      <c r="AJ266" s="26">
        <f t="shared" si="330"/>
        <v>1.0000000000000002E-6</v>
      </c>
      <c r="AK266" s="26">
        <f t="shared" si="331"/>
        <v>4.0000000000000008E-2</v>
      </c>
      <c r="AL266" s="7">
        <v>2.3153164297404998</v>
      </c>
      <c r="AM266" s="7">
        <v>670.59355848720395</v>
      </c>
      <c r="AN266" s="7">
        <v>1064.70669160434</v>
      </c>
      <c r="AO266" s="7">
        <v>670.59355848720395</v>
      </c>
      <c r="AP266" s="7">
        <v>2781787.9800138599</v>
      </c>
      <c r="AQ266" s="7">
        <v>5092.9581789406502</v>
      </c>
      <c r="AR266" s="7">
        <f t="shared" si="332"/>
        <v>2405.8938085787481</v>
      </c>
      <c r="AT266" s="28">
        <v>40</v>
      </c>
      <c r="AU266" s="26">
        <v>1.0000000000000001E-5</v>
      </c>
      <c r="AV266" s="28">
        <v>0.2</v>
      </c>
      <c r="AW266" s="28">
        <v>200</v>
      </c>
      <c r="AX266" s="26">
        <v>5.0000000000000004E-6</v>
      </c>
      <c r="AY266" s="26">
        <f t="shared" si="333"/>
        <v>1.0000000000000002E-6</v>
      </c>
      <c r="AZ266" s="26">
        <f t="shared" si="334"/>
        <v>0.2</v>
      </c>
      <c r="BA266" s="7">
        <v>0.57625389999521404</v>
      </c>
      <c r="BB266" s="7">
        <v>506.171357939058</v>
      </c>
      <c r="BC266" s="7">
        <v>804.808472591532</v>
      </c>
      <c r="BD266" s="7">
        <v>506.171357939058</v>
      </c>
      <c r="BE266" s="7">
        <v>13908939.478979601</v>
      </c>
      <c r="BF266" s="7">
        <v>127323.954473516</v>
      </c>
      <c r="BG266" s="7">
        <f t="shared" si="335"/>
        <v>1817.1511884696479</v>
      </c>
      <c r="BI266" s="28">
        <v>40</v>
      </c>
      <c r="BJ266" s="26">
        <v>1.0000000000000001E-5</v>
      </c>
      <c r="BK266" s="28">
        <v>0.5</v>
      </c>
      <c r="BL266" s="28">
        <v>200</v>
      </c>
      <c r="BM266" s="26">
        <v>5.0000000000000004E-6</v>
      </c>
      <c r="BN266" s="26">
        <f t="shared" si="336"/>
        <v>2.5000000000000002E-6</v>
      </c>
      <c r="BO266" s="26">
        <f t="shared" si="337"/>
        <v>0.5</v>
      </c>
      <c r="BP266" s="7">
        <v>0.59191101607443497</v>
      </c>
      <c r="BQ266" s="7">
        <v>505.31296257696903</v>
      </c>
      <c r="BR266" s="7">
        <v>803.13685140779603</v>
      </c>
      <c r="BS266" s="7">
        <v>505.31296257696903</v>
      </c>
      <c r="BT266" s="7">
        <v>5563575.7915918296</v>
      </c>
      <c r="BU266" s="7">
        <v>127323.954473516</v>
      </c>
      <c r="BV266" s="7">
        <f t="shared" si="338"/>
        <v>1813.7627765617342</v>
      </c>
      <c r="BX266" s="28">
        <v>40</v>
      </c>
      <c r="BY266" s="26">
        <v>5.0000000000000002E-5</v>
      </c>
      <c r="BZ266" s="28">
        <v>0.5</v>
      </c>
      <c r="CA266" s="28">
        <v>200</v>
      </c>
      <c r="CB266" s="26">
        <v>5.0000000000000004E-6</v>
      </c>
      <c r="CC266" s="26">
        <f t="shared" si="339"/>
        <v>2.5000000000000002E-6</v>
      </c>
      <c r="CD266" s="26">
        <f t="shared" si="340"/>
        <v>0.1</v>
      </c>
      <c r="CE266" s="7">
        <v>2.7773922744467501</v>
      </c>
      <c r="CF266" s="7">
        <v>101.06259250957299</v>
      </c>
      <c r="CG266" s="7">
        <v>160.627370281559</v>
      </c>
      <c r="CH266" s="7">
        <v>101.06259250957299</v>
      </c>
      <c r="CI266" s="7">
        <v>1112715.19200554</v>
      </c>
      <c r="CJ266" s="7">
        <v>5092.9581789406502</v>
      </c>
      <c r="CK266" s="7">
        <f t="shared" si="341"/>
        <v>362.75255530070496</v>
      </c>
      <c r="CM266" s="28">
        <v>40</v>
      </c>
      <c r="CN266" s="26">
        <v>5.0000000000000002E-5</v>
      </c>
      <c r="CO266" s="28">
        <v>1</v>
      </c>
      <c r="CP266" s="28">
        <v>200</v>
      </c>
      <c r="CQ266" s="26">
        <v>5.0000000000000004E-6</v>
      </c>
      <c r="CR266" s="26">
        <f t="shared" si="342"/>
        <v>5.0000000000000004E-6</v>
      </c>
      <c r="CS266" s="26">
        <f t="shared" si="343"/>
        <v>0.2</v>
      </c>
      <c r="CT266" s="7">
        <v>2.8037680815774899</v>
      </c>
      <c r="CU266" s="7">
        <v>100.77787314708399</v>
      </c>
      <c r="CV266" s="7">
        <v>160.073267279547</v>
      </c>
      <c r="CW266" s="7">
        <v>100.77787314708399</v>
      </c>
      <c r="CX266" s="7">
        <v>556357.59600277198</v>
      </c>
      <c r="CY266" s="7">
        <v>5092.9581789406502</v>
      </c>
      <c r="CZ266" s="7">
        <f t="shared" si="344"/>
        <v>361.62901357371499</v>
      </c>
      <c r="DB266" s="28">
        <v>40</v>
      </c>
      <c r="DC266" s="26">
        <v>5.0000000000000002E-5</v>
      </c>
      <c r="DD266" s="28">
        <v>2</v>
      </c>
      <c r="DE266" s="28">
        <v>200</v>
      </c>
      <c r="DF266" s="26">
        <v>5.0000000000000004E-6</v>
      </c>
      <c r="DG266" s="26">
        <f t="shared" si="345"/>
        <v>1.0000000000000001E-5</v>
      </c>
      <c r="DH266" s="26">
        <f t="shared" si="346"/>
        <v>0.4</v>
      </c>
      <c r="DI266" s="7">
        <v>2.85651415134733</v>
      </c>
      <c r="DJ266" s="7">
        <v>100.213668542356</v>
      </c>
      <c r="DK266" s="7">
        <v>158.97655523681999</v>
      </c>
      <c r="DL266" s="7">
        <v>100.213668542356</v>
      </c>
      <c r="DM266" s="7">
        <v>278178.79800138599</v>
      </c>
      <c r="DN266" s="7">
        <v>5092.9581789406502</v>
      </c>
      <c r="DO266" s="7">
        <f t="shared" si="347"/>
        <v>359.403892321532</v>
      </c>
      <c r="DQ266" s="28">
        <v>40</v>
      </c>
      <c r="DR266" s="26">
        <v>5.0000000000000002E-5</v>
      </c>
      <c r="DS266" s="28">
        <v>15</v>
      </c>
      <c r="DT266" s="28">
        <v>300</v>
      </c>
      <c r="DU266" s="26">
        <v>2.5000000000000002E-6</v>
      </c>
      <c r="DV266" s="26">
        <f t="shared" si="348"/>
        <v>3.7500000000000003E-5</v>
      </c>
      <c r="DW266" s="26">
        <f t="shared" si="349"/>
        <v>1.5</v>
      </c>
      <c r="DX266" s="7">
        <v>5.3602272696601103</v>
      </c>
      <c r="DY266" s="7">
        <v>63.957630951740299</v>
      </c>
      <c r="DZ266" s="7">
        <v>100.479958515748</v>
      </c>
      <c r="EA266" s="7">
        <v>63.957630951740299</v>
      </c>
      <c r="EB266" s="7">
        <v>37090.5064001848</v>
      </c>
      <c r="EC266" s="7">
        <v>3055.7749073643899</v>
      </c>
      <c r="ED266" s="7">
        <f t="shared" si="350"/>
        <v>228.39522041922859</v>
      </c>
    </row>
    <row r="267" spans="1:134" x14ac:dyDescent="0.4">
      <c r="A267" s="28">
        <v>45</v>
      </c>
      <c r="B267" s="26">
        <v>1.0000000000000001E-5</v>
      </c>
      <c r="C267" s="28">
        <v>0.2</v>
      </c>
      <c r="D267" s="28">
        <v>30</v>
      </c>
      <c r="E267" s="26">
        <v>5.0000000000000004E-6</v>
      </c>
      <c r="F267" s="26">
        <f t="shared" si="324"/>
        <v>1.0000000000000002E-6</v>
      </c>
      <c r="G267" s="26">
        <f t="shared" si="325"/>
        <v>0.2</v>
      </c>
      <c r="H267" s="7">
        <v>0.574578480150716</v>
      </c>
      <c r="I267" s="7">
        <v>2844.9728255004802</v>
      </c>
      <c r="J267" s="7">
        <v>5459.8455675855203</v>
      </c>
      <c r="K267" s="7">
        <v>2844.9728255004802</v>
      </c>
      <c r="L267" s="7">
        <v>22314016.336053099</v>
      </c>
      <c r="M267" s="7">
        <v>127323.954473516</v>
      </c>
      <c r="N267" s="7">
        <f t="shared" si="326"/>
        <v>11149.791218586481</v>
      </c>
      <c r="P267" s="28">
        <v>45</v>
      </c>
      <c r="Q267" s="26">
        <v>3.0000000000000001E-5</v>
      </c>
      <c r="R267" s="28">
        <v>0.2</v>
      </c>
      <c r="S267" s="28">
        <v>30</v>
      </c>
      <c r="T267" s="26">
        <v>5.0000000000000004E-6</v>
      </c>
      <c r="U267" s="26">
        <f t="shared" si="327"/>
        <v>1.0000000000000002E-6</v>
      </c>
      <c r="V267" s="26">
        <f t="shared" si="328"/>
        <v>6.666666666666668E-2</v>
      </c>
      <c r="W267" s="7">
        <v>1.5783565198091201</v>
      </c>
      <c r="X267" s="7">
        <v>948.32427515736799</v>
      </c>
      <c r="Y267" s="7">
        <v>1819.94852252851</v>
      </c>
      <c r="Z267" s="7">
        <v>948.32427515736799</v>
      </c>
      <c r="AA267" s="7">
        <v>7438005.4604388904</v>
      </c>
      <c r="AB267" s="7">
        <v>14147.1060526129</v>
      </c>
      <c r="AC267" s="7">
        <f t="shared" si="329"/>
        <v>3716.5970728432458</v>
      </c>
      <c r="AE267" s="28">
        <v>45</v>
      </c>
      <c r="AF267" s="26">
        <v>5.0000000000000002E-5</v>
      </c>
      <c r="AG267" s="28">
        <v>0.2</v>
      </c>
      <c r="AH267" s="28">
        <v>30</v>
      </c>
      <c r="AI267" s="26">
        <v>5.0000000000000004E-6</v>
      </c>
      <c r="AJ267" s="26">
        <f t="shared" si="330"/>
        <v>1.0000000000000002E-6</v>
      </c>
      <c r="AK267" s="26">
        <f t="shared" si="331"/>
        <v>4.0000000000000008E-2</v>
      </c>
      <c r="AL267" s="7">
        <v>2.4379073865262999</v>
      </c>
      <c r="AM267" s="7">
        <v>568.99456501435202</v>
      </c>
      <c r="AN267" s="7">
        <v>1091.9691135170999</v>
      </c>
      <c r="AO267" s="7">
        <v>568.99456501435202</v>
      </c>
      <c r="AP267" s="7">
        <v>4462803.4040061999</v>
      </c>
      <c r="AQ267" s="7">
        <v>5092.9581789406502</v>
      </c>
      <c r="AR267" s="7">
        <f t="shared" si="332"/>
        <v>2229.9582435458042</v>
      </c>
      <c r="AT267" s="28">
        <v>45</v>
      </c>
      <c r="AU267" s="26">
        <v>1.0000000000000001E-5</v>
      </c>
      <c r="AV267" s="28">
        <v>0.2</v>
      </c>
      <c r="AW267" s="28">
        <v>200</v>
      </c>
      <c r="AX267" s="26">
        <v>5.0000000000000004E-6</v>
      </c>
      <c r="AY267" s="26">
        <f t="shared" si="333"/>
        <v>1.0000000000000002E-6</v>
      </c>
      <c r="AZ267" s="26">
        <f t="shared" si="334"/>
        <v>0.2</v>
      </c>
      <c r="BA267" s="7">
        <v>0.59555017836489998</v>
      </c>
      <c r="BB267" s="7">
        <v>429.182314820393</v>
      </c>
      <c r="BC267" s="7">
        <v>824.10906225483302</v>
      </c>
      <c r="BD267" s="7">
        <v>429.182314820393</v>
      </c>
      <c r="BE267" s="7">
        <v>22314016.336053099</v>
      </c>
      <c r="BF267" s="7">
        <v>127323.954473516</v>
      </c>
      <c r="BG267" s="7">
        <f t="shared" si="335"/>
        <v>1682.4736918956191</v>
      </c>
      <c r="BI267" s="28">
        <v>45</v>
      </c>
      <c r="BJ267" s="26">
        <v>1.0000000000000001E-5</v>
      </c>
      <c r="BK267" s="28">
        <v>0.5</v>
      </c>
      <c r="BL267" s="28">
        <v>200</v>
      </c>
      <c r="BM267" s="26">
        <v>5.0000000000000004E-6</v>
      </c>
      <c r="BN267" s="26">
        <f t="shared" si="336"/>
        <v>2.5000000000000002E-6</v>
      </c>
      <c r="BO267" s="26">
        <f t="shared" si="337"/>
        <v>0.5</v>
      </c>
      <c r="BP267" s="7">
        <v>0.60570174325583004</v>
      </c>
      <c r="BQ267" s="7">
        <v>428.53449983983199</v>
      </c>
      <c r="BR267" s="7">
        <v>822.74419088845502</v>
      </c>
      <c r="BS267" s="7">
        <v>428.53449983983199</v>
      </c>
      <c r="BT267" s="7">
        <v>8925606.5344212595</v>
      </c>
      <c r="BU267" s="7">
        <v>127323.954473516</v>
      </c>
      <c r="BV267" s="7">
        <f t="shared" si="338"/>
        <v>1679.8131905681191</v>
      </c>
      <c r="BX267" s="28">
        <v>45</v>
      </c>
      <c r="BY267" s="26">
        <v>5.0000000000000002E-5</v>
      </c>
      <c r="BZ267" s="28">
        <v>0.5</v>
      </c>
      <c r="CA267" s="28">
        <v>200</v>
      </c>
      <c r="CB267" s="26">
        <v>5.0000000000000004E-6</v>
      </c>
      <c r="CC267" s="26">
        <f t="shared" si="339"/>
        <v>2.5000000000000002E-6</v>
      </c>
      <c r="CD267" s="26">
        <f t="shared" si="340"/>
        <v>0.1</v>
      </c>
      <c r="CE267" s="7">
        <v>2.8856719745045498</v>
      </c>
      <c r="CF267" s="7">
        <v>85.706899963102501</v>
      </c>
      <c r="CG267" s="7">
        <v>164.54883817769101</v>
      </c>
      <c r="CH267" s="7">
        <v>85.706899963102501</v>
      </c>
      <c r="CI267" s="7">
        <v>1785121.3616024801</v>
      </c>
      <c r="CJ267" s="7">
        <v>5092.9581789406502</v>
      </c>
      <c r="CK267" s="7">
        <f t="shared" si="341"/>
        <v>335.96263810389598</v>
      </c>
      <c r="CM267" s="28">
        <v>45</v>
      </c>
      <c r="CN267" s="26">
        <v>5.0000000000000002E-5</v>
      </c>
      <c r="CO267" s="28">
        <v>1</v>
      </c>
      <c r="CP267" s="28">
        <v>200</v>
      </c>
      <c r="CQ267" s="26">
        <v>5.0000000000000004E-6</v>
      </c>
      <c r="CR267" s="26">
        <f t="shared" si="342"/>
        <v>5.0000000000000004E-6</v>
      </c>
      <c r="CS267" s="26">
        <f t="shared" si="343"/>
        <v>0.2</v>
      </c>
      <c r="CT267" s="7">
        <v>2.9028218174824301</v>
      </c>
      <c r="CU267" s="7">
        <v>85.491887514072303</v>
      </c>
      <c r="CV267" s="7">
        <v>164.095913900619</v>
      </c>
      <c r="CW267" s="7">
        <v>85.491887514072303</v>
      </c>
      <c r="CX267" s="7">
        <v>892560.68080124003</v>
      </c>
      <c r="CY267" s="7">
        <v>5092.9581789406502</v>
      </c>
      <c r="CZ267" s="7">
        <f t="shared" si="344"/>
        <v>335.07968892876357</v>
      </c>
      <c r="DB267" s="28">
        <v>45</v>
      </c>
      <c r="DC267" s="26">
        <v>5.0000000000000002E-5</v>
      </c>
      <c r="DD267" s="28">
        <v>2</v>
      </c>
      <c r="DE267" s="28">
        <v>200</v>
      </c>
      <c r="DF267" s="26">
        <v>5.0000000000000004E-6</v>
      </c>
      <c r="DG267" s="26">
        <f t="shared" si="345"/>
        <v>1.0000000000000001E-5</v>
      </c>
      <c r="DH267" s="26">
        <f t="shared" si="346"/>
        <v>0.4</v>
      </c>
      <c r="DI267" s="7">
        <v>2.9371176911821602</v>
      </c>
      <c r="DJ267" s="7">
        <v>85.065299620820397</v>
      </c>
      <c r="DK267" s="7">
        <v>163.197611169178</v>
      </c>
      <c r="DL267" s="7">
        <v>85.065299620820397</v>
      </c>
      <c r="DM267" s="7">
        <v>446280.34040062001</v>
      </c>
      <c r="DN267" s="7">
        <v>5092.9581789406502</v>
      </c>
      <c r="DO267" s="7">
        <f t="shared" si="347"/>
        <v>333.32821041081877</v>
      </c>
      <c r="DQ267" s="28">
        <v>45</v>
      </c>
      <c r="DR267" s="26">
        <v>5.0000000000000002E-5</v>
      </c>
      <c r="DS267" s="28">
        <v>15</v>
      </c>
      <c r="DT267" s="28">
        <v>300</v>
      </c>
      <c r="DU267" s="26">
        <v>2.5000000000000002E-6</v>
      </c>
      <c r="DV267" s="26">
        <f t="shared" si="348"/>
        <v>3.7500000000000003E-5</v>
      </c>
      <c r="DW267" s="26">
        <f t="shared" si="349"/>
        <v>1.5</v>
      </c>
      <c r="DX267" s="7">
        <v>5.2796709132969797</v>
      </c>
      <c r="DY267" s="7">
        <v>54.539450656433999</v>
      </c>
      <c r="DZ267" s="7">
        <v>104.236562937325</v>
      </c>
      <c r="EA267" s="7">
        <v>54.539450656433999</v>
      </c>
      <c r="EB267" s="7">
        <v>59504.045386749298</v>
      </c>
      <c r="EC267" s="7">
        <v>3055.7749073643899</v>
      </c>
      <c r="ED267" s="7">
        <f t="shared" si="350"/>
        <v>213.31546425019297</v>
      </c>
    </row>
    <row r="268" spans="1:134" x14ac:dyDescent="0.4">
      <c r="A268" s="28">
        <v>50</v>
      </c>
      <c r="B268" s="26">
        <v>1.0000000000000001E-5</v>
      </c>
      <c r="C268" s="28">
        <v>0.2</v>
      </c>
      <c r="D268" s="28">
        <v>30</v>
      </c>
      <c r="E268" s="26">
        <v>5.0000000000000004E-6</v>
      </c>
      <c r="F268" s="26">
        <f t="shared" si="324"/>
        <v>1.0000000000000002E-6</v>
      </c>
      <c r="G268" s="26">
        <f t="shared" si="325"/>
        <v>0.2</v>
      </c>
      <c r="H268" s="7">
        <v>0.59382654692881298</v>
      </c>
      <c r="I268" s="7">
        <v>2422.0764785389101</v>
      </c>
      <c r="J268" s="7">
        <v>5581.9822447758097</v>
      </c>
      <c r="K268" s="7">
        <v>2422.0764785389101</v>
      </c>
      <c r="L268" s="7">
        <v>38032949.861855596</v>
      </c>
      <c r="M268" s="7">
        <v>127323.954473516</v>
      </c>
      <c r="N268" s="7">
        <f t="shared" si="326"/>
        <v>10426.135201853631</v>
      </c>
      <c r="P268" s="28">
        <v>50</v>
      </c>
      <c r="Q268" s="26">
        <v>3.0000000000000001E-5</v>
      </c>
      <c r="R268" s="28">
        <v>0.2</v>
      </c>
      <c r="S268" s="28">
        <v>30</v>
      </c>
      <c r="T268" s="26">
        <v>5.0000000000000004E-6</v>
      </c>
      <c r="U268" s="26">
        <f t="shared" si="327"/>
        <v>1.0000000000000002E-6</v>
      </c>
      <c r="V268" s="26">
        <f t="shared" si="328"/>
        <v>6.666666666666668E-2</v>
      </c>
      <c r="W268" s="7">
        <v>1.64423748930952</v>
      </c>
      <c r="X268" s="7">
        <v>807.35882617166396</v>
      </c>
      <c r="Y268" s="7">
        <v>1860.6607482586001</v>
      </c>
      <c r="Z268" s="7">
        <v>807.35882617166396</v>
      </c>
      <c r="AA268" s="7">
        <v>12677649.9784535</v>
      </c>
      <c r="AB268" s="7">
        <v>14147.1060526129</v>
      </c>
      <c r="AC268" s="7">
        <f t="shared" si="329"/>
        <v>3475.3784006019282</v>
      </c>
      <c r="AE268" s="28">
        <v>50</v>
      </c>
      <c r="AF268" s="26">
        <v>5.0000000000000002E-5</v>
      </c>
      <c r="AG268" s="28">
        <v>0.2</v>
      </c>
      <c r="AH268" s="28">
        <v>30</v>
      </c>
      <c r="AI268" s="26">
        <v>5.0000000000000004E-6</v>
      </c>
      <c r="AJ268" s="26">
        <f t="shared" si="330"/>
        <v>1.0000000000000002E-6</v>
      </c>
      <c r="AK268" s="26">
        <f t="shared" si="331"/>
        <v>4.0000000000000008E-2</v>
      </c>
      <c r="AL268" s="7">
        <v>2.5518519387705698</v>
      </c>
      <c r="AM268" s="7">
        <v>484.41529563550102</v>
      </c>
      <c r="AN268" s="7">
        <v>1116.3964489551599</v>
      </c>
      <c r="AO268" s="7">
        <v>484.41529563550102</v>
      </c>
      <c r="AP268" s="7">
        <v>7606590.1945190197</v>
      </c>
      <c r="AQ268" s="7">
        <v>5092.9581789406502</v>
      </c>
      <c r="AR268" s="7">
        <f t="shared" si="332"/>
        <v>2085.227040226162</v>
      </c>
      <c r="AT268" s="28">
        <v>50</v>
      </c>
      <c r="AU268" s="26">
        <v>1.0000000000000001E-5</v>
      </c>
      <c r="AV268" s="28">
        <v>0.2</v>
      </c>
      <c r="AW268" s="28">
        <v>200</v>
      </c>
      <c r="AX268" s="26">
        <v>5.0000000000000004E-6</v>
      </c>
      <c r="AY268" s="26">
        <f t="shared" si="333"/>
        <v>1.0000000000000002E-6</v>
      </c>
      <c r="AZ268" s="26">
        <f t="shared" si="334"/>
        <v>0.2</v>
      </c>
      <c r="BA268" s="7">
        <v>0.614205491088477</v>
      </c>
      <c r="BB268" s="7">
        <v>365.18105956717</v>
      </c>
      <c r="BC268" s="7">
        <v>841.53641728653497</v>
      </c>
      <c r="BD268" s="7">
        <v>365.18105956717</v>
      </c>
      <c r="BE268" s="7">
        <v>38032949.861855596</v>
      </c>
      <c r="BF268" s="7">
        <v>127323.954473516</v>
      </c>
      <c r="BG268" s="7">
        <f t="shared" si="335"/>
        <v>1571.898536420875</v>
      </c>
      <c r="BI268" s="28">
        <v>50</v>
      </c>
      <c r="BJ268" s="26">
        <v>1.0000000000000001E-5</v>
      </c>
      <c r="BK268" s="28">
        <v>0.5</v>
      </c>
      <c r="BL268" s="28">
        <v>200</v>
      </c>
      <c r="BM268" s="26">
        <v>5.0000000000000004E-6</v>
      </c>
      <c r="BN268" s="26">
        <f t="shared" si="336"/>
        <v>2.5000000000000002E-6</v>
      </c>
      <c r="BO268" s="26">
        <f t="shared" si="337"/>
        <v>0.5</v>
      </c>
      <c r="BP268" s="7">
        <v>0.62037566175697001</v>
      </c>
      <c r="BQ268" s="7">
        <v>364.68421056947602</v>
      </c>
      <c r="BR268" s="7">
        <v>840.41004328064798</v>
      </c>
      <c r="BS268" s="7">
        <v>364.68421056947602</v>
      </c>
      <c r="BT268" s="7">
        <v>15213179.944742201</v>
      </c>
      <c r="BU268" s="7">
        <v>127323.954473516</v>
      </c>
      <c r="BV268" s="7">
        <f t="shared" si="338"/>
        <v>1569.7784644195999</v>
      </c>
      <c r="BX268" s="28">
        <v>50</v>
      </c>
      <c r="BY268" s="26">
        <v>5.0000000000000002E-5</v>
      </c>
      <c r="BZ268" s="28">
        <v>0.5</v>
      </c>
      <c r="CA268" s="28">
        <v>200</v>
      </c>
      <c r="CB268" s="26">
        <v>5.0000000000000004E-6</v>
      </c>
      <c r="CC268" s="26">
        <f t="shared" si="339"/>
        <v>2.5000000000000002E-6</v>
      </c>
      <c r="CD268" s="26">
        <f t="shared" si="340"/>
        <v>0.1</v>
      </c>
      <c r="CE268" s="7">
        <v>2.98780726517532</v>
      </c>
      <c r="CF268" s="7">
        <v>72.936842109798505</v>
      </c>
      <c r="CG268" s="7">
        <v>168.08200865613</v>
      </c>
      <c r="CH268" s="7">
        <v>72.936842109798505</v>
      </c>
      <c r="CI268" s="7">
        <v>3042636.0778076099</v>
      </c>
      <c r="CJ268" s="7">
        <v>5092.9581789406502</v>
      </c>
      <c r="CK268" s="7">
        <f t="shared" si="341"/>
        <v>313.95569287572698</v>
      </c>
      <c r="CM268" s="28">
        <v>50</v>
      </c>
      <c r="CN268" s="26">
        <v>5.0000000000000002E-5</v>
      </c>
      <c r="CO268" s="28">
        <v>1</v>
      </c>
      <c r="CP268" s="28">
        <v>200</v>
      </c>
      <c r="CQ268" s="26">
        <v>5.0000000000000004E-6</v>
      </c>
      <c r="CR268" s="26">
        <f t="shared" si="342"/>
        <v>5.0000000000000004E-6</v>
      </c>
      <c r="CS268" s="26">
        <f t="shared" si="343"/>
        <v>0.2</v>
      </c>
      <c r="CT268" s="7">
        <v>2.9982821406729498</v>
      </c>
      <c r="CU268" s="7">
        <v>72.771853396363895</v>
      </c>
      <c r="CV268" s="7">
        <v>167.707917393011</v>
      </c>
      <c r="CW268" s="7">
        <v>72.771853396363895</v>
      </c>
      <c r="CX268" s="7">
        <v>1521318.0389038101</v>
      </c>
      <c r="CY268" s="7">
        <v>5092.9581789406502</v>
      </c>
      <c r="CZ268" s="7">
        <f t="shared" si="344"/>
        <v>313.25162418573882</v>
      </c>
      <c r="DB268" s="28">
        <v>50</v>
      </c>
      <c r="DC268" s="26">
        <v>5.0000000000000002E-5</v>
      </c>
      <c r="DD268" s="28">
        <v>2</v>
      </c>
      <c r="DE268" s="28">
        <v>200</v>
      </c>
      <c r="DF268" s="26">
        <v>5.0000000000000004E-6</v>
      </c>
      <c r="DG268" s="26">
        <f t="shared" si="345"/>
        <v>1.0000000000000001E-5</v>
      </c>
      <c r="DH268" s="26">
        <f t="shared" si="346"/>
        <v>0.4</v>
      </c>
      <c r="DI268" s="7">
        <v>3.0192292065178399</v>
      </c>
      <c r="DJ268" s="7">
        <v>72.444208829560395</v>
      </c>
      <c r="DK268" s="7">
        <v>166.964817403171</v>
      </c>
      <c r="DL268" s="7">
        <v>72.444208829560395</v>
      </c>
      <c r="DM268" s="7">
        <v>760659.01945190295</v>
      </c>
      <c r="DN268" s="7">
        <v>5092.9581789406502</v>
      </c>
      <c r="DO268" s="7">
        <f t="shared" si="347"/>
        <v>311.85323506229179</v>
      </c>
      <c r="DQ268" s="28">
        <v>50</v>
      </c>
      <c r="DR268" s="26">
        <v>5.0000000000000002E-5</v>
      </c>
      <c r="DS268" s="28">
        <v>15</v>
      </c>
      <c r="DT268" s="28">
        <v>300</v>
      </c>
      <c r="DU268" s="26">
        <v>2.5000000000000002E-6</v>
      </c>
      <c r="DV268" s="26">
        <f t="shared" si="348"/>
        <v>3.7500000000000003E-5</v>
      </c>
      <c r="DW268" s="26">
        <f t="shared" si="349"/>
        <v>1.5</v>
      </c>
      <c r="DX268" s="7">
        <v>5.2610853392083001</v>
      </c>
      <c r="DY268" s="7">
        <v>46.620018473906597</v>
      </c>
      <c r="DZ268" s="7">
        <v>107.50242472112301</v>
      </c>
      <c r="EA268" s="7">
        <v>46.620018473906597</v>
      </c>
      <c r="EB268" s="7">
        <v>101421.202593587</v>
      </c>
      <c r="EC268" s="7">
        <v>3055.7749073643899</v>
      </c>
      <c r="ED268" s="7">
        <f t="shared" si="350"/>
        <v>200.74246166893619</v>
      </c>
    </row>
    <row r="269" spans="1:134" x14ac:dyDescent="0.4">
      <c r="A269" s="28">
        <v>55.000000000000007</v>
      </c>
      <c r="B269" s="26">
        <v>1.0000000000000001E-5</v>
      </c>
      <c r="C269" s="28">
        <v>0.2</v>
      </c>
      <c r="D269" s="28">
        <v>30</v>
      </c>
      <c r="E269" s="26">
        <v>5.0000000000000004E-6</v>
      </c>
      <c r="F269" s="26">
        <f t="shared" si="324"/>
        <v>1.0000000000000002E-6</v>
      </c>
      <c r="G269" s="26">
        <f t="shared" si="325"/>
        <v>0.2</v>
      </c>
      <c r="H269" s="7">
        <v>0.61238906196881104</v>
      </c>
      <c r="I269" s="7">
        <v>2061.2283400943002</v>
      </c>
      <c r="J269" s="7">
        <v>5692.8014386926097</v>
      </c>
      <c r="K269" s="7">
        <v>2061.2283400943002</v>
      </c>
      <c r="L269" s="7">
        <v>72349793.874809399</v>
      </c>
      <c r="M269" s="7">
        <v>127323.954473516</v>
      </c>
      <c r="N269" s="7">
        <f t="shared" si="326"/>
        <v>9815.2581188812092</v>
      </c>
      <c r="P269" s="28">
        <v>55.000000000000007</v>
      </c>
      <c r="Q269" s="26">
        <v>3.0000000000000001E-5</v>
      </c>
      <c r="R269" s="28">
        <v>0.2</v>
      </c>
      <c r="S269" s="28">
        <v>30</v>
      </c>
      <c r="T269" s="26">
        <v>5.0000000000000004E-6</v>
      </c>
      <c r="U269" s="26">
        <f t="shared" si="327"/>
        <v>1.0000000000000002E-6</v>
      </c>
      <c r="V269" s="26">
        <f t="shared" si="328"/>
        <v>6.666666666666668E-2</v>
      </c>
      <c r="W269" s="7">
        <v>1.7062229081012099</v>
      </c>
      <c r="X269" s="7">
        <v>687.07611335802699</v>
      </c>
      <c r="Y269" s="7">
        <v>1897.6004795642</v>
      </c>
      <c r="Z269" s="7">
        <v>687.07611335802699</v>
      </c>
      <c r="AA269" s="7">
        <v>24116597.9983452</v>
      </c>
      <c r="AB269" s="7">
        <v>14147.1060526129</v>
      </c>
      <c r="AC269" s="7">
        <f t="shared" si="329"/>
        <v>3271.7527062802537</v>
      </c>
      <c r="AE269" s="28">
        <v>55.000000000000007</v>
      </c>
      <c r="AF269" s="26">
        <v>5.0000000000000002E-5</v>
      </c>
      <c r="AG269" s="28">
        <v>0.2</v>
      </c>
      <c r="AH269" s="28">
        <v>30</v>
      </c>
      <c r="AI269" s="26">
        <v>5.0000000000000004E-6</v>
      </c>
      <c r="AJ269" s="26">
        <f t="shared" si="330"/>
        <v>1.0000000000000002E-6</v>
      </c>
      <c r="AK269" s="26">
        <f t="shared" si="331"/>
        <v>4.0000000000000008E-2</v>
      </c>
      <c r="AL269" s="7">
        <v>2.6586618761571299</v>
      </c>
      <c r="AM269" s="7">
        <v>412.24566795777702</v>
      </c>
      <c r="AN269" s="7">
        <v>1138.5602877385199</v>
      </c>
      <c r="AO269" s="7">
        <v>412.24566795777702</v>
      </c>
      <c r="AP269" s="7">
        <v>14469959.1382923</v>
      </c>
      <c r="AQ269" s="7">
        <v>5092.9581789406502</v>
      </c>
      <c r="AR269" s="7">
        <f t="shared" si="332"/>
        <v>1963.0516236540739</v>
      </c>
      <c r="AT269" s="28">
        <v>55.000000000000007</v>
      </c>
      <c r="AU269" s="26">
        <v>1.0000000000000001E-5</v>
      </c>
      <c r="AV269" s="28">
        <v>0.2</v>
      </c>
      <c r="AW269" s="28">
        <v>200</v>
      </c>
      <c r="AX269" s="26">
        <v>5.0000000000000004E-6</v>
      </c>
      <c r="AY269" s="26">
        <f t="shared" si="333"/>
        <v>1.0000000000000002E-6</v>
      </c>
      <c r="AZ269" s="26">
        <f t="shared" si="334"/>
        <v>0.2</v>
      </c>
      <c r="BA269" s="7">
        <v>0.63224887859366097</v>
      </c>
      <c r="BB269" s="7">
        <v>310.62949089263498</v>
      </c>
      <c r="BC269" s="7">
        <v>857.43494866405695</v>
      </c>
      <c r="BD269" s="7">
        <v>310.62949089263498</v>
      </c>
      <c r="BE269" s="7">
        <v>72349793.874809399</v>
      </c>
      <c r="BF269" s="7">
        <v>127323.954473516</v>
      </c>
      <c r="BG269" s="7">
        <f t="shared" si="335"/>
        <v>1478.6939304493269</v>
      </c>
      <c r="BI269" s="28">
        <v>55.000000000000007</v>
      </c>
      <c r="BJ269" s="26">
        <v>1.0000000000000001E-5</v>
      </c>
      <c r="BK269" s="28">
        <v>0.5</v>
      </c>
      <c r="BL269" s="28">
        <v>200</v>
      </c>
      <c r="BM269" s="26">
        <v>5.0000000000000004E-6</v>
      </c>
      <c r="BN269" s="26">
        <f t="shared" si="336"/>
        <v>2.5000000000000002E-6</v>
      </c>
      <c r="BO269" s="26">
        <f t="shared" si="337"/>
        <v>0.5</v>
      </c>
      <c r="BP269" s="7">
        <v>0.63559857029233702</v>
      </c>
      <c r="BQ269" s="7">
        <v>310.245574031601</v>
      </c>
      <c r="BR269" s="7">
        <v>856.50167124423206</v>
      </c>
      <c r="BS269" s="7">
        <v>310.245574031601</v>
      </c>
      <c r="BT269" s="7">
        <v>28939917.5499238</v>
      </c>
      <c r="BU269" s="7">
        <v>127323.954473516</v>
      </c>
      <c r="BV269" s="7">
        <f t="shared" si="338"/>
        <v>1476.9928193074338</v>
      </c>
      <c r="BX269" s="28">
        <v>55.000000000000007</v>
      </c>
      <c r="BY269" s="26">
        <v>5.0000000000000002E-5</v>
      </c>
      <c r="BZ269" s="28">
        <v>0.5</v>
      </c>
      <c r="CA269" s="28">
        <v>200</v>
      </c>
      <c r="CB269" s="26">
        <v>5.0000000000000004E-6</v>
      </c>
      <c r="CC269" s="26">
        <f t="shared" si="339"/>
        <v>2.5000000000000002E-6</v>
      </c>
      <c r="CD269" s="26">
        <f t="shared" si="340"/>
        <v>0.1</v>
      </c>
      <c r="CE269" s="7">
        <v>3.0846648662834202</v>
      </c>
      <c r="CF269" s="7">
        <v>62.049114802860501</v>
      </c>
      <c r="CG269" s="7">
        <v>171.30033424884601</v>
      </c>
      <c r="CH269" s="7">
        <v>62.049114802860501</v>
      </c>
      <c r="CI269" s="7">
        <v>5787983.6553169098</v>
      </c>
      <c r="CJ269" s="7">
        <v>5092.9581789406502</v>
      </c>
      <c r="CK269" s="7">
        <f t="shared" si="341"/>
        <v>295.39856385456704</v>
      </c>
      <c r="CM269" s="28">
        <v>55.000000000000007</v>
      </c>
      <c r="CN269" s="26">
        <v>5.0000000000000002E-5</v>
      </c>
      <c r="CO269" s="28">
        <v>1</v>
      </c>
      <c r="CP269" s="28">
        <v>200</v>
      </c>
      <c r="CQ269" s="26">
        <v>5.0000000000000004E-6</v>
      </c>
      <c r="CR269" s="26">
        <f t="shared" si="342"/>
        <v>5.0000000000000004E-6</v>
      </c>
      <c r="CS269" s="26">
        <f t="shared" si="343"/>
        <v>0.2</v>
      </c>
      <c r="CT269" s="7">
        <v>3.0904067702419602</v>
      </c>
      <c r="CU269" s="7">
        <v>61.921576216120698</v>
      </c>
      <c r="CV269" s="7">
        <v>170.99017320176</v>
      </c>
      <c r="CW269" s="7">
        <v>61.921576216120698</v>
      </c>
      <c r="CX269" s="7">
        <v>2893991.8276584502</v>
      </c>
      <c r="CY269" s="7">
        <v>5092.9581789406502</v>
      </c>
      <c r="CZ269" s="7">
        <f t="shared" si="344"/>
        <v>294.83332563400137</v>
      </c>
      <c r="DB269" s="28">
        <v>55.000000000000007</v>
      </c>
      <c r="DC269" s="26">
        <v>5.0000000000000002E-5</v>
      </c>
      <c r="DD269" s="28">
        <v>2</v>
      </c>
      <c r="DE269" s="28">
        <v>200</v>
      </c>
      <c r="DF269" s="26">
        <v>5.0000000000000004E-6</v>
      </c>
      <c r="DG269" s="26">
        <f t="shared" si="345"/>
        <v>1.0000000000000001E-5</v>
      </c>
      <c r="DH269" s="26">
        <f t="shared" si="346"/>
        <v>0.4</v>
      </c>
      <c r="DI269" s="7">
        <v>3.1018886641665602</v>
      </c>
      <c r="DJ269" s="7">
        <v>61.6681127663864</v>
      </c>
      <c r="DK269" s="7">
        <v>170.373319720317</v>
      </c>
      <c r="DL269" s="7">
        <v>61.6681127663864</v>
      </c>
      <c r="DM269" s="7">
        <v>1446995.91382923</v>
      </c>
      <c r="DN269" s="7">
        <v>5092.9581789406502</v>
      </c>
      <c r="DO269" s="7">
        <f t="shared" si="347"/>
        <v>293.7095452530898</v>
      </c>
      <c r="DQ269" s="28">
        <v>55.000000000000007</v>
      </c>
      <c r="DR269" s="26">
        <v>5.0000000000000002E-5</v>
      </c>
      <c r="DS269" s="28">
        <v>15</v>
      </c>
      <c r="DT269" s="28">
        <v>300</v>
      </c>
      <c r="DU269" s="26">
        <v>2.5000000000000002E-6</v>
      </c>
      <c r="DV269" s="26">
        <f t="shared" si="348"/>
        <v>3.7500000000000003E-5</v>
      </c>
      <c r="DW269" s="26">
        <f t="shared" si="349"/>
        <v>1.5</v>
      </c>
      <c r="DX269" s="7">
        <v>5.2886827612884701</v>
      </c>
      <c r="DY269" s="7">
        <v>39.809859656104699</v>
      </c>
      <c r="DZ269" s="7">
        <v>110.399385072318</v>
      </c>
      <c r="EA269" s="7">
        <v>39.809859656104699</v>
      </c>
      <c r="EB269" s="7">
        <v>192932.78851056399</v>
      </c>
      <c r="EC269" s="7">
        <v>3055.7749073643899</v>
      </c>
      <c r="ED269" s="7">
        <f t="shared" si="350"/>
        <v>190.0191043845274</v>
      </c>
    </row>
    <row r="270" spans="1:134" x14ac:dyDescent="0.4">
      <c r="A270" s="28">
        <v>60</v>
      </c>
      <c r="B270" s="26">
        <v>1.0000000000000001E-5</v>
      </c>
      <c r="C270" s="28">
        <v>0.2</v>
      </c>
      <c r="D270" s="28">
        <v>30</v>
      </c>
      <c r="E270" s="26">
        <v>5.0000000000000004E-6</v>
      </c>
      <c r="F270" s="26">
        <f t="shared" si="324"/>
        <v>1.0000000000000002E-6</v>
      </c>
      <c r="G270" s="26">
        <f t="shared" si="325"/>
        <v>0.2</v>
      </c>
      <c r="H270" s="7">
        <v>0.630325599403604</v>
      </c>
      <c r="I270" s="7">
        <v>1747.4582681561301</v>
      </c>
      <c r="J270" s="7">
        <v>5794.3371345962596</v>
      </c>
      <c r="K270" s="7">
        <v>1747.4582681561301</v>
      </c>
      <c r="L270" s="7">
        <v>173207643.02618799</v>
      </c>
      <c r="M270" s="7">
        <v>127323.954473516</v>
      </c>
      <c r="N270" s="7">
        <f t="shared" si="326"/>
        <v>9289.2536709085198</v>
      </c>
      <c r="P270" s="28">
        <v>60</v>
      </c>
      <c r="Q270" s="26">
        <v>3.0000000000000001E-5</v>
      </c>
      <c r="R270" s="28">
        <v>0.2</v>
      </c>
      <c r="S270" s="28">
        <v>30</v>
      </c>
      <c r="T270" s="26">
        <v>5.0000000000000004E-6</v>
      </c>
      <c r="U270" s="26">
        <f t="shared" si="327"/>
        <v>1.0000000000000002E-6</v>
      </c>
      <c r="V270" s="26">
        <f t="shared" si="328"/>
        <v>6.666666666666668E-2</v>
      </c>
      <c r="W270" s="7">
        <v>1.7648954311757401</v>
      </c>
      <c r="X270" s="7">
        <v>582.48608937969198</v>
      </c>
      <c r="Y270" s="7">
        <v>1931.4457115320899</v>
      </c>
      <c r="Z270" s="7">
        <v>582.48608937969198</v>
      </c>
      <c r="AA270" s="7">
        <v>57735881.0752545</v>
      </c>
      <c r="AB270" s="7">
        <v>14147.1060526129</v>
      </c>
      <c r="AC270" s="7">
        <f t="shared" si="329"/>
        <v>3096.4178902914737</v>
      </c>
      <c r="AE270" s="28">
        <v>60</v>
      </c>
      <c r="AF270" s="26">
        <v>5.0000000000000002E-5</v>
      </c>
      <c r="AG270" s="28">
        <v>0.2</v>
      </c>
      <c r="AH270" s="28">
        <v>30</v>
      </c>
      <c r="AI270" s="26">
        <v>5.0000000000000004E-6</v>
      </c>
      <c r="AJ270" s="26">
        <f t="shared" si="330"/>
        <v>1.0000000000000002E-6</v>
      </c>
      <c r="AK270" s="26">
        <f t="shared" si="331"/>
        <v>4.0000000000000008E-2</v>
      </c>
      <c r="AL270" s="7">
        <v>2.75945183500902</v>
      </c>
      <c r="AM270" s="7">
        <v>349.491653579706</v>
      </c>
      <c r="AN270" s="7">
        <v>1158.86742691925</v>
      </c>
      <c r="AO270" s="7">
        <v>349.491653579706</v>
      </c>
      <c r="AP270" s="7">
        <v>34641529.208382502</v>
      </c>
      <c r="AQ270" s="7">
        <v>5092.9581789406502</v>
      </c>
      <c r="AR270" s="7">
        <f t="shared" si="332"/>
        <v>1857.8507340786621</v>
      </c>
      <c r="AT270" s="28">
        <v>60</v>
      </c>
      <c r="AU270" s="26">
        <v>1.0000000000000001E-5</v>
      </c>
      <c r="AV270" s="28">
        <v>0.2</v>
      </c>
      <c r="AW270" s="28">
        <v>200</v>
      </c>
      <c r="AX270" s="26">
        <v>5.0000000000000004E-6</v>
      </c>
      <c r="AY270" s="26">
        <f t="shared" si="333"/>
        <v>1.0000000000000002E-6</v>
      </c>
      <c r="AZ270" s="26">
        <f t="shared" si="334"/>
        <v>0.2</v>
      </c>
      <c r="BA270" s="7">
        <v>0.64972112880285504</v>
      </c>
      <c r="BB270" s="7">
        <v>263.235986756096</v>
      </c>
      <c r="BC270" s="7">
        <v>872.060132412553</v>
      </c>
      <c r="BD270" s="7">
        <v>263.235986756096</v>
      </c>
      <c r="BE270" s="7">
        <v>173207643.02618799</v>
      </c>
      <c r="BF270" s="7">
        <v>127323.954473516</v>
      </c>
      <c r="BG270" s="7">
        <f t="shared" si="335"/>
        <v>1398.5321059247451</v>
      </c>
      <c r="BI270" s="28">
        <v>60</v>
      </c>
      <c r="BJ270" s="26">
        <v>1.0000000000000001E-5</v>
      </c>
      <c r="BK270" s="28">
        <v>0.5</v>
      </c>
      <c r="BL270" s="28">
        <v>200</v>
      </c>
      <c r="BM270" s="26">
        <v>5.0000000000000004E-6</v>
      </c>
      <c r="BN270" s="26">
        <f t="shared" si="336"/>
        <v>2.5000000000000002E-6</v>
      </c>
      <c r="BO270" s="26">
        <f t="shared" si="337"/>
        <v>0.5</v>
      </c>
      <c r="BP270" s="7">
        <v>0.65116315020809801</v>
      </c>
      <c r="BQ270" s="7">
        <v>262.93930247937197</v>
      </c>
      <c r="BR270" s="7">
        <v>871.287964463192</v>
      </c>
      <c r="BS270" s="7">
        <v>262.93930247937197</v>
      </c>
      <c r="BT270" s="7">
        <v>69283057.210475206</v>
      </c>
      <c r="BU270" s="7">
        <v>127323.954473516</v>
      </c>
      <c r="BV270" s="7">
        <f t="shared" si="338"/>
        <v>1397.1665694219359</v>
      </c>
      <c r="BX270" s="28">
        <v>60</v>
      </c>
      <c r="BY270" s="26">
        <v>5.0000000000000002E-5</v>
      </c>
      <c r="BZ270" s="28">
        <v>0.5</v>
      </c>
      <c r="CA270" s="28">
        <v>200</v>
      </c>
      <c r="CB270" s="26">
        <v>5.0000000000000004E-6</v>
      </c>
      <c r="CC270" s="26">
        <f t="shared" si="339"/>
        <v>2.5000000000000002E-6</v>
      </c>
      <c r="CD270" s="26">
        <f t="shared" si="340"/>
        <v>0.1</v>
      </c>
      <c r="CE270" s="7">
        <v>3.1769350787486301</v>
      </c>
      <c r="CF270" s="7">
        <v>52.5878604929581</v>
      </c>
      <c r="CG270" s="7">
        <v>174.257592892638</v>
      </c>
      <c r="CH270" s="7">
        <v>52.5878604929581</v>
      </c>
      <c r="CI270" s="7">
        <v>13856611.683352999</v>
      </c>
      <c r="CJ270" s="7">
        <v>5092.9581789406502</v>
      </c>
      <c r="CK270" s="7">
        <f t="shared" si="341"/>
        <v>279.4333138785542</v>
      </c>
      <c r="CM270" s="28">
        <v>60</v>
      </c>
      <c r="CN270" s="26">
        <v>5.0000000000000002E-5</v>
      </c>
      <c r="CO270" s="28">
        <v>1</v>
      </c>
      <c r="CP270" s="28">
        <v>200</v>
      </c>
      <c r="CQ270" s="26">
        <v>5.0000000000000004E-6</v>
      </c>
      <c r="CR270" s="26">
        <f t="shared" si="342"/>
        <v>5.0000000000000004E-6</v>
      </c>
      <c r="CS270" s="26">
        <f t="shared" si="343"/>
        <v>0.2</v>
      </c>
      <c r="CT270" s="7">
        <v>3.1794703835111502</v>
      </c>
      <c r="CU270" s="7">
        <v>52.489267736237203</v>
      </c>
      <c r="CV270" s="7">
        <v>174.00084097458901</v>
      </c>
      <c r="CW270" s="7">
        <v>52.489267736237203</v>
      </c>
      <c r="CX270" s="7">
        <v>6928305.8416764997</v>
      </c>
      <c r="CY270" s="7">
        <v>5092.9581789406502</v>
      </c>
      <c r="CZ270" s="7">
        <f t="shared" si="344"/>
        <v>278.97937644706343</v>
      </c>
      <c r="DB270" s="28">
        <v>60</v>
      </c>
      <c r="DC270" s="26">
        <v>5.0000000000000002E-5</v>
      </c>
      <c r="DD270" s="28">
        <v>2</v>
      </c>
      <c r="DE270" s="28">
        <v>200</v>
      </c>
      <c r="DF270" s="26">
        <v>5.0000000000000004E-6</v>
      </c>
      <c r="DG270" s="26">
        <f t="shared" si="345"/>
        <v>1.0000000000000001E-5</v>
      </c>
      <c r="DH270" s="26">
        <f t="shared" si="346"/>
        <v>0.4</v>
      </c>
      <c r="DI270" s="7">
        <v>3.18453962539584</v>
      </c>
      <c r="DJ270" s="7">
        <v>52.293206867341603</v>
      </c>
      <c r="DK270" s="7">
        <v>173.489713442035</v>
      </c>
      <c r="DL270" s="7">
        <v>52.293206867341603</v>
      </c>
      <c r="DM270" s="7">
        <v>3464152.9208382498</v>
      </c>
      <c r="DN270" s="7">
        <v>5092.9581789406502</v>
      </c>
      <c r="DO270" s="7">
        <f t="shared" si="347"/>
        <v>278.07612717671822</v>
      </c>
      <c r="DQ270" s="28">
        <v>60</v>
      </c>
      <c r="DR270" s="26">
        <v>5.0000000000000002E-5</v>
      </c>
      <c r="DS270" s="28">
        <v>15</v>
      </c>
      <c r="DT270" s="28">
        <v>300</v>
      </c>
      <c r="DU270" s="26">
        <v>2.5000000000000002E-6</v>
      </c>
      <c r="DV270" s="26">
        <f t="shared" si="348"/>
        <v>3.7500000000000003E-5</v>
      </c>
      <c r="DW270" s="26">
        <f t="shared" si="349"/>
        <v>1.5</v>
      </c>
      <c r="DX270" s="7">
        <v>5.3518507147416097</v>
      </c>
      <c r="DY270" s="7">
        <v>33.851188115179603</v>
      </c>
      <c r="DZ270" s="7">
        <v>113.007558882322</v>
      </c>
      <c r="EA270" s="7">
        <v>33.851188115179603</v>
      </c>
      <c r="EB270" s="7">
        <v>461887.05611176701</v>
      </c>
      <c r="EC270" s="7">
        <v>3055.7749073643899</v>
      </c>
      <c r="ED270" s="7">
        <f t="shared" si="350"/>
        <v>180.70993511268122</v>
      </c>
    </row>
    <row r="271" spans="1:134" x14ac:dyDescent="0.4">
      <c r="A271" s="28">
        <v>65</v>
      </c>
      <c r="B271" s="26">
        <v>1.0000000000000001E-5</v>
      </c>
      <c r="C271" s="28">
        <v>0.2</v>
      </c>
      <c r="D271" s="28">
        <v>30</v>
      </c>
      <c r="E271" s="26">
        <v>5.0000000000000004E-6</v>
      </c>
      <c r="F271" s="26">
        <f t="shared" si="324"/>
        <v>1.0000000000000002E-6</v>
      </c>
      <c r="G271" s="26">
        <f t="shared" si="325"/>
        <v>0.2</v>
      </c>
      <c r="H271" s="7">
        <v>0.64771190501589704</v>
      </c>
      <c r="I271" s="7">
        <v>1470.52695643265</v>
      </c>
      <c r="J271" s="7">
        <v>5888.0994972997396</v>
      </c>
      <c r="K271" s="7">
        <v>1470.52695643265</v>
      </c>
      <c r="L271" s="7">
        <v>859463306.304919</v>
      </c>
      <c r="M271" s="7">
        <v>127323.954473516</v>
      </c>
      <c r="N271" s="7">
        <f t="shared" si="326"/>
        <v>8829.1534101650395</v>
      </c>
      <c r="P271" s="28">
        <v>65</v>
      </c>
      <c r="Q271" s="26">
        <v>3.0000000000000001E-5</v>
      </c>
      <c r="R271" s="28">
        <v>0.2</v>
      </c>
      <c r="S271" s="28">
        <v>30</v>
      </c>
      <c r="T271" s="26">
        <v>5.0000000000000004E-6</v>
      </c>
      <c r="U271" s="26">
        <f t="shared" si="327"/>
        <v>1.0000000000000002E-6</v>
      </c>
      <c r="V271" s="26">
        <f t="shared" si="328"/>
        <v>6.666666666666668E-2</v>
      </c>
      <c r="W271" s="7">
        <v>1.82072641863931</v>
      </c>
      <c r="X271" s="7">
        <v>490.175652139448</v>
      </c>
      <c r="Y271" s="7">
        <v>1962.6998324332501</v>
      </c>
      <c r="Z271" s="7">
        <v>490.175652139448</v>
      </c>
      <c r="AA271" s="7">
        <v>286487768.88169003</v>
      </c>
      <c r="AB271" s="7">
        <v>14147.1060526129</v>
      </c>
      <c r="AC271" s="7">
        <f t="shared" si="329"/>
        <v>2943.0511367121462</v>
      </c>
      <c r="AE271" s="28">
        <v>65</v>
      </c>
      <c r="AF271" s="26">
        <v>5.0000000000000002E-5</v>
      </c>
      <c r="AG271" s="28">
        <v>0.2</v>
      </c>
      <c r="AH271" s="28">
        <v>30</v>
      </c>
      <c r="AI271" s="26">
        <v>5.0000000000000004E-6</v>
      </c>
      <c r="AJ271" s="26">
        <f t="shared" si="330"/>
        <v>1.0000000000000002E-6</v>
      </c>
      <c r="AK271" s="26">
        <f t="shared" si="331"/>
        <v>4.0000000000000008E-2</v>
      </c>
      <c r="AL271" s="7">
        <v>2.8550937529720901</v>
      </c>
      <c r="AM271" s="7">
        <v>294.10539124333502</v>
      </c>
      <c r="AN271" s="7">
        <v>1177.6198994599499</v>
      </c>
      <c r="AO271" s="7">
        <v>294.10539124333502</v>
      </c>
      <c r="AP271" s="7">
        <v>171892662.28655201</v>
      </c>
      <c r="AQ271" s="7">
        <v>5092.9581789406502</v>
      </c>
      <c r="AR271" s="7">
        <f t="shared" si="332"/>
        <v>1765.8306819466197</v>
      </c>
      <c r="AT271" s="28">
        <v>65</v>
      </c>
      <c r="AU271" s="26">
        <v>1.0000000000000001E-5</v>
      </c>
      <c r="AV271" s="28">
        <v>0.2</v>
      </c>
      <c r="AW271" s="28">
        <v>200</v>
      </c>
      <c r="AX271" s="26">
        <v>5.0000000000000004E-6</v>
      </c>
      <c r="AY271" s="26">
        <f t="shared" si="333"/>
        <v>1.0000000000000002E-6</v>
      </c>
      <c r="AZ271" s="26">
        <f t="shared" si="334"/>
        <v>0.2</v>
      </c>
      <c r="BA271" s="7">
        <v>0.66668547753881502</v>
      </c>
      <c r="BB271" s="7">
        <v>221.436390808456</v>
      </c>
      <c r="BC271" s="7">
        <v>885.60719905590599</v>
      </c>
      <c r="BD271" s="7">
        <v>221.436390808456</v>
      </c>
      <c r="BE271" s="7">
        <v>859463306.304919</v>
      </c>
      <c r="BF271" s="7">
        <v>127323.954473516</v>
      </c>
      <c r="BG271" s="7">
        <f t="shared" si="335"/>
        <v>1328.4799806728181</v>
      </c>
      <c r="BI271" s="28">
        <v>65</v>
      </c>
      <c r="BJ271" s="26">
        <v>1.0000000000000001E-5</v>
      </c>
      <c r="BK271" s="28">
        <v>0.5</v>
      </c>
      <c r="BL271" s="28">
        <v>200</v>
      </c>
      <c r="BM271" s="26">
        <v>5.0000000000000004E-6</v>
      </c>
      <c r="BN271" s="26">
        <f t="shared" si="336"/>
        <v>2.5000000000000002E-6</v>
      </c>
      <c r="BO271" s="26">
        <f t="shared" si="337"/>
        <v>0.5</v>
      </c>
      <c r="BP271" s="7">
        <v>0.66698606763263701</v>
      </c>
      <c r="BQ271" s="7">
        <v>221.20879187134</v>
      </c>
      <c r="BR271" s="7">
        <v>884.97259280428204</v>
      </c>
      <c r="BS271" s="7">
        <v>221.20879187134</v>
      </c>
      <c r="BT271" s="7">
        <v>343785322.52196801</v>
      </c>
      <c r="BU271" s="7">
        <v>127323.954473516</v>
      </c>
      <c r="BV271" s="7">
        <f t="shared" si="338"/>
        <v>1327.390176546962</v>
      </c>
      <c r="BX271" s="28">
        <v>65</v>
      </c>
      <c r="BY271" s="26">
        <v>5.0000000000000002E-5</v>
      </c>
      <c r="BZ271" s="28">
        <v>0.5</v>
      </c>
      <c r="CA271" s="28">
        <v>200</v>
      </c>
      <c r="CB271" s="26">
        <v>5.0000000000000004E-6</v>
      </c>
      <c r="CC271" s="26">
        <f t="shared" si="339"/>
        <v>2.5000000000000002E-6</v>
      </c>
      <c r="CD271" s="26">
        <f t="shared" si="340"/>
        <v>0.1</v>
      </c>
      <c r="CE271" s="7">
        <v>3.2652267375500998</v>
      </c>
      <c r="CF271" s="7">
        <v>44.241758371824098</v>
      </c>
      <c r="CG271" s="7">
        <v>176.99451856085599</v>
      </c>
      <c r="CH271" s="7">
        <v>44.241758371824098</v>
      </c>
      <c r="CI271" s="7">
        <v>68757064.914620593</v>
      </c>
      <c r="CJ271" s="7">
        <v>5092.9581789406502</v>
      </c>
      <c r="CK271" s="7">
        <f t="shared" si="341"/>
        <v>265.4780353045042</v>
      </c>
      <c r="CM271" s="28">
        <v>65</v>
      </c>
      <c r="CN271" s="26">
        <v>5.0000000000000002E-5</v>
      </c>
      <c r="CO271" s="28">
        <v>1</v>
      </c>
      <c r="CP271" s="28">
        <v>200</v>
      </c>
      <c r="CQ271" s="26">
        <v>5.0000000000000004E-6</v>
      </c>
      <c r="CR271" s="26">
        <f t="shared" si="342"/>
        <v>5.0000000000000004E-6</v>
      </c>
      <c r="CS271" s="26">
        <f t="shared" si="343"/>
        <v>0.2</v>
      </c>
      <c r="CT271" s="7">
        <v>3.2658362040647702</v>
      </c>
      <c r="CU271" s="7">
        <v>44.166101596649497</v>
      </c>
      <c r="CV271" s="7">
        <v>176.783417824277</v>
      </c>
      <c r="CW271" s="7">
        <v>44.166101596649497</v>
      </c>
      <c r="CX271" s="7">
        <v>34378532.457310297</v>
      </c>
      <c r="CY271" s="7">
        <v>5092.9581789406502</v>
      </c>
      <c r="CZ271" s="7">
        <f t="shared" si="344"/>
        <v>265.11562101757602</v>
      </c>
      <c r="DB271" s="28">
        <v>65</v>
      </c>
      <c r="DC271" s="26">
        <v>5.0000000000000002E-5</v>
      </c>
      <c r="DD271" s="28">
        <v>2</v>
      </c>
      <c r="DE271" s="28">
        <v>200</v>
      </c>
      <c r="DF271" s="26">
        <v>5.0000000000000004E-6</v>
      </c>
      <c r="DG271" s="26">
        <f t="shared" si="345"/>
        <v>1.0000000000000001E-5</v>
      </c>
      <c r="DH271" s="26">
        <f t="shared" si="346"/>
        <v>0.4</v>
      </c>
      <c r="DI271" s="7">
        <v>3.26705416593872</v>
      </c>
      <c r="DJ271" s="7">
        <v>44.0155689113517</v>
      </c>
      <c r="DK271" s="7">
        <v>176.36283833637401</v>
      </c>
      <c r="DL271" s="7">
        <v>44.0155689113517</v>
      </c>
      <c r="DM271" s="7">
        <v>17189266.2286552</v>
      </c>
      <c r="DN271" s="7">
        <v>5092.9581789406502</v>
      </c>
      <c r="DO271" s="7">
        <f t="shared" si="347"/>
        <v>264.3939761590774</v>
      </c>
      <c r="DQ271" s="28">
        <v>65</v>
      </c>
      <c r="DR271" s="26">
        <v>5.0000000000000002E-5</v>
      </c>
      <c r="DS271" s="28">
        <v>15</v>
      </c>
      <c r="DT271" s="28">
        <v>300</v>
      </c>
      <c r="DU271" s="26">
        <v>2.5000000000000002E-6</v>
      </c>
      <c r="DV271" s="26">
        <f t="shared" si="348"/>
        <v>3.7500000000000003E-5</v>
      </c>
      <c r="DW271" s="26">
        <f t="shared" si="349"/>
        <v>1.5</v>
      </c>
      <c r="DX271" s="7">
        <v>5.4446530193765401</v>
      </c>
      <c r="DY271" s="7">
        <v>28.565057936355299</v>
      </c>
      <c r="DZ271" s="7">
        <v>115.382714159923</v>
      </c>
      <c r="EA271" s="7">
        <v>28.565057936355299</v>
      </c>
      <c r="EB271" s="7">
        <v>2291902.16382069</v>
      </c>
      <c r="EC271" s="7">
        <v>3055.7749073643899</v>
      </c>
      <c r="ED271" s="7">
        <f t="shared" si="350"/>
        <v>172.51283003263359</v>
      </c>
    </row>
    <row r="272" spans="1:134" x14ac:dyDescent="0.4">
      <c r="A272" s="28">
        <v>70</v>
      </c>
      <c r="B272" s="26">
        <v>1.0000000000000001E-5</v>
      </c>
      <c r="C272" s="28">
        <v>0.2</v>
      </c>
      <c r="D272" s="28">
        <v>30</v>
      </c>
      <c r="E272" s="26">
        <v>5.0000000000000004E-6</v>
      </c>
      <c r="F272" s="26">
        <f t="shared" si="324"/>
        <v>1.0000000000000002E-6</v>
      </c>
      <c r="G272" s="26">
        <f t="shared" si="325"/>
        <v>0.2</v>
      </c>
      <c r="H272" s="7">
        <v>0.66473631817390599</v>
      </c>
      <c r="I272" s="7">
        <v>1223.14114606982</v>
      </c>
      <c r="J272" s="7">
        <v>5975.2459753258199</v>
      </c>
      <c r="K272" s="7">
        <v>1223.14114606982</v>
      </c>
      <c r="L272" s="7" t="s">
        <v>94</v>
      </c>
      <c r="M272" s="7">
        <v>127323.954473516</v>
      </c>
      <c r="N272" s="7">
        <f t="shared" si="326"/>
        <v>8421.5282674654591</v>
      </c>
      <c r="P272" s="28">
        <v>70</v>
      </c>
      <c r="Q272" s="26">
        <v>3.0000000000000001E-5</v>
      </c>
      <c r="R272" s="28">
        <v>0.2</v>
      </c>
      <c r="S272" s="28">
        <v>30</v>
      </c>
      <c r="T272" s="26">
        <v>5.0000000000000004E-6</v>
      </c>
      <c r="U272" s="26">
        <f t="shared" si="327"/>
        <v>1.0000000000000002E-6</v>
      </c>
      <c r="V272" s="26">
        <f t="shared" si="328"/>
        <v>6.666666666666668E-2</v>
      </c>
      <c r="W272" s="7">
        <v>1.8742122594352599</v>
      </c>
      <c r="X272" s="7">
        <v>407.71371535265399</v>
      </c>
      <c r="Y272" s="7">
        <v>1991.7486584419401</v>
      </c>
      <c r="Z272" s="7">
        <v>407.71371535265399</v>
      </c>
      <c r="AA272" s="7" t="s">
        <v>94</v>
      </c>
      <c r="AB272" s="7">
        <v>14147.1060526129</v>
      </c>
      <c r="AC272" s="7">
        <f t="shared" si="329"/>
        <v>2807.1760891472481</v>
      </c>
      <c r="AE272" s="28">
        <v>70</v>
      </c>
      <c r="AF272" s="26">
        <v>5.0000000000000002E-5</v>
      </c>
      <c r="AG272" s="28">
        <v>0.2</v>
      </c>
      <c r="AH272" s="28">
        <v>30</v>
      </c>
      <c r="AI272" s="26">
        <v>5.0000000000000004E-6</v>
      </c>
      <c r="AJ272" s="26">
        <f t="shared" si="330"/>
        <v>1.0000000000000002E-6</v>
      </c>
      <c r="AK272" s="26">
        <f t="shared" si="331"/>
        <v>4.0000000000000008E-2</v>
      </c>
      <c r="AL272" s="7">
        <v>2.9463949191773402</v>
      </c>
      <c r="AM272" s="7">
        <v>244.62822917813699</v>
      </c>
      <c r="AN272" s="7">
        <v>1195.0491950651599</v>
      </c>
      <c r="AO272" s="7">
        <v>244.62822917813699</v>
      </c>
      <c r="AP272" s="7" t="s">
        <v>94</v>
      </c>
      <c r="AQ272" s="7">
        <v>5092.9581789406502</v>
      </c>
      <c r="AR272" s="7">
        <f t="shared" si="332"/>
        <v>1684.3056534214338</v>
      </c>
      <c r="AT272" s="28">
        <v>70</v>
      </c>
      <c r="AU272" s="26">
        <v>1.0000000000000001E-5</v>
      </c>
      <c r="AV272" s="28">
        <v>0.2</v>
      </c>
      <c r="AW272" s="28">
        <v>200</v>
      </c>
      <c r="AX272" s="26">
        <v>5.0000000000000004E-6</v>
      </c>
      <c r="AY272" s="26">
        <f t="shared" si="333"/>
        <v>1.0000000000000002E-6</v>
      </c>
      <c r="AZ272" s="26">
        <f t="shared" si="334"/>
        <v>0.2</v>
      </c>
      <c r="BA272" s="7">
        <v>0.68332155732226896</v>
      </c>
      <c r="BB272" s="7">
        <v>184.11844341766201</v>
      </c>
      <c r="BC272" s="7">
        <v>898.22894938474894</v>
      </c>
      <c r="BD272" s="7">
        <v>184.11844341766201</v>
      </c>
      <c r="BE272" s="7" t="s">
        <v>94</v>
      </c>
      <c r="BF272" s="7">
        <v>127323.954473516</v>
      </c>
      <c r="BG272" s="7">
        <f t="shared" si="335"/>
        <v>1266.465836220073</v>
      </c>
      <c r="BI272" s="28">
        <v>70</v>
      </c>
      <c r="BJ272" s="26">
        <v>1.0000000000000001E-5</v>
      </c>
      <c r="BK272" s="28">
        <v>0.5</v>
      </c>
      <c r="BL272" s="28">
        <v>200</v>
      </c>
      <c r="BM272" s="26">
        <v>5.0000000000000004E-6</v>
      </c>
      <c r="BN272" s="26">
        <f t="shared" si="336"/>
        <v>2.5000000000000002E-6</v>
      </c>
      <c r="BO272" s="26">
        <f t="shared" si="337"/>
        <v>0.5</v>
      </c>
      <c r="BP272" s="7">
        <v>0.68332384977267702</v>
      </c>
      <c r="BQ272" s="7">
        <v>183.946660682919</v>
      </c>
      <c r="BR272" s="7">
        <v>897.71395999315905</v>
      </c>
      <c r="BS272" s="7">
        <v>183.946660682919</v>
      </c>
      <c r="BT272" s="7" t="s">
        <v>94</v>
      </c>
      <c r="BU272" s="7">
        <v>127323.954473516</v>
      </c>
      <c r="BV272" s="7">
        <f t="shared" si="338"/>
        <v>1265.6072813589969</v>
      </c>
      <c r="BX272" s="28">
        <v>70</v>
      </c>
      <c r="BY272" s="26">
        <v>5.0000000000000002E-5</v>
      </c>
      <c r="BZ272" s="28">
        <v>0.5</v>
      </c>
      <c r="CA272" s="28">
        <v>200</v>
      </c>
      <c r="CB272" s="26">
        <v>5.0000000000000004E-6</v>
      </c>
      <c r="CC272" s="26">
        <f t="shared" si="339"/>
        <v>2.5000000000000002E-6</v>
      </c>
      <c r="CD272" s="26">
        <f t="shared" si="340"/>
        <v>0.1</v>
      </c>
      <c r="CE272" s="7">
        <v>3.3503434364616602</v>
      </c>
      <c r="CF272" s="7">
        <v>36.7893321345583</v>
      </c>
      <c r="CG272" s="7">
        <v>179.542791998632</v>
      </c>
      <c r="CH272" s="7">
        <v>36.7893321345583</v>
      </c>
      <c r="CI272" s="7" t="s">
        <v>94</v>
      </c>
      <c r="CJ272" s="7">
        <v>5092.9581789406502</v>
      </c>
      <c r="CK272" s="7">
        <f t="shared" si="341"/>
        <v>253.12145626774858</v>
      </c>
      <c r="CM272" s="28">
        <v>70</v>
      </c>
      <c r="CN272" s="26">
        <v>5.0000000000000002E-5</v>
      </c>
      <c r="CO272" s="28">
        <v>1</v>
      </c>
      <c r="CP272" s="28">
        <v>200</v>
      </c>
      <c r="CQ272" s="26">
        <v>5.0000000000000004E-6</v>
      </c>
      <c r="CR272" s="26">
        <f t="shared" si="342"/>
        <v>5.0000000000000004E-6</v>
      </c>
      <c r="CS272" s="26">
        <f t="shared" si="343"/>
        <v>0.2</v>
      </c>
      <c r="CT272" s="7">
        <v>3.3504351022884098</v>
      </c>
      <c r="CU272" s="7">
        <v>36.732214141098297</v>
      </c>
      <c r="CV272" s="7">
        <v>179.37142238436701</v>
      </c>
      <c r="CW272" s="7">
        <v>36.732214141098297</v>
      </c>
      <c r="CX272" s="7" t="s">
        <v>94</v>
      </c>
      <c r="CY272" s="7">
        <v>5092.9581789406502</v>
      </c>
      <c r="CZ272" s="7">
        <f t="shared" si="344"/>
        <v>252.8358506665636</v>
      </c>
      <c r="DB272" s="28">
        <v>70</v>
      </c>
      <c r="DC272" s="26">
        <v>5.0000000000000002E-5</v>
      </c>
      <c r="DD272" s="28">
        <v>2</v>
      </c>
      <c r="DE272" s="28">
        <v>200</v>
      </c>
      <c r="DF272" s="26">
        <v>5.0000000000000004E-6</v>
      </c>
      <c r="DG272" s="26">
        <f t="shared" si="345"/>
        <v>1.0000000000000001E-5</v>
      </c>
      <c r="DH272" s="26">
        <f t="shared" si="346"/>
        <v>0.4</v>
      </c>
      <c r="DI272" s="7">
        <v>3.3506177550332801</v>
      </c>
      <c r="DJ272" s="7">
        <v>36.618511090650998</v>
      </c>
      <c r="DK272" s="7">
        <v>179.02977916857401</v>
      </c>
      <c r="DL272" s="7">
        <v>36.618511090650998</v>
      </c>
      <c r="DM272" s="7" t="s">
        <v>94</v>
      </c>
      <c r="DN272" s="7">
        <v>5092.9581789406502</v>
      </c>
      <c r="DO272" s="7">
        <f t="shared" si="347"/>
        <v>252.266801349876</v>
      </c>
      <c r="DQ272" s="28">
        <v>70</v>
      </c>
      <c r="DR272" s="26">
        <v>5.0000000000000002E-5</v>
      </c>
      <c r="DS272" s="28">
        <v>15</v>
      </c>
      <c r="DT272" s="28">
        <v>300</v>
      </c>
      <c r="DU272" s="26">
        <v>2.5000000000000002E-6</v>
      </c>
      <c r="DV272" s="26">
        <f t="shared" si="348"/>
        <v>3.7500000000000003E-5</v>
      </c>
      <c r="DW272" s="26">
        <f t="shared" si="349"/>
        <v>1.5</v>
      </c>
      <c r="DX272" s="7">
        <v>5.5720404867798203</v>
      </c>
      <c r="DY272" s="7">
        <v>23.8224846510956</v>
      </c>
      <c r="DZ272" s="7">
        <v>117.565391453988</v>
      </c>
      <c r="EA272" s="7">
        <v>23.8224846510956</v>
      </c>
      <c r="EB272" s="7" t="s">
        <v>94</v>
      </c>
      <c r="EC272" s="7">
        <v>3055.7749073643899</v>
      </c>
      <c r="ED272" s="7">
        <f t="shared" si="350"/>
        <v>165.2103607561792</v>
      </c>
    </row>
    <row r="273" spans="1:134" x14ac:dyDescent="0.4">
      <c r="B273" s="26"/>
      <c r="E273" s="26"/>
      <c r="F273" s="26"/>
      <c r="G273" s="26"/>
      <c r="Q273" s="26"/>
      <c r="T273" s="26"/>
      <c r="U273" s="26"/>
      <c r="V273" s="26"/>
      <c r="AF273" s="26"/>
      <c r="AI273" s="26"/>
      <c r="AJ273" s="26"/>
      <c r="AK273" s="26"/>
      <c r="AU273" s="26"/>
      <c r="AX273" s="26"/>
      <c r="AY273" s="26"/>
      <c r="AZ273" s="26"/>
      <c r="BJ273" s="26"/>
      <c r="BM273" s="26"/>
      <c r="BN273" s="26"/>
      <c r="BO273" s="26"/>
      <c r="BY273" s="26"/>
      <c r="CB273" s="26"/>
      <c r="CC273" s="26"/>
      <c r="CD273" s="26"/>
      <c r="CN273" s="26"/>
      <c r="CQ273" s="26"/>
      <c r="CR273" s="26"/>
      <c r="CS273" s="26"/>
      <c r="DC273" s="26"/>
      <c r="DF273" s="26"/>
      <c r="DG273" s="26"/>
      <c r="DH273" s="26"/>
      <c r="DR273" s="26"/>
      <c r="DU273" s="26"/>
      <c r="DV273" s="26"/>
      <c r="DW273" s="26"/>
    </row>
    <row r="274" spans="1:134" s="36" customFormat="1" ht="47.25" x14ac:dyDescent="0.4">
      <c r="A274" s="53" t="s">
        <v>69</v>
      </c>
      <c r="B274" s="54" t="s">
        <v>93</v>
      </c>
      <c r="C274" s="39" t="s">
        <v>73</v>
      </c>
      <c r="D274" s="39" t="s">
        <v>98</v>
      </c>
      <c r="E274" s="39" t="s">
        <v>97</v>
      </c>
      <c r="F274" s="39" t="s">
        <v>99</v>
      </c>
      <c r="G274" s="39" t="s">
        <v>96</v>
      </c>
      <c r="H274" s="37" t="s">
        <v>60</v>
      </c>
      <c r="I274" s="37" t="s">
        <v>100</v>
      </c>
      <c r="J274" s="37" t="s">
        <v>101</v>
      </c>
      <c r="K274" s="37" t="s">
        <v>102</v>
      </c>
      <c r="L274" s="37" t="s">
        <v>103</v>
      </c>
      <c r="M274" s="37" t="s">
        <v>65</v>
      </c>
      <c r="N274" s="37" t="s">
        <v>68</v>
      </c>
      <c r="O274" s="55"/>
      <c r="P274" s="53" t="s">
        <v>69</v>
      </c>
      <c r="Q274" s="54" t="s">
        <v>93</v>
      </c>
      <c r="R274" s="39" t="s">
        <v>73</v>
      </c>
      <c r="S274" s="39" t="s">
        <v>98</v>
      </c>
      <c r="T274" s="39" t="s">
        <v>97</v>
      </c>
      <c r="U274" s="39" t="s">
        <v>99</v>
      </c>
      <c r="V274" s="39" t="s">
        <v>96</v>
      </c>
      <c r="W274" s="37" t="s">
        <v>60</v>
      </c>
      <c r="X274" s="37" t="s">
        <v>100</v>
      </c>
      <c r="Y274" s="37" t="s">
        <v>101</v>
      </c>
      <c r="Z274" s="37" t="s">
        <v>102</v>
      </c>
      <c r="AA274" s="37" t="s">
        <v>103</v>
      </c>
      <c r="AB274" s="37" t="s">
        <v>65</v>
      </c>
      <c r="AC274" s="37" t="s">
        <v>68</v>
      </c>
      <c r="AD274" s="55"/>
      <c r="AE274" s="53" t="s">
        <v>69</v>
      </c>
      <c r="AF274" s="54" t="s">
        <v>93</v>
      </c>
      <c r="AG274" s="39" t="s">
        <v>73</v>
      </c>
      <c r="AH274" s="39" t="s">
        <v>98</v>
      </c>
      <c r="AI274" s="39" t="s">
        <v>97</v>
      </c>
      <c r="AJ274" s="39" t="s">
        <v>99</v>
      </c>
      <c r="AK274" s="39" t="s">
        <v>96</v>
      </c>
      <c r="AL274" s="37" t="s">
        <v>60</v>
      </c>
      <c r="AM274" s="37" t="s">
        <v>100</v>
      </c>
      <c r="AN274" s="37" t="s">
        <v>101</v>
      </c>
      <c r="AO274" s="37" t="s">
        <v>102</v>
      </c>
      <c r="AP274" s="37" t="s">
        <v>103</v>
      </c>
      <c r="AQ274" s="37" t="s">
        <v>65</v>
      </c>
      <c r="AR274" s="37" t="s">
        <v>68</v>
      </c>
      <c r="AS274" s="55"/>
      <c r="AT274" s="53" t="s">
        <v>69</v>
      </c>
      <c r="AU274" s="54" t="s">
        <v>93</v>
      </c>
      <c r="AV274" s="39" t="s">
        <v>73</v>
      </c>
      <c r="AW274" s="39" t="s">
        <v>98</v>
      </c>
      <c r="AX274" s="39" t="s">
        <v>97</v>
      </c>
      <c r="AY274" s="39" t="s">
        <v>99</v>
      </c>
      <c r="AZ274" s="39" t="s">
        <v>96</v>
      </c>
      <c r="BA274" s="37" t="s">
        <v>60</v>
      </c>
      <c r="BB274" s="37" t="s">
        <v>100</v>
      </c>
      <c r="BC274" s="37" t="s">
        <v>101</v>
      </c>
      <c r="BD274" s="37" t="s">
        <v>102</v>
      </c>
      <c r="BE274" s="37" t="s">
        <v>103</v>
      </c>
      <c r="BF274" s="37" t="s">
        <v>65</v>
      </c>
      <c r="BG274" s="37" t="s">
        <v>68</v>
      </c>
      <c r="BH274" s="55"/>
      <c r="BI274" s="53" t="s">
        <v>69</v>
      </c>
      <c r="BJ274" s="54" t="s">
        <v>93</v>
      </c>
      <c r="BK274" s="39" t="s">
        <v>73</v>
      </c>
      <c r="BL274" s="39" t="s">
        <v>98</v>
      </c>
      <c r="BM274" s="39" t="s">
        <v>97</v>
      </c>
      <c r="BN274" s="39" t="s">
        <v>99</v>
      </c>
      <c r="BO274" s="39" t="s">
        <v>96</v>
      </c>
      <c r="BP274" s="37" t="s">
        <v>60</v>
      </c>
      <c r="BQ274" s="37" t="s">
        <v>100</v>
      </c>
      <c r="BR274" s="37" t="s">
        <v>101</v>
      </c>
      <c r="BS274" s="37" t="s">
        <v>102</v>
      </c>
      <c r="BT274" s="37" t="s">
        <v>103</v>
      </c>
      <c r="BU274" s="37" t="s">
        <v>65</v>
      </c>
      <c r="BV274" s="37" t="s">
        <v>68</v>
      </c>
      <c r="BW274" s="55"/>
      <c r="BX274" s="53" t="s">
        <v>69</v>
      </c>
      <c r="BY274" s="54" t="s">
        <v>93</v>
      </c>
      <c r="BZ274" s="39" t="s">
        <v>73</v>
      </c>
      <c r="CA274" s="39" t="s">
        <v>98</v>
      </c>
      <c r="CB274" s="39" t="s">
        <v>97</v>
      </c>
      <c r="CC274" s="39" t="s">
        <v>99</v>
      </c>
      <c r="CD274" s="39" t="s">
        <v>96</v>
      </c>
      <c r="CE274" s="37" t="s">
        <v>60</v>
      </c>
      <c r="CF274" s="37" t="s">
        <v>100</v>
      </c>
      <c r="CG274" s="37" t="s">
        <v>101</v>
      </c>
      <c r="CH274" s="37" t="s">
        <v>102</v>
      </c>
      <c r="CI274" s="37" t="s">
        <v>103</v>
      </c>
      <c r="CJ274" s="37" t="s">
        <v>65</v>
      </c>
      <c r="CK274" s="37" t="s">
        <v>68</v>
      </c>
      <c r="CL274" s="55"/>
      <c r="CM274" s="53" t="s">
        <v>69</v>
      </c>
      <c r="CN274" s="54" t="s">
        <v>93</v>
      </c>
      <c r="CO274" s="39" t="s">
        <v>73</v>
      </c>
      <c r="CP274" s="39" t="s">
        <v>98</v>
      </c>
      <c r="CQ274" s="39" t="s">
        <v>97</v>
      </c>
      <c r="CR274" s="39" t="s">
        <v>99</v>
      </c>
      <c r="CS274" s="39" t="s">
        <v>96</v>
      </c>
      <c r="CT274" s="37" t="s">
        <v>60</v>
      </c>
      <c r="CU274" s="37" t="s">
        <v>100</v>
      </c>
      <c r="CV274" s="37" t="s">
        <v>101</v>
      </c>
      <c r="CW274" s="37" t="s">
        <v>102</v>
      </c>
      <c r="CX274" s="37" t="s">
        <v>103</v>
      </c>
      <c r="CY274" s="37" t="s">
        <v>65</v>
      </c>
      <c r="CZ274" s="37" t="s">
        <v>68</v>
      </c>
      <c r="DA274" s="55"/>
      <c r="DB274" s="53" t="s">
        <v>69</v>
      </c>
      <c r="DC274" s="54" t="s">
        <v>93</v>
      </c>
      <c r="DD274" s="39" t="s">
        <v>73</v>
      </c>
      <c r="DE274" s="39" t="s">
        <v>98</v>
      </c>
      <c r="DF274" s="39" t="s">
        <v>97</v>
      </c>
      <c r="DG274" s="39" t="s">
        <v>99</v>
      </c>
      <c r="DH274" s="39" t="s">
        <v>96</v>
      </c>
      <c r="DI274" s="37" t="s">
        <v>60</v>
      </c>
      <c r="DJ274" s="37" t="s">
        <v>100</v>
      </c>
      <c r="DK274" s="37" t="s">
        <v>101</v>
      </c>
      <c r="DL274" s="37" t="s">
        <v>102</v>
      </c>
      <c r="DM274" s="37" t="s">
        <v>103</v>
      </c>
      <c r="DN274" s="37" t="s">
        <v>65</v>
      </c>
      <c r="DO274" s="37" t="s">
        <v>68</v>
      </c>
      <c r="DP274" s="55"/>
      <c r="DQ274" s="53" t="s">
        <v>69</v>
      </c>
      <c r="DR274" s="54" t="s">
        <v>93</v>
      </c>
      <c r="DS274" s="39" t="s">
        <v>73</v>
      </c>
      <c r="DT274" s="39" t="s">
        <v>98</v>
      </c>
      <c r="DU274" s="39" t="s">
        <v>97</v>
      </c>
      <c r="DV274" s="39" t="s">
        <v>99</v>
      </c>
      <c r="DW274" s="39" t="s">
        <v>96</v>
      </c>
      <c r="DX274" s="37" t="s">
        <v>60</v>
      </c>
      <c r="DY274" s="37" t="s">
        <v>100</v>
      </c>
      <c r="DZ274" s="37" t="s">
        <v>101</v>
      </c>
      <c r="EA274" s="37" t="s">
        <v>102</v>
      </c>
      <c r="EB274" s="37" t="s">
        <v>103</v>
      </c>
      <c r="EC274" s="37" t="s">
        <v>65</v>
      </c>
      <c r="ED274" s="37" t="s">
        <v>68</v>
      </c>
    </row>
    <row r="275" spans="1:134" x14ac:dyDescent="0.4">
      <c r="A275" s="28">
        <v>1</v>
      </c>
      <c r="B275" s="26">
        <v>1.0000000000000001E-5</v>
      </c>
      <c r="C275" s="28">
        <v>0.2</v>
      </c>
      <c r="D275" s="28">
        <v>30</v>
      </c>
      <c r="E275" s="26">
        <v>7.5000000000000002E-6</v>
      </c>
      <c r="F275" s="26">
        <f t="shared" ref="F275:F293" si="351">C275*E275</f>
        <v>1.5E-6</v>
      </c>
      <c r="G275" s="26">
        <f t="shared" ref="G275:G293" si="352">F275/(B275/2)</f>
        <v>0.3</v>
      </c>
      <c r="H275" s="7">
        <v>0.20754259554136001</v>
      </c>
      <c r="I275" s="7">
        <v>20967.675665585699</v>
      </c>
      <c r="J275" s="7">
        <v>750067.42850576504</v>
      </c>
      <c r="K275" s="7">
        <v>20967.675665585699</v>
      </c>
      <c r="L275" s="7">
        <v>246455.34799285</v>
      </c>
      <c r="M275" s="7">
        <v>203718.32715762599</v>
      </c>
      <c r="N275" s="7">
        <f t="shared" ref="N275:N293" si="353">I275+J275+K275</f>
        <v>792002.77983693639</v>
      </c>
      <c r="P275" s="28">
        <v>1</v>
      </c>
      <c r="Q275" s="26">
        <v>3.0000000000000001E-5</v>
      </c>
      <c r="R275" s="28">
        <v>0.2</v>
      </c>
      <c r="S275" s="28">
        <v>30</v>
      </c>
      <c r="T275" s="26">
        <v>7.5000000000000002E-6</v>
      </c>
      <c r="U275" s="26">
        <f t="shared" ref="U275:U293" si="354">R275*T275</f>
        <v>1.5E-6</v>
      </c>
      <c r="V275" s="26">
        <f t="shared" ref="V275:V293" si="355">U275/(Q275/2)</f>
        <v>0.1</v>
      </c>
      <c r="W275" s="7">
        <v>0.217899172796996</v>
      </c>
      <c r="X275" s="7">
        <v>6989.2252213633501</v>
      </c>
      <c r="Y275" s="7">
        <v>250022.476149864</v>
      </c>
      <c r="Z275" s="7">
        <v>6989.2252213633501</v>
      </c>
      <c r="AA275" s="7">
        <v>82151.782666878105</v>
      </c>
      <c r="AB275" s="7">
        <v>22635.3696841807</v>
      </c>
      <c r="AC275" s="7">
        <f t="shared" ref="AC275:AC293" si="356">X275+Y275+Z275</f>
        <v>264000.92659259069</v>
      </c>
      <c r="AE275" s="28">
        <v>1</v>
      </c>
      <c r="AF275" s="26">
        <v>5.0000000000000002E-5</v>
      </c>
      <c r="AG275" s="28">
        <v>0.2</v>
      </c>
      <c r="AH275" s="28">
        <v>30</v>
      </c>
      <c r="AI275" s="26">
        <v>7.5000000000000002E-6</v>
      </c>
      <c r="AJ275" s="26">
        <f t="shared" ref="AJ275:AJ293" si="357">AG275*AI275</f>
        <v>1.5E-6</v>
      </c>
      <c r="AK275" s="26">
        <f t="shared" ref="AK275:AK293" si="358">AJ275/(AF275/2)</f>
        <v>0.06</v>
      </c>
      <c r="AL275" s="7">
        <v>0.22074341496605801</v>
      </c>
      <c r="AM275" s="7">
        <v>4193.5351285970401</v>
      </c>
      <c r="AN275" s="7">
        <v>150013.48553139099</v>
      </c>
      <c r="AO275" s="7">
        <v>4193.5351285970401</v>
      </c>
      <c r="AP275" s="7">
        <v>49291.069622095303</v>
      </c>
      <c r="AQ275" s="7">
        <v>8148.7330863050402</v>
      </c>
      <c r="AR275" s="7">
        <f t="shared" ref="AR275:AR293" si="359">AM275+AN275+AO275</f>
        <v>158400.5557885851</v>
      </c>
      <c r="AT275" s="28">
        <v>1</v>
      </c>
      <c r="AU275" s="26">
        <v>1.0000000000000001E-5</v>
      </c>
      <c r="AV275" s="28">
        <v>0.2</v>
      </c>
      <c r="AW275" s="28">
        <v>200</v>
      </c>
      <c r="AX275" s="26">
        <v>7.5000000000000002E-6</v>
      </c>
      <c r="AY275" s="26">
        <f t="shared" ref="AY275:AY293" si="360">AV275*AX275</f>
        <v>1.5E-6</v>
      </c>
      <c r="AZ275" s="26">
        <f t="shared" ref="AZ275:AZ293" si="361">AY275/(AU275/2)</f>
        <v>0.3</v>
      </c>
      <c r="BA275" s="7">
        <v>0.20855105665619</v>
      </c>
      <c r="BB275" s="7">
        <v>4345.3623253436699</v>
      </c>
      <c r="BC275" s="7">
        <v>750067.42850576504</v>
      </c>
      <c r="BD275" s="7">
        <v>4345.3623253436699</v>
      </c>
      <c r="BE275" s="7">
        <v>246455.34799285</v>
      </c>
      <c r="BF275" s="7">
        <v>203718.32715762599</v>
      </c>
      <c r="BG275" s="7">
        <f t="shared" ref="BG275:BG293" si="362">BB275+BC275+BD275</f>
        <v>758758.15315645235</v>
      </c>
      <c r="BI275" s="28">
        <v>1</v>
      </c>
      <c r="BJ275" s="26">
        <v>1.0000000000000001E-5</v>
      </c>
      <c r="BK275" s="28">
        <v>0.5</v>
      </c>
      <c r="BL275" s="28">
        <v>200</v>
      </c>
      <c r="BM275" s="26">
        <v>7.5000000000000002E-6</v>
      </c>
      <c r="BN275" s="26">
        <f t="shared" ref="BN275:BN293" si="363">BK275*BM275</f>
        <v>3.7500000000000001E-6</v>
      </c>
      <c r="BO275" s="26">
        <f t="shared" ref="BO275:BO293" si="364">BN275/(BJ275/2)</f>
        <v>0.75</v>
      </c>
      <c r="BP275" s="7">
        <v>0.48976173081264202</v>
      </c>
      <c r="BQ275" s="7">
        <v>3764.12485338133</v>
      </c>
      <c r="BR275" s="7">
        <v>300026.97140230599</v>
      </c>
      <c r="BS275" s="7">
        <v>3764.12485338133</v>
      </c>
      <c r="BT275" s="7">
        <v>98582.139197140001</v>
      </c>
      <c r="BU275" s="7">
        <v>203718.32715762599</v>
      </c>
      <c r="BV275" s="7">
        <f t="shared" ref="BV275:BV293" si="365">BQ275+BR275+BS275</f>
        <v>307555.2211090686</v>
      </c>
      <c r="BX275" s="28">
        <v>1</v>
      </c>
      <c r="BY275" s="26">
        <v>5.0000000000000002E-5</v>
      </c>
      <c r="BZ275" s="28">
        <v>0.5</v>
      </c>
      <c r="CA275" s="28">
        <v>200</v>
      </c>
      <c r="CB275" s="26">
        <v>7.5000000000000002E-6</v>
      </c>
      <c r="CC275" s="26">
        <f t="shared" ref="CC275:CC293" si="366">BZ275*CB275</f>
        <v>3.7500000000000001E-6</v>
      </c>
      <c r="CD275" s="26">
        <f t="shared" ref="CD275:CD293" si="367">CC275/(BY275/2)</f>
        <v>0.15</v>
      </c>
      <c r="CE275" s="7">
        <v>0.53948263224816495</v>
      </c>
      <c r="CF275" s="7">
        <v>752.82497001808497</v>
      </c>
      <c r="CG275" s="7">
        <v>60005.394212556603</v>
      </c>
      <c r="CH275" s="7">
        <v>752.82497001808497</v>
      </c>
      <c r="CI275" s="7">
        <v>19716.427848838099</v>
      </c>
      <c r="CJ275" s="7">
        <v>8148.7330863050402</v>
      </c>
      <c r="CK275" s="7">
        <f t="shared" ref="CK275:CK293" si="368">CF275+CG275+CH275</f>
        <v>61511.044152592767</v>
      </c>
      <c r="CM275" s="28">
        <v>1</v>
      </c>
      <c r="CN275" s="26">
        <v>5.0000000000000002E-5</v>
      </c>
      <c r="CO275" s="28">
        <v>1</v>
      </c>
      <c r="CP275" s="28">
        <v>200</v>
      </c>
      <c r="CQ275" s="26">
        <v>7.5000000000000002E-6</v>
      </c>
      <c r="CR275" s="26">
        <f t="shared" ref="CR275:CR293" si="369">CO275*CQ275</f>
        <v>7.5000000000000002E-6</v>
      </c>
      <c r="CS275" s="26">
        <f t="shared" ref="CS275:CS293" si="370">CR275/(CN275/2)</f>
        <v>0.3</v>
      </c>
      <c r="CT275" s="7">
        <v>1.0390013950435499</v>
      </c>
      <c r="CU275" s="7">
        <v>665.23311259709499</v>
      </c>
      <c r="CV275" s="7">
        <v>30002.697106278301</v>
      </c>
      <c r="CW275" s="7">
        <v>665.23311259709499</v>
      </c>
      <c r="CX275" s="7">
        <v>9858.2139244190694</v>
      </c>
      <c r="CY275" s="7">
        <v>8148.7330863050402</v>
      </c>
      <c r="CZ275" s="7">
        <f t="shared" ref="CZ275:CZ293" si="371">CU275+CV275+CW275</f>
        <v>31333.163331472493</v>
      </c>
      <c r="DB275" s="28">
        <v>1</v>
      </c>
      <c r="DC275" s="26">
        <v>5.0000000000000002E-5</v>
      </c>
      <c r="DD275" s="28">
        <v>2</v>
      </c>
      <c r="DE275" s="28">
        <v>200</v>
      </c>
      <c r="DF275" s="26">
        <v>7.5000000000000002E-6</v>
      </c>
      <c r="DG275" s="26">
        <f t="shared" ref="DG275:DG293" si="372">DD275*DF275</f>
        <v>1.5E-5</v>
      </c>
      <c r="DH275" s="26">
        <f t="shared" ref="DH275:DH293" si="373">DG275/(DC275/2)</f>
        <v>0.6</v>
      </c>
      <c r="DI275" s="7">
        <v>1.9831418959415601</v>
      </c>
      <c r="DJ275" s="7">
        <v>578.22973015081095</v>
      </c>
      <c r="DK275" s="7">
        <v>15001.3485531391</v>
      </c>
      <c r="DL275" s="7">
        <v>578.22973015081095</v>
      </c>
      <c r="DM275" s="7">
        <v>4929.1069622095301</v>
      </c>
      <c r="DN275" s="7">
        <v>8148.7330863050402</v>
      </c>
      <c r="DO275" s="7">
        <f t="shared" ref="DO275:DO293" si="374">DJ275+DK275+DL275</f>
        <v>16157.808013440723</v>
      </c>
      <c r="DQ275" s="28">
        <v>1</v>
      </c>
      <c r="DR275" s="26">
        <v>5.0000000000000002E-5</v>
      </c>
      <c r="DS275" s="28">
        <v>15</v>
      </c>
      <c r="DT275" s="28">
        <v>300</v>
      </c>
      <c r="DU275" s="26">
        <v>5.0000000000000004E-6</v>
      </c>
      <c r="DV275" s="26">
        <f t="shared" ref="DV275:DV293" si="375">DS275*DU275</f>
        <v>7.5000000000000007E-5</v>
      </c>
      <c r="DW275" s="26">
        <f t="shared" ref="DW275:DW293" si="376">DV275/(DR275/2)</f>
        <v>3</v>
      </c>
      <c r="DX275" s="7">
        <v>13.580958843858101</v>
      </c>
      <c r="DY275" s="7">
        <v>254.539230510376</v>
      </c>
      <c r="DZ275" s="7">
        <v>2000.1798070852201</v>
      </c>
      <c r="EA275" s="7">
        <v>254.539230510376</v>
      </c>
      <c r="EB275" s="7">
        <v>657.21426162793796</v>
      </c>
      <c r="EC275" s="7">
        <v>5092.9581789406502</v>
      </c>
      <c r="ED275" s="7">
        <f t="shared" ref="ED275:ED293" si="377">DY275+DZ275+EA275</f>
        <v>2509.2582681059721</v>
      </c>
    </row>
    <row r="276" spans="1:134" x14ac:dyDescent="0.4">
      <c r="A276" s="28">
        <v>2</v>
      </c>
      <c r="B276" s="26">
        <v>1.0000000000000001E-5</v>
      </c>
      <c r="C276" s="28">
        <v>0.2</v>
      </c>
      <c r="D276" s="28">
        <v>30</v>
      </c>
      <c r="E276" s="26">
        <v>7.5000000000000002E-6</v>
      </c>
      <c r="F276" s="26">
        <f t="shared" si="351"/>
        <v>1.5E-6</v>
      </c>
      <c r="G276" s="26">
        <f t="shared" si="352"/>
        <v>0.3</v>
      </c>
      <c r="H276" s="7">
        <v>0.214946845777091</v>
      </c>
      <c r="I276" s="7">
        <v>20967.675665585699</v>
      </c>
      <c r="J276" s="7">
        <v>482013.76177816797</v>
      </c>
      <c r="K276" s="7">
        <v>20967.675665585699</v>
      </c>
      <c r="L276" s="7">
        <v>339325.67523914197</v>
      </c>
      <c r="M276" s="7">
        <v>203718.32715762599</v>
      </c>
      <c r="N276" s="7">
        <f t="shared" si="353"/>
        <v>523949.11310933932</v>
      </c>
      <c r="P276" s="28">
        <v>2</v>
      </c>
      <c r="Q276" s="26">
        <v>3.0000000000000001E-5</v>
      </c>
      <c r="R276" s="28">
        <v>0.2</v>
      </c>
      <c r="S276" s="28">
        <v>30</v>
      </c>
      <c r="T276" s="26">
        <v>7.5000000000000002E-6</v>
      </c>
      <c r="U276" s="26">
        <f t="shared" si="354"/>
        <v>1.5E-6</v>
      </c>
      <c r="V276" s="26">
        <f t="shared" si="355"/>
        <v>0.1</v>
      </c>
      <c r="W276" s="7">
        <v>0.238577885908202</v>
      </c>
      <c r="X276" s="7">
        <v>6989.2252213633501</v>
      </c>
      <c r="Y276" s="7">
        <v>160671.25390733199</v>
      </c>
      <c r="Z276" s="7">
        <v>6989.2252213633501</v>
      </c>
      <c r="AA276" s="7">
        <v>113108.558420806</v>
      </c>
      <c r="AB276" s="7">
        <v>22635.3696841807</v>
      </c>
      <c r="AC276" s="7">
        <f t="shared" si="356"/>
        <v>174649.70435005872</v>
      </c>
      <c r="AE276" s="28">
        <v>2</v>
      </c>
      <c r="AF276" s="26">
        <v>5.0000000000000002E-5</v>
      </c>
      <c r="AG276" s="28">
        <v>0.2</v>
      </c>
      <c r="AH276" s="28">
        <v>30</v>
      </c>
      <c r="AI276" s="26">
        <v>7.5000000000000002E-6</v>
      </c>
      <c r="AJ276" s="26">
        <f t="shared" si="357"/>
        <v>1.5E-6</v>
      </c>
      <c r="AK276" s="26">
        <f t="shared" si="358"/>
        <v>0.06</v>
      </c>
      <c r="AL276" s="7">
        <v>0.24584854646425999</v>
      </c>
      <c r="AM276" s="7">
        <v>4193.5351285970401</v>
      </c>
      <c r="AN276" s="7">
        <v>96402.752185872101</v>
      </c>
      <c r="AO276" s="7">
        <v>4193.5351285970401</v>
      </c>
      <c r="AP276" s="7">
        <v>67865.135118168895</v>
      </c>
      <c r="AQ276" s="7">
        <v>8148.7330863050402</v>
      </c>
      <c r="AR276" s="7">
        <f t="shared" si="359"/>
        <v>104789.82244306618</v>
      </c>
      <c r="AT276" s="28">
        <v>2</v>
      </c>
      <c r="AU276" s="26">
        <v>1.0000000000000001E-5</v>
      </c>
      <c r="AV276" s="28">
        <v>0.2</v>
      </c>
      <c r="AW276" s="28">
        <v>200</v>
      </c>
      <c r="AX276" s="26">
        <v>7.5000000000000002E-6</v>
      </c>
      <c r="AY276" s="26">
        <f t="shared" si="360"/>
        <v>1.5E-6</v>
      </c>
      <c r="AZ276" s="26">
        <f t="shared" si="361"/>
        <v>0.3</v>
      </c>
      <c r="BA276" s="7">
        <v>0.21707144847083401</v>
      </c>
      <c r="BB276" s="7">
        <v>4345.3623253436699</v>
      </c>
      <c r="BC276" s="7">
        <v>482013.76177816797</v>
      </c>
      <c r="BD276" s="7">
        <v>4345.3623253436699</v>
      </c>
      <c r="BE276" s="7">
        <v>339325.67523914197</v>
      </c>
      <c r="BF276" s="7">
        <v>203718.32715762599</v>
      </c>
      <c r="BG276" s="7">
        <f t="shared" si="362"/>
        <v>490704.48642885528</v>
      </c>
      <c r="BI276" s="28">
        <v>2</v>
      </c>
      <c r="BJ276" s="26">
        <v>1.0000000000000001E-5</v>
      </c>
      <c r="BK276" s="28">
        <v>0.5</v>
      </c>
      <c r="BL276" s="28">
        <v>200</v>
      </c>
      <c r="BM276" s="26">
        <v>7.5000000000000002E-6</v>
      </c>
      <c r="BN276" s="26">
        <f t="shared" si="363"/>
        <v>3.7500000000000001E-6</v>
      </c>
      <c r="BO276" s="26">
        <f t="shared" si="364"/>
        <v>0.75</v>
      </c>
      <c r="BP276" s="7">
        <v>0.48183191149253302</v>
      </c>
      <c r="BQ276" s="7">
        <v>3764.12485338133</v>
      </c>
      <c r="BR276" s="7">
        <v>192805.50471126701</v>
      </c>
      <c r="BS276" s="7">
        <v>3764.12485338133</v>
      </c>
      <c r="BT276" s="7">
        <v>135730.270095657</v>
      </c>
      <c r="BU276" s="7">
        <v>203718.32715762599</v>
      </c>
      <c r="BV276" s="7">
        <f t="shared" si="365"/>
        <v>200333.75441802968</v>
      </c>
      <c r="BX276" s="28">
        <v>2</v>
      </c>
      <c r="BY276" s="26">
        <v>5.0000000000000002E-5</v>
      </c>
      <c r="BZ276" s="28">
        <v>0.5</v>
      </c>
      <c r="CA276" s="28">
        <v>200</v>
      </c>
      <c r="CB276" s="26">
        <v>7.5000000000000002E-6</v>
      </c>
      <c r="CC276" s="26">
        <f t="shared" si="366"/>
        <v>3.7500000000000001E-6</v>
      </c>
      <c r="CD276" s="26">
        <f t="shared" si="367"/>
        <v>0.15</v>
      </c>
      <c r="CE276" s="7">
        <v>0.58356623553811704</v>
      </c>
      <c r="CF276" s="7">
        <v>752.82497001808497</v>
      </c>
      <c r="CG276" s="7">
        <v>38561.1008743489</v>
      </c>
      <c r="CH276" s="7">
        <v>752.82497001808497</v>
      </c>
      <c r="CI276" s="7">
        <v>27146.0540472676</v>
      </c>
      <c r="CJ276" s="7">
        <v>8148.7330863050402</v>
      </c>
      <c r="CK276" s="7">
        <f t="shared" si="368"/>
        <v>40066.750814385065</v>
      </c>
      <c r="CM276" s="28">
        <v>2</v>
      </c>
      <c r="CN276" s="26">
        <v>5.0000000000000002E-5</v>
      </c>
      <c r="CO276" s="28">
        <v>1</v>
      </c>
      <c r="CP276" s="28">
        <v>200</v>
      </c>
      <c r="CQ276" s="26">
        <v>7.5000000000000002E-6</v>
      </c>
      <c r="CR276" s="26">
        <f t="shared" si="369"/>
        <v>7.5000000000000002E-6</v>
      </c>
      <c r="CS276" s="26">
        <f t="shared" si="370"/>
        <v>0.3</v>
      </c>
      <c r="CT276" s="7">
        <v>1.07743202268899</v>
      </c>
      <c r="CU276" s="7">
        <v>665.23311259709499</v>
      </c>
      <c r="CV276" s="7">
        <v>19280.550437174399</v>
      </c>
      <c r="CW276" s="7">
        <v>665.23311259709499</v>
      </c>
      <c r="CX276" s="7">
        <v>13573.0270236338</v>
      </c>
      <c r="CY276" s="7">
        <v>8148.7330863050402</v>
      </c>
      <c r="CZ276" s="7">
        <f t="shared" si="371"/>
        <v>20611.016662368591</v>
      </c>
      <c r="DB276" s="28">
        <v>2</v>
      </c>
      <c r="DC276" s="26">
        <v>5.0000000000000002E-5</v>
      </c>
      <c r="DD276" s="28">
        <v>2</v>
      </c>
      <c r="DE276" s="28">
        <v>200</v>
      </c>
      <c r="DF276" s="26">
        <v>7.5000000000000002E-6</v>
      </c>
      <c r="DG276" s="26">
        <f t="shared" si="372"/>
        <v>1.5E-5</v>
      </c>
      <c r="DH276" s="26">
        <f t="shared" si="373"/>
        <v>0.6</v>
      </c>
      <c r="DI276" s="7">
        <v>1.9701075947921001</v>
      </c>
      <c r="DJ276" s="7">
        <v>578.22973015081095</v>
      </c>
      <c r="DK276" s="7">
        <v>9640.2752185872196</v>
      </c>
      <c r="DL276" s="7">
        <v>578.22973015081095</v>
      </c>
      <c r="DM276" s="7">
        <v>6786.5135118168901</v>
      </c>
      <c r="DN276" s="7">
        <v>8148.7330863050402</v>
      </c>
      <c r="DO276" s="7">
        <f t="shared" si="374"/>
        <v>10796.734678888843</v>
      </c>
      <c r="DQ276" s="28">
        <v>2</v>
      </c>
      <c r="DR276" s="26">
        <v>5.0000000000000002E-5</v>
      </c>
      <c r="DS276" s="28">
        <v>15</v>
      </c>
      <c r="DT276" s="28">
        <v>300</v>
      </c>
      <c r="DU276" s="26">
        <v>5.0000000000000004E-6</v>
      </c>
      <c r="DV276" s="26">
        <f t="shared" si="375"/>
        <v>7.5000000000000007E-5</v>
      </c>
      <c r="DW276" s="26">
        <f t="shared" si="376"/>
        <v>3</v>
      </c>
      <c r="DX276" s="7">
        <v>12.708586185078</v>
      </c>
      <c r="DY276" s="7">
        <v>254.539230510376</v>
      </c>
      <c r="DZ276" s="7">
        <v>1285.37002914496</v>
      </c>
      <c r="EA276" s="7">
        <v>254.539230510376</v>
      </c>
      <c r="EB276" s="7">
        <v>904.86846824225199</v>
      </c>
      <c r="EC276" s="7">
        <v>5092.9581789406502</v>
      </c>
      <c r="ED276" s="7">
        <f t="shared" si="377"/>
        <v>1794.448490165712</v>
      </c>
    </row>
    <row r="277" spans="1:134" x14ac:dyDescent="0.4">
      <c r="A277" s="28">
        <v>4</v>
      </c>
      <c r="B277" s="26">
        <v>1.0000000000000001E-5</v>
      </c>
      <c r="C277" s="28">
        <v>0.2</v>
      </c>
      <c r="D277" s="28">
        <v>30</v>
      </c>
      <c r="E277" s="26">
        <v>7.5000000000000002E-6</v>
      </c>
      <c r="F277" s="26">
        <f t="shared" si="351"/>
        <v>1.5E-6</v>
      </c>
      <c r="G277" s="26">
        <f t="shared" si="352"/>
        <v>0.3</v>
      </c>
      <c r="H277" s="7">
        <v>0.22946885533550701</v>
      </c>
      <c r="I277" s="7">
        <v>20967.675665585699</v>
      </c>
      <c r="J277" s="7">
        <v>269259.42550450901</v>
      </c>
      <c r="K277" s="7">
        <v>20967.675665585699</v>
      </c>
      <c r="L277" s="7">
        <v>496205.96663466899</v>
      </c>
      <c r="M277" s="7">
        <v>203718.32715762599</v>
      </c>
      <c r="N277" s="7">
        <f t="shared" si="353"/>
        <v>311194.77683568036</v>
      </c>
      <c r="P277" s="28">
        <v>4</v>
      </c>
      <c r="Q277" s="26">
        <v>3.0000000000000001E-5</v>
      </c>
      <c r="R277" s="28">
        <v>0.2</v>
      </c>
      <c r="S277" s="28">
        <v>30</v>
      </c>
      <c r="T277" s="26">
        <v>7.5000000000000002E-6</v>
      </c>
      <c r="U277" s="26">
        <f t="shared" si="354"/>
        <v>1.5E-6</v>
      </c>
      <c r="V277" s="26">
        <f t="shared" si="355"/>
        <v>0.1</v>
      </c>
      <c r="W277" s="7">
        <v>0.28642257552190198</v>
      </c>
      <c r="X277" s="7">
        <v>6989.2252213633501</v>
      </c>
      <c r="Y277" s="7">
        <v>89753.141816112096</v>
      </c>
      <c r="Z277" s="7">
        <v>6989.2252213633501</v>
      </c>
      <c r="AA277" s="7">
        <v>165401.98890513901</v>
      </c>
      <c r="AB277" s="7">
        <v>22635.3696841807</v>
      </c>
      <c r="AC277" s="7">
        <f t="shared" si="356"/>
        <v>103731.59225883879</v>
      </c>
      <c r="AE277" s="28">
        <v>4</v>
      </c>
      <c r="AF277" s="26">
        <v>5.0000000000000002E-5</v>
      </c>
      <c r="AG277" s="28">
        <v>0.2</v>
      </c>
      <c r="AH277" s="28">
        <v>30</v>
      </c>
      <c r="AI277" s="26">
        <v>7.5000000000000002E-6</v>
      </c>
      <c r="AJ277" s="26">
        <f t="shared" si="357"/>
        <v>1.5E-6</v>
      </c>
      <c r="AK277" s="26">
        <f t="shared" si="358"/>
        <v>0.06</v>
      </c>
      <c r="AL277" s="7">
        <v>0.30726830939243999</v>
      </c>
      <c r="AM277" s="7">
        <v>4193.5351285970401</v>
      </c>
      <c r="AN277" s="7">
        <v>53851.884931140201</v>
      </c>
      <c r="AO277" s="7">
        <v>4193.5351285970401</v>
      </c>
      <c r="AP277" s="7">
        <v>99241.193570966701</v>
      </c>
      <c r="AQ277" s="7">
        <v>8148.7330863050402</v>
      </c>
      <c r="AR277" s="7">
        <f t="shared" si="359"/>
        <v>62238.955188334279</v>
      </c>
      <c r="AT277" s="28">
        <v>4</v>
      </c>
      <c r="AU277" s="26">
        <v>1.0000000000000001E-5</v>
      </c>
      <c r="AV277" s="28">
        <v>0.2</v>
      </c>
      <c r="AW277" s="28">
        <v>200</v>
      </c>
      <c r="AX277" s="26">
        <v>7.5000000000000002E-6</v>
      </c>
      <c r="AY277" s="26">
        <f t="shared" si="360"/>
        <v>1.5E-6</v>
      </c>
      <c r="AZ277" s="26">
        <f t="shared" si="361"/>
        <v>0.3</v>
      </c>
      <c r="BA277" s="7">
        <v>0.23401510518947</v>
      </c>
      <c r="BB277" s="7">
        <v>4345.3623253436699</v>
      </c>
      <c r="BC277" s="7">
        <v>269259.42550450901</v>
      </c>
      <c r="BD277" s="7">
        <v>4345.3623253436699</v>
      </c>
      <c r="BE277" s="7">
        <v>496205.96663466899</v>
      </c>
      <c r="BF277" s="7">
        <v>203718.32715762599</v>
      </c>
      <c r="BG277" s="7">
        <f t="shared" si="362"/>
        <v>277950.15015519632</v>
      </c>
      <c r="BI277" s="28">
        <v>4</v>
      </c>
      <c r="BJ277" s="26">
        <v>1.0000000000000001E-5</v>
      </c>
      <c r="BK277" s="28">
        <v>0.5</v>
      </c>
      <c r="BL277" s="28">
        <v>200</v>
      </c>
      <c r="BM277" s="26">
        <v>7.5000000000000002E-6</v>
      </c>
      <c r="BN277" s="26">
        <f t="shared" si="363"/>
        <v>3.7500000000000001E-6</v>
      </c>
      <c r="BO277" s="26">
        <f t="shared" si="364"/>
        <v>0.75</v>
      </c>
      <c r="BP277" s="7">
        <v>0.468221754818127</v>
      </c>
      <c r="BQ277" s="7">
        <v>3764.12485338133</v>
      </c>
      <c r="BR277" s="7">
        <v>107703.770201803</v>
      </c>
      <c r="BS277" s="7">
        <v>3764.12485338133</v>
      </c>
      <c r="BT277" s="7">
        <v>198482.38665386799</v>
      </c>
      <c r="BU277" s="7">
        <v>203718.32715762599</v>
      </c>
      <c r="BV277" s="7">
        <f t="shared" si="365"/>
        <v>115232.01990856566</v>
      </c>
      <c r="BX277" s="28">
        <v>4</v>
      </c>
      <c r="BY277" s="26">
        <v>5.0000000000000002E-5</v>
      </c>
      <c r="BZ277" s="28">
        <v>0.5</v>
      </c>
      <c r="CA277" s="28">
        <v>200</v>
      </c>
      <c r="CB277" s="26">
        <v>7.5000000000000002E-6</v>
      </c>
      <c r="CC277" s="26">
        <f t="shared" si="366"/>
        <v>3.7500000000000001E-6</v>
      </c>
      <c r="CD277" s="26">
        <f t="shared" si="367"/>
        <v>0.15</v>
      </c>
      <c r="CE277" s="7">
        <v>0.68174753436036195</v>
      </c>
      <c r="CF277" s="7">
        <v>752.82497001808497</v>
      </c>
      <c r="CG277" s="7">
        <v>21540.753972456099</v>
      </c>
      <c r="CH277" s="7">
        <v>752.82497001808497</v>
      </c>
      <c r="CI277" s="7">
        <v>39696.477428386701</v>
      </c>
      <c r="CJ277" s="7">
        <v>8148.7330863050402</v>
      </c>
      <c r="CK277" s="7">
        <f t="shared" si="368"/>
        <v>23046.403912492271</v>
      </c>
      <c r="CM277" s="28">
        <v>4</v>
      </c>
      <c r="CN277" s="26">
        <v>5.0000000000000002E-5</v>
      </c>
      <c r="CO277" s="28">
        <v>1</v>
      </c>
      <c r="CP277" s="28">
        <v>200</v>
      </c>
      <c r="CQ277" s="26">
        <v>7.5000000000000002E-6</v>
      </c>
      <c r="CR277" s="26">
        <f t="shared" si="369"/>
        <v>7.5000000000000002E-6</v>
      </c>
      <c r="CS277" s="26">
        <f t="shared" si="370"/>
        <v>0.3</v>
      </c>
      <c r="CT277" s="7">
        <v>1.15306972086673</v>
      </c>
      <c r="CU277" s="7">
        <v>665.23311259709499</v>
      </c>
      <c r="CV277" s="7">
        <v>10770.376986228001</v>
      </c>
      <c r="CW277" s="7">
        <v>665.23311259709499</v>
      </c>
      <c r="CX277" s="7">
        <v>19848.2387141933</v>
      </c>
      <c r="CY277" s="7">
        <v>8148.7330863050402</v>
      </c>
      <c r="CZ277" s="7">
        <f t="shared" si="371"/>
        <v>12100.843211422191</v>
      </c>
      <c r="DB277" s="28">
        <v>4</v>
      </c>
      <c r="DC277" s="26">
        <v>5.0000000000000002E-5</v>
      </c>
      <c r="DD277" s="28">
        <v>2</v>
      </c>
      <c r="DE277" s="28">
        <v>200</v>
      </c>
      <c r="DF277" s="26">
        <v>7.5000000000000002E-6</v>
      </c>
      <c r="DG277" s="26">
        <f t="shared" si="372"/>
        <v>1.5E-5</v>
      </c>
      <c r="DH277" s="26">
        <f t="shared" si="373"/>
        <v>0.6</v>
      </c>
      <c r="DI277" s="7">
        <v>1.94723920849764</v>
      </c>
      <c r="DJ277" s="7">
        <v>578.22973015081095</v>
      </c>
      <c r="DK277" s="7">
        <v>5385.1884931140203</v>
      </c>
      <c r="DL277" s="7">
        <v>578.22973015081095</v>
      </c>
      <c r="DM277" s="7">
        <v>9924.1193570966698</v>
      </c>
      <c r="DN277" s="7">
        <v>8148.7330863050402</v>
      </c>
      <c r="DO277" s="7">
        <f t="shared" si="374"/>
        <v>6541.6479534156415</v>
      </c>
      <c r="DQ277" s="28">
        <v>4</v>
      </c>
      <c r="DR277" s="26">
        <v>5.0000000000000002E-5</v>
      </c>
      <c r="DS277" s="28">
        <v>15</v>
      </c>
      <c r="DT277" s="28">
        <v>300</v>
      </c>
      <c r="DU277" s="26">
        <v>5.0000000000000004E-6</v>
      </c>
      <c r="DV277" s="26">
        <f t="shared" si="375"/>
        <v>7.5000000000000007E-5</v>
      </c>
      <c r="DW277" s="26">
        <f t="shared" si="376"/>
        <v>3</v>
      </c>
      <c r="DX277" s="7">
        <v>11.360922147293801</v>
      </c>
      <c r="DY277" s="7">
        <v>254.539230510376</v>
      </c>
      <c r="DZ277" s="7">
        <v>718.02513241520205</v>
      </c>
      <c r="EA277" s="7">
        <v>254.539230510376</v>
      </c>
      <c r="EB277" s="7">
        <v>1323.2159142795599</v>
      </c>
      <c r="EC277" s="7">
        <v>5092.9581789406502</v>
      </c>
      <c r="ED277" s="7">
        <f t="shared" si="377"/>
        <v>1227.1035934359541</v>
      </c>
    </row>
    <row r="278" spans="1:134" x14ac:dyDescent="0.4">
      <c r="A278" s="28">
        <v>6</v>
      </c>
      <c r="B278" s="26">
        <v>1.0000000000000001E-5</v>
      </c>
      <c r="C278" s="28">
        <v>0.2</v>
      </c>
      <c r="D278" s="28">
        <v>30</v>
      </c>
      <c r="E278" s="26">
        <v>7.5000000000000002E-6</v>
      </c>
      <c r="F278" s="26">
        <f t="shared" si="351"/>
        <v>1.5E-6</v>
      </c>
      <c r="G278" s="26">
        <f t="shared" si="352"/>
        <v>0.3</v>
      </c>
      <c r="H278" s="7">
        <v>0.24369257437443201</v>
      </c>
      <c r="I278" s="7">
        <v>20967.675665585699</v>
      </c>
      <c r="J278" s="7">
        <v>165780.67944707401</v>
      </c>
      <c r="K278" s="7">
        <v>20967.675665585699</v>
      </c>
      <c r="L278" s="7">
        <v>651465.34785778704</v>
      </c>
      <c r="M278" s="7">
        <v>203718.32715762599</v>
      </c>
      <c r="N278" s="7">
        <f t="shared" si="353"/>
        <v>207716.03077824542</v>
      </c>
      <c r="P278" s="28">
        <v>6</v>
      </c>
      <c r="Q278" s="26">
        <v>3.0000000000000001E-5</v>
      </c>
      <c r="R278" s="28">
        <v>0.2</v>
      </c>
      <c r="S278" s="28">
        <v>30</v>
      </c>
      <c r="T278" s="26">
        <v>7.5000000000000002E-6</v>
      </c>
      <c r="U278" s="26">
        <f t="shared" si="354"/>
        <v>1.5E-6</v>
      </c>
      <c r="V278" s="26">
        <f t="shared" si="355"/>
        <v>0.1</v>
      </c>
      <c r="W278" s="7">
        <v>0.34279729268128301</v>
      </c>
      <c r="X278" s="7">
        <v>6989.2252213633501</v>
      </c>
      <c r="Y278" s="7">
        <v>55260.226463633997</v>
      </c>
      <c r="Z278" s="7">
        <v>6989.2252213633501</v>
      </c>
      <c r="AA278" s="7">
        <v>217155.11601730101</v>
      </c>
      <c r="AB278" s="7">
        <v>22635.3696841807</v>
      </c>
      <c r="AC278" s="7">
        <f t="shared" si="356"/>
        <v>69238.676906360692</v>
      </c>
      <c r="AE278" s="28">
        <v>6</v>
      </c>
      <c r="AF278" s="26">
        <v>5.0000000000000002E-5</v>
      </c>
      <c r="AG278" s="28">
        <v>0.2</v>
      </c>
      <c r="AH278" s="28">
        <v>30</v>
      </c>
      <c r="AI278" s="26">
        <v>7.5000000000000002E-6</v>
      </c>
      <c r="AJ278" s="26">
        <f t="shared" si="357"/>
        <v>1.5E-6</v>
      </c>
      <c r="AK278" s="26">
        <f t="shared" si="358"/>
        <v>0.06</v>
      </c>
      <c r="AL278" s="7">
        <v>0.38495761449780402</v>
      </c>
      <c r="AM278" s="7">
        <v>4193.5351285970401</v>
      </c>
      <c r="AN278" s="7">
        <v>33156.135719653299</v>
      </c>
      <c r="AO278" s="7">
        <v>4193.5351285970401</v>
      </c>
      <c r="AP278" s="7">
        <v>130293.0701582</v>
      </c>
      <c r="AQ278" s="7">
        <v>8148.7330863050402</v>
      </c>
      <c r="AR278" s="7">
        <f t="shared" si="359"/>
        <v>41543.205976847377</v>
      </c>
      <c r="AT278" s="28">
        <v>6</v>
      </c>
      <c r="AU278" s="26">
        <v>1.0000000000000001E-5</v>
      </c>
      <c r="AV278" s="28">
        <v>0.2</v>
      </c>
      <c r="AW278" s="28">
        <v>200</v>
      </c>
      <c r="AX278" s="26">
        <v>7.5000000000000002E-6</v>
      </c>
      <c r="AY278" s="26">
        <f t="shared" si="360"/>
        <v>1.5E-6</v>
      </c>
      <c r="AZ278" s="26">
        <f t="shared" si="361"/>
        <v>0.3</v>
      </c>
      <c r="BA278" s="7">
        <v>0.250853267101454</v>
      </c>
      <c r="BB278" s="7">
        <v>4345.3623253436699</v>
      </c>
      <c r="BC278" s="7">
        <v>165780.67944707401</v>
      </c>
      <c r="BD278" s="7">
        <v>4345.3623253436699</v>
      </c>
      <c r="BE278" s="7">
        <v>651465.34785778704</v>
      </c>
      <c r="BF278" s="7">
        <v>203718.32715762599</v>
      </c>
      <c r="BG278" s="7">
        <f t="shared" si="362"/>
        <v>174471.40409776138</v>
      </c>
      <c r="BI278" s="28">
        <v>6</v>
      </c>
      <c r="BJ278" s="26">
        <v>1.0000000000000001E-5</v>
      </c>
      <c r="BK278" s="28">
        <v>0.5</v>
      </c>
      <c r="BL278" s="28">
        <v>200</v>
      </c>
      <c r="BM278" s="26">
        <v>7.5000000000000002E-6</v>
      </c>
      <c r="BN278" s="26">
        <f t="shared" si="363"/>
        <v>3.7500000000000001E-6</v>
      </c>
      <c r="BO278" s="26">
        <f t="shared" si="364"/>
        <v>0.75</v>
      </c>
      <c r="BP278" s="7">
        <v>0.45608752285432302</v>
      </c>
      <c r="BQ278" s="7">
        <v>3764.12485338133</v>
      </c>
      <c r="BR278" s="7">
        <v>66312.271778829701</v>
      </c>
      <c r="BS278" s="7">
        <v>3764.12485338133</v>
      </c>
      <c r="BT278" s="7">
        <v>260586.139143115</v>
      </c>
      <c r="BU278" s="7">
        <v>203718.32715762599</v>
      </c>
      <c r="BV278" s="7">
        <f t="shared" si="365"/>
        <v>73840.52148559237</v>
      </c>
      <c r="BX278" s="28">
        <v>6</v>
      </c>
      <c r="BY278" s="26">
        <v>5.0000000000000002E-5</v>
      </c>
      <c r="BZ278" s="28">
        <v>0.5</v>
      </c>
      <c r="CA278" s="28">
        <v>200</v>
      </c>
      <c r="CB278" s="26">
        <v>7.5000000000000002E-6</v>
      </c>
      <c r="CC278" s="26">
        <f t="shared" si="366"/>
        <v>3.7500000000000001E-6</v>
      </c>
      <c r="CD278" s="26">
        <f t="shared" si="367"/>
        <v>0.15</v>
      </c>
      <c r="CE278" s="7">
        <v>0.79227099104801302</v>
      </c>
      <c r="CF278" s="7">
        <v>752.82497001808497</v>
      </c>
      <c r="CG278" s="7">
        <v>13262.454287861299</v>
      </c>
      <c r="CH278" s="7">
        <v>752.82497001808497</v>
      </c>
      <c r="CI278" s="7">
        <v>52117.228063280199</v>
      </c>
      <c r="CJ278" s="7">
        <v>8148.7330863050402</v>
      </c>
      <c r="CK278" s="7">
        <f t="shared" si="368"/>
        <v>14768.104227897471</v>
      </c>
      <c r="CM278" s="28">
        <v>6</v>
      </c>
      <c r="CN278" s="26">
        <v>5.0000000000000002E-5</v>
      </c>
      <c r="CO278" s="28">
        <v>1</v>
      </c>
      <c r="CP278" s="28">
        <v>200</v>
      </c>
      <c r="CQ278" s="26">
        <v>7.5000000000000002E-6</v>
      </c>
      <c r="CR278" s="26">
        <f t="shared" si="369"/>
        <v>7.5000000000000002E-6</v>
      </c>
      <c r="CS278" s="26">
        <f t="shared" si="370"/>
        <v>0.3</v>
      </c>
      <c r="CT278" s="7">
        <v>1.22742572519556</v>
      </c>
      <c r="CU278" s="7">
        <v>665.23311259709499</v>
      </c>
      <c r="CV278" s="7">
        <v>6631.2271439306596</v>
      </c>
      <c r="CW278" s="7">
        <v>665.23311259709499</v>
      </c>
      <c r="CX278" s="7">
        <v>26058.6140316401</v>
      </c>
      <c r="CY278" s="7">
        <v>8148.7330863050402</v>
      </c>
      <c r="CZ278" s="7">
        <f t="shared" si="371"/>
        <v>7961.6933691248496</v>
      </c>
      <c r="DB278" s="28">
        <v>6</v>
      </c>
      <c r="DC278" s="26">
        <v>5.0000000000000002E-5</v>
      </c>
      <c r="DD278" s="28">
        <v>2</v>
      </c>
      <c r="DE278" s="28">
        <v>200</v>
      </c>
      <c r="DF278" s="26">
        <v>7.5000000000000002E-6</v>
      </c>
      <c r="DG278" s="26">
        <f t="shared" si="372"/>
        <v>1.5E-5</v>
      </c>
      <c r="DH278" s="26">
        <f t="shared" si="373"/>
        <v>0.6</v>
      </c>
      <c r="DI278" s="7">
        <v>1.9259923817304601</v>
      </c>
      <c r="DJ278" s="7">
        <v>578.22973015081095</v>
      </c>
      <c r="DK278" s="7">
        <v>3315.6135719653298</v>
      </c>
      <c r="DL278" s="7">
        <v>578.22973015081095</v>
      </c>
      <c r="DM278" s="7">
        <v>13029.307015820101</v>
      </c>
      <c r="DN278" s="7">
        <v>8148.7330863050402</v>
      </c>
      <c r="DO278" s="7">
        <f t="shared" si="374"/>
        <v>4472.0730322669515</v>
      </c>
      <c r="DQ278" s="28">
        <v>6</v>
      </c>
      <c r="DR278" s="26">
        <v>5.0000000000000002E-5</v>
      </c>
      <c r="DS278" s="28">
        <v>15</v>
      </c>
      <c r="DT278" s="28">
        <v>300</v>
      </c>
      <c r="DU278" s="26">
        <v>5.0000000000000004E-6</v>
      </c>
      <c r="DV278" s="26">
        <f t="shared" si="375"/>
        <v>7.5000000000000007E-5</v>
      </c>
      <c r="DW278" s="26">
        <f t="shared" si="376"/>
        <v>3</v>
      </c>
      <c r="DX278" s="7">
        <v>10.2610977327175</v>
      </c>
      <c r="DY278" s="7">
        <v>254.539230510376</v>
      </c>
      <c r="DZ278" s="7">
        <v>442.08180959537702</v>
      </c>
      <c r="EA278" s="7">
        <v>254.539230510376</v>
      </c>
      <c r="EB278" s="7">
        <v>1737.24093544267</v>
      </c>
      <c r="EC278" s="7">
        <v>5092.9581789406502</v>
      </c>
      <c r="ED278" s="7">
        <f t="shared" si="377"/>
        <v>951.16027061612908</v>
      </c>
    </row>
    <row r="279" spans="1:134" x14ac:dyDescent="0.4">
      <c r="A279" s="28">
        <v>8</v>
      </c>
      <c r="B279" s="26">
        <v>1.0000000000000001E-5</v>
      </c>
      <c r="C279" s="28">
        <v>0.2</v>
      </c>
      <c r="D279" s="28">
        <v>30</v>
      </c>
      <c r="E279" s="26">
        <v>7.5000000000000002E-6</v>
      </c>
      <c r="F279" s="26">
        <f t="shared" si="351"/>
        <v>1.5E-6</v>
      </c>
      <c r="G279" s="26">
        <f t="shared" si="352"/>
        <v>0.3</v>
      </c>
      <c r="H279" s="7">
        <v>0.25770658957812798</v>
      </c>
      <c r="I279" s="7">
        <v>20967.675665585699</v>
      </c>
      <c r="J279" s="7">
        <v>100396.196898707</v>
      </c>
      <c r="K279" s="7">
        <v>20967.675665585699</v>
      </c>
      <c r="L279" s="7">
        <v>821154.82400854595</v>
      </c>
      <c r="M279" s="7">
        <v>203718.32715762599</v>
      </c>
      <c r="N279" s="7">
        <f t="shared" si="353"/>
        <v>142331.54822987839</v>
      </c>
      <c r="P279" s="28">
        <v>8</v>
      </c>
      <c r="Q279" s="26">
        <v>3.0000000000000001E-5</v>
      </c>
      <c r="R279" s="28">
        <v>0.2</v>
      </c>
      <c r="S279" s="28">
        <v>30</v>
      </c>
      <c r="T279" s="26">
        <v>7.5000000000000002E-6</v>
      </c>
      <c r="U279" s="26">
        <f t="shared" si="354"/>
        <v>1.5E-6</v>
      </c>
      <c r="V279" s="26">
        <f t="shared" si="355"/>
        <v>0.1</v>
      </c>
      <c r="W279" s="7">
        <v>0.40844953884615798</v>
      </c>
      <c r="X279" s="7">
        <v>6989.2252213633501</v>
      </c>
      <c r="Y279" s="7">
        <v>33465.398947511501</v>
      </c>
      <c r="Z279" s="7">
        <v>6989.2252213633501</v>
      </c>
      <c r="AA279" s="7">
        <v>273718.27480960399</v>
      </c>
      <c r="AB279" s="7">
        <v>22635.3696841807</v>
      </c>
      <c r="AC279" s="7">
        <f t="shared" si="356"/>
        <v>47443.849390238196</v>
      </c>
      <c r="AE279" s="28">
        <v>8</v>
      </c>
      <c r="AF279" s="26">
        <v>5.0000000000000002E-5</v>
      </c>
      <c r="AG279" s="28">
        <v>0.2</v>
      </c>
      <c r="AH279" s="28">
        <v>30</v>
      </c>
      <c r="AI279" s="26">
        <v>7.5000000000000002E-6</v>
      </c>
      <c r="AJ279" s="26">
        <f t="shared" si="357"/>
        <v>1.5E-6</v>
      </c>
      <c r="AK279" s="26">
        <f t="shared" si="358"/>
        <v>0.06</v>
      </c>
      <c r="AL279" s="7">
        <v>0.48250377536247602</v>
      </c>
      <c r="AM279" s="7">
        <v>4193.5351285970401</v>
      </c>
      <c r="AN279" s="7">
        <v>20079.239209979802</v>
      </c>
      <c r="AO279" s="7">
        <v>4193.5351285970401</v>
      </c>
      <c r="AP279" s="7">
        <v>164230.96607182099</v>
      </c>
      <c r="AQ279" s="7">
        <v>8148.7330863050402</v>
      </c>
      <c r="AR279" s="7">
        <f t="shared" si="359"/>
        <v>28466.30946717388</v>
      </c>
      <c r="AT279" s="28">
        <v>8</v>
      </c>
      <c r="AU279" s="26">
        <v>1.0000000000000001E-5</v>
      </c>
      <c r="AV279" s="28">
        <v>0.2</v>
      </c>
      <c r="AW279" s="28">
        <v>200</v>
      </c>
      <c r="AX279" s="26">
        <v>7.5000000000000002E-6</v>
      </c>
      <c r="AY279" s="26">
        <f t="shared" si="360"/>
        <v>1.5E-6</v>
      </c>
      <c r="AZ279" s="26">
        <f t="shared" si="361"/>
        <v>0.3</v>
      </c>
      <c r="BA279" s="7">
        <v>0.267641611107857</v>
      </c>
      <c r="BB279" s="7">
        <v>4345.3623253436699</v>
      </c>
      <c r="BC279" s="7">
        <v>100396.196898707</v>
      </c>
      <c r="BD279" s="7">
        <v>4345.3623253436699</v>
      </c>
      <c r="BE279" s="7">
        <v>821154.82400854595</v>
      </c>
      <c r="BF279" s="7">
        <v>203718.32715762599</v>
      </c>
      <c r="BG279" s="7">
        <f t="shared" si="362"/>
        <v>109086.92154939433</v>
      </c>
      <c r="BI279" s="28">
        <v>8</v>
      </c>
      <c r="BJ279" s="26">
        <v>1.0000000000000001E-5</v>
      </c>
      <c r="BK279" s="28">
        <v>0.5</v>
      </c>
      <c r="BL279" s="28">
        <v>200</v>
      </c>
      <c r="BM279" s="26">
        <v>7.5000000000000002E-6</v>
      </c>
      <c r="BN279" s="26">
        <f t="shared" si="363"/>
        <v>3.7500000000000001E-6</v>
      </c>
      <c r="BO279" s="26">
        <f t="shared" si="364"/>
        <v>0.75</v>
      </c>
      <c r="BP279" s="7">
        <v>0.44482503026581199</v>
      </c>
      <c r="BQ279" s="7">
        <v>3764.12485338133</v>
      </c>
      <c r="BR279" s="7">
        <v>40158.478759482699</v>
      </c>
      <c r="BS279" s="7">
        <v>3764.12485338133</v>
      </c>
      <c r="BT279" s="7">
        <v>328461.92960341799</v>
      </c>
      <c r="BU279" s="7">
        <v>203718.32715762599</v>
      </c>
      <c r="BV279" s="7">
        <f t="shared" si="365"/>
        <v>47686.728466245353</v>
      </c>
      <c r="BX279" s="28">
        <v>8</v>
      </c>
      <c r="BY279" s="26">
        <v>5.0000000000000002E-5</v>
      </c>
      <c r="BZ279" s="28">
        <v>0.5</v>
      </c>
      <c r="CA279" s="28">
        <v>200</v>
      </c>
      <c r="CB279" s="26">
        <v>7.5000000000000002E-6</v>
      </c>
      <c r="CC279" s="26">
        <f t="shared" si="366"/>
        <v>3.7500000000000001E-6</v>
      </c>
      <c r="CD279" s="26">
        <f t="shared" si="367"/>
        <v>0.15</v>
      </c>
      <c r="CE279" s="7">
        <v>0.91532840851921904</v>
      </c>
      <c r="CF279" s="7">
        <v>752.82497001808497</v>
      </c>
      <c r="CG279" s="7">
        <v>8031.6956839919103</v>
      </c>
      <c r="CH279" s="7">
        <v>752.82497001808497</v>
      </c>
      <c r="CI279" s="7">
        <v>65692.386428728598</v>
      </c>
      <c r="CJ279" s="7">
        <v>8148.7330863050402</v>
      </c>
      <c r="CK279" s="7">
        <f t="shared" si="368"/>
        <v>9537.3456240280793</v>
      </c>
      <c r="CM279" s="28">
        <v>8</v>
      </c>
      <c r="CN279" s="26">
        <v>5.0000000000000002E-5</v>
      </c>
      <c r="CO279" s="28">
        <v>1</v>
      </c>
      <c r="CP279" s="28">
        <v>200</v>
      </c>
      <c r="CQ279" s="26">
        <v>7.5000000000000002E-6</v>
      </c>
      <c r="CR279" s="26">
        <f t="shared" si="369"/>
        <v>7.5000000000000002E-6</v>
      </c>
      <c r="CS279" s="26">
        <f t="shared" si="370"/>
        <v>0.3</v>
      </c>
      <c r="CT279" s="7">
        <v>1.3009049066910201</v>
      </c>
      <c r="CU279" s="7">
        <v>665.23311259709499</v>
      </c>
      <c r="CV279" s="7">
        <v>4015.8478419959501</v>
      </c>
      <c r="CW279" s="7">
        <v>665.23311259709499</v>
      </c>
      <c r="CX279" s="7">
        <v>32846.193214364299</v>
      </c>
      <c r="CY279" s="7">
        <v>8148.7330863050402</v>
      </c>
      <c r="CZ279" s="7">
        <f t="shared" si="371"/>
        <v>5346.3140671901401</v>
      </c>
      <c r="DB279" s="28">
        <v>8</v>
      </c>
      <c r="DC279" s="26">
        <v>5.0000000000000002E-5</v>
      </c>
      <c r="DD279" s="28">
        <v>2</v>
      </c>
      <c r="DE279" s="28">
        <v>200</v>
      </c>
      <c r="DF279" s="26">
        <v>7.5000000000000002E-6</v>
      </c>
      <c r="DG279" s="26">
        <f t="shared" si="372"/>
        <v>1.5E-5</v>
      </c>
      <c r="DH279" s="26">
        <f t="shared" si="373"/>
        <v>0.6</v>
      </c>
      <c r="DI279" s="7">
        <v>1.9055495873892101</v>
      </c>
      <c r="DJ279" s="7">
        <v>578.22973015081095</v>
      </c>
      <c r="DK279" s="7">
        <v>2007.9239209979801</v>
      </c>
      <c r="DL279" s="7">
        <v>578.22973015081095</v>
      </c>
      <c r="DM279" s="7">
        <v>16423.096607182099</v>
      </c>
      <c r="DN279" s="7">
        <v>8148.7330863050402</v>
      </c>
      <c r="DO279" s="7">
        <f t="shared" si="374"/>
        <v>3164.3833812996022</v>
      </c>
      <c r="DQ279" s="28">
        <v>8</v>
      </c>
      <c r="DR279" s="26">
        <v>5.0000000000000002E-5</v>
      </c>
      <c r="DS279" s="28">
        <v>15</v>
      </c>
      <c r="DT279" s="28">
        <v>300</v>
      </c>
      <c r="DU279" s="26">
        <v>5.0000000000000004E-6</v>
      </c>
      <c r="DV279" s="26">
        <f t="shared" si="375"/>
        <v>7.5000000000000007E-5</v>
      </c>
      <c r="DW279" s="26">
        <f t="shared" si="376"/>
        <v>3</v>
      </c>
      <c r="DX279" s="7">
        <v>9.2991277977840205</v>
      </c>
      <c r="DY279" s="7">
        <v>254.539230510376</v>
      </c>
      <c r="DZ279" s="7">
        <v>267.723189466397</v>
      </c>
      <c r="EA279" s="7">
        <v>254.539230510376</v>
      </c>
      <c r="EB279" s="7">
        <v>2189.7462142909499</v>
      </c>
      <c r="EC279" s="7">
        <v>5092.9581789406502</v>
      </c>
      <c r="ED279" s="7">
        <f t="shared" si="377"/>
        <v>776.801650487149</v>
      </c>
    </row>
    <row r="280" spans="1:134" x14ac:dyDescent="0.4">
      <c r="A280" s="28">
        <v>10</v>
      </c>
      <c r="B280" s="26">
        <v>1.0000000000000001E-5</v>
      </c>
      <c r="C280" s="28">
        <v>0.2</v>
      </c>
      <c r="D280" s="28">
        <v>30</v>
      </c>
      <c r="E280" s="26">
        <v>7.5000000000000002E-6</v>
      </c>
      <c r="F280" s="26">
        <f t="shared" si="351"/>
        <v>1.5E-6</v>
      </c>
      <c r="G280" s="26">
        <f t="shared" si="352"/>
        <v>0.3</v>
      </c>
      <c r="H280" s="7">
        <v>0.27175592918664299</v>
      </c>
      <c r="I280" s="7">
        <v>20967.675665585699</v>
      </c>
      <c r="J280" s="7">
        <v>53826.312121005001</v>
      </c>
      <c r="K280" s="7">
        <v>20967.675665585699</v>
      </c>
      <c r="L280" s="7">
        <v>1014751.21705289</v>
      </c>
      <c r="M280" s="7">
        <v>203718.32715762599</v>
      </c>
      <c r="N280" s="7">
        <f t="shared" si="353"/>
        <v>95761.663452176406</v>
      </c>
      <c r="P280" s="28">
        <v>10</v>
      </c>
      <c r="Q280" s="26">
        <v>3.0000000000000001E-5</v>
      </c>
      <c r="R280" s="28">
        <v>0.2</v>
      </c>
      <c r="S280" s="28">
        <v>30</v>
      </c>
      <c r="T280" s="26">
        <v>7.5000000000000002E-6</v>
      </c>
      <c r="U280" s="26">
        <f t="shared" si="354"/>
        <v>1.5E-6</v>
      </c>
      <c r="V280" s="26">
        <f t="shared" si="355"/>
        <v>0.1</v>
      </c>
      <c r="W280" s="7">
        <v>0.48484468739820402</v>
      </c>
      <c r="X280" s="7">
        <v>6989.2252213633501</v>
      </c>
      <c r="Y280" s="7">
        <v>17942.1040216109</v>
      </c>
      <c r="Z280" s="7">
        <v>6989.2252213633501</v>
      </c>
      <c r="AA280" s="7">
        <v>338250.40599296999</v>
      </c>
      <c r="AB280" s="7">
        <v>22635.3696841807</v>
      </c>
      <c r="AC280" s="7">
        <f t="shared" si="356"/>
        <v>31920.554464337602</v>
      </c>
      <c r="AE280" s="28">
        <v>10</v>
      </c>
      <c r="AF280" s="26">
        <v>5.0000000000000002E-5</v>
      </c>
      <c r="AG280" s="28">
        <v>0.2</v>
      </c>
      <c r="AH280" s="28">
        <v>30</v>
      </c>
      <c r="AI280" s="26">
        <v>7.5000000000000002E-6</v>
      </c>
      <c r="AJ280" s="26">
        <f t="shared" si="357"/>
        <v>1.5E-6</v>
      </c>
      <c r="AK280" s="26">
        <f t="shared" si="358"/>
        <v>0.06</v>
      </c>
      <c r="AL280" s="7">
        <v>0.60583370204398501</v>
      </c>
      <c r="AM280" s="7">
        <v>4193.5351285970401</v>
      </c>
      <c r="AN280" s="7">
        <v>10765.2622544394</v>
      </c>
      <c r="AO280" s="7">
        <v>4193.5351285970401</v>
      </c>
      <c r="AP280" s="7">
        <v>202950.24620916101</v>
      </c>
      <c r="AQ280" s="7">
        <v>8148.7330863050402</v>
      </c>
      <c r="AR280" s="7">
        <f t="shared" si="359"/>
        <v>19152.332511633478</v>
      </c>
      <c r="AT280" s="28">
        <v>10</v>
      </c>
      <c r="AU280" s="26">
        <v>1.0000000000000001E-5</v>
      </c>
      <c r="AV280" s="28">
        <v>0.2</v>
      </c>
      <c r="AW280" s="28">
        <v>200</v>
      </c>
      <c r="AX280" s="26">
        <v>7.5000000000000002E-6</v>
      </c>
      <c r="AY280" s="26">
        <f t="shared" si="360"/>
        <v>1.5E-6</v>
      </c>
      <c r="AZ280" s="26">
        <f t="shared" si="361"/>
        <v>0.3</v>
      </c>
      <c r="BA280" s="7">
        <v>0.28460724721902497</v>
      </c>
      <c r="BB280" s="7">
        <v>4345.3623253436699</v>
      </c>
      <c r="BC280" s="7">
        <v>53826.312121005001</v>
      </c>
      <c r="BD280" s="7">
        <v>4345.3623253436699</v>
      </c>
      <c r="BE280" s="7">
        <v>1014751.21705289</v>
      </c>
      <c r="BF280" s="7">
        <v>203718.32715762599</v>
      </c>
      <c r="BG280" s="7">
        <f t="shared" si="362"/>
        <v>62517.036771692336</v>
      </c>
      <c r="BI280" s="28">
        <v>10</v>
      </c>
      <c r="BJ280" s="26">
        <v>1.0000000000000001E-5</v>
      </c>
      <c r="BK280" s="28">
        <v>0.5</v>
      </c>
      <c r="BL280" s="28">
        <v>200</v>
      </c>
      <c r="BM280" s="26">
        <v>7.5000000000000002E-6</v>
      </c>
      <c r="BN280" s="26">
        <f t="shared" si="363"/>
        <v>3.7500000000000001E-6</v>
      </c>
      <c r="BO280" s="26">
        <f t="shared" si="364"/>
        <v>0.75</v>
      </c>
      <c r="BP280" s="7">
        <v>0.43464775089642499</v>
      </c>
      <c r="BQ280" s="7">
        <v>3764.12485338133</v>
      </c>
      <c r="BR280" s="7">
        <v>21530.524848402001</v>
      </c>
      <c r="BS280" s="7">
        <v>3764.12485338133</v>
      </c>
      <c r="BT280" s="7">
        <v>405900.48682115501</v>
      </c>
      <c r="BU280" s="7">
        <v>203718.32715762599</v>
      </c>
      <c r="BV280" s="7">
        <f t="shared" si="365"/>
        <v>29058.774555164662</v>
      </c>
      <c r="BX280" s="28">
        <v>10</v>
      </c>
      <c r="BY280" s="26">
        <v>5.0000000000000002E-5</v>
      </c>
      <c r="BZ280" s="28">
        <v>0.5</v>
      </c>
      <c r="CA280" s="28">
        <v>200</v>
      </c>
      <c r="CB280" s="26">
        <v>7.5000000000000002E-6</v>
      </c>
      <c r="CC280" s="26">
        <f t="shared" si="366"/>
        <v>3.7500000000000001E-6</v>
      </c>
      <c r="CD280" s="26">
        <f t="shared" si="367"/>
        <v>0.15</v>
      </c>
      <c r="CE280" s="7">
        <v>1.05216258261234</v>
      </c>
      <c r="CF280" s="7">
        <v>752.82497001808497</v>
      </c>
      <c r="CG280" s="7">
        <v>4306.1049017757796</v>
      </c>
      <c r="CH280" s="7">
        <v>752.82497001808497</v>
      </c>
      <c r="CI280" s="7">
        <v>81180.098483664406</v>
      </c>
      <c r="CJ280" s="7">
        <v>8148.7330863050402</v>
      </c>
      <c r="CK280" s="7">
        <f t="shared" si="368"/>
        <v>5811.7548418119495</v>
      </c>
      <c r="CM280" s="28">
        <v>10</v>
      </c>
      <c r="CN280" s="26">
        <v>5.0000000000000002E-5</v>
      </c>
      <c r="CO280" s="28">
        <v>1</v>
      </c>
      <c r="CP280" s="28">
        <v>200</v>
      </c>
      <c r="CQ280" s="26">
        <v>7.5000000000000002E-6</v>
      </c>
      <c r="CR280" s="26">
        <f t="shared" si="369"/>
        <v>7.5000000000000002E-6</v>
      </c>
      <c r="CS280" s="26">
        <f t="shared" si="370"/>
        <v>0.3</v>
      </c>
      <c r="CT280" s="7">
        <v>1.3747115402208001</v>
      </c>
      <c r="CU280" s="7">
        <v>665.23311259709499</v>
      </c>
      <c r="CV280" s="7">
        <v>2153.0524508878898</v>
      </c>
      <c r="CW280" s="7">
        <v>665.23311259709499</v>
      </c>
      <c r="CX280" s="7">
        <v>40590.049241832203</v>
      </c>
      <c r="CY280" s="7">
        <v>8148.7330863050402</v>
      </c>
      <c r="CZ280" s="7">
        <f t="shared" si="371"/>
        <v>3483.5186760820798</v>
      </c>
      <c r="DB280" s="28">
        <v>10</v>
      </c>
      <c r="DC280" s="26">
        <v>5.0000000000000002E-5</v>
      </c>
      <c r="DD280" s="28">
        <v>2</v>
      </c>
      <c r="DE280" s="28">
        <v>200</v>
      </c>
      <c r="DF280" s="26">
        <v>7.5000000000000002E-6</v>
      </c>
      <c r="DG280" s="26">
        <f t="shared" si="372"/>
        <v>1.5E-5</v>
      </c>
      <c r="DH280" s="26">
        <f t="shared" si="373"/>
        <v>0.6</v>
      </c>
      <c r="DI280" s="7">
        <v>1.8875204002461901</v>
      </c>
      <c r="DJ280" s="7">
        <v>578.22973015081095</v>
      </c>
      <c r="DK280" s="7">
        <v>1076.5262254439399</v>
      </c>
      <c r="DL280" s="7">
        <v>578.22973015081095</v>
      </c>
      <c r="DM280" s="7">
        <v>20295.024620916101</v>
      </c>
      <c r="DN280" s="7">
        <v>8148.7330863050402</v>
      </c>
      <c r="DO280" s="7">
        <f t="shared" si="374"/>
        <v>2232.985685745562</v>
      </c>
      <c r="DQ280" s="28">
        <v>10</v>
      </c>
      <c r="DR280" s="26">
        <v>5.0000000000000002E-5</v>
      </c>
      <c r="DS280" s="28">
        <v>15</v>
      </c>
      <c r="DT280" s="28">
        <v>300</v>
      </c>
      <c r="DU280" s="26">
        <v>5.0000000000000004E-6</v>
      </c>
      <c r="DV280" s="26">
        <f t="shared" si="375"/>
        <v>7.5000000000000007E-5</v>
      </c>
      <c r="DW280" s="26">
        <f t="shared" si="376"/>
        <v>3</v>
      </c>
      <c r="DX280" s="7">
        <v>8.4433692086509904</v>
      </c>
      <c r="DY280" s="7">
        <v>254.539230510376</v>
      </c>
      <c r="DZ280" s="7">
        <v>143.53683005919299</v>
      </c>
      <c r="EA280" s="7">
        <v>254.539230510376</v>
      </c>
      <c r="EB280" s="7">
        <v>2706.0032827888099</v>
      </c>
      <c r="EC280" s="7">
        <v>5092.9581789406502</v>
      </c>
      <c r="ED280" s="7">
        <f t="shared" si="377"/>
        <v>652.615291079945</v>
      </c>
    </row>
    <row r="281" spans="1:134" x14ac:dyDescent="0.4">
      <c r="A281" s="28">
        <v>12</v>
      </c>
      <c r="B281" s="26">
        <v>1.0000000000000001E-5</v>
      </c>
      <c r="C281" s="28">
        <v>0.2</v>
      </c>
      <c r="D281" s="28">
        <v>30</v>
      </c>
      <c r="E281" s="26">
        <v>7.5000000000000002E-6</v>
      </c>
      <c r="F281" s="26">
        <f t="shared" si="351"/>
        <v>1.5E-6</v>
      </c>
      <c r="G281" s="26">
        <f t="shared" si="352"/>
        <v>0.3</v>
      </c>
      <c r="H281" s="7">
        <v>0.28717451732124499</v>
      </c>
      <c r="I281" s="7">
        <v>20967.675665585699</v>
      </c>
      <c r="J281" s="7">
        <v>18265.061724746</v>
      </c>
      <c r="K281" s="7">
        <v>20967.675665585699</v>
      </c>
      <c r="L281" s="7">
        <v>1222830.0672564299</v>
      </c>
      <c r="M281" s="7">
        <v>203718.32715762599</v>
      </c>
      <c r="N281" s="7">
        <f t="shared" si="353"/>
        <v>60200.413055917394</v>
      </c>
      <c r="P281" s="28">
        <v>12</v>
      </c>
      <c r="Q281" s="26">
        <v>3.0000000000000001E-5</v>
      </c>
      <c r="R281" s="28">
        <v>0.2</v>
      </c>
      <c r="S281" s="28">
        <v>30</v>
      </c>
      <c r="T281" s="26">
        <v>7.5000000000000002E-6</v>
      </c>
      <c r="U281" s="26">
        <f t="shared" si="354"/>
        <v>1.5E-6</v>
      </c>
      <c r="V281" s="26">
        <f t="shared" si="355"/>
        <v>0.1</v>
      </c>
      <c r="W281" s="7">
        <v>0.57504030719935195</v>
      </c>
      <c r="X281" s="7">
        <v>6989.2252213633501</v>
      </c>
      <c r="Y281" s="7">
        <v>6088.3538895246002</v>
      </c>
      <c r="Z281" s="7">
        <v>6989.2252213633501</v>
      </c>
      <c r="AA281" s="7">
        <v>407610.02322415198</v>
      </c>
      <c r="AB281" s="7">
        <v>22635.3696841807</v>
      </c>
      <c r="AC281" s="7">
        <f t="shared" si="356"/>
        <v>20066.8043322513</v>
      </c>
      <c r="AE281" s="28">
        <v>12</v>
      </c>
      <c r="AF281" s="26">
        <v>5.0000000000000002E-5</v>
      </c>
      <c r="AG281" s="28">
        <v>0.2</v>
      </c>
      <c r="AH281" s="28">
        <v>30</v>
      </c>
      <c r="AI281" s="26">
        <v>7.5000000000000002E-6</v>
      </c>
      <c r="AJ281" s="26">
        <f t="shared" si="357"/>
        <v>1.5E-6</v>
      </c>
      <c r="AK281" s="26">
        <f t="shared" si="358"/>
        <v>0.06</v>
      </c>
      <c r="AL281" s="7">
        <v>0.76505916337540703</v>
      </c>
      <c r="AM281" s="7">
        <v>4193.5351285970401</v>
      </c>
      <c r="AN281" s="7">
        <v>3653.01217518762</v>
      </c>
      <c r="AO281" s="7">
        <v>4193.5351285970401</v>
      </c>
      <c r="AP281" s="7">
        <v>244566.02075291699</v>
      </c>
      <c r="AQ281" s="7">
        <v>8148.7330863050402</v>
      </c>
      <c r="AR281" s="7">
        <f t="shared" si="359"/>
        <v>12040.0824323817</v>
      </c>
      <c r="AT281" s="28">
        <v>12</v>
      </c>
      <c r="AU281" s="26">
        <v>1.0000000000000001E-5</v>
      </c>
      <c r="AV281" s="28">
        <v>0.2</v>
      </c>
      <c r="AW281" s="28">
        <v>200</v>
      </c>
      <c r="AX281" s="26">
        <v>7.5000000000000002E-6</v>
      </c>
      <c r="AY281" s="26">
        <f t="shared" si="360"/>
        <v>1.5E-6</v>
      </c>
      <c r="AZ281" s="26">
        <f t="shared" si="361"/>
        <v>0.3</v>
      </c>
      <c r="BA281" s="7">
        <v>0.30307259000117598</v>
      </c>
      <c r="BB281" s="7">
        <v>4345.3623253436699</v>
      </c>
      <c r="BC281" s="7">
        <v>18265.061724746</v>
      </c>
      <c r="BD281" s="7">
        <v>4345.3623253436699</v>
      </c>
      <c r="BE281" s="7">
        <v>1222830.0672564299</v>
      </c>
      <c r="BF281" s="7">
        <v>203718.32715762599</v>
      </c>
      <c r="BG281" s="7">
        <f t="shared" si="362"/>
        <v>26955.786375433341</v>
      </c>
      <c r="BI281" s="28">
        <v>12</v>
      </c>
      <c r="BJ281" s="26">
        <v>1.0000000000000001E-5</v>
      </c>
      <c r="BK281" s="28">
        <v>0.5</v>
      </c>
      <c r="BL281" s="28">
        <v>200</v>
      </c>
      <c r="BM281" s="26">
        <v>7.5000000000000002E-6</v>
      </c>
      <c r="BN281" s="26">
        <f t="shared" si="363"/>
        <v>3.7500000000000001E-6</v>
      </c>
      <c r="BO281" s="26">
        <f t="shared" si="364"/>
        <v>0.75</v>
      </c>
      <c r="BP281" s="7">
        <v>0.42865446733159102</v>
      </c>
      <c r="BQ281" s="7">
        <v>3764.12485338133</v>
      </c>
      <c r="BR281" s="7">
        <v>7306.0246898983996</v>
      </c>
      <c r="BS281" s="7">
        <v>3764.12485338133</v>
      </c>
      <c r="BT281" s="7">
        <v>489132.02690256998</v>
      </c>
      <c r="BU281" s="7">
        <v>203718.32715762599</v>
      </c>
      <c r="BV281" s="7">
        <f t="shared" si="365"/>
        <v>14834.27439666106</v>
      </c>
      <c r="BX281" s="28">
        <v>12</v>
      </c>
      <c r="BY281" s="26">
        <v>5.0000000000000002E-5</v>
      </c>
      <c r="BZ281" s="28">
        <v>0.5</v>
      </c>
      <c r="CA281" s="28">
        <v>200</v>
      </c>
      <c r="CB281" s="26">
        <v>7.5000000000000002E-6</v>
      </c>
      <c r="CC281" s="26">
        <f t="shared" si="366"/>
        <v>3.7500000000000001E-6</v>
      </c>
      <c r="CD281" s="26">
        <f t="shared" si="367"/>
        <v>0.15</v>
      </c>
      <c r="CE281" s="7">
        <v>1.2071379322135201</v>
      </c>
      <c r="CF281" s="7">
        <v>752.82497001808497</v>
      </c>
      <c r="CG281" s="7">
        <v>1461.2048700750499</v>
      </c>
      <c r="CH281" s="7">
        <v>752.82497001808497</v>
      </c>
      <c r="CI281" s="7">
        <v>97826.408301166695</v>
      </c>
      <c r="CJ281" s="7">
        <v>8148.7330863050402</v>
      </c>
      <c r="CK281" s="7">
        <f t="shared" si="368"/>
        <v>2966.8548101112201</v>
      </c>
      <c r="CM281" s="28">
        <v>12</v>
      </c>
      <c r="CN281" s="26">
        <v>5.0000000000000002E-5</v>
      </c>
      <c r="CO281" s="28">
        <v>1</v>
      </c>
      <c r="CP281" s="28">
        <v>200</v>
      </c>
      <c r="CQ281" s="26">
        <v>7.5000000000000002E-6</v>
      </c>
      <c r="CR281" s="26">
        <f t="shared" si="369"/>
        <v>7.5000000000000002E-6</v>
      </c>
      <c r="CS281" s="26">
        <f t="shared" si="370"/>
        <v>0.3</v>
      </c>
      <c r="CT281" s="7">
        <v>1.45550172406903</v>
      </c>
      <c r="CU281" s="7">
        <v>665.23311259709499</v>
      </c>
      <c r="CV281" s="7">
        <v>730.60243503752497</v>
      </c>
      <c r="CW281" s="7">
        <v>665.23311259709499</v>
      </c>
      <c r="CX281" s="7">
        <v>48913.204150583399</v>
      </c>
      <c r="CY281" s="7">
        <v>8148.7330863050402</v>
      </c>
      <c r="CZ281" s="7">
        <f t="shared" si="371"/>
        <v>2061.0686602317151</v>
      </c>
      <c r="DB281" s="28">
        <v>12</v>
      </c>
      <c r="DC281" s="26">
        <v>5.0000000000000002E-5</v>
      </c>
      <c r="DD281" s="28">
        <v>2</v>
      </c>
      <c r="DE281" s="28">
        <v>200</v>
      </c>
      <c r="DF281" s="26">
        <v>7.5000000000000002E-6</v>
      </c>
      <c r="DG281" s="26">
        <f t="shared" si="372"/>
        <v>1.5E-5</v>
      </c>
      <c r="DH281" s="26">
        <f t="shared" si="373"/>
        <v>0.6</v>
      </c>
      <c r="DI281" s="7">
        <v>1.8847396124096101</v>
      </c>
      <c r="DJ281" s="7">
        <v>578.22973015081095</v>
      </c>
      <c r="DK281" s="7">
        <v>365.301217518763</v>
      </c>
      <c r="DL281" s="7">
        <v>578.22973015081095</v>
      </c>
      <c r="DM281" s="7">
        <v>24456.602075291699</v>
      </c>
      <c r="DN281" s="7">
        <v>8148.7330863050402</v>
      </c>
      <c r="DO281" s="7">
        <f t="shared" si="374"/>
        <v>1521.7606778203849</v>
      </c>
      <c r="DQ281" s="28">
        <v>12</v>
      </c>
      <c r="DR281" s="26">
        <v>5.0000000000000002E-5</v>
      </c>
      <c r="DS281" s="28">
        <v>15</v>
      </c>
      <c r="DT281" s="28">
        <v>300</v>
      </c>
      <c r="DU281" s="26">
        <v>5.0000000000000004E-6</v>
      </c>
      <c r="DV281" s="26">
        <f t="shared" si="375"/>
        <v>7.5000000000000007E-5</v>
      </c>
      <c r="DW281" s="26">
        <f t="shared" si="376"/>
        <v>3</v>
      </c>
      <c r="DX281" s="7">
        <v>7.7665037395438601</v>
      </c>
      <c r="DY281" s="7">
        <v>254.539230510376</v>
      </c>
      <c r="DZ281" s="7">
        <v>48.7068290025016</v>
      </c>
      <c r="EA281" s="7">
        <v>254.539230510376</v>
      </c>
      <c r="EB281" s="7">
        <v>3260.8802767055599</v>
      </c>
      <c r="EC281" s="7">
        <v>5092.9581789406502</v>
      </c>
      <c r="ED281" s="7">
        <f t="shared" si="377"/>
        <v>557.78529002325354</v>
      </c>
    </row>
    <row r="282" spans="1:134" x14ac:dyDescent="0.4">
      <c r="A282" s="28">
        <v>15</v>
      </c>
      <c r="B282" s="26">
        <v>1.0000000000000001E-5</v>
      </c>
      <c r="C282" s="28">
        <v>0.2</v>
      </c>
      <c r="D282" s="28">
        <v>30</v>
      </c>
      <c r="E282" s="26">
        <v>7.5000000000000002E-6</v>
      </c>
      <c r="F282" s="26">
        <f t="shared" si="351"/>
        <v>1.5E-6</v>
      </c>
      <c r="G282" s="26">
        <f t="shared" si="352"/>
        <v>0.3</v>
      </c>
      <c r="H282" s="7">
        <v>0.30362082340709901</v>
      </c>
      <c r="I282" s="7">
        <v>12481.634129420599</v>
      </c>
      <c r="J282" s="7">
        <v>3828.3041509332402</v>
      </c>
      <c r="K282" s="7">
        <v>12481.634129420599</v>
      </c>
      <c r="L282" s="7">
        <v>1641861.5249040499</v>
      </c>
      <c r="M282" s="7">
        <v>203718.32715762599</v>
      </c>
      <c r="N282" s="7">
        <f t="shared" si="353"/>
        <v>28791.572409774439</v>
      </c>
      <c r="P282" s="28">
        <v>15</v>
      </c>
      <c r="Q282" s="26">
        <v>3.0000000000000001E-5</v>
      </c>
      <c r="R282" s="28">
        <v>0.2</v>
      </c>
      <c r="S282" s="28">
        <v>30</v>
      </c>
      <c r="T282" s="26">
        <v>7.5000000000000002E-6</v>
      </c>
      <c r="U282" s="26">
        <f t="shared" si="354"/>
        <v>1.5E-6</v>
      </c>
      <c r="V282" s="26">
        <f t="shared" si="355"/>
        <v>0.1</v>
      </c>
      <c r="W282" s="7">
        <v>0.69947276988984097</v>
      </c>
      <c r="X282" s="7">
        <v>4160.5447097236602</v>
      </c>
      <c r="Y282" s="7">
        <v>1276.1013836444099</v>
      </c>
      <c r="Z282" s="7">
        <v>4160.5447097236602</v>
      </c>
      <c r="AA282" s="7">
        <v>547287.17553344101</v>
      </c>
      <c r="AB282" s="7">
        <v>22635.3696841807</v>
      </c>
      <c r="AC282" s="7">
        <f t="shared" si="356"/>
        <v>9597.1908030917293</v>
      </c>
      <c r="AE282" s="28">
        <v>15</v>
      </c>
      <c r="AF282" s="26">
        <v>5.0000000000000002E-5</v>
      </c>
      <c r="AG282" s="28">
        <v>0.2</v>
      </c>
      <c r="AH282" s="28">
        <v>30</v>
      </c>
      <c r="AI282" s="26">
        <v>7.5000000000000002E-6</v>
      </c>
      <c r="AJ282" s="26">
        <f t="shared" si="357"/>
        <v>1.5E-6</v>
      </c>
      <c r="AK282" s="26">
        <f t="shared" si="358"/>
        <v>0.06</v>
      </c>
      <c r="AL282" s="7">
        <v>1.0126456199732099</v>
      </c>
      <c r="AM282" s="7">
        <v>2496.32682512977</v>
      </c>
      <c r="AN282" s="7">
        <v>765.66083018664904</v>
      </c>
      <c r="AO282" s="7">
        <v>2496.32682512977</v>
      </c>
      <c r="AP282" s="7">
        <v>328372.31010722602</v>
      </c>
      <c r="AQ282" s="7">
        <v>8148.7330863050402</v>
      </c>
      <c r="AR282" s="7">
        <f t="shared" si="359"/>
        <v>5758.314480446189</v>
      </c>
      <c r="AT282" s="28">
        <v>15</v>
      </c>
      <c r="AU282" s="26">
        <v>1.0000000000000001E-5</v>
      </c>
      <c r="AV282" s="28">
        <v>0.2</v>
      </c>
      <c r="AW282" s="28">
        <v>200</v>
      </c>
      <c r="AX282" s="26">
        <v>7.5000000000000002E-6</v>
      </c>
      <c r="AY282" s="26">
        <f t="shared" si="360"/>
        <v>1.5E-6</v>
      </c>
      <c r="AZ282" s="26">
        <f t="shared" si="361"/>
        <v>0.3</v>
      </c>
      <c r="BA282" s="7">
        <v>0.31775166445417602</v>
      </c>
      <c r="BB282" s="7">
        <v>1941.00035424731</v>
      </c>
      <c r="BC282" s="7">
        <v>642.33504314082199</v>
      </c>
      <c r="BD282" s="7">
        <v>1941.00035424731</v>
      </c>
      <c r="BE282" s="7">
        <v>1641861.5249040499</v>
      </c>
      <c r="BF282" s="7">
        <v>203718.32715762599</v>
      </c>
      <c r="BG282" s="7">
        <f t="shared" si="362"/>
        <v>4524.3357516354426</v>
      </c>
      <c r="BI282" s="28">
        <v>15</v>
      </c>
      <c r="BJ282" s="26">
        <v>1.0000000000000001E-5</v>
      </c>
      <c r="BK282" s="28">
        <v>0.5</v>
      </c>
      <c r="BL282" s="28">
        <v>200</v>
      </c>
      <c r="BM282" s="26">
        <v>7.5000000000000002E-6</v>
      </c>
      <c r="BN282" s="26">
        <f t="shared" si="363"/>
        <v>3.7500000000000001E-6</v>
      </c>
      <c r="BO282" s="26">
        <f t="shared" si="364"/>
        <v>0.75</v>
      </c>
      <c r="BP282" s="7">
        <v>0.41339036466504198</v>
      </c>
      <c r="BQ282" s="7">
        <v>1921.9637593119501</v>
      </c>
      <c r="BR282" s="7">
        <v>622.78773017584695</v>
      </c>
      <c r="BS282" s="7">
        <v>1921.9637593119501</v>
      </c>
      <c r="BT282" s="7">
        <v>656744.60996161995</v>
      </c>
      <c r="BU282" s="7">
        <v>203718.32715762599</v>
      </c>
      <c r="BV282" s="7">
        <f t="shared" si="365"/>
        <v>4466.7152487997464</v>
      </c>
      <c r="BX282" s="28">
        <v>15</v>
      </c>
      <c r="BY282" s="26">
        <v>5.0000000000000002E-5</v>
      </c>
      <c r="BZ282" s="28">
        <v>0.5</v>
      </c>
      <c r="CA282" s="28">
        <v>200</v>
      </c>
      <c r="CB282" s="26">
        <v>7.5000000000000002E-6</v>
      </c>
      <c r="CC282" s="26">
        <f t="shared" si="366"/>
        <v>3.7500000000000001E-6</v>
      </c>
      <c r="CD282" s="26">
        <f t="shared" si="367"/>
        <v>0.15</v>
      </c>
      <c r="CE282" s="7">
        <v>1.37678884246508</v>
      </c>
      <c r="CF282" s="7">
        <v>384.39275181655802</v>
      </c>
      <c r="CG282" s="7">
        <v>124.557546035169</v>
      </c>
      <c r="CH282" s="7">
        <v>384.39275181655802</v>
      </c>
      <c r="CI282" s="7">
        <v>131348.92404288999</v>
      </c>
      <c r="CJ282" s="7">
        <v>8148.7330863050402</v>
      </c>
      <c r="CK282" s="7">
        <f t="shared" si="368"/>
        <v>893.34304966828495</v>
      </c>
      <c r="CM282" s="28">
        <v>15</v>
      </c>
      <c r="CN282" s="26">
        <v>5.0000000000000002E-5</v>
      </c>
      <c r="CO282" s="28">
        <v>1</v>
      </c>
      <c r="CP282" s="28">
        <v>200</v>
      </c>
      <c r="CQ282" s="26">
        <v>7.5000000000000002E-6</v>
      </c>
      <c r="CR282" s="26">
        <f t="shared" si="369"/>
        <v>7.5000000000000002E-6</v>
      </c>
      <c r="CS282" s="26">
        <f t="shared" si="370"/>
        <v>0.3</v>
      </c>
      <c r="CT282" s="7">
        <v>1.53741462806817</v>
      </c>
      <c r="CU282" s="7">
        <v>378.32091509688701</v>
      </c>
      <c r="CV282" s="7">
        <v>118.54503217394399</v>
      </c>
      <c r="CW282" s="7">
        <v>378.32091509688701</v>
      </c>
      <c r="CX282" s="7">
        <v>65674.462021445201</v>
      </c>
      <c r="CY282" s="7">
        <v>8148.7330863050402</v>
      </c>
      <c r="CZ282" s="7">
        <f t="shared" si="371"/>
        <v>875.18686236771805</v>
      </c>
      <c r="DB282" s="28">
        <v>15</v>
      </c>
      <c r="DC282" s="26">
        <v>5.0000000000000002E-5</v>
      </c>
      <c r="DD282" s="28">
        <v>2</v>
      </c>
      <c r="DE282" s="28">
        <v>200</v>
      </c>
      <c r="DF282" s="26">
        <v>7.5000000000000002E-6</v>
      </c>
      <c r="DG282" s="26">
        <f t="shared" si="372"/>
        <v>1.5E-5</v>
      </c>
      <c r="DH282" s="26">
        <f t="shared" si="373"/>
        <v>0.6</v>
      </c>
      <c r="DI282" s="7">
        <v>1.85843135407184</v>
      </c>
      <c r="DJ282" s="7">
        <v>367.08848561923799</v>
      </c>
      <c r="DK282" s="7">
        <v>108.10811969663401</v>
      </c>
      <c r="DL282" s="7">
        <v>367.08848561923799</v>
      </c>
      <c r="DM282" s="7">
        <v>32837.2310107226</v>
      </c>
      <c r="DN282" s="7">
        <v>8148.7330863050402</v>
      </c>
      <c r="DO282" s="7">
        <f t="shared" si="374"/>
        <v>842.28509093511002</v>
      </c>
      <c r="DQ282" s="28">
        <v>15</v>
      </c>
      <c r="DR282" s="26">
        <v>5.0000000000000002E-5</v>
      </c>
      <c r="DS282" s="28">
        <v>15</v>
      </c>
      <c r="DT282" s="28">
        <v>300</v>
      </c>
      <c r="DU282" s="26">
        <v>5.0000000000000004E-6</v>
      </c>
      <c r="DV282" s="26">
        <f t="shared" si="375"/>
        <v>7.5000000000000007E-5</v>
      </c>
      <c r="DW282" s="26">
        <f t="shared" si="376"/>
        <v>3</v>
      </c>
      <c r="DX282" s="7">
        <v>6.7482929934831102</v>
      </c>
      <c r="DY282" s="7">
        <v>202.84957985735099</v>
      </c>
      <c r="DZ282" s="7">
        <v>42.287816140325297</v>
      </c>
      <c r="EA282" s="7">
        <v>202.84957985735099</v>
      </c>
      <c r="EB282" s="7">
        <v>4378.2974680963498</v>
      </c>
      <c r="EC282" s="7">
        <v>5092.9581789406502</v>
      </c>
      <c r="ED282" s="7">
        <f t="shared" si="377"/>
        <v>447.98697585502725</v>
      </c>
    </row>
    <row r="283" spans="1:134" x14ac:dyDescent="0.4">
      <c r="A283" s="28">
        <v>20</v>
      </c>
      <c r="B283" s="26">
        <v>1.0000000000000001E-5</v>
      </c>
      <c r="C283" s="28">
        <v>0.2</v>
      </c>
      <c r="D283" s="28">
        <v>30</v>
      </c>
      <c r="E283" s="26">
        <v>7.5000000000000002E-6</v>
      </c>
      <c r="F283" s="26">
        <f t="shared" si="351"/>
        <v>1.5E-6</v>
      </c>
      <c r="G283" s="26">
        <f t="shared" si="352"/>
        <v>0.3</v>
      </c>
      <c r="H283" s="7">
        <v>0.31447058943698097</v>
      </c>
      <c r="I283" s="7">
        <v>7857.7524727739301</v>
      </c>
      <c r="J283" s="7">
        <v>4475.4086280782203</v>
      </c>
      <c r="K283" s="7">
        <v>7857.7524727739301</v>
      </c>
      <c r="L283" s="7">
        <v>2551974.2921694499</v>
      </c>
      <c r="M283" s="7">
        <v>203718.32715762599</v>
      </c>
      <c r="N283" s="7">
        <f t="shared" si="353"/>
        <v>20190.91357362608</v>
      </c>
      <c r="P283" s="28">
        <v>20</v>
      </c>
      <c r="Q283" s="26">
        <v>3.0000000000000001E-5</v>
      </c>
      <c r="R283" s="28">
        <v>0.2</v>
      </c>
      <c r="S283" s="28">
        <v>30</v>
      </c>
      <c r="T283" s="26">
        <v>7.5000000000000002E-6</v>
      </c>
      <c r="U283" s="26">
        <f t="shared" si="354"/>
        <v>1.5E-6</v>
      </c>
      <c r="V283" s="26">
        <f t="shared" si="355"/>
        <v>0.1</v>
      </c>
      <c r="W283" s="7">
        <v>0.78342822807418799</v>
      </c>
      <c r="X283" s="7">
        <v>2619.2508242245099</v>
      </c>
      <c r="Y283" s="7">
        <v>1491.80287602607</v>
      </c>
      <c r="Z283" s="7">
        <v>2619.2508242245099</v>
      </c>
      <c r="AA283" s="7">
        <v>850658.09849467594</v>
      </c>
      <c r="AB283" s="7">
        <v>22635.3696841807</v>
      </c>
      <c r="AC283" s="7">
        <f t="shared" si="356"/>
        <v>6730.3045244750901</v>
      </c>
      <c r="AE283" s="28">
        <v>20</v>
      </c>
      <c r="AF283" s="26">
        <v>5.0000000000000002E-5</v>
      </c>
      <c r="AG283" s="28">
        <v>0.2</v>
      </c>
      <c r="AH283" s="28">
        <v>30</v>
      </c>
      <c r="AI283" s="26">
        <v>7.5000000000000002E-6</v>
      </c>
      <c r="AJ283" s="26">
        <f t="shared" si="357"/>
        <v>1.5E-6</v>
      </c>
      <c r="AK283" s="26">
        <f t="shared" si="358"/>
        <v>0.06</v>
      </c>
      <c r="AL283" s="7">
        <v>1.17788667921134</v>
      </c>
      <c r="AM283" s="7">
        <v>1571.5504942513201</v>
      </c>
      <c r="AN283" s="7">
        <v>895.08172561564299</v>
      </c>
      <c r="AO283" s="7">
        <v>1571.5504942513201</v>
      </c>
      <c r="AP283" s="7">
        <v>510394.86845111102</v>
      </c>
      <c r="AQ283" s="7">
        <v>8148.7330863050402</v>
      </c>
      <c r="AR283" s="7">
        <f t="shared" si="359"/>
        <v>4038.182714118283</v>
      </c>
      <c r="AT283" s="28">
        <v>20</v>
      </c>
      <c r="AU283" s="26">
        <v>1.0000000000000001E-5</v>
      </c>
      <c r="AV283" s="28">
        <v>0.2</v>
      </c>
      <c r="AW283" s="28">
        <v>200</v>
      </c>
      <c r="AX283" s="26">
        <v>7.5000000000000002E-6</v>
      </c>
      <c r="AY283" s="26">
        <f t="shared" si="360"/>
        <v>1.5E-6</v>
      </c>
      <c r="AZ283" s="26">
        <f t="shared" si="361"/>
        <v>0.3</v>
      </c>
      <c r="BA283" s="7">
        <v>0.325691490672257</v>
      </c>
      <c r="BB283" s="7">
        <v>1196.98361424428</v>
      </c>
      <c r="BC283" s="7">
        <v>694.07852984949898</v>
      </c>
      <c r="BD283" s="7">
        <v>1196.98361424428</v>
      </c>
      <c r="BE283" s="7">
        <v>2551974.2921694499</v>
      </c>
      <c r="BF283" s="7">
        <v>203718.32715762599</v>
      </c>
      <c r="BG283" s="7">
        <f t="shared" si="362"/>
        <v>3088.0457583380589</v>
      </c>
      <c r="BI283" s="28">
        <v>20</v>
      </c>
      <c r="BJ283" s="26">
        <v>1.0000000000000001E-5</v>
      </c>
      <c r="BK283" s="28">
        <v>0.5</v>
      </c>
      <c r="BL283" s="28">
        <v>200</v>
      </c>
      <c r="BM283" s="26">
        <v>7.5000000000000002E-6</v>
      </c>
      <c r="BN283" s="26">
        <f t="shared" si="363"/>
        <v>3.7500000000000001E-6</v>
      </c>
      <c r="BO283" s="26">
        <f t="shared" si="364"/>
        <v>0.75</v>
      </c>
      <c r="BP283" s="7">
        <v>0.39340089736149497</v>
      </c>
      <c r="BQ283" s="7">
        <v>1192.0586917390101</v>
      </c>
      <c r="BR283" s="7">
        <v>687.90288040570601</v>
      </c>
      <c r="BS283" s="7">
        <v>1192.0586917390101</v>
      </c>
      <c r="BT283" s="7">
        <v>1020789.71686778</v>
      </c>
      <c r="BU283" s="7">
        <v>203718.32715762599</v>
      </c>
      <c r="BV283" s="7">
        <f t="shared" si="365"/>
        <v>3072.0202638837263</v>
      </c>
      <c r="BX283" s="28">
        <v>20</v>
      </c>
      <c r="BY283" s="26">
        <v>5.0000000000000002E-5</v>
      </c>
      <c r="BZ283" s="28">
        <v>0.5</v>
      </c>
      <c r="CA283" s="28">
        <v>200</v>
      </c>
      <c r="CB283" s="26">
        <v>7.5000000000000002E-6</v>
      </c>
      <c r="CC283" s="26">
        <f t="shared" si="366"/>
        <v>3.7500000000000001E-6</v>
      </c>
      <c r="CD283" s="26">
        <f t="shared" si="367"/>
        <v>0.15</v>
      </c>
      <c r="CE283" s="7">
        <v>1.47490928213891</v>
      </c>
      <c r="CF283" s="7">
        <v>238.41173833028401</v>
      </c>
      <c r="CG283" s="7">
        <v>137.580576081141</v>
      </c>
      <c r="CH283" s="7">
        <v>238.41173833028401</v>
      </c>
      <c r="CI283" s="7">
        <v>204157.947380445</v>
      </c>
      <c r="CJ283" s="7">
        <v>8148.7330863050402</v>
      </c>
      <c r="CK283" s="7">
        <f t="shared" si="368"/>
        <v>614.40405274170905</v>
      </c>
      <c r="CM283" s="28">
        <v>20</v>
      </c>
      <c r="CN283" s="26">
        <v>5.0000000000000002E-5</v>
      </c>
      <c r="CO283" s="28">
        <v>1</v>
      </c>
      <c r="CP283" s="28">
        <v>200</v>
      </c>
      <c r="CQ283" s="26">
        <v>7.5000000000000002E-6</v>
      </c>
      <c r="CR283" s="26">
        <f t="shared" si="369"/>
        <v>7.5000000000000002E-6</v>
      </c>
      <c r="CS283" s="26">
        <f t="shared" si="370"/>
        <v>0.3</v>
      </c>
      <c r="CT283" s="7">
        <v>1.58816260939457</v>
      </c>
      <c r="CU283" s="7">
        <v>236.794372688691</v>
      </c>
      <c r="CV283" s="7">
        <v>135.57018035757301</v>
      </c>
      <c r="CW283" s="7">
        <v>236.794372688691</v>
      </c>
      <c r="CX283" s="7">
        <v>102078.973690222</v>
      </c>
      <c r="CY283" s="7">
        <v>8148.7330863050402</v>
      </c>
      <c r="CZ283" s="7">
        <f t="shared" si="371"/>
        <v>609.15892573495501</v>
      </c>
      <c r="DB283" s="28">
        <v>20</v>
      </c>
      <c r="DC283" s="26">
        <v>5.0000000000000002E-5</v>
      </c>
      <c r="DD283" s="28">
        <v>2</v>
      </c>
      <c r="DE283" s="28">
        <v>200</v>
      </c>
      <c r="DF283" s="26">
        <v>7.5000000000000002E-6</v>
      </c>
      <c r="DG283" s="26">
        <f t="shared" si="372"/>
        <v>1.5E-5</v>
      </c>
      <c r="DH283" s="26">
        <f t="shared" si="373"/>
        <v>0.6</v>
      </c>
      <c r="DI283" s="7">
        <v>1.81464209771804</v>
      </c>
      <c r="DJ283" s="7">
        <v>233.64718966736299</v>
      </c>
      <c r="DK283" s="7">
        <v>131.72072797829401</v>
      </c>
      <c r="DL283" s="7">
        <v>233.64718966736299</v>
      </c>
      <c r="DM283" s="7">
        <v>51039.486845111103</v>
      </c>
      <c r="DN283" s="7">
        <v>8148.7330863050402</v>
      </c>
      <c r="DO283" s="7">
        <f t="shared" si="374"/>
        <v>599.01510731302005</v>
      </c>
      <c r="DQ283" s="28">
        <v>20</v>
      </c>
      <c r="DR283" s="26">
        <v>5.0000000000000002E-5</v>
      </c>
      <c r="DS283" s="28">
        <v>15</v>
      </c>
      <c r="DT283" s="28">
        <v>300</v>
      </c>
      <c r="DU283" s="26">
        <v>5.0000000000000004E-6</v>
      </c>
      <c r="DV283" s="26">
        <f t="shared" si="375"/>
        <v>7.5000000000000007E-5</v>
      </c>
      <c r="DW283" s="26">
        <f t="shared" si="376"/>
        <v>3</v>
      </c>
      <c r="DX283" s="7">
        <v>5.5704166650737097</v>
      </c>
      <c r="DY283" s="7">
        <v>141.30482192536101</v>
      </c>
      <c r="DZ283" s="7">
        <v>71.560155029152398</v>
      </c>
      <c r="EA283" s="7">
        <v>141.30482192536101</v>
      </c>
      <c r="EB283" s="7">
        <v>6805.2649126814904</v>
      </c>
      <c r="EC283" s="7">
        <v>5092.9581789406502</v>
      </c>
      <c r="ED283" s="7">
        <f t="shared" si="377"/>
        <v>354.16979887987441</v>
      </c>
    </row>
    <row r="284" spans="1:134" x14ac:dyDescent="0.4">
      <c r="A284" s="28">
        <v>25</v>
      </c>
      <c r="B284" s="26">
        <v>1.0000000000000001E-5</v>
      </c>
      <c r="C284" s="28">
        <v>0.2</v>
      </c>
      <c r="D284" s="28">
        <v>30</v>
      </c>
      <c r="E284" s="26">
        <v>7.5000000000000002E-6</v>
      </c>
      <c r="F284" s="26">
        <f t="shared" si="351"/>
        <v>1.5E-6</v>
      </c>
      <c r="G284" s="26">
        <f t="shared" si="352"/>
        <v>0.3</v>
      </c>
      <c r="H284" s="7">
        <v>0.32441315609028398</v>
      </c>
      <c r="I284" s="7">
        <v>5967.7070610572</v>
      </c>
      <c r="J284" s="7">
        <v>4769.5933204541298</v>
      </c>
      <c r="K284" s="7">
        <v>5967.7070610572</v>
      </c>
      <c r="L284" s="7">
        <v>3890230.9388607698</v>
      </c>
      <c r="M284" s="7">
        <v>203718.32715762599</v>
      </c>
      <c r="N284" s="7">
        <f t="shared" si="353"/>
        <v>16705.007442568531</v>
      </c>
      <c r="P284" s="28">
        <v>25</v>
      </c>
      <c r="Q284" s="26">
        <v>3.0000000000000001E-5</v>
      </c>
      <c r="R284" s="28">
        <v>0.2</v>
      </c>
      <c r="S284" s="28">
        <v>30</v>
      </c>
      <c r="T284" s="26">
        <v>7.5000000000000002E-6</v>
      </c>
      <c r="U284" s="26">
        <f t="shared" si="354"/>
        <v>1.5E-6</v>
      </c>
      <c r="V284" s="26">
        <f t="shared" si="355"/>
        <v>0.1</v>
      </c>
      <c r="W284" s="7">
        <v>0.84537526120194295</v>
      </c>
      <c r="X284" s="7">
        <v>1989.2356869965699</v>
      </c>
      <c r="Y284" s="7">
        <v>1589.86444015137</v>
      </c>
      <c r="Z284" s="7">
        <v>1989.2356869965699</v>
      </c>
      <c r="AA284" s="7">
        <v>1296743.6482743199</v>
      </c>
      <c r="AB284" s="7">
        <v>22635.3696841807</v>
      </c>
      <c r="AC284" s="7">
        <f t="shared" si="356"/>
        <v>5568.3358141445096</v>
      </c>
      <c r="AE284" s="28">
        <v>25</v>
      </c>
      <c r="AF284" s="26">
        <v>5.0000000000000002E-5</v>
      </c>
      <c r="AG284" s="28">
        <v>0.2</v>
      </c>
      <c r="AH284" s="28">
        <v>30</v>
      </c>
      <c r="AI284" s="26">
        <v>7.5000000000000002E-6</v>
      </c>
      <c r="AJ284" s="26">
        <f t="shared" si="357"/>
        <v>1.5E-6</v>
      </c>
      <c r="AK284" s="26">
        <f t="shared" si="358"/>
        <v>0.06</v>
      </c>
      <c r="AL284" s="7">
        <v>1.2954342708601301</v>
      </c>
      <c r="AM284" s="7">
        <v>1193.54141200751</v>
      </c>
      <c r="AN284" s="7">
        <v>953.91866409082502</v>
      </c>
      <c r="AO284" s="7">
        <v>1193.54141200751</v>
      </c>
      <c r="AP284" s="7">
        <v>778046.205790887</v>
      </c>
      <c r="AQ284" s="7">
        <v>8148.7330863050402</v>
      </c>
      <c r="AR284" s="7">
        <f t="shared" si="359"/>
        <v>3341.0014881058451</v>
      </c>
      <c r="AT284" s="28">
        <v>25</v>
      </c>
      <c r="AU284" s="26">
        <v>1.0000000000000001E-5</v>
      </c>
      <c r="AV284" s="28">
        <v>0.2</v>
      </c>
      <c r="AW284" s="28">
        <v>200</v>
      </c>
      <c r="AX284" s="26">
        <v>7.5000000000000002E-6</v>
      </c>
      <c r="AY284" s="26">
        <f t="shared" si="360"/>
        <v>1.5E-6</v>
      </c>
      <c r="AZ284" s="26">
        <f t="shared" si="361"/>
        <v>0.3</v>
      </c>
      <c r="BA284" s="7">
        <v>0.33452045924319501</v>
      </c>
      <c r="BB284" s="7">
        <v>904.92261526204402</v>
      </c>
      <c r="BC284" s="7">
        <v>729.47946385146201</v>
      </c>
      <c r="BD284" s="7">
        <v>904.92261526204402</v>
      </c>
      <c r="BE284" s="7">
        <v>3890230.9388607698</v>
      </c>
      <c r="BF284" s="7">
        <v>203718.32715762599</v>
      </c>
      <c r="BG284" s="7">
        <f t="shared" si="362"/>
        <v>2539.3246943755503</v>
      </c>
      <c r="BI284" s="28">
        <v>25</v>
      </c>
      <c r="BJ284" s="26">
        <v>1.0000000000000001E-5</v>
      </c>
      <c r="BK284" s="28">
        <v>0.5</v>
      </c>
      <c r="BL284" s="28">
        <v>200</v>
      </c>
      <c r="BM284" s="26">
        <v>7.5000000000000002E-6</v>
      </c>
      <c r="BN284" s="26">
        <f t="shared" si="363"/>
        <v>3.7500000000000001E-6</v>
      </c>
      <c r="BO284" s="26">
        <f t="shared" si="364"/>
        <v>0.75</v>
      </c>
      <c r="BP284" s="7">
        <v>0.38236619706701103</v>
      </c>
      <c r="BQ284" s="7">
        <v>902.31159397251201</v>
      </c>
      <c r="BR284" s="7">
        <v>725.70943403112403</v>
      </c>
      <c r="BS284" s="7">
        <v>902.31159397251201</v>
      </c>
      <c r="BT284" s="7">
        <v>1556092.3755443101</v>
      </c>
      <c r="BU284" s="7">
        <v>203718.32715762599</v>
      </c>
      <c r="BV284" s="7">
        <f t="shared" si="365"/>
        <v>2530.3326219761479</v>
      </c>
      <c r="BX284" s="28">
        <v>25</v>
      </c>
      <c r="BY284" s="26">
        <v>5.0000000000000002E-5</v>
      </c>
      <c r="BZ284" s="28">
        <v>0.5</v>
      </c>
      <c r="CA284" s="28">
        <v>200</v>
      </c>
      <c r="CB284" s="26">
        <v>7.5000000000000002E-6</v>
      </c>
      <c r="CC284" s="26">
        <f t="shared" si="366"/>
        <v>3.7500000000000001E-6</v>
      </c>
      <c r="CD284" s="26">
        <f t="shared" si="367"/>
        <v>0.15</v>
      </c>
      <c r="CE284" s="7">
        <v>1.55644628707526</v>
      </c>
      <c r="CF284" s="7">
        <v>180.46231878283399</v>
      </c>
      <c r="CG284" s="7">
        <v>145.14188680622499</v>
      </c>
      <c r="CH284" s="7">
        <v>180.46231878283399</v>
      </c>
      <c r="CI284" s="7">
        <v>311218.48231635499</v>
      </c>
      <c r="CJ284" s="7">
        <v>8148.7330863050402</v>
      </c>
      <c r="CK284" s="7">
        <f t="shared" si="368"/>
        <v>506.06652437189302</v>
      </c>
      <c r="CM284" s="28">
        <v>25</v>
      </c>
      <c r="CN284" s="26">
        <v>5.0000000000000002E-5</v>
      </c>
      <c r="CO284" s="28">
        <v>1</v>
      </c>
      <c r="CP284" s="28">
        <v>200</v>
      </c>
      <c r="CQ284" s="26">
        <v>7.5000000000000002E-6</v>
      </c>
      <c r="CR284" s="26">
        <f t="shared" si="369"/>
        <v>7.5000000000000002E-6</v>
      </c>
      <c r="CS284" s="26">
        <f t="shared" si="370"/>
        <v>0.3</v>
      </c>
      <c r="CT284" s="7">
        <v>1.6364386095080199</v>
      </c>
      <c r="CU284" s="7">
        <v>179.60025764253999</v>
      </c>
      <c r="CV284" s="7">
        <v>143.90240734913101</v>
      </c>
      <c r="CW284" s="7">
        <v>179.60025764253999</v>
      </c>
      <c r="CX284" s="7">
        <v>155609.241158177</v>
      </c>
      <c r="CY284" s="7">
        <v>8148.7330863050402</v>
      </c>
      <c r="CZ284" s="7">
        <f t="shared" si="371"/>
        <v>503.10292263421098</v>
      </c>
      <c r="DB284" s="28">
        <v>25</v>
      </c>
      <c r="DC284" s="26">
        <v>5.0000000000000002E-5</v>
      </c>
      <c r="DD284" s="28">
        <v>2</v>
      </c>
      <c r="DE284" s="28">
        <v>200</v>
      </c>
      <c r="DF284" s="26">
        <v>7.5000000000000002E-6</v>
      </c>
      <c r="DG284" s="26">
        <f t="shared" si="372"/>
        <v>1.5E-5</v>
      </c>
      <c r="DH284" s="26">
        <f t="shared" si="373"/>
        <v>0.6</v>
      </c>
      <c r="DI284" s="7">
        <v>1.79641269752873</v>
      </c>
      <c r="DJ284" s="7">
        <v>177.90643586546901</v>
      </c>
      <c r="DK284" s="7">
        <v>141.48598257191699</v>
      </c>
      <c r="DL284" s="7">
        <v>177.90643586546901</v>
      </c>
      <c r="DM284" s="7">
        <v>77804.620579088703</v>
      </c>
      <c r="DN284" s="7">
        <v>8148.7330863050402</v>
      </c>
      <c r="DO284" s="7">
        <f t="shared" si="374"/>
        <v>497.29885430285503</v>
      </c>
      <c r="DQ284" s="28">
        <v>25</v>
      </c>
      <c r="DR284" s="26">
        <v>5.0000000000000002E-5</v>
      </c>
      <c r="DS284" s="28">
        <v>15</v>
      </c>
      <c r="DT284" s="28">
        <v>300</v>
      </c>
      <c r="DU284" s="26">
        <v>5.0000000000000004E-6</v>
      </c>
      <c r="DV284" s="26">
        <f t="shared" si="375"/>
        <v>7.5000000000000007E-5</v>
      </c>
      <c r="DW284" s="26">
        <f t="shared" si="376"/>
        <v>3</v>
      </c>
      <c r="DX284" s="7">
        <v>4.7574631845136999</v>
      </c>
      <c r="DY284" s="7">
        <v>110.42994925436599</v>
      </c>
      <c r="DZ284" s="7">
        <v>83.155364315094602</v>
      </c>
      <c r="EA284" s="7">
        <v>110.42994925436599</v>
      </c>
      <c r="EB284" s="7">
        <v>10373.949410545199</v>
      </c>
      <c r="EC284" s="7">
        <v>5092.9581789406502</v>
      </c>
      <c r="ED284" s="7">
        <f t="shared" si="377"/>
        <v>304.01526282382656</v>
      </c>
    </row>
    <row r="285" spans="1:134" x14ac:dyDescent="0.4">
      <c r="A285" s="28">
        <v>30</v>
      </c>
      <c r="B285" s="26">
        <v>1.0000000000000001E-5</v>
      </c>
      <c r="C285" s="28">
        <v>0.2</v>
      </c>
      <c r="D285" s="28">
        <v>30</v>
      </c>
      <c r="E285" s="26">
        <v>7.5000000000000002E-6</v>
      </c>
      <c r="F285" s="26">
        <f t="shared" si="351"/>
        <v>1.5E-6</v>
      </c>
      <c r="G285" s="26">
        <f t="shared" si="352"/>
        <v>0.3</v>
      </c>
      <c r="H285" s="7">
        <v>0.33477001340923501</v>
      </c>
      <c r="I285" s="7">
        <v>4807.3324198337996</v>
      </c>
      <c r="J285" s="7">
        <v>4988.6125859415297</v>
      </c>
      <c r="K285" s="7">
        <v>4807.3324198337996</v>
      </c>
      <c r="L285" s="7">
        <v>5893089.4851508904</v>
      </c>
      <c r="M285" s="7">
        <v>203718.32715762599</v>
      </c>
      <c r="N285" s="7">
        <f t="shared" si="353"/>
        <v>14603.277425609129</v>
      </c>
      <c r="P285" s="28">
        <v>30</v>
      </c>
      <c r="Q285" s="26">
        <v>3.0000000000000001E-5</v>
      </c>
      <c r="R285" s="28">
        <v>0.2</v>
      </c>
      <c r="S285" s="28">
        <v>30</v>
      </c>
      <c r="T285" s="26">
        <v>7.5000000000000002E-6</v>
      </c>
      <c r="U285" s="26">
        <f t="shared" si="354"/>
        <v>1.5E-6</v>
      </c>
      <c r="V285" s="26">
        <f t="shared" si="355"/>
        <v>0.1</v>
      </c>
      <c r="W285" s="7">
        <v>0.898905720732045</v>
      </c>
      <c r="X285" s="7">
        <v>1602.4441399274999</v>
      </c>
      <c r="Y285" s="7">
        <v>1662.87086198051</v>
      </c>
      <c r="Z285" s="7">
        <v>1602.4441399274999</v>
      </c>
      <c r="AA285" s="7">
        <v>1964363.1651242101</v>
      </c>
      <c r="AB285" s="7">
        <v>22635.3696841807</v>
      </c>
      <c r="AC285" s="7">
        <f t="shared" si="356"/>
        <v>4867.7591418355096</v>
      </c>
      <c r="AE285" s="28">
        <v>30</v>
      </c>
      <c r="AF285" s="26">
        <v>5.0000000000000002E-5</v>
      </c>
      <c r="AG285" s="28">
        <v>0.2</v>
      </c>
      <c r="AH285" s="28">
        <v>30</v>
      </c>
      <c r="AI285" s="26">
        <v>7.5000000000000002E-6</v>
      </c>
      <c r="AJ285" s="26">
        <f t="shared" si="357"/>
        <v>1.5E-6</v>
      </c>
      <c r="AK285" s="26">
        <f t="shared" si="358"/>
        <v>0.06</v>
      </c>
      <c r="AL285" s="7">
        <v>1.3944542439743299</v>
      </c>
      <c r="AM285" s="7">
        <v>961.46648381169098</v>
      </c>
      <c r="AN285" s="7">
        <v>997.72251718830603</v>
      </c>
      <c r="AO285" s="7">
        <v>961.46648381169098</v>
      </c>
      <c r="AP285" s="7">
        <v>1178617.9279219799</v>
      </c>
      <c r="AQ285" s="7">
        <v>8148.7330863050402</v>
      </c>
      <c r="AR285" s="7">
        <f t="shared" si="359"/>
        <v>2920.655484811688</v>
      </c>
      <c r="AT285" s="28">
        <v>30</v>
      </c>
      <c r="AU285" s="26">
        <v>1.0000000000000001E-5</v>
      </c>
      <c r="AV285" s="28">
        <v>0.2</v>
      </c>
      <c r="AW285" s="28">
        <v>200</v>
      </c>
      <c r="AX285" s="26">
        <v>7.5000000000000002E-6</v>
      </c>
      <c r="AY285" s="26">
        <f t="shared" si="360"/>
        <v>1.5E-6</v>
      </c>
      <c r="AZ285" s="26">
        <f t="shared" si="361"/>
        <v>0.3</v>
      </c>
      <c r="BA285" s="7">
        <v>0.34421865756863002</v>
      </c>
      <c r="BB285" s="7">
        <v>727.37388968977803</v>
      </c>
      <c r="BC285" s="7">
        <v>758.42598130330396</v>
      </c>
      <c r="BD285" s="7">
        <v>727.37388968977803</v>
      </c>
      <c r="BE285" s="7">
        <v>5893089.4851508904</v>
      </c>
      <c r="BF285" s="7">
        <v>203718.32715762599</v>
      </c>
      <c r="BG285" s="7">
        <f t="shared" si="362"/>
        <v>2213.1737606828601</v>
      </c>
      <c r="BI285" s="28">
        <v>30</v>
      </c>
      <c r="BJ285" s="26">
        <v>1.0000000000000001E-5</v>
      </c>
      <c r="BK285" s="28">
        <v>0.5</v>
      </c>
      <c r="BL285" s="28">
        <v>200</v>
      </c>
      <c r="BM285" s="26">
        <v>7.5000000000000002E-6</v>
      </c>
      <c r="BN285" s="26">
        <f t="shared" si="363"/>
        <v>3.7500000000000001E-6</v>
      </c>
      <c r="BO285" s="26">
        <f t="shared" si="364"/>
        <v>0.75</v>
      </c>
      <c r="BP285" s="7">
        <v>0.37778242210888602</v>
      </c>
      <c r="BQ285" s="7">
        <v>725.70064173773096</v>
      </c>
      <c r="BR285" s="7">
        <v>755.71672459466504</v>
      </c>
      <c r="BS285" s="7">
        <v>725.70064173773096</v>
      </c>
      <c r="BT285" s="7">
        <v>2357235.7940603602</v>
      </c>
      <c r="BU285" s="7">
        <v>203718.32715762599</v>
      </c>
      <c r="BV285" s="7">
        <f t="shared" si="365"/>
        <v>2207.118008070127</v>
      </c>
      <c r="BX285" s="28">
        <v>30</v>
      </c>
      <c r="BY285" s="26">
        <v>5.0000000000000002E-5</v>
      </c>
      <c r="BZ285" s="28">
        <v>0.5</v>
      </c>
      <c r="CA285" s="28">
        <v>200</v>
      </c>
      <c r="CB285" s="26">
        <v>7.5000000000000002E-6</v>
      </c>
      <c r="CC285" s="26">
        <f t="shared" si="366"/>
        <v>3.7500000000000001E-6</v>
      </c>
      <c r="CD285" s="26">
        <f t="shared" si="367"/>
        <v>0.15</v>
      </c>
      <c r="CE285" s="7">
        <v>1.6312351139146399</v>
      </c>
      <c r="CF285" s="7">
        <v>145.140128338708</v>
      </c>
      <c r="CG285" s="7">
        <v>151.143344918933</v>
      </c>
      <c r="CH285" s="7">
        <v>145.140128338708</v>
      </c>
      <c r="CI285" s="7">
        <v>471447.17116879002</v>
      </c>
      <c r="CJ285" s="7">
        <v>8148.7330863050402</v>
      </c>
      <c r="CK285" s="7">
        <f t="shared" si="368"/>
        <v>441.42360159634899</v>
      </c>
      <c r="CM285" s="28">
        <v>30</v>
      </c>
      <c r="CN285" s="26">
        <v>5.0000000000000002E-5</v>
      </c>
      <c r="CO285" s="28">
        <v>1</v>
      </c>
      <c r="CP285" s="28">
        <v>200</v>
      </c>
      <c r="CQ285" s="26">
        <v>7.5000000000000002E-6</v>
      </c>
      <c r="CR285" s="26">
        <f t="shared" si="369"/>
        <v>7.5000000000000002E-6</v>
      </c>
      <c r="CS285" s="26">
        <f t="shared" si="370"/>
        <v>0.3</v>
      </c>
      <c r="CT285" s="7">
        <v>1.68735522126721</v>
      </c>
      <c r="CU285" s="7">
        <v>144.58638467526899</v>
      </c>
      <c r="CV285" s="7">
        <v>150.24883810203599</v>
      </c>
      <c r="CW285" s="7">
        <v>144.58638467526899</v>
      </c>
      <c r="CX285" s="7">
        <v>235723.58558439501</v>
      </c>
      <c r="CY285" s="7">
        <v>8148.7330863050402</v>
      </c>
      <c r="CZ285" s="7">
        <f t="shared" si="371"/>
        <v>439.42160745257399</v>
      </c>
      <c r="DB285" s="28">
        <v>30</v>
      </c>
      <c r="DC285" s="26">
        <v>5.0000000000000002E-5</v>
      </c>
      <c r="DD285" s="28">
        <v>2</v>
      </c>
      <c r="DE285" s="28">
        <v>200</v>
      </c>
      <c r="DF285" s="26">
        <v>7.5000000000000002E-6</v>
      </c>
      <c r="DG285" s="26">
        <f t="shared" si="372"/>
        <v>1.5E-5</v>
      </c>
      <c r="DH285" s="26">
        <f t="shared" si="373"/>
        <v>0.6</v>
      </c>
      <c r="DI285" s="7">
        <v>1.7995898267081401</v>
      </c>
      <c r="DJ285" s="7">
        <v>143.493651420682</v>
      </c>
      <c r="DK285" s="7">
        <v>148.49131311393799</v>
      </c>
      <c r="DL285" s="7">
        <v>143.493651420682</v>
      </c>
      <c r="DM285" s="7">
        <v>117861.792792198</v>
      </c>
      <c r="DN285" s="7">
        <v>8148.7330863050402</v>
      </c>
      <c r="DO285" s="7">
        <f t="shared" si="374"/>
        <v>435.47861595530196</v>
      </c>
      <c r="DQ285" s="28">
        <v>30</v>
      </c>
      <c r="DR285" s="26">
        <v>5.0000000000000002E-5</v>
      </c>
      <c r="DS285" s="28">
        <v>15</v>
      </c>
      <c r="DT285" s="28">
        <v>300</v>
      </c>
      <c r="DU285" s="26">
        <v>5.0000000000000004E-6</v>
      </c>
      <c r="DV285" s="26">
        <f t="shared" si="375"/>
        <v>7.5000000000000007E-5</v>
      </c>
      <c r="DW285" s="26">
        <f t="shared" si="376"/>
        <v>3</v>
      </c>
      <c r="DX285" s="7">
        <v>4.1996006318735697</v>
      </c>
      <c r="DY285" s="7">
        <v>90.265822408235607</v>
      </c>
      <c r="DZ285" s="7">
        <v>90.525422516156297</v>
      </c>
      <c r="EA285" s="7">
        <v>90.265822408235607</v>
      </c>
      <c r="EB285" s="7">
        <v>15714.905705626299</v>
      </c>
      <c r="EC285" s="7">
        <v>5092.9581789406502</v>
      </c>
      <c r="ED285" s="7">
        <f t="shared" si="377"/>
        <v>271.05706733262753</v>
      </c>
    </row>
    <row r="286" spans="1:134" x14ac:dyDescent="0.4">
      <c r="A286" s="28">
        <v>35</v>
      </c>
      <c r="B286" s="26">
        <v>1.0000000000000001E-5</v>
      </c>
      <c r="C286" s="28">
        <v>0.2</v>
      </c>
      <c r="D286" s="28">
        <v>30</v>
      </c>
      <c r="E286" s="26">
        <v>7.5000000000000002E-6</v>
      </c>
      <c r="F286" s="26">
        <f t="shared" si="351"/>
        <v>1.5E-6</v>
      </c>
      <c r="G286" s="26">
        <f t="shared" si="352"/>
        <v>0.3</v>
      </c>
      <c r="H286" s="7">
        <v>0.34548295443183202</v>
      </c>
      <c r="I286" s="7">
        <v>3984.07853527202</v>
      </c>
      <c r="J286" s="7">
        <v>5168.7820727017497</v>
      </c>
      <c r="K286" s="7">
        <v>3984.07853527202</v>
      </c>
      <c r="L286" s="7">
        <v>8973470.5022608098</v>
      </c>
      <c r="M286" s="7">
        <v>203718.32715762599</v>
      </c>
      <c r="N286" s="7">
        <f t="shared" si="353"/>
        <v>13136.939143245789</v>
      </c>
      <c r="P286" s="28">
        <v>35</v>
      </c>
      <c r="Q286" s="26">
        <v>3.0000000000000001E-5</v>
      </c>
      <c r="R286" s="28">
        <v>0.2</v>
      </c>
      <c r="S286" s="28">
        <v>30</v>
      </c>
      <c r="T286" s="26">
        <v>7.5000000000000002E-6</v>
      </c>
      <c r="U286" s="26">
        <f t="shared" si="354"/>
        <v>1.5E-6</v>
      </c>
      <c r="V286" s="26">
        <f t="shared" si="355"/>
        <v>0.1</v>
      </c>
      <c r="W286" s="7">
        <v>0.94730107142378694</v>
      </c>
      <c r="X286" s="7">
        <v>1328.02617841029</v>
      </c>
      <c r="Y286" s="7">
        <v>1722.9273575672501</v>
      </c>
      <c r="Z286" s="7">
        <v>1328.02617841029</v>
      </c>
      <c r="AA286" s="7">
        <v>2991156.8397606201</v>
      </c>
      <c r="AB286" s="7">
        <v>22635.3696841807</v>
      </c>
      <c r="AC286" s="7">
        <f t="shared" si="356"/>
        <v>4378.9797143878295</v>
      </c>
      <c r="AE286" s="28">
        <v>35</v>
      </c>
      <c r="AF286" s="26">
        <v>5.0000000000000002E-5</v>
      </c>
      <c r="AG286" s="28">
        <v>0.2</v>
      </c>
      <c r="AH286" s="28">
        <v>30</v>
      </c>
      <c r="AI286" s="26">
        <v>7.5000000000000002E-6</v>
      </c>
      <c r="AJ286" s="26">
        <f t="shared" si="357"/>
        <v>1.5E-6</v>
      </c>
      <c r="AK286" s="26">
        <f t="shared" si="358"/>
        <v>0.06</v>
      </c>
      <c r="AL286" s="7">
        <v>1.4822775798396901</v>
      </c>
      <c r="AM286" s="7">
        <v>796.81570693005597</v>
      </c>
      <c r="AN286" s="7">
        <v>1033.7564145403501</v>
      </c>
      <c r="AO286" s="7">
        <v>796.81570693005597</v>
      </c>
      <c r="AP286" s="7">
        <v>1794694.1518928199</v>
      </c>
      <c r="AQ286" s="7">
        <v>8148.7330863050402</v>
      </c>
      <c r="AR286" s="7">
        <f t="shared" si="359"/>
        <v>2627.3878284004622</v>
      </c>
      <c r="AT286" s="28">
        <v>35</v>
      </c>
      <c r="AU286" s="26">
        <v>1.0000000000000001E-5</v>
      </c>
      <c r="AV286" s="28">
        <v>0.2</v>
      </c>
      <c r="AW286" s="28">
        <v>200</v>
      </c>
      <c r="AX286" s="26">
        <v>7.5000000000000002E-6</v>
      </c>
      <c r="AY286" s="26">
        <f t="shared" si="360"/>
        <v>1.5E-6</v>
      </c>
      <c r="AZ286" s="26">
        <f t="shared" si="361"/>
        <v>0.3</v>
      </c>
      <c r="BA286" s="7">
        <v>0.35447021953671998</v>
      </c>
      <c r="BB286" s="7">
        <v>602.00500937137394</v>
      </c>
      <c r="BC286" s="7">
        <v>783.15203621901901</v>
      </c>
      <c r="BD286" s="7">
        <v>602.00500937137394</v>
      </c>
      <c r="BE286" s="7">
        <v>8973470.5022608098</v>
      </c>
      <c r="BF286" s="7">
        <v>203718.32715762599</v>
      </c>
      <c r="BG286" s="7">
        <f t="shared" si="362"/>
        <v>1987.1620549617669</v>
      </c>
      <c r="BI286" s="28">
        <v>35</v>
      </c>
      <c r="BJ286" s="26">
        <v>1.0000000000000001E-5</v>
      </c>
      <c r="BK286" s="28">
        <v>0.5</v>
      </c>
      <c r="BL286" s="28">
        <v>200</v>
      </c>
      <c r="BM286" s="26">
        <v>7.5000000000000002E-6</v>
      </c>
      <c r="BN286" s="26">
        <f t="shared" si="363"/>
        <v>3.7500000000000001E-6</v>
      </c>
      <c r="BO286" s="26">
        <f t="shared" si="364"/>
        <v>0.75</v>
      </c>
      <c r="BP286" s="7">
        <v>0.377674918422233</v>
      </c>
      <c r="BQ286" s="7">
        <v>600.83500597989303</v>
      </c>
      <c r="BR286" s="7">
        <v>781.06268252331097</v>
      </c>
      <c r="BS286" s="7">
        <v>600.83500597989303</v>
      </c>
      <c r="BT286" s="7">
        <v>3589388.20090432</v>
      </c>
      <c r="BU286" s="7">
        <v>203718.32715762599</v>
      </c>
      <c r="BV286" s="7">
        <f t="shared" si="365"/>
        <v>1982.732694483097</v>
      </c>
      <c r="BX286" s="28">
        <v>35</v>
      </c>
      <c r="BY286" s="26">
        <v>5.0000000000000002E-5</v>
      </c>
      <c r="BZ286" s="28">
        <v>0.5</v>
      </c>
      <c r="CA286" s="28">
        <v>200</v>
      </c>
      <c r="CB286" s="26">
        <v>7.5000000000000002E-6</v>
      </c>
      <c r="CC286" s="26">
        <f t="shared" si="366"/>
        <v>3.7500000000000001E-6</v>
      </c>
      <c r="CD286" s="26">
        <f t="shared" si="367"/>
        <v>0.15</v>
      </c>
      <c r="CE286" s="7">
        <v>1.7014902508951599</v>
      </c>
      <c r="CF286" s="7">
        <v>120.167001188906</v>
      </c>
      <c r="CG286" s="7">
        <v>156.21253650466201</v>
      </c>
      <c r="CH286" s="7">
        <v>120.167001188906</v>
      </c>
      <c r="CI286" s="7">
        <v>717877.66075713001</v>
      </c>
      <c r="CJ286" s="7">
        <v>8148.7330863050402</v>
      </c>
      <c r="CK286" s="7">
        <f t="shared" si="368"/>
        <v>396.54653888247401</v>
      </c>
      <c r="CM286" s="28">
        <v>35</v>
      </c>
      <c r="CN286" s="26">
        <v>5.0000000000000002E-5</v>
      </c>
      <c r="CO286" s="28">
        <v>1</v>
      </c>
      <c r="CP286" s="28">
        <v>200</v>
      </c>
      <c r="CQ286" s="26">
        <v>7.5000000000000002E-6</v>
      </c>
      <c r="CR286" s="26">
        <f t="shared" si="369"/>
        <v>7.5000000000000002E-6</v>
      </c>
      <c r="CS286" s="26">
        <f t="shared" si="370"/>
        <v>0.3</v>
      </c>
      <c r="CT286" s="7">
        <v>1.74030476437833</v>
      </c>
      <c r="CU286" s="7">
        <v>119.779274796552</v>
      </c>
      <c r="CV286" s="7">
        <v>155.521045898078</v>
      </c>
      <c r="CW286" s="7">
        <v>119.779274796552</v>
      </c>
      <c r="CX286" s="7">
        <v>358938.83037856501</v>
      </c>
      <c r="CY286" s="7">
        <v>8148.7330863050402</v>
      </c>
      <c r="CZ286" s="7">
        <f t="shared" si="371"/>
        <v>395.07959549118198</v>
      </c>
      <c r="DB286" s="28">
        <v>35</v>
      </c>
      <c r="DC286" s="26">
        <v>5.0000000000000002E-5</v>
      </c>
      <c r="DD286" s="28">
        <v>2</v>
      </c>
      <c r="DE286" s="28">
        <v>200</v>
      </c>
      <c r="DF286" s="26">
        <v>7.5000000000000002E-6</v>
      </c>
      <c r="DG286" s="26">
        <f t="shared" si="372"/>
        <v>1.5E-5</v>
      </c>
      <c r="DH286" s="26">
        <f t="shared" si="373"/>
        <v>0.6</v>
      </c>
      <c r="DI286" s="7">
        <v>1.81793036802591</v>
      </c>
      <c r="DJ286" s="7">
        <v>119.01223137089301</v>
      </c>
      <c r="DK286" s="7">
        <v>154.156369850555</v>
      </c>
      <c r="DL286" s="7">
        <v>119.01223137089301</v>
      </c>
      <c r="DM286" s="7">
        <v>179469.41518928201</v>
      </c>
      <c r="DN286" s="7">
        <v>8148.7330863050402</v>
      </c>
      <c r="DO286" s="7">
        <f t="shared" si="374"/>
        <v>392.18083259234101</v>
      </c>
      <c r="DQ286" s="28">
        <v>35</v>
      </c>
      <c r="DR286" s="26">
        <v>5.0000000000000002E-5</v>
      </c>
      <c r="DS286" s="28">
        <v>15</v>
      </c>
      <c r="DT286" s="28">
        <v>300</v>
      </c>
      <c r="DU286" s="26">
        <v>5.0000000000000004E-6</v>
      </c>
      <c r="DV286" s="26">
        <f t="shared" si="375"/>
        <v>7.5000000000000007E-5</v>
      </c>
      <c r="DW286" s="26">
        <f t="shared" si="376"/>
        <v>3</v>
      </c>
      <c r="DX286" s="7">
        <v>3.82077247300602</v>
      </c>
      <c r="DY286" s="7">
        <v>75.5008244304708</v>
      </c>
      <c r="DZ286" s="7">
        <v>96.032312732024195</v>
      </c>
      <c r="EA286" s="7">
        <v>75.5008244304708</v>
      </c>
      <c r="EB286" s="7">
        <v>23929.255358571001</v>
      </c>
      <c r="EC286" s="7">
        <v>5092.9581789406502</v>
      </c>
      <c r="ED286" s="7">
        <f t="shared" si="377"/>
        <v>247.0339615929658</v>
      </c>
    </row>
    <row r="287" spans="1:134" x14ac:dyDescent="0.4">
      <c r="A287" s="28">
        <v>40</v>
      </c>
      <c r="B287" s="26">
        <v>1.0000000000000001E-5</v>
      </c>
      <c r="C287" s="28">
        <v>0.2</v>
      </c>
      <c r="D287" s="28">
        <v>30</v>
      </c>
      <c r="E287" s="26">
        <v>7.5000000000000002E-6</v>
      </c>
      <c r="F287" s="26">
        <f t="shared" si="351"/>
        <v>1.5E-6</v>
      </c>
      <c r="G287" s="26">
        <f t="shared" si="352"/>
        <v>0.3</v>
      </c>
      <c r="H287" s="7">
        <v>0.35638061844957603</v>
      </c>
      <c r="I287" s="7">
        <v>3352.9677929484601</v>
      </c>
      <c r="J287" s="7">
        <v>5323.5334580216904</v>
      </c>
      <c r="K287" s="7">
        <v>3352.9677929484601</v>
      </c>
      <c r="L287" s="7">
        <v>13908939.478979601</v>
      </c>
      <c r="M287" s="7">
        <v>203718.32715762599</v>
      </c>
      <c r="N287" s="7">
        <f t="shared" si="353"/>
        <v>12029.469043918611</v>
      </c>
      <c r="P287" s="28">
        <v>40</v>
      </c>
      <c r="Q287" s="26">
        <v>3.0000000000000001E-5</v>
      </c>
      <c r="R287" s="28">
        <v>0.2</v>
      </c>
      <c r="S287" s="28">
        <v>30</v>
      </c>
      <c r="T287" s="26">
        <v>7.5000000000000002E-6</v>
      </c>
      <c r="U287" s="26">
        <f t="shared" si="354"/>
        <v>1.5E-6</v>
      </c>
      <c r="V287" s="26">
        <f t="shared" si="355"/>
        <v>0.1</v>
      </c>
      <c r="W287" s="7">
        <v>0.99197808226930795</v>
      </c>
      <c r="X287" s="7">
        <v>1117.6559309715101</v>
      </c>
      <c r="Y287" s="7">
        <v>1774.5111526738999</v>
      </c>
      <c r="Z287" s="7">
        <v>1117.6559309715101</v>
      </c>
      <c r="AA287" s="7">
        <v>4636313.1689486196</v>
      </c>
      <c r="AB287" s="7">
        <v>22635.3696841807</v>
      </c>
      <c r="AC287" s="7">
        <f t="shared" si="356"/>
        <v>4009.8230146169199</v>
      </c>
      <c r="AE287" s="28">
        <v>40</v>
      </c>
      <c r="AF287" s="26">
        <v>5.0000000000000002E-5</v>
      </c>
      <c r="AG287" s="28">
        <v>0.2</v>
      </c>
      <c r="AH287" s="28">
        <v>30</v>
      </c>
      <c r="AI287" s="26">
        <v>7.5000000000000002E-6</v>
      </c>
      <c r="AJ287" s="26">
        <f t="shared" si="357"/>
        <v>1.5E-6</v>
      </c>
      <c r="AK287" s="26">
        <f t="shared" si="358"/>
        <v>0.06</v>
      </c>
      <c r="AL287" s="7">
        <v>1.56216783279331</v>
      </c>
      <c r="AM287" s="7">
        <v>670.59355848720395</v>
      </c>
      <c r="AN287" s="7">
        <v>1064.70669160434</v>
      </c>
      <c r="AO287" s="7">
        <v>670.59355848720395</v>
      </c>
      <c r="AP287" s="7">
        <v>2781787.9800138599</v>
      </c>
      <c r="AQ287" s="7">
        <v>8148.7330863050402</v>
      </c>
      <c r="AR287" s="7">
        <f t="shared" si="359"/>
        <v>2405.8938085787481</v>
      </c>
      <c r="AT287" s="28">
        <v>40</v>
      </c>
      <c r="AU287" s="26">
        <v>1.0000000000000001E-5</v>
      </c>
      <c r="AV287" s="28">
        <v>0.2</v>
      </c>
      <c r="AW287" s="28">
        <v>200</v>
      </c>
      <c r="AX287" s="26">
        <v>7.5000000000000002E-6</v>
      </c>
      <c r="AY287" s="26">
        <f t="shared" si="360"/>
        <v>1.5E-6</v>
      </c>
      <c r="AZ287" s="26">
        <f t="shared" si="361"/>
        <v>0.3</v>
      </c>
      <c r="BA287" s="7">
        <v>0.36501322256416402</v>
      </c>
      <c r="BB287" s="7">
        <v>506.171357939058</v>
      </c>
      <c r="BC287" s="7">
        <v>804.808472591532</v>
      </c>
      <c r="BD287" s="7">
        <v>506.171357939058</v>
      </c>
      <c r="BE287" s="7">
        <v>13908939.478979601</v>
      </c>
      <c r="BF287" s="7">
        <v>203718.32715762599</v>
      </c>
      <c r="BG287" s="7">
        <f t="shared" si="362"/>
        <v>1817.1511884696479</v>
      </c>
      <c r="BI287" s="28">
        <v>40</v>
      </c>
      <c r="BJ287" s="26">
        <v>1.0000000000000001E-5</v>
      </c>
      <c r="BK287" s="28">
        <v>0.5</v>
      </c>
      <c r="BL287" s="28">
        <v>200</v>
      </c>
      <c r="BM287" s="26">
        <v>7.5000000000000002E-6</v>
      </c>
      <c r="BN287" s="26">
        <f t="shared" si="363"/>
        <v>3.7500000000000001E-6</v>
      </c>
      <c r="BO287" s="26">
        <f t="shared" si="364"/>
        <v>0.75</v>
      </c>
      <c r="BP287" s="7">
        <v>0.38066579869615003</v>
      </c>
      <c r="BQ287" s="7">
        <v>505.31296257696903</v>
      </c>
      <c r="BR287" s="7">
        <v>803.13685140779603</v>
      </c>
      <c r="BS287" s="7">
        <v>505.31296257696903</v>
      </c>
      <c r="BT287" s="7">
        <v>5563575.7915918296</v>
      </c>
      <c r="BU287" s="7">
        <v>203718.32715762599</v>
      </c>
      <c r="BV287" s="7">
        <f t="shared" si="365"/>
        <v>1813.7627765617342</v>
      </c>
      <c r="BX287" s="28">
        <v>40</v>
      </c>
      <c r="BY287" s="26">
        <v>5.0000000000000002E-5</v>
      </c>
      <c r="BZ287" s="28">
        <v>0.5</v>
      </c>
      <c r="CA287" s="28">
        <v>200</v>
      </c>
      <c r="CB287" s="26">
        <v>7.5000000000000002E-6</v>
      </c>
      <c r="CC287" s="26">
        <f t="shared" si="366"/>
        <v>3.7500000000000001E-6</v>
      </c>
      <c r="CD287" s="26">
        <f t="shared" si="367"/>
        <v>0.15</v>
      </c>
      <c r="CE287" s="7">
        <v>1.7681158902667899</v>
      </c>
      <c r="CF287" s="7">
        <v>101.06259250957299</v>
      </c>
      <c r="CG287" s="7">
        <v>160.627370281559</v>
      </c>
      <c r="CH287" s="7">
        <v>101.06259250957299</v>
      </c>
      <c r="CI287" s="7">
        <v>1112715.19200554</v>
      </c>
      <c r="CJ287" s="7">
        <v>8148.7330863050402</v>
      </c>
      <c r="CK287" s="7">
        <f t="shared" si="368"/>
        <v>362.75255530070496</v>
      </c>
      <c r="CM287" s="28">
        <v>40</v>
      </c>
      <c r="CN287" s="26">
        <v>5.0000000000000002E-5</v>
      </c>
      <c r="CO287" s="28">
        <v>1</v>
      </c>
      <c r="CP287" s="28">
        <v>200</v>
      </c>
      <c r="CQ287" s="26">
        <v>7.5000000000000002E-6</v>
      </c>
      <c r="CR287" s="26">
        <f t="shared" si="369"/>
        <v>7.5000000000000002E-6</v>
      </c>
      <c r="CS287" s="26">
        <f t="shared" si="370"/>
        <v>0.3</v>
      </c>
      <c r="CT287" s="7">
        <v>1.79431611161024</v>
      </c>
      <c r="CU287" s="7">
        <v>100.77787314708399</v>
      </c>
      <c r="CV287" s="7">
        <v>160.073267279547</v>
      </c>
      <c r="CW287" s="7">
        <v>100.77787314708399</v>
      </c>
      <c r="CX287" s="7">
        <v>556357.59600277198</v>
      </c>
      <c r="CY287" s="7">
        <v>8148.7330863050402</v>
      </c>
      <c r="CZ287" s="7">
        <f t="shared" si="371"/>
        <v>361.62901357371499</v>
      </c>
      <c r="DB287" s="28">
        <v>40</v>
      </c>
      <c r="DC287" s="26">
        <v>5.0000000000000002E-5</v>
      </c>
      <c r="DD287" s="28">
        <v>2</v>
      </c>
      <c r="DE287" s="28">
        <v>200</v>
      </c>
      <c r="DF287" s="26">
        <v>7.5000000000000002E-6</v>
      </c>
      <c r="DG287" s="26">
        <f t="shared" si="372"/>
        <v>1.5E-5</v>
      </c>
      <c r="DH287" s="26">
        <f t="shared" si="373"/>
        <v>0.6</v>
      </c>
      <c r="DI287" s="7">
        <v>1.8467143044982799</v>
      </c>
      <c r="DJ287" s="7">
        <v>100.213668542356</v>
      </c>
      <c r="DK287" s="7">
        <v>158.97655523681999</v>
      </c>
      <c r="DL287" s="7">
        <v>100.213668542356</v>
      </c>
      <c r="DM287" s="7">
        <v>278178.79800138599</v>
      </c>
      <c r="DN287" s="7">
        <v>8148.7330863050402</v>
      </c>
      <c r="DO287" s="7">
        <f t="shared" si="374"/>
        <v>359.403892321532</v>
      </c>
      <c r="DQ287" s="28">
        <v>40</v>
      </c>
      <c r="DR287" s="26">
        <v>5.0000000000000002E-5</v>
      </c>
      <c r="DS287" s="28">
        <v>15</v>
      </c>
      <c r="DT287" s="28">
        <v>300</v>
      </c>
      <c r="DU287" s="26">
        <v>5.0000000000000004E-6</v>
      </c>
      <c r="DV287" s="26">
        <f t="shared" si="375"/>
        <v>7.5000000000000007E-5</v>
      </c>
      <c r="DW287" s="26">
        <f t="shared" si="376"/>
        <v>3</v>
      </c>
      <c r="DX287" s="7">
        <v>3.56928678823287</v>
      </c>
      <c r="DY287" s="7">
        <v>63.957630951740299</v>
      </c>
      <c r="DZ287" s="7">
        <v>100.479958515748</v>
      </c>
      <c r="EA287" s="7">
        <v>63.957630951740299</v>
      </c>
      <c r="EB287" s="7">
        <v>37090.5064001848</v>
      </c>
      <c r="EC287" s="7">
        <v>5092.9581789406502</v>
      </c>
      <c r="ED287" s="7">
        <f t="shared" si="377"/>
        <v>228.39522041922859</v>
      </c>
    </row>
    <row r="288" spans="1:134" x14ac:dyDescent="0.4">
      <c r="A288" s="28">
        <v>45</v>
      </c>
      <c r="B288" s="26">
        <v>1.0000000000000001E-5</v>
      </c>
      <c r="C288" s="28">
        <v>0.2</v>
      </c>
      <c r="D288" s="28">
        <v>30</v>
      </c>
      <c r="E288" s="26">
        <v>7.5000000000000002E-6</v>
      </c>
      <c r="F288" s="26">
        <f t="shared" si="351"/>
        <v>1.5E-6</v>
      </c>
      <c r="G288" s="26">
        <f t="shared" si="352"/>
        <v>0.3</v>
      </c>
      <c r="H288" s="7">
        <v>0.367319696223669</v>
      </c>
      <c r="I288" s="7">
        <v>2844.9728255004802</v>
      </c>
      <c r="J288" s="7">
        <v>5459.8455675855203</v>
      </c>
      <c r="K288" s="7">
        <v>2844.9728255004802</v>
      </c>
      <c r="L288" s="7">
        <v>22314016.336053099</v>
      </c>
      <c r="M288" s="7">
        <v>203718.32715762599</v>
      </c>
      <c r="N288" s="7">
        <f t="shared" si="353"/>
        <v>11149.791218586481</v>
      </c>
      <c r="P288" s="28">
        <v>45</v>
      </c>
      <c r="Q288" s="26">
        <v>3.0000000000000001E-5</v>
      </c>
      <c r="R288" s="28">
        <v>0.2</v>
      </c>
      <c r="S288" s="28">
        <v>30</v>
      </c>
      <c r="T288" s="26">
        <v>7.5000000000000002E-6</v>
      </c>
      <c r="U288" s="26">
        <f t="shared" si="354"/>
        <v>1.5E-6</v>
      </c>
      <c r="V288" s="26">
        <f t="shared" si="355"/>
        <v>0.1</v>
      </c>
      <c r="W288" s="7">
        <v>1.03372210241895</v>
      </c>
      <c r="X288" s="7">
        <v>948.32427515736799</v>
      </c>
      <c r="Y288" s="7">
        <v>1819.94852252851</v>
      </c>
      <c r="Z288" s="7">
        <v>948.32427515736799</v>
      </c>
      <c r="AA288" s="7">
        <v>7438005.4604388904</v>
      </c>
      <c r="AB288" s="7">
        <v>22635.3696841807</v>
      </c>
      <c r="AC288" s="7">
        <f t="shared" si="356"/>
        <v>3716.5970728432458</v>
      </c>
      <c r="AE288" s="28">
        <v>45</v>
      </c>
      <c r="AF288" s="26">
        <v>5.0000000000000002E-5</v>
      </c>
      <c r="AG288" s="28">
        <v>0.2</v>
      </c>
      <c r="AH288" s="28">
        <v>30</v>
      </c>
      <c r="AI288" s="26">
        <v>7.5000000000000002E-6</v>
      </c>
      <c r="AJ288" s="26">
        <f t="shared" si="357"/>
        <v>1.5E-6</v>
      </c>
      <c r="AK288" s="26">
        <f t="shared" si="358"/>
        <v>0.06</v>
      </c>
      <c r="AL288" s="7">
        <v>1.63595802719512</v>
      </c>
      <c r="AM288" s="7">
        <v>568.99456501435202</v>
      </c>
      <c r="AN288" s="7">
        <v>1091.9691135170999</v>
      </c>
      <c r="AO288" s="7">
        <v>568.99456501435202</v>
      </c>
      <c r="AP288" s="7">
        <v>4462803.4040061999</v>
      </c>
      <c r="AQ288" s="7">
        <v>8148.7330863050402</v>
      </c>
      <c r="AR288" s="7">
        <f t="shared" si="359"/>
        <v>2229.9582435458042</v>
      </c>
      <c r="AT288" s="28">
        <v>45</v>
      </c>
      <c r="AU288" s="26">
        <v>1.0000000000000001E-5</v>
      </c>
      <c r="AV288" s="28">
        <v>0.2</v>
      </c>
      <c r="AW288" s="28">
        <v>200</v>
      </c>
      <c r="AX288" s="26">
        <v>7.5000000000000002E-6</v>
      </c>
      <c r="AY288" s="26">
        <f t="shared" si="360"/>
        <v>1.5E-6</v>
      </c>
      <c r="AZ288" s="26">
        <f t="shared" si="361"/>
        <v>0.3</v>
      </c>
      <c r="BA288" s="7">
        <v>0.375663228648624</v>
      </c>
      <c r="BB288" s="7">
        <v>429.182314820393</v>
      </c>
      <c r="BC288" s="7">
        <v>824.10906225483302</v>
      </c>
      <c r="BD288" s="7">
        <v>429.182314820393</v>
      </c>
      <c r="BE288" s="7">
        <v>22314016.336053099</v>
      </c>
      <c r="BF288" s="7">
        <v>203718.32715762599</v>
      </c>
      <c r="BG288" s="7">
        <f t="shared" si="362"/>
        <v>1682.4736918956191</v>
      </c>
      <c r="BI288" s="28">
        <v>45</v>
      </c>
      <c r="BJ288" s="26">
        <v>1.0000000000000001E-5</v>
      </c>
      <c r="BK288" s="28">
        <v>0.5</v>
      </c>
      <c r="BL288" s="28">
        <v>200</v>
      </c>
      <c r="BM288" s="26">
        <v>7.5000000000000002E-6</v>
      </c>
      <c r="BN288" s="26">
        <f t="shared" si="363"/>
        <v>3.7500000000000001E-6</v>
      </c>
      <c r="BO288" s="26">
        <f t="shared" si="364"/>
        <v>0.75</v>
      </c>
      <c r="BP288" s="7">
        <v>0.38581108131901398</v>
      </c>
      <c r="BQ288" s="7">
        <v>428.53449983983199</v>
      </c>
      <c r="BR288" s="7">
        <v>822.74419088845502</v>
      </c>
      <c r="BS288" s="7">
        <v>428.53449983983199</v>
      </c>
      <c r="BT288" s="7">
        <v>8925606.5344212595</v>
      </c>
      <c r="BU288" s="7">
        <v>203718.32715762599</v>
      </c>
      <c r="BV288" s="7">
        <f t="shared" si="365"/>
        <v>1679.8131905681191</v>
      </c>
      <c r="BX288" s="28">
        <v>45</v>
      </c>
      <c r="BY288" s="26">
        <v>5.0000000000000002E-5</v>
      </c>
      <c r="BZ288" s="28">
        <v>0.5</v>
      </c>
      <c r="CA288" s="28">
        <v>200</v>
      </c>
      <c r="CB288" s="26">
        <v>7.5000000000000002E-6</v>
      </c>
      <c r="CC288" s="26">
        <f t="shared" si="366"/>
        <v>3.7500000000000001E-6</v>
      </c>
      <c r="CD288" s="26">
        <f t="shared" si="367"/>
        <v>0.15</v>
      </c>
      <c r="CE288" s="7">
        <v>1.8316146613055999</v>
      </c>
      <c r="CF288" s="7">
        <v>85.706899963102501</v>
      </c>
      <c r="CG288" s="7">
        <v>164.54883817769101</v>
      </c>
      <c r="CH288" s="7">
        <v>85.706899963102501</v>
      </c>
      <c r="CI288" s="7">
        <v>1785121.3616024801</v>
      </c>
      <c r="CJ288" s="7">
        <v>8148.7330863050402</v>
      </c>
      <c r="CK288" s="7">
        <f t="shared" si="368"/>
        <v>335.96263810389598</v>
      </c>
      <c r="CM288" s="28">
        <v>45</v>
      </c>
      <c r="CN288" s="26">
        <v>5.0000000000000002E-5</v>
      </c>
      <c r="CO288" s="28">
        <v>1</v>
      </c>
      <c r="CP288" s="28">
        <v>200</v>
      </c>
      <c r="CQ288" s="26">
        <v>7.5000000000000002E-6</v>
      </c>
      <c r="CR288" s="26">
        <f t="shared" si="369"/>
        <v>7.5000000000000002E-6</v>
      </c>
      <c r="CS288" s="26">
        <f t="shared" si="370"/>
        <v>0.3</v>
      </c>
      <c r="CT288" s="7">
        <v>1.84862008507759</v>
      </c>
      <c r="CU288" s="7">
        <v>85.491887514072303</v>
      </c>
      <c r="CV288" s="7">
        <v>164.095913900619</v>
      </c>
      <c r="CW288" s="7">
        <v>85.491887514072303</v>
      </c>
      <c r="CX288" s="7">
        <v>892560.68080124003</v>
      </c>
      <c r="CY288" s="7">
        <v>8148.7330863050402</v>
      </c>
      <c r="CZ288" s="7">
        <f t="shared" si="371"/>
        <v>335.07968892876357</v>
      </c>
      <c r="DB288" s="28">
        <v>45</v>
      </c>
      <c r="DC288" s="26">
        <v>5.0000000000000002E-5</v>
      </c>
      <c r="DD288" s="28">
        <v>2</v>
      </c>
      <c r="DE288" s="28">
        <v>200</v>
      </c>
      <c r="DF288" s="26">
        <v>7.5000000000000002E-6</v>
      </c>
      <c r="DG288" s="26">
        <f t="shared" si="372"/>
        <v>1.5E-5</v>
      </c>
      <c r="DH288" s="26">
        <f t="shared" si="373"/>
        <v>0.6</v>
      </c>
      <c r="DI288" s="7">
        <v>1.88262938960658</v>
      </c>
      <c r="DJ288" s="7">
        <v>85.065299620820397</v>
      </c>
      <c r="DK288" s="7">
        <v>163.197611169178</v>
      </c>
      <c r="DL288" s="7">
        <v>85.065299620820397</v>
      </c>
      <c r="DM288" s="7">
        <v>446280.34040062001</v>
      </c>
      <c r="DN288" s="7">
        <v>8148.7330863050402</v>
      </c>
      <c r="DO288" s="7">
        <f t="shared" si="374"/>
        <v>333.32821041081877</v>
      </c>
      <c r="DQ288" s="28">
        <v>45</v>
      </c>
      <c r="DR288" s="26">
        <v>5.0000000000000002E-5</v>
      </c>
      <c r="DS288" s="28">
        <v>15</v>
      </c>
      <c r="DT288" s="28">
        <v>300</v>
      </c>
      <c r="DU288" s="26">
        <v>5.0000000000000004E-6</v>
      </c>
      <c r="DV288" s="26">
        <f t="shared" si="375"/>
        <v>7.5000000000000007E-5</v>
      </c>
      <c r="DW288" s="26">
        <f t="shared" si="376"/>
        <v>3</v>
      </c>
      <c r="DX288" s="7">
        <v>3.4098693675973899</v>
      </c>
      <c r="DY288" s="7">
        <v>54.539450656433999</v>
      </c>
      <c r="DZ288" s="7">
        <v>104.236562937325</v>
      </c>
      <c r="EA288" s="7">
        <v>54.539450656433999</v>
      </c>
      <c r="EB288" s="7">
        <v>59504.045386749298</v>
      </c>
      <c r="EC288" s="7">
        <v>5092.9581789406502</v>
      </c>
      <c r="ED288" s="7">
        <f t="shared" si="377"/>
        <v>213.31546425019297</v>
      </c>
    </row>
    <row r="289" spans="1:134" x14ac:dyDescent="0.4">
      <c r="A289" s="28">
        <v>50</v>
      </c>
      <c r="B289" s="26">
        <v>1.0000000000000001E-5</v>
      </c>
      <c r="C289" s="28">
        <v>0.2</v>
      </c>
      <c r="D289" s="28">
        <v>30</v>
      </c>
      <c r="E289" s="26">
        <v>7.5000000000000002E-6</v>
      </c>
      <c r="F289" s="26">
        <f t="shared" si="351"/>
        <v>1.5E-6</v>
      </c>
      <c r="G289" s="26">
        <f t="shared" si="352"/>
        <v>0.3</v>
      </c>
      <c r="H289" s="7">
        <v>0.37820064982291102</v>
      </c>
      <c r="I289" s="7">
        <v>2422.0764785389101</v>
      </c>
      <c r="J289" s="7">
        <v>5581.9822447758097</v>
      </c>
      <c r="K289" s="7">
        <v>2422.0764785389101</v>
      </c>
      <c r="L289" s="7">
        <v>38032949.861855596</v>
      </c>
      <c r="M289" s="7">
        <v>203718.32715762599</v>
      </c>
      <c r="N289" s="7">
        <f t="shared" si="353"/>
        <v>10426.135201853631</v>
      </c>
      <c r="P289" s="28">
        <v>50</v>
      </c>
      <c r="Q289" s="26">
        <v>3.0000000000000001E-5</v>
      </c>
      <c r="R289" s="28">
        <v>0.2</v>
      </c>
      <c r="S289" s="28">
        <v>30</v>
      </c>
      <c r="T289" s="26">
        <v>7.5000000000000002E-6</v>
      </c>
      <c r="U289" s="26">
        <f t="shared" si="354"/>
        <v>1.5E-6</v>
      </c>
      <c r="V289" s="26">
        <f t="shared" si="355"/>
        <v>0.1</v>
      </c>
      <c r="W289" s="7">
        <v>1.07303984473647</v>
      </c>
      <c r="X289" s="7">
        <v>807.35882617166396</v>
      </c>
      <c r="Y289" s="7">
        <v>1860.6607482586001</v>
      </c>
      <c r="Z289" s="7">
        <v>807.35882617166396</v>
      </c>
      <c r="AA289" s="7">
        <v>12677649.9784535</v>
      </c>
      <c r="AB289" s="7">
        <v>22635.3696841807</v>
      </c>
      <c r="AC289" s="7">
        <f t="shared" si="356"/>
        <v>3475.3784006019282</v>
      </c>
      <c r="AE289" s="28">
        <v>50</v>
      </c>
      <c r="AF289" s="26">
        <v>5.0000000000000002E-5</v>
      </c>
      <c r="AG289" s="28">
        <v>0.2</v>
      </c>
      <c r="AH289" s="28">
        <v>30</v>
      </c>
      <c r="AI289" s="26">
        <v>7.5000000000000002E-6</v>
      </c>
      <c r="AJ289" s="26">
        <f t="shared" si="357"/>
        <v>1.5E-6</v>
      </c>
      <c r="AK289" s="26">
        <f t="shared" si="358"/>
        <v>0.06</v>
      </c>
      <c r="AL289" s="7">
        <v>1.7048241885126401</v>
      </c>
      <c r="AM289" s="7">
        <v>484.41529563550102</v>
      </c>
      <c r="AN289" s="7">
        <v>1116.3964489551599</v>
      </c>
      <c r="AO289" s="7">
        <v>484.41529563550102</v>
      </c>
      <c r="AP289" s="7">
        <v>7606590.1945190197</v>
      </c>
      <c r="AQ289" s="7">
        <v>8148.7330863050402</v>
      </c>
      <c r="AR289" s="7">
        <f t="shared" si="359"/>
        <v>2085.227040226162</v>
      </c>
      <c r="AT289" s="28">
        <v>50</v>
      </c>
      <c r="AU289" s="26">
        <v>1.0000000000000001E-5</v>
      </c>
      <c r="AV289" s="28">
        <v>0.2</v>
      </c>
      <c r="AW289" s="28">
        <v>200</v>
      </c>
      <c r="AX289" s="26">
        <v>7.5000000000000002E-6</v>
      </c>
      <c r="AY289" s="26">
        <f t="shared" si="360"/>
        <v>1.5E-6</v>
      </c>
      <c r="AZ289" s="26">
        <f t="shared" si="361"/>
        <v>0.3</v>
      </c>
      <c r="BA289" s="7">
        <v>0.386298980290672</v>
      </c>
      <c r="BB289" s="7">
        <v>365.18105956717</v>
      </c>
      <c r="BC289" s="7">
        <v>841.53641728653497</v>
      </c>
      <c r="BD289" s="7">
        <v>365.18105956717</v>
      </c>
      <c r="BE289" s="7">
        <v>38032949.861855596</v>
      </c>
      <c r="BF289" s="7">
        <v>203718.32715762599</v>
      </c>
      <c r="BG289" s="7">
        <f t="shared" si="362"/>
        <v>1571.898536420875</v>
      </c>
      <c r="BI289" s="28">
        <v>50</v>
      </c>
      <c r="BJ289" s="26">
        <v>1.0000000000000001E-5</v>
      </c>
      <c r="BK289" s="28">
        <v>0.5</v>
      </c>
      <c r="BL289" s="28">
        <v>200</v>
      </c>
      <c r="BM289" s="26">
        <v>7.5000000000000002E-6</v>
      </c>
      <c r="BN289" s="26">
        <f t="shared" si="363"/>
        <v>3.7500000000000001E-6</v>
      </c>
      <c r="BO289" s="26">
        <f t="shared" si="364"/>
        <v>0.75</v>
      </c>
      <c r="BP289" s="7">
        <v>0.39246608379183801</v>
      </c>
      <c r="BQ289" s="7">
        <v>364.68421056947602</v>
      </c>
      <c r="BR289" s="7">
        <v>840.41004328064798</v>
      </c>
      <c r="BS289" s="7">
        <v>364.68421056947602</v>
      </c>
      <c r="BT289" s="7">
        <v>15213179.944742201</v>
      </c>
      <c r="BU289" s="7">
        <v>203718.32715762599</v>
      </c>
      <c r="BV289" s="7">
        <f t="shared" si="365"/>
        <v>1569.7784644195999</v>
      </c>
      <c r="BX289" s="28">
        <v>50</v>
      </c>
      <c r="BY289" s="26">
        <v>5.0000000000000002E-5</v>
      </c>
      <c r="BZ289" s="28">
        <v>0.5</v>
      </c>
      <c r="CA289" s="28">
        <v>200</v>
      </c>
      <c r="CB289" s="26">
        <v>7.5000000000000002E-6</v>
      </c>
      <c r="CC289" s="26">
        <f t="shared" si="366"/>
        <v>3.7500000000000001E-6</v>
      </c>
      <c r="CD289" s="26">
        <f t="shared" si="367"/>
        <v>0.15</v>
      </c>
      <c r="CE289" s="7">
        <v>1.8923359885056601</v>
      </c>
      <c r="CF289" s="7">
        <v>72.936842109798505</v>
      </c>
      <c r="CG289" s="7">
        <v>168.08200865613</v>
      </c>
      <c r="CH289" s="7">
        <v>72.936842109798505</v>
      </c>
      <c r="CI289" s="7">
        <v>3042636.0778076099</v>
      </c>
      <c r="CJ289" s="7">
        <v>8148.7330863050402</v>
      </c>
      <c r="CK289" s="7">
        <f t="shared" si="368"/>
        <v>313.95569287572698</v>
      </c>
      <c r="CM289" s="28">
        <v>50</v>
      </c>
      <c r="CN289" s="26">
        <v>5.0000000000000002E-5</v>
      </c>
      <c r="CO289" s="28">
        <v>1</v>
      </c>
      <c r="CP289" s="28">
        <v>200</v>
      </c>
      <c r="CQ289" s="26">
        <v>7.5000000000000002E-6</v>
      </c>
      <c r="CR289" s="26">
        <f t="shared" si="369"/>
        <v>7.5000000000000002E-6</v>
      </c>
      <c r="CS289" s="26">
        <f t="shared" si="370"/>
        <v>0.3</v>
      </c>
      <c r="CT289" s="7">
        <v>1.9026909660667699</v>
      </c>
      <c r="CU289" s="7">
        <v>72.771853396363895</v>
      </c>
      <c r="CV289" s="7">
        <v>167.707917393011</v>
      </c>
      <c r="CW289" s="7">
        <v>72.771853396363895</v>
      </c>
      <c r="CX289" s="7">
        <v>1521318.0389038101</v>
      </c>
      <c r="CY289" s="7">
        <v>8148.7330863050402</v>
      </c>
      <c r="CZ289" s="7">
        <f t="shared" si="371"/>
        <v>313.25162418573882</v>
      </c>
      <c r="DB289" s="28">
        <v>50</v>
      </c>
      <c r="DC289" s="26">
        <v>5.0000000000000002E-5</v>
      </c>
      <c r="DD289" s="28">
        <v>2</v>
      </c>
      <c r="DE289" s="28">
        <v>200</v>
      </c>
      <c r="DF289" s="26">
        <v>7.5000000000000002E-6</v>
      </c>
      <c r="DG289" s="26">
        <f t="shared" si="372"/>
        <v>1.5E-5</v>
      </c>
      <c r="DH289" s="26">
        <f t="shared" si="373"/>
        <v>0.6</v>
      </c>
      <c r="DI289" s="7">
        <v>1.9233998367287199</v>
      </c>
      <c r="DJ289" s="7">
        <v>72.444208829560395</v>
      </c>
      <c r="DK289" s="7">
        <v>166.964817403171</v>
      </c>
      <c r="DL289" s="7">
        <v>72.444208829560395</v>
      </c>
      <c r="DM289" s="7">
        <v>760659.01945190295</v>
      </c>
      <c r="DN289" s="7">
        <v>8148.7330863050402</v>
      </c>
      <c r="DO289" s="7">
        <f t="shared" si="374"/>
        <v>311.85323506229179</v>
      </c>
      <c r="DQ289" s="28">
        <v>50</v>
      </c>
      <c r="DR289" s="26">
        <v>5.0000000000000002E-5</v>
      </c>
      <c r="DS289" s="28">
        <v>15</v>
      </c>
      <c r="DT289" s="28">
        <v>300</v>
      </c>
      <c r="DU289" s="26">
        <v>5.0000000000000004E-6</v>
      </c>
      <c r="DV289" s="26">
        <f t="shared" si="375"/>
        <v>7.5000000000000007E-5</v>
      </c>
      <c r="DW289" s="26">
        <f t="shared" si="376"/>
        <v>3</v>
      </c>
      <c r="DX289" s="7">
        <v>3.3182428867492599</v>
      </c>
      <c r="DY289" s="7">
        <v>46.620018473906597</v>
      </c>
      <c r="DZ289" s="7">
        <v>107.50242472112301</v>
      </c>
      <c r="EA289" s="7">
        <v>46.620018473906597</v>
      </c>
      <c r="EB289" s="7">
        <v>101421.202593587</v>
      </c>
      <c r="EC289" s="7">
        <v>5092.9581789406502</v>
      </c>
      <c r="ED289" s="7">
        <f t="shared" si="377"/>
        <v>200.74246166893619</v>
      </c>
    </row>
    <row r="290" spans="1:134" x14ac:dyDescent="0.4">
      <c r="A290" s="28">
        <v>55.000000000000007</v>
      </c>
      <c r="B290" s="26">
        <v>1.0000000000000001E-5</v>
      </c>
      <c r="C290" s="28">
        <v>0.2</v>
      </c>
      <c r="D290" s="28">
        <v>30</v>
      </c>
      <c r="E290" s="26">
        <v>7.5000000000000002E-6</v>
      </c>
      <c r="F290" s="26">
        <f t="shared" si="351"/>
        <v>1.5E-6</v>
      </c>
      <c r="G290" s="26">
        <f t="shared" si="352"/>
        <v>0.3</v>
      </c>
      <c r="H290" s="7">
        <v>0.38896195929264599</v>
      </c>
      <c r="I290" s="7">
        <v>2061.2283400943002</v>
      </c>
      <c r="J290" s="7">
        <v>5692.8014386926097</v>
      </c>
      <c r="K290" s="7">
        <v>2061.2283400943002</v>
      </c>
      <c r="L290" s="7">
        <v>72349793.874809399</v>
      </c>
      <c r="M290" s="7">
        <v>203718.32715762599</v>
      </c>
      <c r="N290" s="7">
        <f t="shared" si="353"/>
        <v>9815.2581188812092</v>
      </c>
      <c r="P290" s="28">
        <v>55.000000000000007</v>
      </c>
      <c r="Q290" s="26">
        <v>3.0000000000000001E-5</v>
      </c>
      <c r="R290" s="28">
        <v>0.2</v>
      </c>
      <c r="S290" s="28">
        <v>30</v>
      </c>
      <c r="T290" s="26">
        <v>7.5000000000000002E-6</v>
      </c>
      <c r="U290" s="26">
        <f t="shared" si="354"/>
        <v>1.5E-6</v>
      </c>
      <c r="V290" s="26">
        <f t="shared" si="355"/>
        <v>0.1</v>
      </c>
      <c r="W290" s="7">
        <v>1.11029395837163</v>
      </c>
      <c r="X290" s="7">
        <v>687.07611335802699</v>
      </c>
      <c r="Y290" s="7">
        <v>1897.6004795642</v>
      </c>
      <c r="Z290" s="7">
        <v>687.07611335802699</v>
      </c>
      <c r="AA290" s="7">
        <v>24116597.9983452</v>
      </c>
      <c r="AB290" s="7">
        <v>22635.3696841807</v>
      </c>
      <c r="AC290" s="7">
        <f t="shared" si="356"/>
        <v>3271.7527062802537</v>
      </c>
      <c r="AE290" s="28">
        <v>55.000000000000007</v>
      </c>
      <c r="AF290" s="26">
        <v>5.0000000000000002E-5</v>
      </c>
      <c r="AG290" s="28">
        <v>0.2</v>
      </c>
      <c r="AH290" s="28">
        <v>30</v>
      </c>
      <c r="AI290" s="26">
        <v>7.5000000000000002E-6</v>
      </c>
      <c r="AJ290" s="26">
        <f t="shared" si="357"/>
        <v>1.5E-6</v>
      </c>
      <c r="AK290" s="26">
        <f t="shared" si="358"/>
        <v>0.06</v>
      </c>
      <c r="AL290" s="7">
        <v>1.76958995305149</v>
      </c>
      <c r="AM290" s="7">
        <v>412.24566795777702</v>
      </c>
      <c r="AN290" s="7">
        <v>1138.5602877385199</v>
      </c>
      <c r="AO290" s="7">
        <v>412.24566795777702</v>
      </c>
      <c r="AP290" s="7">
        <v>14469959.1382923</v>
      </c>
      <c r="AQ290" s="7">
        <v>8148.7330863050402</v>
      </c>
      <c r="AR290" s="7">
        <f t="shared" si="359"/>
        <v>1963.0516236540739</v>
      </c>
      <c r="AT290" s="28">
        <v>55.000000000000007</v>
      </c>
      <c r="AU290" s="26">
        <v>1.0000000000000001E-5</v>
      </c>
      <c r="AV290" s="28">
        <v>0.2</v>
      </c>
      <c r="AW290" s="28">
        <v>200</v>
      </c>
      <c r="AX290" s="26">
        <v>7.5000000000000002E-6</v>
      </c>
      <c r="AY290" s="26">
        <f t="shared" si="360"/>
        <v>1.5E-6</v>
      </c>
      <c r="AZ290" s="26">
        <f t="shared" si="361"/>
        <v>0.3</v>
      </c>
      <c r="BA290" s="7">
        <v>0.396846263456891</v>
      </c>
      <c r="BB290" s="7">
        <v>310.62949089263498</v>
      </c>
      <c r="BC290" s="7">
        <v>857.43494866405695</v>
      </c>
      <c r="BD290" s="7">
        <v>310.62949089263498</v>
      </c>
      <c r="BE290" s="7">
        <v>72349793.874809399</v>
      </c>
      <c r="BF290" s="7">
        <v>203718.32715762599</v>
      </c>
      <c r="BG290" s="7">
        <f t="shared" si="362"/>
        <v>1478.6939304493269</v>
      </c>
      <c r="BI290" s="28">
        <v>55.000000000000007</v>
      </c>
      <c r="BJ290" s="26">
        <v>1.0000000000000001E-5</v>
      </c>
      <c r="BK290" s="28">
        <v>0.5</v>
      </c>
      <c r="BL290" s="28">
        <v>200</v>
      </c>
      <c r="BM290" s="26">
        <v>7.5000000000000002E-6</v>
      </c>
      <c r="BN290" s="26">
        <f t="shared" si="363"/>
        <v>3.7500000000000001E-6</v>
      </c>
      <c r="BO290" s="26">
        <f t="shared" si="364"/>
        <v>0.75</v>
      </c>
      <c r="BP290" s="7">
        <v>0.40019341237728601</v>
      </c>
      <c r="BQ290" s="7">
        <v>310.245574031601</v>
      </c>
      <c r="BR290" s="7">
        <v>856.50167124423206</v>
      </c>
      <c r="BS290" s="7">
        <v>310.245574031601</v>
      </c>
      <c r="BT290" s="7">
        <v>28939917.5499238</v>
      </c>
      <c r="BU290" s="7">
        <v>203718.32715762599</v>
      </c>
      <c r="BV290" s="7">
        <f t="shared" si="365"/>
        <v>1476.9928193074338</v>
      </c>
      <c r="BX290" s="28">
        <v>55.000000000000007</v>
      </c>
      <c r="BY290" s="26">
        <v>5.0000000000000002E-5</v>
      </c>
      <c r="BZ290" s="28">
        <v>0.5</v>
      </c>
      <c r="CA290" s="28">
        <v>200</v>
      </c>
      <c r="CB290" s="26">
        <v>7.5000000000000002E-6</v>
      </c>
      <c r="CC290" s="26">
        <f t="shared" si="366"/>
        <v>3.7500000000000001E-6</v>
      </c>
      <c r="CD290" s="26">
        <f t="shared" si="367"/>
        <v>0.15</v>
      </c>
      <c r="CE290" s="7">
        <v>1.95056257386148</v>
      </c>
      <c r="CF290" s="7">
        <v>62.049114802860501</v>
      </c>
      <c r="CG290" s="7">
        <v>171.30033424884601</v>
      </c>
      <c r="CH290" s="7">
        <v>62.049114802860501</v>
      </c>
      <c r="CI290" s="7">
        <v>5787983.6553169098</v>
      </c>
      <c r="CJ290" s="7">
        <v>8148.7330863050402</v>
      </c>
      <c r="CK290" s="7">
        <f t="shared" si="368"/>
        <v>295.39856385456704</v>
      </c>
      <c r="CM290" s="28">
        <v>55.000000000000007</v>
      </c>
      <c r="CN290" s="26">
        <v>5.0000000000000002E-5</v>
      </c>
      <c r="CO290" s="28">
        <v>1</v>
      </c>
      <c r="CP290" s="28">
        <v>200</v>
      </c>
      <c r="CQ290" s="26">
        <v>7.5000000000000002E-6</v>
      </c>
      <c r="CR290" s="26">
        <f t="shared" si="369"/>
        <v>7.5000000000000002E-6</v>
      </c>
      <c r="CS290" s="26">
        <f t="shared" si="370"/>
        <v>0.3</v>
      </c>
      <c r="CT290" s="7">
        <v>1.95620467770053</v>
      </c>
      <c r="CU290" s="7">
        <v>61.921576216120698</v>
      </c>
      <c r="CV290" s="7">
        <v>170.99017320176</v>
      </c>
      <c r="CW290" s="7">
        <v>61.921576216120698</v>
      </c>
      <c r="CX290" s="7">
        <v>2893991.8276584502</v>
      </c>
      <c r="CY290" s="7">
        <v>8148.7330863050402</v>
      </c>
      <c r="CZ290" s="7">
        <f t="shared" si="371"/>
        <v>294.83332563400137</v>
      </c>
      <c r="DB290" s="28">
        <v>55.000000000000007</v>
      </c>
      <c r="DC290" s="26">
        <v>5.0000000000000002E-5</v>
      </c>
      <c r="DD290" s="28">
        <v>2</v>
      </c>
      <c r="DE290" s="28">
        <v>200</v>
      </c>
      <c r="DF290" s="26">
        <v>7.5000000000000002E-6</v>
      </c>
      <c r="DG290" s="26">
        <f t="shared" si="372"/>
        <v>1.5E-5</v>
      </c>
      <c r="DH290" s="26">
        <f t="shared" si="373"/>
        <v>0.6</v>
      </c>
      <c r="DI290" s="7">
        <v>1.96748811386199</v>
      </c>
      <c r="DJ290" s="7">
        <v>61.6681127663864</v>
      </c>
      <c r="DK290" s="7">
        <v>170.373319720317</v>
      </c>
      <c r="DL290" s="7">
        <v>61.6681127663864</v>
      </c>
      <c r="DM290" s="7">
        <v>1446995.91382923</v>
      </c>
      <c r="DN290" s="7">
        <v>8148.7330863050402</v>
      </c>
      <c r="DO290" s="7">
        <f t="shared" si="374"/>
        <v>293.7095452530898</v>
      </c>
      <c r="DQ290" s="28">
        <v>55.000000000000007</v>
      </c>
      <c r="DR290" s="26">
        <v>5.0000000000000002E-5</v>
      </c>
      <c r="DS290" s="28">
        <v>15</v>
      </c>
      <c r="DT290" s="28">
        <v>300</v>
      </c>
      <c r="DU290" s="26">
        <v>5.0000000000000004E-6</v>
      </c>
      <c r="DV290" s="26">
        <f t="shared" si="375"/>
        <v>7.5000000000000007E-5</v>
      </c>
      <c r="DW290" s="26">
        <f t="shared" si="376"/>
        <v>3</v>
      </c>
      <c r="DX290" s="7">
        <v>3.2776360422178299</v>
      </c>
      <c r="DY290" s="7">
        <v>39.809859656104699</v>
      </c>
      <c r="DZ290" s="7">
        <v>110.399385072318</v>
      </c>
      <c r="EA290" s="7">
        <v>39.809859656104699</v>
      </c>
      <c r="EB290" s="7">
        <v>192932.78851056399</v>
      </c>
      <c r="EC290" s="7">
        <v>5092.9581789406502</v>
      </c>
      <c r="ED290" s="7">
        <f t="shared" si="377"/>
        <v>190.0191043845274</v>
      </c>
    </row>
    <row r="291" spans="1:134" x14ac:dyDescent="0.4">
      <c r="A291" s="28">
        <v>60</v>
      </c>
      <c r="B291" s="26">
        <v>1.0000000000000001E-5</v>
      </c>
      <c r="C291" s="28">
        <v>0.2</v>
      </c>
      <c r="D291" s="28">
        <v>30</v>
      </c>
      <c r="E291" s="26">
        <v>7.5000000000000002E-6</v>
      </c>
      <c r="F291" s="26">
        <f t="shared" si="351"/>
        <v>1.5E-6</v>
      </c>
      <c r="G291" s="26">
        <f t="shared" si="352"/>
        <v>0.3</v>
      </c>
      <c r="H291" s="7">
        <v>0.39957410303874702</v>
      </c>
      <c r="I291" s="7">
        <v>1747.4582681561301</v>
      </c>
      <c r="J291" s="7">
        <v>5794.3371345962596</v>
      </c>
      <c r="K291" s="7">
        <v>1747.4582681561301</v>
      </c>
      <c r="L291" s="7">
        <v>173207643.02618799</v>
      </c>
      <c r="M291" s="7">
        <v>203718.32715762599</v>
      </c>
      <c r="N291" s="7">
        <f t="shared" si="353"/>
        <v>9289.2536709085198</v>
      </c>
      <c r="P291" s="28">
        <v>60</v>
      </c>
      <c r="Q291" s="26">
        <v>3.0000000000000001E-5</v>
      </c>
      <c r="R291" s="28">
        <v>0.2</v>
      </c>
      <c r="S291" s="28">
        <v>30</v>
      </c>
      <c r="T291" s="26">
        <v>7.5000000000000002E-6</v>
      </c>
      <c r="U291" s="26">
        <f t="shared" si="354"/>
        <v>1.5E-6</v>
      </c>
      <c r="V291" s="26">
        <f t="shared" si="355"/>
        <v>0.1</v>
      </c>
      <c r="W291" s="7">
        <v>1.1457663378765599</v>
      </c>
      <c r="X291" s="7">
        <v>582.48608937969198</v>
      </c>
      <c r="Y291" s="7">
        <v>1931.4457115320899</v>
      </c>
      <c r="Z291" s="7">
        <v>582.48608937969198</v>
      </c>
      <c r="AA291" s="7">
        <v>57735881.0752545</v>
      </c>
      <c r="AB291" s="7">
        <v>22635.3696841807</v>
      </c>
      <c r="AC291" s="7">
        <f t="shared" si="356"/>
        <v>3096.4178902914737</v>
      </c>
      <c r="AE291" s="28">
        <v>60</v>
      </c>
      <c r="AF291" s="26">
        <v>5.0000000000000002E-5</v>
      </c>
      <c r="AG291" s="28">
        <v>0.2</v>
      </c>
      <c r="AH291" s="28">
        <v>30</v>
      </c>
      <c r="AI291" s="26">
        <v>7.5000000000000002E-6</v>
      </c>
      <c r="AJ291" s="26">
        <f t="shared" si="357"/>
        <v>1.5E-6</v>
      </c>
      <c r="AK291" s="26">
        <f t="shared" si="358"/>
        <v>0.06</v>
      </c>
      <c r="AL291" s="7">
        <v>1.8308717275303199</v>
      </c>
      <c r="AM291" s="7">
        <v>349.491653579706</v>
      </c>
      <c r="AN291" s="7">
        <v>1158.86742691925</v>
      </c>
      <c r="AO291" s="7">
        <v>349.491653579706</v>
      </c>
      <c r="AP291" s="7">
        <v>34641529.208382502</v>
      </c>
      <c r="AQ291" s="7">
        <v>8148.7330863050402</v>
      </c>
      <c r="AR291" s="7">
        <f t="shared" si="359"/>
        <v>1857.8507340786621</v>
      </c>
      <c r="AT291" s="28">
        <v>60</v>
      </c>
      <c r="AU291" s="26">
        <v>1.0000000000000001E-5</v>
      </c>
      <c r="AV291" s="28">
        <v>0.2</v>
      </c>
      <c r="AW291" s="28">
        <v>200</v>
      </c>
      <c r="AX291" s="26">
        <v>7.5000000000000002E-6</v>
      </c>
      <c r="AY291" s="26">
        <f t="shared" si="360"/>
        <v>1.5E-6</v>
      </c>
      <c r="AZ291" s="26">
        <f t="shared" si="361"/>
        <v>0.3</v>
      </c>
      <c r="BA291" s="7">
        <v>0.40726757114268303</v>
      </c>
      <c r="BB291" s="7">
        <v>263.235986756096</v>
      </c>
      <c r="BC291" s="7">
        <v>872.060132412553</v>
      </c>
      <c r="BD291" s="7">
        <v>263.235986756096</v>
      </c>
      <c r="BE291" s="7">
        <v>173207643.02618799</v>
      </c>
      <c r="BF291" s="7">
        <v>203718.32715762599</v>
      </c>
      <c r="BG291" s="7">
        <f t="shared" si="362"/>
        <v>1398.5321059247451</v>
      </c>
      <c r="BI291" s="28">
        <v>60</v>
      </c>
      <c r="BJ291" s="26">
        <v>1.0000000000000001E-5</v>
      </c>
      <c r="BK291" s="28">
        <v>0.5</v>
      </c>
      <c r="BL291" s="28">
        <v>200</v>
      </c>
      <c r="BM291" s="26">
        <v>7.5000000000000002E-6</v>
      </c>
      <c r="BN291" s="26">
        <f t="shared" si="363"/>
        <v>3.7500000000000001E-6</v>
      </c>
      <c r="BO291" s="26">
        <f t="shared" si="364"/>
        <v>0.75</v>
      </c>
      <c r="BP291" s="7">
        <v>0.40870748967963499</v>
      </c>
      <c r="BQ291" s="7">
        <v>262.93930247937197</v>
      </c>
      <c r="BR291" s="7">
        <v>871.287964463192</v>
      </c>
      <c r="BS291" s="7">
        <v>262.93930247937197</v>
      </c>
      <c r="BT291" s="7">
        <v>69283057.210475206</v>
      </c>
      <c r="BU291" s="7">
        <v>203718.32715762599</v>
      </c>
      <c r="BV291" s="7">
        <f t="shared" si="365"/>
        <v>1397.1665694219359</v>
      </c>
      <c r="BX291" s="28">
        <v>60</v>
      </c>
      <c r="BY291" s="26">
        <v>5.0000000000000002E-5</v>
      </c>
      <c r="BZ291" s="28">
        <v>0.5</v>
      </c>
      <c r="CA291" s="28">
        <v>200</v>
      </c>
      <c r="CB291" s="26">
        <v>7.5000000000000002E-6</v>
      </c>
      <c r="CC291" s="26">
        <f t="shared" si="366"/>
        <v>3.7500000000000001E-6</v>
      </c>
      <c r="CD291" s="26">
        <f t="shared" si="367"/>
        <v>0.15</v>
      </c>
      <c r="CE291" s="7">
        <v>2.0065507169717902</v>
      </c>
      <c r="CF291" s="7">
        <v>52.5878604929581</v>
      </c>
      <c r="CG291" s="7">
        <v>174.257592892638</v>
      </c>
      <c r="CH291" s="7">
        <v>52.5878604929581</v>
      </c>
      <c r="CI291" s="7">
        <v>13856611.683352999</v>
      </c>
      <c r="CJ291" s="7">
        <v>8148.7330863050402</v>
      </c>
      <c r="CK291" s="7">
        <f t="shared" si="368"/>
        <v>279.4333138785542</v>
      </c>
      <c r="CM291" s="28">
        <v>60</v>
      </c>
      <c r="CN291" s="26">
        <v>5.0000000000000002E-5</v>
      </c>
      <c r="CO291" s="28">
        <v>1</v>
      </c>
      <c r="CP291" s="28">
        <v>200</v>
      </c>
      <c r="CQ291" s="26">
        <v>7.5000000000000002E-6</v>
      </c>
      <c r="CR291" s="26">
        <f t="shared" si="369"/>
        <v>7.5000000000000002E-6</v>
      </c>
      <c r="CS291" s="26">
        <f t="shared" si="370"/>
        <v>0.3</v>
      </c>
      <c r="CT291" s="7">
        <v>2.0090032020236501</v>
      </c>
      <c r="CU291" s="7">
        <v>52.489267736237203</v>
      </c>
      <c r="CV291" s="7">
        <v>174.00084097458901</v>
      </c>
      <c r="CW291" s="7">
        <v>52.489267736237203</v>
      </c>
      <c r="CX291" s="7">
        <v>6928305.8416764997</v>
      </c>
      <c r="CY291" s="7">
        <v>8148.7330863050402</v>
      </c>
      <c r="CZ291" s="7">
        <f t="shared" si="371"/>
        <v>278.97937644706343</v>
      </c>
      <c r="DB291" s="28">
        <v>60</v>
      </c>
      <c r="DC291" s="26">
        <v>5.0000000000000002E-5</v>
      </c>
      <c r="DD291" s="28">
        <v>2</v>
      </c>
      <c r="DE291" s="28">
        <v>200</v>
      </c>
      <c r="DF291" s="26">
        <v>7.5000000000000002E-6</v>
      </c>
      <c r="DG291" s="26">
        <f t="shared" si="372"/>
        <v>1.5E-5</v>
      </c>
      <c r="DH291" s="26">
        <f t="shared" si="373"/>
        <v>0.6</v>
      </c>
      <c r="DI291" s="7">
        <v>2.0139076218179301</v>
      </c>
      <c r="DJ291" s="7">
        <v>52.293206867341603</v>
      </c>
      <c r="DK291" s="7">
        <v>173.489713442035</v>
      </c>
      <c r="DL291" s="7">
        <v>52.293206867341603</v>
      </c>
      <c r="DM291" s="7">
        <v>3464152.9208382498</v>
      </c>
      <c r="DN291" s="7">
        <v>8148.7330863050402</v>
      </c>
      <c r="DO291" s="7">
        <f t="shared" si="374"/>
        <v>278.07612717671822</v>
      </c>
      <c r="DQ291" s="28">
        <v>60</v>
      </c>
      <c r="DR291" s="26">
        <v>5.0000000000000002E-5</v>
      </c>
      <c r="DS291" s="28">
        <v>15</v>
      </c>
      <c r="DT291" s="28">
        <v>300</v>
      </c>
      <c r="DU291" s="26">
        <v>5.0000000000000004E-6</v>
      </c>
      <c r="DV291" s="26">
        <f t="shared" si="375"/>
        <v>7.5000000000000007E-5</v>
      </c>
      <c r="DW291" s="26">
        <f t="shared" si="376"/>
        <v>3</v>
      </c>
      <c r="DX291" s="7">
        <v>3.2766972786950102</v>
      </c>
      <c r="DY291" s="7">
        <v>33.851188115179603</v>
      </c>
      <c r="DZ291" s="7">
        <v>113.007558882322</v>
      </c>
      <c r="EA291" s="7">
        <v>33.851188115179603</v>
      </c>
      <c r="EB291" s="7">
        <v>461887.05611176701</v>
      </c>
      <c r="EC291" s="7">
        <v>5092.9581789406502</v>
      </c>
      <c r="ED291" s="7">
        <f t="shared" si="377"/>
        <v>180.70993511268122</v>
      </c>
    </row>
    <row r="292" spans="1:134" x14ac:dyDescent="0.4">
      <c r="A292" s="28">
        <v>65</v>
      </c>
      <c r="B292" s="26">
        <v>1.0000000000000001E-5</v>
      </c>
      <c r="C292" s="28">
        <v>0.2</v>
      </c>
      <c r="D292" s="28">
        <v>30</v>
      </c>
      <c r="E292" s="26">
        <v>7.5000000000000002E-6</v>
      </c>
      <c r="F292" s="26">
        <f t="shared" si="351"/>
        <v>1.5E-6</v>
      </c>
      <c r="G292" s="26">
        <f t="shared" si="352"/>
        <v>0.3</v>
      </c>
      <c r="H292" s="7">
        <v>0.41004462928650498</v>
      </c>
      <c r="I292" s="7">
        <v>1470.52695643265</v>
      </c>
      <c r="J292" s="7">
        <v>5888.0994972997396</v>
      </c>
      <c r="K292" s="7">
        <v>1470.52695643265</v>
      </c>
      <c r="L292" s="7">
        <v>859463306.304919</v>
      </c>
      <c r="M292" s="7">
        <v>203718.32715762599</v>
      </c>
      <c r="N292" s="7">
        <f t="shared" si="353"/>
        <v>8829.1534101650395</v>
      </c>
      <c r="P292" s="28">
        <v>65</v>
      </c>
      <c r="Q292" s="26">
        <v>3.0000000000000001E-5</v>
      </c>
      <c r="R292" s="28">
        <v>0.2</v>
      </c>
      <c r="S292" s="28">
        <v>30</v>
      </c>
      <c r="T292" s="26">
        <v>7.5000000000000002E-6</v>
      </c>
      <c r="U292" s="26">
        <f t="shared" si="354"/>
        <v>1.5E-6</v>
      </c>
      <c r="V292" s="26">
        <f t="shared" si="355"/>
        <v>0.1</v>
      </c>
      <c r="W292" s="7">
        <v>1.1797014859091199</v>
      </c>
      <c r="X292" s="7">
        <v>490.175652139448</v>
      </c>
      <c r="Y292" s="7">
        <v>1962.6998324332501</v>
      </c>
      <c r="Z292" s="7">
        <v>490.175652139448</v>
      </c>
      <c r="AA292" s="7">
        <v>286487768.88169003</v>
      </c>
      <c r="AB292" s="7">
        <v>22635.3696841807</v>
      </c>
      <c r="AC292" s="7">
        <f t="shared" si="356"/>
        <v>2943.0511367121462</v>
      </c>
      <c r="AE292" s="28">
        <v>65</v>
      </c>
      <c r="AF292" s="26">
        <v>5.0000000000000002E-5</v>
      </c>
      <c r="AG292" s="28">
        <v>0.2</v>
      </c>
      <c r="AH292" s="28">
        <v>30</v>
      </c>
      <c r="AI292" s="26">
        <v>7.5000000000000002E-6</v>
      </c>
      <c r="AJ292" s="26">
        <f t="shared" si="357"/>
        <v>1.5E-6</v>
      </c>
      <c r="AK292" s="26">
        <f t="shared" si="358"/>
        <v>0.06</v>
      </c>
      <c r="AL292" s="7">
        <v>1.88916628776665</v>
      </c>
      <c r="AM292" s="7">
        <v>294.10539124333502</v>
      </c>
      <c r="AN292" s="7">
        <v>1177.6198994599499</v>
      </c>
      <c r="AO292" s="7">
        <v>294.10539124333502</v>
      </c>
      <c r="AP292" s="7">
        <v>171892662.28655201</v>
      </c>
      <c r="AQ292" s="7">
        <v>8148.7330863050402</v>
      </c>
      <c r="AR292" s="7">
        <f t="shared" si="359"/>
        <v>1765.8306819466197</v>
      </c>
      <c r="AT292" s="28">
        <v>65</v>
      </c>
      <c r="AU292" s="26">
        <v>1.0000000000000001E-5</v>
      </c>
      <c r="AV292" s="28">
        <v>0.2</v>
      </c>
      <c r="AW292" s="28">
        <v>200</v>
      </c>
      <c r="AX292" s="26">
        <v>7.5000000000000002E-6</v>
      </c>
      <c r="AY292" s="26">
        <f t="shared" si="360"/>
        <v>1.5E-6</v>
      </c>
      <c r="AZ292" s="26">
        <f t="shared" si="361"/>
        <v>0.3</v>
      </c>
      <c r="BA292" s="7">
        <v>0.41756513850176902</v>
      </c>
      <c r="BB292" s="7">
        <v>221.436390808456</v>
      </c>
      <c r="BC292" s="7">
        <v>885.60719905590599</v>
      </c>
      <c r="BD292" s="7">
        <v>221.436390808456</v>
      </c>
      <c r="BE292" s="7">
        <v>859463306.304919</v>
      </c>
      <c r="BF292" s="7">
        <v>203718.32715762599</v>
      </c>
      <c r="BG292" s="7">
        <f t="shared" si="362"/>
        <v>1328.4799806728181</v>
      </c>
      <c r="BI292" s="28">
        <v>65</v>
      </c>
      <c r="BJ292" s="26">
        <v>1.0000000000000001E-5</v>
      </c>
      <c r="BK292" s="28">
        <v>0.5</v>
      </c>
      <c r="BL292" s="28">
        <v>200</v>
      </c>
      <c r="BM292" s="26">
        <v>7.5000000000000002E-6</v>
      </c>
      <c r="BN292" s="26">
        <f t="shared" si="363"/>
        <v>3.7500000000000001E-6</v>
      </c>
      <c r="BO292" s="26">
        <f t="shared" si="364"/>
        <v>0.75</v>
      </c>
      <c r="BP292" s="7">
        <v>0.41786400379463901</v>
      </c>
      <c r="BQ292" s="7">
        <v>221.20879187134</v>
      </c>
      <c r="BR292" s="7">
        <v>884.97259280428204</v>
      </c>
      <c r="BS292" s="7">
        <v>221.20879187134</v>
      </c>
      <c r="BT292" s="7">
        <v>343785322.52196801</v>
      </c>
      <c r="BU292" s="7">
        <v>203718.32715762599</v>
      </c>
      <c r="BV292" s="7">
        <f t="shared" si="365"/>
        <v>1327.390176546962</v>
      </c>
      <c r="BX292" s="28">
        <v>65</v>
      </c>
      <c r="BY292" s="26">
        <v>5.0000000000000002E-5</v>
      </c>
      <c r="BZ292" s="28">
        <v>0.5</v>
      </c>
      <c r="CA292" s="28">
        <v>200</v>
      </c>
      <c r="CB292" s="26">
        <v>7.5000000000000002E-6</v>
      </c>
      <c r="CC292" s="26">
        <f t="shared" si="366"/>
        <v>3.7500000000000001E-6</v>
      </c>
      <c r="CD292" s="26">
        <f t="shared" si="367"/>
        <v>0.15</v>
      </c>
      <c r="CE292" s="7">
        <v>2.0605759985346799</v>
      </c>
      <c r="CF292" s="7">
        <v>44.241758371824098</v>
      </c>
      <c r="CG292" s="7">
        <v>176.99451856085599</v>
      </c>
      <c r="CH292" s="7">
        <v>44.241758371824098</v>
      </c>
      <c r="CI292" s="7">
        <v>68757064.914620593</v>
      </c>
      <c r="CJ292" s="7">
        <v>8148.7330863050402</v>
      </c>
      <c r="CK292" s="7">
        <f t="shared" si="368"/>
        <v>265.4780353045042</v>
      </c>
      <c r="CM292" s="28">
        <v>65</v>
      </c>
      <c r="CN292" s="26">
        <v>5.0000000000000002E-5</v>
      </c>
      <c r="CO292" s="28">
        <v>1</v>
      </c>
      <c r="CP292" s="28">
        <v>200</v>
      </c>
      <c r="CQ292" s="26">
        <v>7.5000000000000002E-6</v>
      </c>
      <c r="CR292" s="26">
        <f t="shared" si="369"/>
        <v>7.5000000000000002E-6</v>
      </c>
      <c r="CS292" s="26">
        <f t="shared" si="370"/>
        <v>0.3</v>
      </c>
      <c r="CT292" s="7">
        <v>2.0611173304413999</v>
      </c>
      <c r="CU292" s="7">
        <v>44.166101596649497</v>
      </c>
      <c r="CV292" s="7">
        <v>176.783417824277</v>
      </c>
      <c r="CW292" s="7">
        <v>44.166101596649497</v>
      </c>
      <c r="CX292" s="7">
        <v>34378532.457310297</v>
      </c>
      <c r="CY292" s="7">
        <v>8148.7330863050402</v>
      </c>
      <c r="CZ292" s="7">
        <f t="shared" si="371"/>
        <v>265.11562101757602</v>
      </c>
      <c r="DB292" s="28">
        <v>65</v>
      </c>
      <c r="DC292" s="26">
        <v>5.0000000000000002E-5</v>
      </c>
      <c r="DD292" s="28">
        <v>2</v>
      </c>
      <c r="DE292" s="28">
        <v>200</v>
      </c>
      <c r="DF292" s="26">
        <v>7.5000000000000002E-6</v>
      </c>
      <c r="DG292" s="26">
        <f t="shared" si="372"/>
        <v>1.5E-5</v>
      </c>
      <c r="DH292" s="26">
        <f t="shared" si="373"/>
        <v>0.6</v>
      </c>
      <c r="DI292" s="7">
        <v>2.0621996041345798</v>
      </c>
      <c r="DJ292" s="7">
        <v>44.0155689113517</v>
      </c>
      <c r="DK292" s="7">
        <v>176.36283833637401</v>
      </c>
      <c r="DL292" s="7">
        <v>44.0155689113517</v>
      </c>
      <c r="DM292" s="7">
        <v>17189266.2286552</v>
      </c>
      <c r="DN292" s="7">
        <v>8148.7330863050402</v>
      </c>
      <c r="DO292" s="7">
        <f t="shared" si="374"/>
        <v>264.3939761590774</v>
      </c>
      <c r="DQ292" s="28">
        <v>65</v>
      </c>
      <c r="DR292" s="26">
        <v>5.0000000000000002E-5</v>
      </c>
      <c r="DS292" s="28">
        <v>15</v>
      </c>
      <c r="DT292" s="28">
        <v>300</v>
      </c>
      <c r="DU292" s="26">
        <v>5.0000000000000004E-6</v>
      </c>
      <c r="DV292" s="26">
        <f t="shared" si="375"/>
        <v>7.5000000000000007E-5</v>
      </c>
      <c r="DW292" s="26">
        <f t="shared" si="376"/>
        <v>3</v>
      </c>
      <c r="DX292" s="7">
        <v>3.30891853221034</v>
      </c>
      <c r="DY292" s="7">
        <v>28.565057936355299</v>
      </c>
      <c r="DZ292" s="7">
        <v>115.382714159923</v>
      </c>
      <c r="EA292" s="7">
        <v>28.565057936355299</v>
      </c>
      <c r="EB292" s="7">
        <v>2291902.16382069</v>
      </c>
      <c r="EC292" s="7">
        <v>5092.9581789406502</v>
      </c>
      <c r="ED292" s="7">
        <f t="shared" si="377"/>
        <v>172.51283003263359</v>
      </c>
    </row>
    <row r="293" spans="1:134" x14ac:dyDescent="0.4">
      <c r="A293" s="28">
        <v>70</v>
      </c>
      <c r="B293" s="26">
        <v>1.0000000000000001E-5</v>
      </c>
      <c r="C293" s="28">
        <v>0.2</v>
      </c>
      <c r="D293" s="28">
        <v>30</v>
      </c>
      <c r="E293" s="26">
        <v>7.5000000000000002E-6</v>
      </c>
      <c r="F293" s="26">
        <f t="shared" si="351"/>
        <v>1.5E-6</v>
      </c>
      <c r="G293" s="26">
        <f t="shared" si="352"/>
        <v>0.3</v>
      </c>
      <c r="H293" s="7">
        <v>0.42050828008719898</v>
      </c>
      <c r="I293" s="7">
        <v>1223.14114606982</v>
      </c>
      <c r="J293" s="7">
        <v>5975.2459753258199</v>
      </c>
      <c r="K293" s="7">
        <v>1223.14114606982</v>
      </c>
      <c r="L293" s="7" t="s">
        <v>94</v>
      </c>
      <c r="M293" s="7">
        <v>203718.32715762599</v>
      </c>
      <c r="N293" s="7">
        <f t="shared" si="353"/>
        <v>8421.5282674654591</v>
      </c>
      <c r="P293" s="28">
        <v>70</v>
      </c>
      <c r="Q293" s="26">
        <v>3.0000000000000001E-5</v>
      </c>
      <c r="R293" s="28">
        <v>0.2</v>
      </c>
      <c r="S293" s="28">
        <v>30</v>
      </c>
      <c r="T293" s="26">
        <v>7.5000000000000002E-6</v>
      </c>
      <c r="U293" s="26">
        <f t="shared" si="354"/>
        <v>1.5E-6</v>
      </c>
      <c r="V293" s="26">
        <f t="shared" si="355"/>
        <v>0.1</v>
      </c>
      <c r="W293" s="7">
        <v>1.2124195170413801</v>
      </c>
      <c r="X293" s="7">
        <v>407.71371535265399</v>
      </c>
      <c r="Y293" s="7">
        <v>1991.7486584419401</v>
      </c>
      <c r="Z293" s="7">
        <v>407.71371535265399</v>
      </c>
      <c r="AA293" s="7" t="s">
        <v>94</v>
      </c>
      <c r="AB293" s="7">
        <v>22635.3696841807</v>
      </c>
      <c r="AC293" s="7">
        <f t="shared" si="356"/>
        <v>2807.1760891472481</v>
      </c>
      <c r="AE293" s="28">
        <v>70</v>
      </c>
      <c r="AF293" s="26">
        <v>5.0000000000000002E-5</v>
      </c>
      <c r="AG293" s="28">
        <v>0.2</v>
      </c>
      <c r="AH293" s="28">
        <v>30</v>
      </c>
      <c r="AI293" s="26">
        <v>7.5000000000000002E-6</v>
      </c>
      <c r="AJ293" s="26">
        <f t="shared" si="357"/>
        <v>1.5E-6</v>
      </c>
      <c r="AK293" s="26">
        <f t="shared" si="358"/>
        <v>0.06</v>
      </c>
      <c r="AL293" s="7">
        <v>1.9449897463929799</v>
      </c>
      <c r="AM293" s="7">
        <v>244.62822917813699</v>
      </c>
      <c r="AN293" s="7">
        <v>1195.0491950651599</v>
      </c>
      <c r="AO293" s="7">
        <v>244.62822917813699</v>
      </c>
      <c r="AP293" s="7" t="s">
        <v>94</v>
      </c>
      <c r="AQ293" s="7">
        <v>8148.7330863050402</v>
      </c>
      <c r="AR293" s="7">
        <f t="shared" si="359"/>
        <v>1684.3056534214338</v>
      </c>
      <c r="AT293" s="28">
        <v>70</v>
      </c>
      <c r="AU293" s="26">
        <v>1.0000000000000001E-5</v>
      </c>
      <c r="AV293" s="28">
        <v>0.2</v>
      </c>
      <c r="AW293" s="28">
        <v>200</v>
      </c>
      <c r="AX293" s="26">
        <v>7.5000000000000002E-6</v>
      </c>
      <c r="AY293" s="26">
        <f t="shared" si="360"/>
        <v>1.5E-6</v>
      </c>
      <c r="AZ293" s="26">
        <f t="shared" si="361"/>
        <v>0.3</v>
      </c>
      <c r="BA293" s="7">
        <v>0.42787001247564899</v>
      </c>
      <c r="BB293" s="7">
        <v>184.11844341766201</v>
      </c>
      <c r="BC293" s="7">
        <v>898.22894938474894</v>
      </c>
      <c r="BD293" s="7">
        <v>184.11844341766201</v>
      </c>
      <c r="BE293" s="7" t="s">
        <v>94</v>
      </c>
      <c r="BF293" s="7">
        <v>203718.32715762599</v>
      </c>
      <c r="BG293" s="7">
        <f t="shared" si="362"/>
        <v>1266.465836220073</v>
      </c>
      <c r="BI293" s="28">
        <v>70</v>
      </c>
      <c r="BJ293" s="26">
        <v>1.0000000000000001E-5</v>
      </c>
      <c r="BK293" s="28">
        <v>0.5</v>
      </c>
      <c r="BL293" s="28">
        <v>200</v>
      </c>
      <c r="BM293" s="26">
        <v>7.5000000000000002E-6</v>
      </c>
      <c r="BN293" s="26">
        <f t="shared" si="363"/>
        <v>3.7500000000000001E-6</v>
      </c>
      <c r="BO293" s="26">
        <f t="shared" si="364"/>
        <v>0.75</v>
      </c>
      <c r="BP293" s="7">
        <v>0.42787091129592397</v>
      </c>
      <c r="BQ293" s="7">
        <v>183.946660682919</v>
      </c>
      <c r="BR293" s="7">
        <v>897.71395999315905</v>
      </c>
      <c r="BS293" s="7">
        <v>183.946660682919</v>
      </c>
      <c r="BT293" s="7" t="s">
        <v>94</v>
      </c>
      <c r="BU293" s="7">
        <v>203718.32715762599</v>
      </c>
      <c r="BV293" s="7">
        <f t="shared" si="365"/>
        <v>1265.6072813589969</v>
      </c>
      <c r="BX293" s="28">
        <v>70</v>
      </c>
      <c r="BY293" s="26">
        <v>5.0000000000000002E-5</v>
      </c>
      <c r="BZ293" s="28">
        <v>0.5</v>
      </c>
      <c r="CA293" s="28">
        <v>200</v>
      </c>
      <c r="CB293" s="26">
        <v>7.5000000000000002E-6</v>
      </c>
      <c r="CC293" s="26">
        <f t="shared" si="366"/>
        <v>3.7500000000000001E-6</v>
      </c>
      <c r="CD293" s="26">
        <f t="shared" si="367"/>
        <v>0.15</v>
      </c>
      <c r="CE293" s="7">
        <v>2.1131794597181202</v>
      </c>
      <c r="CF293" s="7">
        <v>36.7893321345583</v>
      </c>
      <c r="CG293" s="7">
        <v>179.542791998632</v>
      </c>
      <c r="CH293" s="7">
        <v>36.7893321345583</v>
      </c>
      <c r="CI293" s="7" t="s">
        <v>94</v>
      </c>
      <c r="CJ293" s="7">
        <v>8148.7330863050402</v>
      </c>
      <c r="CK293" s="7">
        <f t="shared" si="368"/>
        <v>253.12145626774858</v>
      </c>
      <c r="CM293" s="28">
        <v>70</v>
      </c>
      <c r="CN293" s="26">
        <v>5.0000000000000002E-5</v>
      </c>
      <c r="CO293" s="28">
        <v>1</v>
      </c>
      <c r="CP293" s="28">
        <v>200</v>
      </c>
      <c r="CQ293" s="26">
        <v>7.5000000000000002E-6</v>
      </c>
      <c r="CR293" s="26">
        <f t="shared" si="369"/>
        <v>7.5000000000000002E-6</v>
      </c>
      <c r="CS293" s="26">
        <f t="shared" si="370"/>
        <v>0.3</v>
      </c>
      <c r="CT293" s="7">
        <v>2.1132159264780102</v>
      </c>
      <c r="CU293" s="7">
        <v>36.732214141098297</v>
      </c>
      <c r="CV293" s="7">
        <v>179.37142238436701</v>
      </c>
      <c r="CW293" s="7">
        <v>36.732214141098297</v>
      </c>
      <c r="CX293" s="7" t="s">
        <v>94</v>
      </c>
      <c r="CY293" s="7">
        <v>8148.7330863050402</v>
      </c>
      <c r="CZ293" s="7">
        <f t="shared" si="371"/>
        <v>252.8358506665636</v>
      </c>
      <c r="DB293" s="28">
        <v>70</v>
      </c>
      <c r="DC293" s="26">
        <v>5.0000000000000002E-5</v>
      </c>
      <c r="DD293" s="28">
        <v>2</v>
      </c>
      <c r="DE293" s="28">
        <v>200</v>
      </c>
      <c r="DF293" s="26">
        <v>7.5000000000000002E-6</v>
      </c>
      <c r="DG293" s="26">
        <f t="shared" si="372"/>
        <v>1.5E-5</v>
      </c>
      <c r="DH293" s="26">
        <f t="shared" si="373"/>
        <v>0.6</v>
      </c>
      <c r="DI293" s="7">
        <v>2.1132885877155601</v>
      </c>
      <c r="DJ293" s="7">
        <v>36.618511090650998</v>
      </c>
      <c r="DK293" s="7">
        <v>179.02977916857401</v>
      </c>
      <c r="DL293" s="7">
        <v>36.618511090650998</v>
      </c>
      <c r="DM293" s="7" t="s">
        <v>94</v>
      </c>
      <c r="DN293" s="7">
        <v>8148.7330863050402</v>
      </c>
      <c r="DO293" s="7">
        <f t="shared" si="374"/>
        <v>252.266801349876</v>
      </c>
      <c r="DQ293" s="28">
        <v>70</v>
      </c>
      <c r="DR293" s="26">
        <v>5.0000000000000002E-5</v>
      </c>
      <c r="DS293" s="28">
        <v>15</v>
      </c>
      <c r="DT293" s="28">
        <v>300</v>
      </c>
      <c r="DU293" s="26">
        <v>5.0000000000000004E-6</v>
      </c>
      <c r="DV293" s="26">
        <f t="shared" si="375"/>
        <v>7.5000000000000007E-5</v>
      </c>
      <c r="DW293" s="26">
        <f t="shared" si="376"/>
        <v>3</v>
      </c>
      <c r="DX293" s="7">
        <v>3.37879757192395</v>
      </c>
      <c r="DY293" s="7">
        <v>23.8224846510956</v>
      </c>
      <c r="DZ293" s="7">
        <v>117.565391453988</v>
      </c>
      <c r="EA293" s="7">
        <v>23.8224846510956</v>
      </c>
      <c r="EB293" s="7" t="s">
        <v>94</v>
      </c>
      <c r="EC293" s="7">
        <v>5092.9581789406502</v>
      </c>
      <c r="ED293" s="7">
        <f t="shared" si="377"/>
        <v>165.2103607561792</v>
      </c>
    </row>
    <row r="294" spans="1:134" x14ac:dyDescent="0.4">
      <c r="B294" s="26"/>
      <c r="E294" s="26"/>
      <c r="F294" s="26"/>
      <c r="G294" s="26"/>
      <c r="Q294" s="26"/>
      <c r="T294" s="26"/>
      <c r="U294" s="26"/>
      <c r="V294" s="26"/>
      <c r="AF294" s="26"/>
      <c r="AI294" s="26"/>
      <c r="AJ294" s="26"/>
      <c r="AK294" s="26"/>
      <c r="AU294" s="26"/>
      <c r="AX294" s="26"/>
      <c r="AY294" s="26"/>
      <c r="AZ294" s="26"/>
      <c r="BJ294" s="26"/>
      <c r="BM294" s="26"/>
      <c r="BN294" s="26"/>
      <c r="BO294" s="26"/>
      <c r="BY294" s="26"/>
      <c r="CB294" s="26"/>
      <c r="CC294" s="26"/>
      <c r="CD294" s="26"/>
      <c r="CN294" s="26"/>
      <c r="CQ294" s="26"/>
      <c r="CR294" s="26"/>
      <c r="CS294" s="26"/>
      <c r="DC294" s="26"/>
      <c r="DF294" s="26"/>
      <c r="DG294" s="26"/>
      <c r="DH294" s="26"/>
      <c r="DR294" s="26"/>
      <c r="DU294" s="26"/>
      <c r="DV294" s="26"/>
      <c r="DW294" s="26"/>
    </row>
    <row r="295" spans="1:134" s="36" customFormat="1" ht="47.25" x14ac:dyDescent="0.4">
      <c r="A295" s="53" t="s">
        <v>69</v>
      </c>
      <c r="B295" s="54" t="s">
        <v>93</v>
      </c>
      <c r="C295" s="39" t="s">
        <v>73</v>
      </c>
      <c r="D295" s="39" t="s">
        <v>98</v>
      </c>
      <c r="E295" s="39" t="s">
        <v>97</v>
      </c>
      <c r="F295" s="39" t="s">
        <v>99</v>
      </c>
      <c r="G295" s="39" t="s">
        <v>96</v>
      </c>
      <c r="H295" s="37" t="s">
        <v>60</v>
      </c>
      <c r="I295" s="37" t="s">
        <v>100</v>
      </c>
      <c r="J295" s="37" t="s">
        <v>101</v>
      </c>
      <c r="K295" s="37" t="s">
        <v>102</v>
      </c>
      <c r="L295" s="37" t="s">
        <v>103</v>
      </c>
      <c r="M295" s="37" t="s">
        <v>65</v>
      </c>
      <c r="N295" s="37" t="s">
        <v>68</v>
      </c>
      <c r="O295" s="55"/>
      <c r="P295" s="53" t="s">
        <v>69</v>
      </c>
      <c r="Q295" s="54" t="s">
        <v>93</v>
      </c>
      <c r="R295" s="39" t="s">
        <v>73</v>
      </c>
      <c r="S295" s="39" t="s">
        <v>98</v>
      </c>
      <c r="T295" s="39" t="s">
        <v>97</v>
      </c>
      <c r="U295" s="39" t="s">
        <v>99</v>
      </c>
      <c r="V295" s="39" t="s">
        <v>96</v>
      </c>
      <c r="W295" s="37" t="s">
        <v>60</v>
      </c>
      <c r="X295" s="37" t="s">
        <v>100</v>
      </c>
      <c r="Y295" s="37" t="s">
        <v>101</v>
      </c>
      <c r="Z295" s="37" t="s">
        <v>102</v>
      </c>
      <c r="AA295" s="37" t="s">
        <v>103</v>
      </c>
      <c r="AB295" s="37" t="s">
        <v>65</v>
      </c>
      <c r="AC295" s="37" t="s">
        <v>68</v>
      </c>
      <c r="AD295" s="55"/>
      <c r="AE295" s="53" t="s">
        <v>69</v>
      </c>
      <c r="AF295" s="54" t="s">
        <v>93</v>
      </c>
      <c r="AG295" s="39" t="s">
        <v>73</v>
      </c>
      <c r="AH295" s="39" t="s">
        <v>98</v>
      </c>
      <c r="AI295" s="39" t="s">
        <v>97</v>
      </c>
      <c r="AJ295" s="39" t="s">
        <v>99</v>
      </c>
      <c r="AK295" s="39" t="s">
        <v>96</v>
      </c>
      <c r="AL295" s="37" t="s">
        <v>60</v>
      </c>
      <c r="AM295" s="37" t="s">
        <v>100</v>
      </c>
      <c r="AN295" s="37" t="s">
        <v>101</v>
      </c>
      <c r="AO295" s="37" t="s">
        <v>102</v>
      </c>
      <c r="AP295" s="37" t="s">
        <v>103</v>
      </c>
      <c r="AQ295" s="37" t="s">
        <v>65</v>
      </c>
      <c r="AR295" s="37" t="s">
        <v>68</v>
      </c>
      <c r="AS295" s="55"/>
      <c r="AT295" s="53" t="s">
        <v>69</v>
      </c>
      <c r="AU295" s="54" t="s">
        <v>93</v>
      </c>
      <c r="AV295" s="39" t="s">
        <v>73</v>
      </c>
      <c r="AW295" s="39" t="s">
        <v>98</v>
      </c>
      <c r="AX295" s="39" t="s">
        <v>97</v>
      </c>
      <c r="AY295" s="39" t="s">
        <v>99</v>
      </c>
      <c r="AZ295" s="39" t="s">
        <v>96</v>
      </c>
      <c r="BA295" s="37" t="s">
        <v>60</v>
      </c>
      <c r="BB295" s="37" t="s">
        <v>100</v>
      </c>
      <c r="BC295" s="37" t="s">
        <v>101</v>
      </c>
      <c r="BD295" s="37" t="s">
        <v>102</v>
      </c>
      <c r="BE295" s="37" t="s">
        <v>103</v>
      </c>
      <c r="BF295" s="37" t="s">
        <v>65</v>
      </c>
      <c r="BG295" s="37" t="s">
        <v>68</v>
      </c>
      <c r="BH295" s="55"/>
      <c r="BI295" s="53" t="s">
        <v>69</v>
      </c>
      <c r="BJ295" s="54" t="s">
        <v>93</v>
      </c>
      <c r="BK295" s="39" t="s">
        <v>73</v>
      </c>
      <c r="BL295" s="39" t="s">
        <v>98</v>
      </c>
      <c r="BM295" s="39" t="s">
        <v>97</v>
      </c>
      <c r="BN295" s="39" t="s">
        <v>99</v>
      </c>
      <c r="BO295" s="39" t="s">
        <v>96</v>
      </c>
      <c r="BP295" s="37" t="s">
        <v>60</v>
      </c>
      <c r="BQ295" s="37" t="s">
        <v>100</v>
      </c>
      <c r="BR295" s="37" t="s">
        <v>101</v>
      </c>
      <c r="BS295" s="37" t="s">
        <v>102</v>
      </c>
      <c r="BT295" s="37" t="s">
        <v>103</v>
      </c>
      <c r="BU295" s="37" t="s">
        <v>65</v>
      </c>
      <c r="BV295" s="37" t="s">
        <v>68</v>
      </c>
      <c r="BW295" s="55"/>
      <c r="BX295" s="53" t="s">
        <v>69</v>
      </c>
      <c r="BY295" s="54" t="s">
        <v>93</v>
      </c>
      <c r="BZ295" s="39" t="s">
        <v>73</v>
      </c>
      <c r="CA295" s="39" t="s">
        <v>98</v>
      </c>
      <c r="CB295" s="39" t="s">
        <v>97</v>
      </c>
      <c r="CC295" s="39" t="s">
        <v>99</v>
      </c>
      <c r="CD295" s="39" t="s">
        <v>96</v>
      </c>
      <c r="CE295" s="37" t="s">
        <v>60</v>
      </c>
      <c r="CF295" s="37" t="s">
        <v>100</v>
      </c>
      <c r="CG295" s="37" t="s">
        <v>101</v>
      </c>
      <c r="CH295" s="37" t="s">
        <v>102</v>
      </c>
      <c r="CI295" s="37" t="s">
        <v>103</v>
      </c>
      <c r="CJ295" s="37" t="s">
        <v>65</v>
      </c>
      <c r="CK295" s="37" t="s">
        <v>68</v>
      </c>
      <c r="CL295" s="55"/>
      <c r="CM295" s="53" t="s">
        <v>69</v>
      </c>
      <c r="CN295" s="54" t="s">
        <v>93</v>
      </c>
      <c r="CO295" s="39" t="s">
        <v>73</v>
      </c>
      <c r="CP295" s="39" t="s">
        <v>98</v>
      </c>
      <c r="CQ295" s="39" t="s">
        <v>97</v>
      </c>
      <c r="CR295" s="39" t="s">
        <v>99</v>
      </c>
      <c r="CS295" s="39" t="s">
        <v>96</v>
      </c>
      <c r="CT295" s="37" t="s">
        <v>60</v>
      </c>
      <c r="CU295" s="37" t="s">
        <v>100</v>
      </c>
      <c r="CV295" s="37" t="s">
        <v>101</v>
      </c>
      <c r="CW295" s="37" t="s">
        <v>102</v>
      </c>
      <c r="CX295" s="37" t="s">
        <v>103</v>
      </c>
      <c r="CY295" s="37" t="s">
        <v>65</v>
      </c>
      <c r="CZ295" s="37" t="s">
        <v>68</v>
      </c>
      <c r="DA295" s="55"/>
      <c r="DB295" s="53" t="s">
        <v>69</v>
      </c>
      <c r="DC295" s="54" t="s">
        <v>93</v>
      </c>
      <c r="DD295" s="39" t="s">
        <v>73</v>
      </c>
      <c r="DE295" s="39" t="s">
        <v>98</v>
      </c>
      <c r="DF295" s="39" t="s">
        <v>97</v>
      </c>
      <c r="DG295" s="39" t="s">
        <v>99</v>
      </c>
      <c r="DH295" s="39" t="s">
        <v>96</v>
      </c>
      <c r="DI295" s="37" t="s">
        <v>60</v>
      </c>
      <c r="DJ295" s="37" t="s">
        <v>100</v>
      </c>
      <c r="DK295" s="37" t="s">
        <v>101</v>
      </c>
      <c r="DL295" s="37" t="s">
        <v>102</v>
      </c>
      <c r="DM295" s="37" t="s">
        <v>103</v>
      </c>
      <c r="DN295" s="37" t="s">
        <v>65</v>
      </c>
      <c r="DO295" s="37" t="s">
        <v>68</v>
      </c>
      <c r="DP295" s="55"/>
      <c r="DQ295" s="53" t="s">
        <v>69</v>
      </c>
      <c r="DR295" s="54" t="s">
        <v>93</v>
      </c>
      <c r="DS295" s="39" t="s">
        <v>73</v>
      </c>
      <c r="DT295" s="39" t="s">
        <v>98</v>
      </c>
      <c r="DU295" s="39" t="s">
        <v>97</v>
      </c>
      <c r="DV295" s="39" t="s">
        <v>99</v>
      </c>
      <c r="DW295" s="39" t="s">
        <v>96</v>
      </c>
      <c r="DX295" s="37" t="s">
        <v>60</v>
      </c>
      <c r="DY295" s="37" t="s">
        <v>100</v>
      </c>
      <c r="DZ295" s="37" t="s">
        <v>101</v>
      </c>
      <c r="EA295" s="37" t="s">
        <v>102</v>
      </c>
      <c r="EB295" s="37" t="s">
        <v>103</v>
      </c>
      <c r="EC295" s="37" t="s">
        <v>65</v>
      </c>
      <c r="ED295" s="37" t="s">
        <v>68</v>
      </c>
    </row>
    <row r="296" spans="1:134" x14ac:dyDescent="0.4">
      <c r="A296" s="28">
        <v>1</v>
      </c>
      <c r="B296" s="26">
        <v>1.0000000000000001E-5</v>
      </c>
      <c r="C296" s="28">
        <v>0.2</v>
      </c>
      <c r="D296" s="28">
        <v>30</v>
      </c>
      <c r="E296" s="26">
        <v>1.0000000000000001E-5</v>
      </c>
      <c r="F296" s="26">
        <f t="shared" ref="F296:F314" si="378">C296*E296</f>
        <v>2.0000000000000003E-6</v>
      </c>
      <c r="G296" s="26">
        <f t="shared" ref="G296:G314" si="379">F296/(B296/2)</f>
        <v>0.4</v>
      </c>
      <c r="H296" s="7">
        <v>0.204773538234619</v>
      </c>
      <c r="I296" s="7">
        <v>20967.675665585699</v>
      </c>
      <c r="J296" s="7">
        <v>750067.42850576504</v>
      </c>
      <c r="K296" s="7">
        <v>20967.675665585699</v>
      </c>
      <c r="L296" s="7">
        <v>246455.34799285</v>
      </c>
      <c r="M296" s="7">
        <v>254647.90894703299</v>
      </c>
      <c r="N296" s="7">
        <f t="shared" ref="N296:N314" si="380">I296+J296+K296</f>
        <v>792002.77983693639</v>
      </c>
      <c r="P296" s="28">
        <v>1</v>
      </c>
      <c r="Q296" s="26">
        <v>3.0000000000000001E-5</v>
      </c>
      <c r="R296" s="28">
        <v>0.2</v>
      </c>
      <c r="S296" s="28">
        <v>30</v>
      </c>
      <c r="T296" s="26">
        <v>1.0000000000000001E-5</v>
      </c>
      <c r="U296" s="26">
        <f t="shared" ref="U296:U314" si="381">R296*T296</f>
        <v>2.0000000000000003E-6</v>
      </c>
      <c r="V296" s="26">
        <f t="shared" ref="V296:V314" si="382">U296/(Q296/2)</f>
        <v>0.13333333333333336</v>
      </c>
      <c r="W296" s="7">
        <v>0.216284686963334</v>
      </c>
      <c r="X296" s="7">
        <v>6989.2252213633501</v>
      </c>
      <c r="Y296" s="7">
        <v>250022.476149864</v>
      </c>
      <c r="Z296" s="7">
        <v>6989.2252213633501</v>
      </c>
      <c r="AA296" s="7">
        <v>82151.782666878105</v>
      </c>
      <c r="AB296" s="7">
        <v>28294.212105225801</v>
      </c>
      <c r="AC296" s="7">
        <f t="shared" ref="AC296:AC314" si="383">X296+Y296+Z296</f>
        <v>264000.92659259069</v>
      </c>
      <c r="AE296" s="28">
        <v>1</v>
      </c>
      <c r="AF296" s="26">
        <v>5.0000000000000002E-5</v>
      </c>
      <c r="AG296" s="28">
        <v>0.2</v>
      </c>
      <c r="AH296" s="28">
        <v>30</v>
      </c>
      <c r="AI296" s="26">
        <v>1.0000000000000001E-5</v>
      </c>
      <c r="AJ296" s="26">
        <f t="shared" ref="AJ296:AJ314" si="384">AG296*AI296</f>
        <v>2.0000000000000003E-6</v>
      </c>
      <c r="AK296" s="26">
        <f t="shared" ref="AK296:AK314" si="385">AJ296/(AF296/2)</f>
        <v>8.0000000000000016E-2</v>
      </c>
      <c r="AL296" s="7">
        <v>0.21963631003442499</v>
      </c>
      <c r="AM296" s="7">
        <v>4193.5351285970401</v>
      </c>
      <c r="AN296" s="7">
        <v>150013.48553139099</v>
      </c>
      <c r="AO296" s="7">
        <v>4193.5351285970401</v>
      </c>
      <c r="AP296" s="7">
        <v>49291.069622095303</v>
      </c>
      <c r="AQ296" s="7">
        <v>10185.9163578813</v>
      </c>
      <c r="AR296" s="7">
        <f t="shared" ref="AR296:AR314" si="386">AM296+AN296+AO296</f>
        <v>158400.5557885851</v>
      </c>
      <c r="AT296" s="28">
        <v>1</v>
      </c>
      <c r="AU296" s="26">
        <v>1.0000000000000001E-5</v>
      </c>
      <c r="AV296" s="28">
        <v>0.2</v>
      </c>
      <c r="AW296" s="28">
        <v>200</v>
      </c>
      <c r="AX296" s="26">
        <v>1.0000000000000001E-5</v>
      </c>
      <c r="AY296" s="26">
        <f t="shared" ref="AY296:AY314" si="387">AV296*AX296</f>
        <v>2.0000000000000003E-6</v>
      </c>
      <c r="AZ296" s="26">
        <f t="shared" ref="AZ296:AZ314" si="388">AY296/(AU296/2)</f>
        <v>0.4</v>
      </c>
      <c r="BA296" s="7">
        <v>0.205628396043498</v>
      </c>
      <c r="BB296" s="7">
        <v>4345.3623253436699</v>
      </c>
      <c r="BC296" s="7">
        <v>750067.42850576504</v>
      </c>
      <c r="BD296" s="7">
        <v>4345.3623253436699</v>
      </c>
      <c r="BE296" s="7">
        <v>246455.34799285</v>
      </c>
      <c r="BF296" s="7">
        <v>254647.90894703299</v>
      </c>
      <c r="BG296" s="7">
        <f t="shared" ref="BG296:BG314" si="389">BB296+BC296+BD296</f>
        <v>758758.15315645235</v>
      </c>
      <c r="BI296" s="28">
        <v>1</v>
      </c>
      <c r="BJ296" s="26">
        <v>1.0000000000000001E-5</v>
      </c>
      <c r="BK296" s="28">
        <v>0.5</v>
      </c>
      <c r="BL296" s="28">
        <v>200</v>
      </c>
      <c r="BM296" s="26">
        <v>1.0000000000000001E-5</v>
      </c>
      <c r="BN296" s="26">
        <f t="shared" ref="BN296:BN314" si="390">BK296*BM296</f>
        <v>5.0000000000000004E-6</v>
      </c>
      <c r="BO296" s="26">
        <f t="shared" ref="BO296:BO314" si="391">BN296/(BJ296/2)</f>
        <v>1</v>
      </c>
      <c r="BP296" s="7">
        <v>0.48236153424245098</v>
      </c>
      <c r="BQ296" s="7">
        <v>3764.12485338133</v>
      </c>
      <c r="BR296" s="7">
        <v>300026.97140230599</v>
      </c>
      <c r="BS296" s="7">
        <v>3764.12485338133</v>
      </c>
      <c r="BT296" s="7">
        <v>98582.139197140001</v>
      </c>
      <c r="BU296" s="7">
        <v>254647.90894703299</v>
      </c>
      <c r="BV296" s="7">
        <f t="shared" ref="BV296:BV314" si="392">BQ296+BR296+BS296</f>
        <v>307555.2211090686</v>
      </c>
      <c r="BX296" s="28">
        <v>1</v>
      </c>
      <c r="BY296" s="26">
        <v>5.0000000000000002E-5</v>
      </c>
      <c r="BZ296" s="28">
        <v>0.5</v>
      </c>
      <c r="CA296" s="28">
        <v>200</v>
      </c>
      <c r="CB296" s="26">
        <v>1.0000000000000001E-5</v>
      </c>
      <c r="CC296" s="26">
        <f t="shared" ref="CC296:CC314" si="393">BZ296*CB296</f>
        <v>5.0000000000000004E-6</v>
      </c>
      <c r="CD296" s="26">
        <f t="shared" ref="CD296:CD314" si="394">CC296/(BY296/2)</f>
        <v>0.2</v>
      </c>
      <c r="CE296" s="7">
        <v>0.53405566722905295</v>
      </c>
      <c r="CF296" s="7">
        <v>752.82497001808497</v>
      </c>
      <c r="CG296" s="7">
        <v>60005.394212556603</v>
      </c>
      <c r="CH296" s="7">
        <v>752.82497001808497</v>
      </c>
      <c r="CI296" s="7">
        <v>19716.427848838099</v>
      </c>
      <c r="CJ296" s="7">
        <v>10185.9163578813</v>
      </c>
      <c r="CK296" s="7">
        <f t="shared" ref="CK296:CK314" si="395">CF296+CG296+CH296</f>
        <v>61511.044152592767</v>
      </c>
      <c r="CM296" s="28">
        <v>1</v>
      </c>
      <c r="CN296" s="26">
        <v>5.0000000000000002E-5</v>
      </c>
      <c r="CO296" s="28">
        <v>1</v>
      </c>
      <c r="CP296" s="28">
        <v>200</v>
      </c>
      <c r="CQ296" s="26">
        <v>1.0000000000000001E-5</v>
      </c>
      <c r="CR296" s="26">
        <f t="shared" ref="CR296:CR314" si="396">CO296*CQ296</f>
        <v>1.0000000000000001E-5</v>
      </c>
      <c r="CS296" s="26">
        <f t="shared" ref="CS296:CS314" si="397">CR296/(CN296/2)</f>
        <v>0.4</v>
      </c>
      <c r="CT296" s="7">
        <v>1.0249616770333001</v>
      </c>
      <c r="CU296" s="7">
        <v>665.23311259709499</v>
      </c>
      <c r="CV296" s="7">
        <v>30002.697106278301</v>
      </c>
      <c r="CW296" s="7">
        <v>665.23311259709499</v>
      </c>
      <c r="CX296" s="7">
        <v>9858.2139244190694</v>
      </c>
      <c r="CY296" s="7">
        <v>10185.9163578813</v>
      </c>
      <c r="CZ296" s="7">
        <f t="shared" ref="CZ296:CZ314" si="398">CU296+CV296+CW296</f>
        <v>31333.163331472493</v>
      </c>
      <c r="DB296" s="28">
        <v>1</v>
      </c>
      <c r="DC296" s="26">
        <v>5.0000000000000002E-5</v>
      </c>
      <c r="DD296" s="28">
        <v>2</v>
      </c>
      <c r="DE296" s="28">
        <v>200</v>
      </c>
      <c r="DF296" s="26">
        <v>1.0000000000000001E-5</v>
      </c>
      <c r="DG296" s="26">
        <f t="shared" ref="DG296:DG314" si="399">DD296*DF296</f>
        <v>2.0000000000000002E-5</v>
      </c>
      <c r="DH296" s="26">
        <f t="shared" ref="DH296:DH314" si="400">DG296/(DC296/2)</f>
        <v>0.8</v>
      </c>
      <c r="DI296" s="7">
        <v>1.953977933367</v>
      </c>
      <c r="DJ296" s="7">
        <v>578.22973015081095</v>
      </c>
      <c r="DK296" s="7">
        <v>15001.3485531391</v>
      </c>
      <c r="DL296" s="7">
        <v>578.22973015081095</v>
      </c>
      <c r="DM296" s="7">
        <v>4929.1069622095301</v>
      </c>
      <c r="DN296" s="7">
        <v>10185.9163578813</v>
      </c>
      <c r="DO296" s="7">
        <f t="shared" ref="DO296:DO314" si="401">DJ296+DK296+DL296</f>
        <v>16157.808013440723</v>
      </c>
      <c r="DQ296" s="28">
        <v>1</v>
      </c>
      <c r="DR296" s="26">
        <v>5.0000000000000002E-5</v>
      </c>
      <c r="DS296" s="28">
        <v>15</v>
      </c>
      <c r="DT296" s="28">
        <v>300</v>
      </c>
      <c r="DU296" s="26">
        <v>7.5000000000000002E-6</v>
      </c>
      <c r="DV296" s="26">
        <f t="shared" ref="DV296:DV314" si="402">DS296*DU296</f>
        <v>1.125E-4</v>
      </c>
      <c r="DW296" s="26">
        <f t="shared" ref="DW296:DW314" si="403">DV296/(DR296/2)</f>
        <v>4.5</v>
      </c>
      <c r="DX296" s="7">
        <v>13.363730428393</v>
      </c>
      <c r="DY296" s="7">
        <v>254.539230510376</v>
      </c>
      <c r="DZ296" s="7">
        <v>2000.1798070852201</v>
      </c>
      <c r="EA296" s="7">
        <v>254.539230510376</v>
      </c>
      <c r="EB296" s="7">
        <v>657.21426162793796</v>
      </c>
      <c r="EC296" s="7">
        <v>8148.7330863050402</v>
      </c>
      <c r="ED296" s="7">
        <f t="shared" ref="ED296:ED314" si="404">DY296+DZ296+EA296</f>
        <v>2509.2582681059721</v>
      </c>
    </row>
    <row r="297" spans="1:134" x14ac:dyDescent="0.4">
      <c r="A297" s="28">
        <v>2</v>
      </c>
      <c r="B297" s="26">
        <v>1.0000000000000001E-5</v>
      </c>
      <c r="C297" s="28">
        <v>0.2</v>
      </c>
      <c r="D297" s="28">
        <v>30</v>
      </c>
      <c r="E297" s="26">
        <v>1.0000000000000001E-5</v>
      </c>
      <c r="F297" s="26">
        <f t="shared" si="378"/>
        <v>2.0000000000000003E-6</v>
      </c>
      <c r="G297" s="26">
        <f t="shared" si="379"/>
        <v>0.4</v>
      </c>
      <c r="H297" s="7">
        <v>0.209288393205948</v>
      </c>
      <c r="I297" s="7">
        <v>20967.675665585699</v>
      </c>
      <c r="J297" s="7">
        <v>482013.76177816797</v>
      </c>
      <c r="K297" s="7">
        <v>20967.675665585699</v>
      </c>
      <c r="L297" s="7">
        <v>339325.67523914197</v>
      </c>
      <c r="M297" s="7">
        <v>254647.90894703299</v>
      </c>
      <c r="N297" s="7">
        <f t="shared" si="380"/>
        <v>523949.11310933932</v>
      </c>
      <c r="P297" s="28">
        <v>2</v>
      </c>
      <c r="Q297" s="26">
        <v>3.0000000000000001E-5</v>
      </c>
      <c r="R297" s="28">
        <v>0.2</v>
      </c>
      <c r="S297" s="28">
        <v>30</v>
      </c>
      <c r="T297" s="26">
        <v>1.0000000000000001E-5</v>
      </c>
      <c r="U297" s="26">
        <f t="shared" si="381"/>
        <v>2.0000000000000003E-6</v>
      </c>
      <c r="V297" s="26">
        <f t="shared" si="382"/>
        <v>0.13333333333333336</v>
      </c>
      <c r="W297" s="7">
        <v>0.23461198601713801</v>
      </c>
      <c r="X297" s="7">
        <v>6989.2252213633501</v>
      </c>
      <c r="Y297" s="7">
        <v>160671.25390733199</v>
      </c>
      <c r="Z297" s="7">
        <v>6989.2252213633501</v>
      </c>
      <c r="AA297" s="7">
        <v>113108.558420806</v>
      </c>
      <c r="AB297" s="7">
        <v>28294.212105225801</v>
      </c>
      <c r="AC297" s="7">
        <f t="shared" si="383"/>
        <v>174649.70435005872</v>
      </c>
      <c r="AE297" s="28">
        <v>2</v>
      </c>
      <c r="AF297" s="26">
        <v>5.0000000000000002E-5</v>
      </c>
      <c r="AG297" s="28">
        <v>0.2</v>
      </c>
      <c r="AH297" s="28">
        <v>30</v>
      </c>
      <c r="AI297" s="26">
        <v>1.0000000000000001E-5</v>
      </c>
      <c r="AJ297" s="26">
        <f t="shared" si="384"/>
        <v>2.0000000000000003E-6</v>
      </c>
      <c r="AK297" s="26">
        <f t="shared" si="385"/>
        <v>8.0000000000000016E-2</v>
      </c>
      <c r="AL297" s="7">
        <v>0.24297412335860999</v>
      </c>
      <c r="AM297" s="7">
        <v>4193.5351285970401</v>
      </c>
      <c r="AN297" s="7">
        <v>96402.752185872101</v>
      </c>
      <c r="AO297" s="7">
        <v>4193.5351285970401</v>
      </c>
      <c r="AP297" s="7">
        <v>67865.135118168895</v>
      </c>
      <c r="AQ297" s="7">
        <v>10185.9163578813</v>
      </c>
      <c r="AR297" s="7">
        <f t="shared" si="386"/>
        <v>104789.82244306618</v>
      </c>
      <c r="AT297" s="28">
        <v>2</v>
      </c>
      <c r="AU297" s="26">
        <v>1.0000000000000001E-5</v>
      </c>
      <c r="AV297" s="28">
        <v>0.2</v>
      </c>
      <c r="AW297" s="28">
        <v>200</v>
      </c>
      <c r="AX297" s="26">
        <v>1.0000000000000001E-5</v>
      </c>
      <c r="AY297" s="26">
        <f t="shared" si="387"/>
        <v>2.0000000000000003E-6</v>
      </c>
      <c r="AZ297" s="26">
        <f t="shared" si="388"/>
        <v>0.4</v>
      </c>
      <c r="BA297" s="7">
        <v>0.21100847262615699</v>
      </c>
      <c r="BB297" s="7">
        <v>4345.3623253436699</v>
      </c>
      <c r="BC297" s="7">
        <v>482013.76177816797</v>
      </c>
      <c r="BD297" s="7">
        <v>4345.3623253436699</v>
      </c>
      <c r="BE297" s="7">
        <v>339325.67523914197</v>
      </c>
      <c r="BF297" s="7">
        <v>254647.90894703299</v>
      </c>
      <c r="BG297" s="7">
        <f t="shared" si="389"/>
        <v>490704.48642885528</v>
      </c>
      <c r="BI297" s="28">
        <v>2</v>
      </c>
      <c r="BJ297" s="26">
        <v>1.0000000000000001E-5</v>
      </c>
      <c r="BK297" s="28">
        <v>0.5</v>
      </c>
      <c r="BL297" s="28">
        <v>200</v>
      </c>
      <c r="BM297" s="26">
        <v>1.0000000000000001E-5</v>
      </c>
      <c r="BN297" s="26">
        <f t="shared" si="390"/>
        <v>5.0000000000000004E-6</v>
      </c>
      <c r="BO297" s="26">
        <f t="shared" si="391"/>
        <v>1</v>
      </c>
      <c r="BP297" s="7">
        <v>0.469206099915566</v>
      </c>
      <c r="BQ297" s="7">
        <v>3764.12485338133</v>
      </c>
      <c r="BR297" s="7">
        <v>192805.50471126701</v>
      </c>
      <c r="BS297" s="7">
        <v>3764.12485338133</v>
      </c>
      <c r="BT297" s="7">
        <v>135730.270095657</v>
      </c>
      <c r="BU297" s="7">
        <v>254647.90894703299</v>
      </c>
      <c r="BV297" s="7">
        <f t="shared" si="392"/>
        <v>200333.75441802968</v>
      </c>
      <c r="BX297" s="28">
        <v>2</v>
      </c>
      <c r="BY297" s="26">
        <v>5.0000000000000002E-5</v>
      </c>
      <c r="BZ297" s="28">
        <v>0.5</v>
      </c>
      <c r="CA297" s="28">
        <v>200</v>
      </c>
      <c r="CB297" s="26">
        <v>1.0000000000000001E-5</v>
      </c>
      <c r="CC297" s="26">
        <f t="shared" si="393"/>
        <v>5.0000000000000004E-6</v>
      </c>
      <c r="CD297" s="26">
        <f t="shared" si="394"/>
        <v>0.2</v>
      </c>
      <c r="CE297" s="7">
        <v>0.57077823069949296</v>
      </c>
      <c r="CF297" s="7">
        <v>752.82497001808497</v>
      </c>
      <c r="CG297" s="7">
        <v>38561.1008743489</v>
      </c>
      <c r="CH297" s="7">
        <v>752.82497001808497</v>
      </c>
      <c r="CI297" s="7">
        <v>27146.0540472676</v>
      </c>
      <c r="CJ297" s="7">
        <v>10185.9163578813</v>
      </c>
      <c r="CK297" s="7">
        <f t="shared" si="395"/>
        <v>40066.750814385065</v>
      </c>
      <c r="CM297" s="28">
        <v>2</v>
      </c>
      <c r="CN297" s="26">
        <v>5.0000000000000002E-5</v>
      </c>
      <c r="CO297" s="28">
        <v>1</v>
      </c>
      <c r="CP297" s="28">
        <v>200</v>
      </c>
      <c r="CQ297" s="26">
        <v>1.0000000000000001E-5</v>
      </c>
      <c r="CR297" s="26">
        <f t="shared" si="396"/>
        <v>1.0000000000000001E-5</v>
      </c>
      <c r="CS297" s="26">
        <f t="shared" si="397"/>
        <v>0.4</v>
      </c>
      <c r="CT297" s="7">
        <v>1.04863204149341</v>
      </c>
      <c r="CU297" s="7">
        <v>665.23311259709499</v>
      </c>
      <c r="CV297" s="7">
        <v>19280.550437174399</v>
      </c>
      <c r="CW297" s="7">
        <v>665.23311259709499</v>
      </c>
      <c r="CX297" s="7">
        <v>13573.0270236338</v>
      </c>
      <c r="CY297" s="7">
        <v>10185.9163578813</v>
      </c>
      <c r="CZ297" s="7">
        <f t="shared" si="398"/>
        <v>20611.016662368591</v>
      </c>
      <c r="DB297" s="28">
        <v>2</v>
      </c>
      <c r="DC297" s="26">
        <v>5.0000000000000002E-5</v>
      </c>
      <c r="DD297" s="28">
        <v>2</v>
      </c>
      <c r="DE297" s="28">
        <v>200</v>
      </c>
      <c r="DF297" s="26">
        <v>1.0000000000000001E-5</v>
      </c>
      <c r="DG297" s="26">
        <f t="shared" si="399"/>
        <v>2.0000000000000002E-5</v>
      </c>
      <c r="DH297" s="26">
        <f t="shared" si="400"/>
        <v>0.8</v>
      </c>
      <c r="DI297" s="7">
        <v>1.91852212852392</v>
      </c>
      <c r="DJ297" s="7">
        <v>578.22973015081095</v>
      </c>
      <c r="DK297" s="7">
        <v>9640.2752185872196</v>
      </c>
      <c r="DL297" s="7">
        <v>578.22973015081095</v>
      </c>
      <c r="DM297" s="7">
        <v>6786.5135118168901</v>
      </c>
      <c r="DN297" s="7">
        <v>10185.9163578813</v>
      </c>
      <c r="DO297" s="7">
        <f t="shared" si="401"/>
        <v>10796.734678888843</v>
      </c>
      <c r="DQ297" s="28">
        <v>2</v>
      </c>
      <c r="DR297" s="26">
        <v>5.0000000000000002E-5</v>
      </c>
      <c r="DS297" s="28">
        <v>15</v>
      </c>
      <c r="DT297" s="28">
        <v>300</v>
      </c>
      <c r="DU297" s="26">
        <v>7.5000000000000002E-6</v>
      </c>
      <c r="DV297" s="26">
        <f t="shared" si="402"/>
        <v>1.125E-4</v>
      </c>
      <c r="DW297" s="26">
        <f t="shared" si="403"/>
        <v>4.5</v>
      </c>
      <c r="DX297" s="7">
        <v>12.4071070700127</v>
      </c>
      <c r="DY297" s="7">
        <v>254.539230510376</v>
      </c>
      <c r="DZ297" s="7">
        <v>1285.37002914496</v>
      </c>
      <c r="EA297" s="7">
        <v>254.539230510376</v>
      </c>
      <c r="EB297" s="7">
        <v>904.86846824225199</v>
      </c>
      <c r="EC297" s="7">
        <v>8148.7330863050402</v>
      </c>
      <c r="ED297" s="7">
        <f t="shared" si="404"/>
        <v>1794.448490165712</v>
      </c>
    </row>
    <row r="298" spans="1:134" x14ac:dyDescent="0.4">
      <c r="A298" s="28">
        <v>4</v>
      </c>
      <c r="B298" s="26">
        <v>1.0000000000000001E-5</v>
      </c>
      <c r="C298" s="28">
        <v>0.2</v>
      </c>
      <c r="D298" s="28">
        <v>30</v>
      </c>
      <c r="E298" s="26">
        <v>1.0000000000000001E-5</v>
      </c>
      <c r="F298" s="26">
        <f t="shared" si="378"/>
        <v>2.0000000000000003E-6</v>
      </c>
      <c r="G298" s="26">
        <f t="shared" si="379"/>
        <v>0.4</v>
      </c>
      <c r="H298" s="7">
        <v>0.217833113495942</v>
      </c>
      <c r="I298" s="7">
        <v>20967.675665585699</v>
      </c>
      <c r="J298" s="7">
        <v>269259.42550450901</v>
      </c>
      <c r="K298" s="7">
        <v>20967.675665585699</v>
      </c>
      <c r="L298" s="7">
        <v>496205.96663466899</v>
      </c>
      <c r="M298" s="7">
        <v>254647.90894703299</v>
      </c>
      <c r="N298" s="7">
        <f t="shared" si="380"/>
        <v>311194.77683568036</v>
      </c>
      <c r="P298" s="28">
        <v>4</v>
      </c>
      <c r="Q298" s="26">
        <v>3.0000000000000001E-5</v>
      </c>
      <c r="R298" s="28">
        <v>0.2</v>
      </c>
      <c r="S298" s="28">
        <v>30</v>
      </c>
      <c r="T298" s="26">
        <v>1.0000000000000001E-5</v>
      </c>
      <c r="U298" s="26">
        <f t="shared" si="381"/>
        <v>2.0000000000000003E-6</v>
      </c>
      <c r="V298" s="26">
        <f t="shared" si="382"/>
        <v>0.13333333333333336</v>
      </c>
      <c r="W298" s="7">
        <v>0.275785326777368</v>
      </c>
      <c r="X298" s="7">
        <v>6989.2252213633501</v>
      </c>
      <c r="Y298" s="7">
        <v>89753.141816112096</v>
      </c>
      <c r="Z298" s="7">
        <v>6989.2252213633501</v>
      </c>
      <c r="AA298" s="7">
        <v>165401.98890513901</v>
      </c>
      <c r="AB298" s="7">
        <v>28294.212105225801</v>
      </c>
      <c r="AC298" s="7">
        <f t="shared" si="383"/>
        <v>103731.59225883879</v>
      </c>
      <c r="AE298" s="28">
        <v>4</v>
      </c>
      <c r="AF298" s="26">
        <v>5.0000000000000002E-5</v>
      </c>
      <c r="AG298" s="28">
        <v>0.2</v>
      </c>
      <c r="AH298" s="28">
        <v>30</v>
      </c>
      <c r="AI298" s="26">
        <v>1.0000000000000001E-5</v>
      </c>
      <c r="AJ298" s="26">
        <f t="shared" si="384"/>
        <v>2.0000000000000003E-6</v>
      </c>
      <c r="AK298" s="26">
        <f t="shared" si="385"/>
        <v>8.0000000000000016E-2</v>
      </c>
      <c r="AL298" s="7">
        <v>0.298808589040432</v>
      </c>
      <c r="AM298" s="7">
        <v>4193.5351285970401</v>
      </c>
      <c r="AN298" s="7">
        <v>53851.884931140201</v>
      </c>
      <c r="AO298" s="7">
        <v>4193.5351285970401</v>
      </c>
      <c r="AP298" s="7">
        <v>99241.193570966701</v>
      </c>
      <c r="AQ298" s="7">
        <v>10185.9163578813</v>
      </c>
      <c r="AR298" s="7">
        <f t="shared" si="386"/>
        <v>62238.955188334279</v>
      </c>
      <c r="AT298" s="28">
        <v>4</v>
      </c>
      <c r="AU298" s="26">
        <v>1.0000000000000001E-5</v>
      </c>
      <c r="AV298" s="28">
        <v>0.2</v>
      </c>
      <c r="AW298" s="28">
        <v>200</v>
      </c>
      <c r="AX298" s="26">
        <v>1.0000000000000001E-5</v>
      </c>
      <c r="AY298" s="26">
        <f t="shared" si="387"/>
        <v>2.0000000000000003E-6</v>
      </c>
      <c r="AZ298" s="26">
        <f t="shared" si="388"/>
        <v>0.4</v>
      </c>
      <c r="BA298" s="7">
        <v>0.22129977306218601</v>
      </c>
      <c r="BB298" s="7">
        <v>4345.3623253436699</v>
      </c>
      <c r="BC298" s="7">
        <v>269259.42550450901</v>
      </c>
      <c r="BD298" s="7">
        <v>4345.3623253436699</v>
      </c>
      <c r="BE298" s="7">
        <v>496205.96663466899</v>
      </c>
      <c r="BF298" s="7">
        <v>254647.90894703299</v>
      </c>
      <c r="BG298" s="7">
        <f t="shared" si="389"/>
        <v>277950.15015519632</v>
      </c>
      <c r="BI298" s="28">
        <v>4</v>
      </c>
      <c r="BJ298" s="26">
        <v>1.0000000000000001E-5</v>
      </c>
      <c r="BK298" s="28">
        <v>0.5</v>
      </c>
      <c r="BL298" s="28">
        <v>200</v>
      </c>
      <c r="BM298" s="26">
        <v>1.0000000000000001E-5</v>
      </c>
      <c r="BN298" s="26">
        <f t="shared" si="390"/>
        <v>5.0000000000000004E-6</v>
      </c>
      <c r="BO298" s="26">
        <f t="shared" si="391"/>
        <v>1</v>
      </c>
      <c r="BP298" s="7">
        <v>0.447203550030214</v>
      </c>
      <c r="BQ298" s="7">
        <v>3764.12485338133</v>
      </c>
      <c r="BR298" s="7">
        <v>107703.770201803</v>
      </c>
      <c r="BS298" s="7">
        <v>3764.12485338133</v>
      </c>
      <c r="BT298" s="7">
        <v>198482.38665386799</v>
      </c>
      <c r="BU298" s="7">
        <v>254647.90894703299</v>
      </c>
      <c r="BV298" s="7">
        <f t="shared" si="392"/>
        <v>115232.01990856566</v>
      </c>
      <c r="BX298" s="28">
        <v>4</v>
      </c>
      <c r="BY298" s="26">
        <v>5.0000000000000002E-5</v>
      </c>
      <c r="BZ298" s="28">
        <v>0.5</v>
      </c>
      <c r="CA298" s="28">
        <v>200</v>
      </c>
      <c r="CB298" s="26">
        <v>1.0000000000000001E-5</v>
      </c>
      <c r="CC298" s="26">
        <f t="shared" si="393"/>
        <v>5.0000000000000004E-6</v>
      </c>
      <c r="CD298" s="26">
        <f t="shared" si="394"/>
        <v>0.2</v>
      </c>
      <c r="CE298" s="7">
        <v>0.64961724617663896</v>
      </c>
      <c r="CF298" s="7">
        <v>752.82497001808497</v>
      </c>
      <c r="CG298" s="7">
        <v>21540.753972456099</v>
      </c>
      <c r="CH298" s="7">
        <v>752.82497001808497</v>
      </c>
      <c r="CI298" s="7">
        <v>39696.477428386701</v>
      </c>
      <c r="CJ298" s="7">
        <v>10185.9163578813</v>
      </c>
      <c r="CK298" s="7">
        <f t="shared" si="395"/>
        <v>23046.403912492271</v>
      </c>
      <c r="CM298" s="28">
        <v>4</v>
      </c>
      <c r="CN298" s="26">
        <v>5.0000000000000002E-5</v>
      </c>
      <c r="CO298" s="28">
        <v>1</v>
      </c>
      <c r="CP298" s="28">
        <v>200</v>
      </c>
      <c r="CQ298" s="26">
        <v>1.0000000000000001E-5</v>
      </c>
      <c r="CR298" s="26">
        <f t="shared" si="396"/>
        <v>1.0000000000000001E-5</v>
      </c>
      <c r="CS298" s="26">
        <f t="shared" si="397"/>
        <v>0.4</v>
      </c>
      <c r="CT298" s="7">
        <v>1.09355103759603</v>
      </c>
      <c r="CU298" s="7">
        <v>665.23311259709499</v>
      </c>
      <c r="CV298" s="7">
        <v>10770.376986228001</v>
      </c>
      <c r="CW298" s="7">
        <v>665.23311259709499</v>
      </c>
      <c r="CX298" s="7">
        <v>19848.2387141933</v>
      </c>
      <c r="CY298" s="7">
        <v>10185.9163578813</v>
      </c>
      <c r="CZ298" s="7">
        <f t="shared" si="398"/>
        <v>12100.843211422191</v>
      </c>
      <c r="DB298" s="28">
        <v>4</v>
      </c>
      <c r="DC298" s="26">
        <v>5.0000000000000002E-5</v>
      </c>
      <c r="DD298" s="28">
        <v>2</v>
      </c>
      <c r="DE298" s="28">
        <v>200</v>
      </c>
      <c r="DF298" s="26">
        <v>1.0000000000000001E-5</v>
      </c>
      <c r="DG298" s="26">
        <f t="shared" si="399"/>
        <v>2.0000000000000002E-5</v>
      </c>
      <c r="DH298" s="26">
        <f t="shared" si="400"/>
        <v>0.8</v>
      </c>
      <c r="DI298" s="7">
        <v>1.8579467548816</v>
      </c>
      <c r="DJ298" s="7">
        <v>578.22973015081095</v>
      </c>
      <c r="DK298" s="7">
        <v>5385.1884931140203</v>
      </c>
      <c r="DL298" s="7">
        <v>578.22973015081095</v>
      </c>
      <c r="DM298" s="7">
        <v>9924.1193570966698</v>
      </c>
      <c r="DN298" s="7">
        <v>10185.9163578813</v>
      </c>
      <c r="DO298" s="7">
        <f t="shared" si="401"/>
        <v>6541.6479534156415</v>
      </c>
      <c r="DQ298" s="28">
        <v>4</v>
      </c>
      <c r="DR298" s="26">
        <v>5.0000000000000002E-5</v>
      </c>
      <c r="DS298" s="28">
        <v>15</v>
      </c>
      <c r="DT298" s="28">
        <v>300</v>
      </c>
      <c r="DU298" s="26">
        <v>7.5000000000000002E-6</v>
      </c>
      <c r="DV298" s="26">
        <f t="shared" si="402"/>
        <v>1.125E-4</v>
      </c>
      <c r="DW298" s="26">
        <f t="shared" si="403"/>
        <v>4.5</v>
      </c>
      <c r="DX298" s="7">
        <v>10.9492919783562</v>
      </c>
      <c r="DY298" s="7">
        <v>254.539230510376</v>
      </c>
      <c r="DZ298" s="7">
        <v>718.02513241520205</v>
      </c>
      <c r="EA298" s="7">
        <v>254.539230510376</v>
      </c>
      <c r="EB298" s="7">
        <v>1323.2159142795599</v>
      </c>
      <c r="EC298" s="7">
        <v>8148.7330863050402</v>
      </c>
      <c r="ED298" s="7">
        <f t="shared" si="404"/>
        <v>1227.1035934359541</v>
      </c>
    </row>
    <row r="299" spans="1:134" x14ac:dyDescent="0.4">
      <c r="A299" s="28">
        <v>6</v>
      </c>
      <c r="B299" s="26">
        <v>1.0000000000000001E-5</v>
      </c>
      <c r="C299" s="28">
        <v>0.2</v>
      </c>
      <c r="D299" s="28">
        <v>30</v>
      </c>
      <c r="E299" s="26">
        <v>1.0000000000000001E-5</v>
      </c>
      <c r="F299" s="26">
        <f t="shared" si="378"/>
        <v>2.0000000000000003E-6</v>
      </c>
      <c r="G299" s="26">
        <f t="shared" si="379"/>
        <v>0.4</v>
      </c>
      <c r="H299" s="7">
        <v>0.22588676488995199</v>
      </c>
      <c r="I299" s="7">
        <v>20967.675665585699</v>
      </c>
      <c r="J299" s="7">
        <v>165780.67944707401</v>
      </c>
      <c r="K299" s="7">
        <v>20967.675665585699</v>
      </c>
      <c r="L299" s="7">
        <v>651465.34785778704</v>
      </c>
      <c r="M299" s="7">
        <v>254647.90894703299</v>
      </c>
      <c r="N299" s="7">
        <f t="shared" si="380"/>
        <v>207716.03077824542</v>
      </c>
      <c r="P299" s="28">
        <v>6</v>
      </c>
      <c r="Q299" s="26">
        <v>3.0000000000000001E-5</v>
      </c>
      <c r="R299" s="28">
        <v>0.2</v>
      </c>
      <c r="S299" s="28">
        <v>30</v>
      </c>
      <c r="T299" s="26">
        <v>1.0000000000000001E-5</v>
      </c>
      <c r="U299" s="26">
        <f t="shared" si="381"/>
        <v>2.0000000000000003E-6</v>
      </c>
      <c r="V299" s="26">
        <f t="shared" si="382"/>
        <v>0.13333333333333336</v>
      </c>
      <c r="W299" s="7">
        <v>0.32260936117341699</v>
      </c>
      <c r="X299" s="7">
        <v>6989.2252213633501</v>
      </c>
      <c r="Y299" s="7">
        <v>55260.226463633997</v>
      </c>
      <c r="Z299" s="7">
        <v>6989.2252213633501</v>
      </c>
      <c r="AA299" s="7">
        <v>217155.11601730101</v>
      </c>
      <c r="AB299" s="7">
        <v>28294.212105225801</v>
      </c>
      <c r="AC299" s="7">
        <f t="shared" si="383"/>
        <v>69238.676906360692</v>
      </c>
      <c r="AE299" s="28">
        <v>6</v>
      </c>
      <c r="AF299" s="26">
        <v>5.0000000000000002E-5</v>
      </c>
      <c r="AG299" s="28">
        <v>0.2</v>
      </c>
      <c r="AH299" s="28">
        <v>30</v>
      </c>
      <c r="AI299" s="26">
        <v>1.0000000000000001E-5</v>
      </c>
      <c r="AJ299" s="26">
        <f t="shared" si="384"/>
        <v>2.0000000000000003E-6</v>
      </c>
      <c r="AK299" s="26">
        <f t="shared" si="385"/>
        <v>8.0000000000000016E-2</v>
      </c>
      <c r="AL299" s="7">
        <v>0.36741349866864698</v>
      </c>
      <c r="AM299" s="7">
        <v>4193.5351285970401</v>
      </c>
      <c r="AN299" s="7">
        <v>33156.135719653299</v>
      </c>
      <c r="AO299" s="7">
        <v>4193.5351285970401</v>
      </c>
      <c r="AP299" s="7">
        <v>130293.0701582</v>
      </c>
      <c r="AQ299" s="7">
        <v>10185.9163578813</v>
      </c>
      <c r="AR299" s="7">
        <f t="shared" si="386"/>
        <v>41543.205976847377</v>
      </c>
      <c r="AT299" s="28">
        <v>6</v>
      </c>
      <c r="AU299" s="26">
        <v>1.0000000000000001E-5</v>
      </c>
      <c r="AV299" s="28">
        <v>0.2</v>
      </c>
      <c r="AW299" s="28">
        <v>200</v>
      </c>
      <c r="AX299" s="26">
        <v>1.0000000000000001E-5</v>
      </c>
      <c r="AY299" s="26">
        <f t="shared" si="387"/>
        <v>2.0000000000000003E-6</v>
      </c>
      <c r="AZ299" s="26">
        <f t="shared" si="388"/>
        <v>0.4</v>
      </c>
      <c r="BA299" s="7">
        <v>0.231115031466119</v>
      </c>
      <c r="BB299" s="7">
        <v>4345.3623253436699</v>
      </c>
      <c r="BC299" s="7">
        <v>165780.67944707401</v>
      </c>
      <c r="BD299" s="7">
        <v>4345.3623253436699</v>
      </c>
      <c r="BE299" s="7">
        <v>651465.34785778704</v>
      </c>
      <c r="BF299" s="7">
        <v>254647.90894703299</v>
      </c>
      <c r="BG299" s="7">
        <f t="shared" si="389"/>
        <v>174471.40409776138</v>
      </c>
      <c r="BI299" s="28">
        <v>6</v>
      </c>
      <c r="BJ299" s="26">
        <v>1.0000000000000001E-5</v>
      </c>
      <c r="BK299" s="28">
        <v>0.5</v>
      </c>
      <c r="BL299" s="28">
        <v>200</v>
      </c>
      <c r="BM299" s="26">
        <v>1.0000000000000001E-5</v>
      </c>
      <c r="BN299" s="26">
        <f t="shared" si="390"/>
        <v>5.0000000000000004E-6</v>
      </c>
      <c r="BO299" s="26">
        <f t="shared" si="391"/>
        <v>1</v>
      </c>
      <c r="BP299" s="7">
        <v>0.42810379256133502</v>
      </c>
      <c r="BQ299" s="7">
        <v>3764.12485338133</v>
      </c>
      <c r="BR299" s="7">
        <v>66312.271778829701</v>
      </c>
      <c r="BS299" s="7">
        <v>3764.12485338133</v>
      </c>
      <c r="BT299" s="7">
        <v>260586.139143115</v>
      </c>
      <c r="BU299" s="7">
        <v>254647.90894703299</v>
      </c>
      <c r="BV299" s="7">
        <f t="shared" si="392"/>
        <v>73840.52148559237</v>
      </c>
      <c r="BX299" s="28">
        <v>6</v>
      </c>
      <c r="BY299" s="26">
        <v>5.0000000000000002E-5</v>
      </c>
      <c r="BZ299" s="28">
        <v>0.5</v>
      </c>
      <c r="CA299" s="28">
        <v>200</v>
      </c>
      <c r="CB299" s="26">
        <v>1.0000000000000001E-5</v>
      </c>
      <c r="CC299" s="26">
        <f t="shared" si="393"/>
        <v>5.0000000000000004E-6</v>
      </c>
      <c r="CD299" s="26">
        <f t="shared" si="394"/>
        <v>0.2</v>
      </c>
      <c r="CE299" s="7">
        <v>0.73471630944316202</v>
      </c>
      <c r="CF299" s="7">
        <v>752.82497001808497</v>
      </c>
      <c r="CG299" s="7">
        <v>13262.454287861299</v>
      </c>
      <c r="CH299" s="7">
        <v>752.82497001808497</v>
      </c>
      <c r="CI299" s="7">
        <v>52117.228063280199</v>
      </c>
      <c r="CJ299" s="7">
        <v>10185.9163578813</v>
      </c>
      <c r="CK299" s="7">
        <f t="shared" si="395"/>
        <v>14768.104227897471</v>
      </c>
      <c r="CM299" s="28">
        <v>6</v>
      </c>
      <c r="CN299" s="26">
        <v>5.0000000000000002E-5</v>
      </c>
      <c r="CO299" s="28">
        <v>1</v>
      </c>
      <c r="CP299" s="28">
        <v>200</v>
      </c>
      <c r="CQ299" s="26">
        <v>1.0000000000000001E-5</v>
      </c>
      <c r="CR299" s="26">
        <f t="shared" si="396"/>
        <v>1.0000000000000001E-5</v>
      </c>
      <c r="CS299" s="26">
        <f t="shared" si="397"/>
        <v>0.4</v>
      </c>
      <c r="CT299" s="7">
        <v>1.13601764460851</v>
      </c>
      <c r="CU299" s="7">
        <v>665.23311259709499</v>
      </c>
      <c r="CV299" s="7">
        <v>6631.2271439306596</v>
      </c>
      <c r="CW299" s="7">
        <v>665.23311259709499</v>
      </c>
      <c r="CX299" s="7">
        <v>26058.6140316401</v>
      </c>
      <c r="CY299" s="7">
        <v>10185.9163578813</v>
      </c>
      <c r="CZ299" s="7">
        <f t="shared" si="398"/>
        <v>7961.6933691248496</v>
      </c>
      <c r="DB299" s="28">
        <v>6</v>
      </c>
      <c r="DC299" s="26">
        <v>5.0000000000000002E-5</v>
      </c>
      <c r="DD299" s="28">
        <v>2</v>
      </c>
      <c r="DE299" s="28">
        <v>200</v>
      </c>
      <c r="DF299" s="26">
        <v>1.0000000000000001E-5</v>
      </c>
      <c r="DG299" s="26">
        <f t="shared" si="399"/>
        <v>2.0000000000000002E-5</v>
      </c>
      <c r="DH299" s="26">
        <f t="shared" si="400"/>
        <v>0.8</v>
      </c>
      <c r="DI299" s="7">
        <v>1.8042296924555901</v>
      </c>
      <c r="DJ299" s="7">
        <v>578.22973015081095</v>
      </c>
      <c r="DK299" s="7">
        <v>3315.6135719653298</v>
      </c>
      <c r="DL299" s="7">
        <v>578.22973015081095</v>
      </c>
      <c r="DM299" s="7">
        <v>13029.307015820101</v>
      </c>
      <c r="DN299" s="7">
        <v>10185.9163578813</v>
      </c>
      <c r="DO299" s="7">
        <f t="shared" si="401"/>
        <v>4472.0730322669515</v>
      </c>
      <c r="DQ299" s="28">
        <v>6</v>
      </c>
      <c r="DR299" s="26">
        <v>5.0000000000000002E-5</v>
      </c>
      <c r="DS299" s="28">
        <v>15</v>
      </c>
      <c r="DT299" s="28">
        <v>300</v>
      </c>
      <c r="DU299" s="26">
        <v>7.5000000000000002E-6</v>
      </c>
      <c r="DV299" s="26">
        <f t="shared" si="402"/>
        <v>1.125E-4</v>
      </c>
      <c r="DW299" s="26">
        <f t="shared" si="403"/>
        <v>4.5</v>
      </c>
      <c r="DX299" s="7">
        <v>9.7704989115978602</v>
      </c>
      <c r="DY299" s="7">
        <v>254.539230510376</v>
      </c>
      <c r="DZ299" s="7">
        <v>442.08180959537702</v>
      </c>
      <c r="EA299" s="7">
        <v>254.539230510376</v>
      </c>
      <c r="EB299" s="7">
        <v>1737.24093544267</v>
      </c>
      <c r="EC299" s="7">
        <v>8148.7330863050402</v>
      </c>
      <c r="ED299" s="7">
        <f t="shared" si="404"/>
        <v>951.16027061612908</v>
      </c>
    </row>
    <row r="300" spans="1:134" x14ac:dyDescent="0.4">
      <c r="A300" s="28">
        <v>8</v>
      </c>
      <c r="B300" s="26">
        <v>1.0000000000000001E-5</v>
      </c>
      <c r="C300" s="28">
        <v>0.2</v>
      </c>
      <c r="D300" s="28">
        <v>30</v>
      </c>
      <c r="E300" s="26">
        <v>1.0000000000000001E-5</v>
      </c>
      <c r="F300" s="26">
        <f t="shared" si="378"/>
        <v>2.0000000000000003E-6</v>
      </c>
      <c r="G300" s="26">
        <f t="shared" si="379"/>
        <v>0.4</v>
      </c>
      <c r="H300" s="7">
        <v>0.23357764689119601</v>
      </c>
      <c r="I300" s="7">
        <v>20967.675665585699</v>
      </c>
      <c r="J300" s="7">
        <v>100396.196898707</v>
      </c>
      <c r="K300" s="7">
        <v>20967.675665585699</v>
      </c>
      <c r="L300" s="7">
        <v>821154.82400854595</v>
      </c>
      <c r="M300" s="7">
        <v>254647.90894703299</v>
      </c>
      <c r="N300" s="7">
        <f t="shared" si="380"/>
        <v>142331.54822987839</v>
      </c>
      <c r="P300" s="28">
        <v>8</v>
      </c>
      <c r="Q300" s="26">
        <v>3.0000000000000001E-5</v>
      </c>
      <c r="R300" s="28">
        <v>0.2</v>
      </c>
      <c r="S300" s="28">
        <v>30</v>
      </c>
      <c r="T300" s="26">
        <v>1.0000000000000001E-5</v>
      </c>
      <c r="U300" s="26">
        <f t="shared" si="381"/>
        <v>2.0000000000000003E-6</v>
      </c>
      <c r="V300" s="26">
        <f t="shared" si="382"/>
        <v>0.13333333333333336</v>
      </c>
      <c r="W300" s="7">
        <v>0.375257242917172</v>
      </c>
      <c r="X300" s="7">
        <v>6989.2252213633501</v>
      </c>
      <c r="Y300" s="7">
        <v>33465.398947511501</v>
      </c>
      <c r="Z300" s="7">
        <v>6989.2252213633501</v>
      </c>
      <c r="AA300" s="7">
        <v>273718.27480960399</v>
      </c>
      <c r="AB300" s="7">
        <v>28294.212105225801</v>
      </c>
      <c r="AC300" s="7">
        <f t="shared" si="383"/>
        <v>47443.849390238196</v>
      </c>
      <c r="AE300" s="28">
        <v>8</v>
      </c>
      <c r="AF300" s="26">
        <v>5.0000000000000002E-5</v>
      </c>
      <c r="AG300" s="28">
        <v>0.2</v>
      </c>
      <c r="AH300" s="28">
        <v>30</v>
      </c>
      <c r="AI300" s="26">
        <v>1.0000000000000001E-5</v>
      </c>
      <c r="AJ300" s="26">
        <f t="shared" si="384"/>
        <v>2.0000000000000003E-6</v>
      </c>
      <c r="AK300" s="26">
        <f t="shared" si="385"/>
        <v>8.0000000000000016E-2</v>
      </c>
      <c r="AL300" s="7">
        <v>0.45087216036282901</v>
      </c>
      <c r="AM300" s="7">
        <v>4193.5351285970401</v>
      </c>
      <c r="AN300" s="7">
        <v>20079.239209979802</v>
      </c>
      <c r="AO300" s="7">
        <v>4193.5351285970401</v>
      </c>
      <c r="AP300" s="7">
        <v>164230.96607182099</v>
      </c>
      <c r="AQ300" s="7">
        <v>10185.9163578813</v>
      </c>
      <c r="AR300" s="7">
        <f t="shared" si="386"/>
        <v>28466.30946717388</v>
      </c>
      <c r="AT300" s="28">
        <v>8</v>
      </c>
      <c r="AU300" s="26">
        <v>1.0000000000000001E-5</v>
      </c>
      <c r="AV300" s="28">
        <v>0.2</v>
      </c>
      <c r="AW300" s="28">
        <v>200</v>
      </c>
      <c r="AX300" s="26">
        <v>1.0000000000000001E-5</v>
      </c>
      <c r="AY300" s="26">
        <f t="shared" si="387"/>
        <v>2.0000000000000003E-6</v>
      </c>
      <c r="AZ300" s="26">
        <f t="shared" si="388"/>
        <v>0.4</v>
      </c>
      <c r="BA300" s="7">
        <v>0.240578998770619</v>
      </c>
      <c r="BB300" s="7">
        <v>4345.3623253436699</v>
      </c>
      <c r="BC300" s="7">
        <v>100396.196898707</v>
      </c>
      <c r="BD300" s="7">
        <v>4345.3623253436699</v>
      </c>
      <c r="BE300" s="7">
        <v>821154.82400854595</v>
      </c>
      <c r="BF300" s="7">
        <v>254647.90894703299</v>
      </c>
      <c r="BG300" s="7">
        <f t="shared" si="389"/>
        <v>109086.92154939433</v>
      </c>
      <c r="BI300" s="28">
        <v>8</v>
      </c>
      <c r="BJ300" s="26">
        <v>1.0000000000000001E-5</v>
      </c>
      <c r="BK300" s="28">
        <v>0.5</v>
      </c>
      <c r="BL300" s="28">
        <v>200</v>
      </c>
      <c r="BM300" s="26">
        <v>1.0000000000000001E-5</v>
      </c>
      <c r="BN300" s="26">
        <f t="shared" si="390"/>
        <v>5.0000000000000004E-6</v>
      </c>
      <c r="BO300" s="26">
        <f t="shared" si="391"/>
        <v>1</v>
      </c>
      <c r="BP300" s="7">
        <v>0.41072564974829101</v>
      </c>
      <c r="BQ300" s="7">
        <v>3764.12485338133</v>
      </c>
      <c r="BR300" s="7">
        <v>40158.478759482699</v>
      </c>
      <c r="BS300" s="7">
        <v>3764.12485338133</v>
      </c>
      <c r="BT300" s="7">
        <v>328461.92960341799</v>
      </c>
      <c r="BU300" s="7">
        <v>254647.90894703299</v>
      </c>
      <c r="BV300" s="7">
        <f t="shared" si="392"/>
        <v>47686.728466245353</v>
      </c>
      <c r="BX300" s="28">
        <v>8</v>
      </c>
      <c r="BY300" s="26">
        <v>5.0000000000000002E-5</v>
      </c>
      <c r="BZ300" s="28">
        <v>0.5</v>
      </c>
      <c r="CA300" s="28">
        <v>200</v>
      </c>
      <c r="CB300" s="26">
        <v>1.0000000000000001E-5</v>
      </c>
      <c r="CC300" s="26">
        <f t="shared" si="393"/>
        <v>5.0000000000000004E-6</v>
      </c>
      <c r="CD300" s="26">
        <f t="shared" si="394"/>
        <v>0.2</v>
      </c>
      <c r="CE300" s="7">
        <v>0.82583368579144001</v>
      </c>
      <c r="CF300" s="7">
        <v>752.82497001808497</v>
      </c>
      <c r="CG300" s="7">
        <v>8031.6956839919103</v>
      </c>
      <c r="CH300" s="7">
        <v>752.82497001808497</v>
      </c>
      <c r="CI300" s="7">
        <v>65692.386428728598</v>
      </c>
      <c r="CJ300" s="7">
        <v>10185.9163578813</v>
      </c>
      <c r="CK300" s="7">
        <f t="shared" si="395"/>
        <v>9537.3456240280793</v>
      </c>
      <c r="CM300" s="28">
        <v>8</v>
      </c>
      <c r="CN300" s="26">
        <v>5.0000000000000002E-5</v>
      </c>
      <c r="CO300" s="28">
        <v>1</v>
      </c>
      <c r="CP300" s="28">
        <v>200</v>
      </c>
      <c r="CQ300" s="26">
        <v>1.0000000000000001E-5</v>
      </c>
      <c r="CR300" s="26">
        <f t="shared" si="396"/>
        <v>1.0000000000000001E-5</v>
      </c>
      <c r="CS300" s="26">
        <f t="shared" si="397"/>
        <v>0.4</v>
      </c>
      <c r="CT300" s="7">
        <v>1.17667263551129</v>
      </c>
      <c r="CU300" s="7">
        <v>665.23311259709499</v>
      </c>
      <c r="CV300" s="7">
        <v>4015.8478419959501</v>
      </c>
      <c r="CW300" s="7">
        <v>665.23311259709499</v>
      </c>
      <c r="CX300" s="7">
        <v>32846.193214364299</v>
      </c>
      <c r="CY300" s="7">
        <v>10185.9163578813</v>
      </c>
      <c r="CZ300" s="7">
        <f t="shared" si="398"/>
        <v>5346.3140671901401</v>
      </c>
      <c r="DB300" s="28">
        <v>8</v>
      </c>
      <c r="DC300" s="26">
        <v>5.0000000000000002E-5</v>
      </c>
      <c r="DD300" s="28">
        <v>2</v>
      </c>
      <c r="DE300" s="28">
        <v>200</v>
      </c>
      <c r="DF300" s="26">
        <v>1.0000000000000001E-5</v>
      </c>
      <c r="DG300" s="26">
        <f t="shared" si="399"/>
        <v>2.0000000000000002E-5</v>
      </c>
      <c r="DH300" s="26">
        <f t="shared" si="400"/>
        <v>0.8</v>
      </c>
      <c r="DI300" s="7">
        <v>1.7545810465671301</v>
      </c>
      <c r="DJ300" s="7">
        <v>578.22973015081095</v>
      </c>
      <c r="DK300" s="7">
        <v>2007.9239209979801</v>
      </c>
      <c r="DL300" s="7">
        <v>578.22973015081095</v>
      </c>
      <c r="DM300" s="7">
        <v>16423.096607182099</v>
      </c>
      <c r="DN300" s="7">
        <v>10185.9163578813</v>
      </c>
      <c r="DO300" s="7">
        <f t="shared" si="401"/>
        <v>3164.3833812996022</v>
      </c>
      <c r="DQ300" s="28">
        <v>8</v>
      </c>
      <c r="DR300" s="26">
        <v>5.0000000000000002E-5</v>
      </c>
      <c r="DS300" s="28">
        <v>15</v>
      </c>
      <c r="DT300" s="28">
        <v>300</v>
      </c>
      <c r="DU300" s="26">
        <v>7.5000000000000002E-6</v>
      </c>
      <c r="DV300" s="26">
        <f t="shared" si="402"/>
        <v>1.125E-4</v>
      </c>
      <c r="DW300" s="26">
        <f t="shared" si="403"/>
        <v>4.5</v>
      </c>
      <c r="DX300" s="7">
        <v>8.7449640165456497</v>
      </c>
      <c r="DY300" s="7">
        <v>254.539230510376</v>
      </c>
      <c r="DZ300" s="7">
        <v>267.723189466397</v>
      </c>
      <c r="EA300" s="7">
        <v>254.539230510376</v>
      </c>
      <c r="EB300" s="7">
        <v>2189.7462142909499</v>
      </c>
      <c r="EC300" s="7">
        <v>8148.7330863050402</v>
      </c>
      <c r="ED300" s="7">
        <f t="shared" si="404"/>
        <v>776.801650487149</v>
      </c>
    </row>
    <row r="301" spans="1:134" x14ac:dyDescent="0.4">
      <c r="A301" s="28">
        <v>10</v>
      </c>
      <c r="B301" s="26">
        <v>1.0000000000000001E-5</v>
      </c>
      <c r="C301" s="28">
        <v>0.2</v>
      </c>
      <c r="D301" s="28">
        <v>30</v>
      </c>
      <c r="E301" s="26">
        <v>1.0000000000000001E-5</v>
      </c>
      <c r="F301" s="26">
        <f t="shared" si="378"/>
        <v>2.0000000000000003E-6</v>
      </c>
      <c r="G301" s="26">
        <f t="shared" si="379"/>
        <v>0.4</v>
      </c>
      <c r="H301" s="7">
        <v>0.241172600925114</v>
      </c>
      <c r="I301" s="7">
        <v>20967.675665585699</v>
      </c>
      <c r="J301" s="7">
        <v>53826.312121005001</v>
      </c>
      <c r="K301" s="7">
        <v>20967.675665585699</v>
      </c>
      <c r="L301" s="7">
        <v>1014751.21705289</v>
      </c>
      <c r="M301" s="7">
        <v>254647.90894703299</v>
      </c>
      <c r="N301" s="7">
        <f t="shared" si="380"/>
        <v>95761.663452176406</v>
      </c>
      <c r="P301" s="28">
        <v>10</v>
      </c>
      <c r="Q301" s="26">
        <v>3.0000000000000001E-5</v>
      </c>
      <c r="R301" s="28">
        <v>0.2</v>
      </c>
      <c r="S301" s="28">
        <v>30</v>
      </c>
      <c r="T301" s="26">
        <v>1.0000000000000001E-5</v>
      </c>
      <c r="U301" s="26">
        <f t="shared" si="381"/>
        <v>2.0000000000000003E-6</v>
      </c>
      <c r="V301" s="26">
        <f t="shared" si="382"/>
        <v>0.13333333333333336</v>
      </c>
      <c r="W301" s="7">
        <v>0.4343668026068</v>
      </c>
      <c r="X301" s="7">
        <v>6989.2252213633501</v>
      </c>
      <c r="Y301" s="7">
        <v>17942.1040216109</v>
      </c>
      <c r="Z301" s="7">
        <v>6989.2252213633501</v>
      </c>
      <c r="AA301" s="7">
        <v>338250.40599296999</v>
      </c>
      <c r="AB301" s="7">
        <v>28294.212105225801</v>
      </c>
      <c r="AC301" s="7">
        <f t="shared" si="383"/>
        <v>31920.554464337602</v>
      </c>
      <c r="AE301" s="28">
        <v>10</v>
      </c>
      <c r="AF301" s="26">
        <v>5.0000000000000002E-5</v>
      </c>
      <c r="AG301" s="28">
        <v>0.2</v>
      </c>
      <c r="AH301" s="28">
        <v>30</v>
      </c>
      <c r="AI301" s="26">
        <v>1.0000000000000001E-5</v>
      </c>
      <c r="AJ301" s="26">
        <f t="shared" si="384"/>
        <v>2.0000000000000003E-6</v>
      </c>
      <c r="AK301" s="26">
        <f t="shared" si="385"/>
        <v>8.0000000000000016E-2</v>
      </c>
      <c r="AL301" s="7">
        <v>0.55266769192645904</v>
      </c>
      <c r="AM301" s="7">
        <v>4193.5351285970401</v>
      </c>
      <c r="AN301" s="7">
        <v>10765.2622544394</v>
      </c>
      <c r="AO301" s="7">
        <v>4193.5351285970401</v>
      </c>
      <c r="AP301" s="7">
        <v>202950.24620916101</v>
      </c>
      <c r="AQ301" s="7">
        <v>10185.9163578813</v>
      </c>
      <c r="AR301" s="7">
        <f t="shared" si="386"/>
        <v>19152.332511633478</v>
      </c>
      <c r="AT301" s="28">
        <v>10</v>
      </c>
      <c r="AU301" s="26">
        <v>1.0000000000000001E-5</v>
      </c>
      <c r="AV301" s="28">
        <v>0.2</v>
      </c>
      <c r="AW301" s="28">
        <v>200</v>
      </c>
      <c r="AX301" s="26">
        <v>1.0000000000000001E-5</v>
      </c>
      <c r="AY301" s="26">
        <f t="shared" si="387"/>
        <v>2.0000000000000003E-6</v>
      </c>
      <c r="AZ301" s="26">
        <f t="shared" si="388"/>
        <v>0.4</v>
      </c>
      <c r="BA301" s="7">
        <v>0.249956581510658</v>
      </c>
      <c r="BB301" s="7">
        <v>4345.3623253436699</v>
      </c>
      <c r="BC301" s="7">
        <v>53826.312121005001</v>
      </c>
      <c r="BD301" s="7">
        <v>4345.3623253436699</v>
      </c>
      <c r="BE301" s="7">
        <v>1014751.21705289</v>
      </c>
      <c r="BF301" s="7">
        <v>254647.90894703299</v>
      </c>
      <c r="BG301" s="7">
        <f t="shared" si="389"/>
        <v>62517.036771692336</v>
      </c>
      <c r="BI301" s="28">
        <v>10</v>
      </c>
      <c r="BJ301" s="26">
        <v>1.0000000000000001E-5</v>
      </c>
      <c r="BK301" s="28">
        <v>0.5</v>
      </c>
      <c r="BL301" s="28">
        <v>200</v>
      </c>
      <c r="BM301" s="26">
        <v>1.0000000000000001E-5</v>
      </c>
      <c r="BN301" s="26">
        <f t="shared" si="390"/>
        <v>5.0000000000000004E-6</v>
      </c>
      <c r="BO301" s="26">
        <f t="shared" si="391"/>
        <v>1</v>
      </c>
      <c r="BP301" s="7">
        <v>0.39502246215856901</v>
      </c>
      <c r="BQ301" s="7">
        <v>3764.12485338133</v>
      </c>
      <c r="BR301" s="7">
        <v>21530.524848402001</v>
      </c>
      <c r="BS301" s="7">
        <v>3764.12485338133</v>
      </c>
      <c r="BT301" s="7">
        <v>405900.48682115501</v>
      </c>
      <c r="BU301" s="7">
        <v>254647.90894703299</v>
      </c>
      <c r="BV301" s="7">
        <f t="shared" si="392"/>
        <v>29058.774555164662</v>
      </c>
      <c r="BX301" s="28">
        <v>10</v>
      </c>
      <c r="BY301" s="26">
        <v>5.0000000000000002E-5</v>
      </c>
      <c r="BZ301" s="28">
        <v>0.5</v>
      </c>
      <c r="CA301" s="28">
        <v>200</v>
      </c>
      <c r="CB301" s="26">
        <v>1.0000000000000001E-5</v>
      </c>
      <c r="CC301" s="26">
        <f t="shared" si="393"/>
        <v>5.0000000000000004E-6</v>
      </c>
      <c r="CD301" s="26">
        <f t="shared" si="394"/>
        <v>0.2</v>
      </c>
      <c r="CE301" s="7">
        <v>0.923483499875695</v>
      </c>
      <c r="CF301" s="7">
        <v>752.82497001808497</v>
      </c>
      <c r="CG301" s="7">
        <v>4306.1049017757796</v>
      </c>
      <c r="CH301" s="7">
        <v>752.82497001808497</v>
      </c>
      <c r="CI301" s="7">
        <v>81180.098483664406</v>
      </c>
      <c r="CJ301" s="7">
        <v>10185.9163578813</v>
      </c>
      <c r="CK301" s="7">
        <f t="shared" si="395"/>
        <v>5811.7548418119495</v>
      </c>
      <c r="CM301" s="28">
        <v>10</v>
      </c>
      <c r="CN301" s="26">
        <v>5.0000000000000002E-5</v>
      </c>
      <c r="CO301" s="28">
        <v>1</v>
      </c>
      <c r="CP301" s="28">
        <v>200</v>
      </c>
      <c r="CQ301" s="26">
        <v>1.0000000000000001E-5</v>
      </c>
      <c r="CR301" s="26">
        <f t="shared" si="396"/>
        <v>1.0000000000000001E-5</v>
      </c>
      <c r="CS301" s="26">
        <f t="shared" si="397"/>
        <v>0.4</v>
      </c>
      <c r="CT301" s="7">
        <v>1.2168498238148899</v>
      </c>
      <c r="CU301" s="7">
        <v>665.23311259709499</v>
      </c>
      <c r="CV301" s="7">
        <v>2153.0524508878898</v>
      </c>
      <c r="CW301" s="7">
        <v>665.23311259709499</v>
      </c>
      <c r="CX301" s="7">
        <v>40590.049241832203</v>
      </c>
      <c r="CY301" s="7">
        <v>10185.9163578813</v>
      </c>
      <c r="CZ301" s="7">
        <f t="shared" si="398"/>
        <v>3483.5186760820798</v>
      </c>
      <c r="DB301" s="28">
        <v>10</v>
      </c>
      <c r="DC301" s="26">
        <v>5.0000000000000002E-5</v>
      </c>
      <c r="DD301" s="28">
        <v>2</v>
      </c>
      <c r="DE301" s="28">
        <v>200</v>
      </c>
      <c r="DF301" s="26">
        <v>1.0000000000000001E-5</v>
      </c>
      <c r="DG301" s="26">
        <f t="shared" si="399"/>
        <v>2.0000000000000002E-5</v>
      </c>
      <c r="DH301" s="26">
        <f t="shared" si="400"/>
        <v>0.8</v>
      </c>
      <c r="DI301" s="7">
        <v>1.7096828296309201</v>
      </c>
      <c r="DJ301" s="7">
        <v>578.22973015081095</v>
      </c>
      <c r="DK301" s="7">
        <v>1076.5262254439399</v>
      </c>
      <c r="DL301" s="7">
        <v>578.22973015081095</v>
      </c>
      <c r="DM301" s="7">
        <v>20295.024620916101</v>
      </c>
      <c r="DN301" s="7">
        <v>10185.9163578813</v>
      </c>
      <c r="DO301" s="7">
        <f t="shared" si="401"/>
        <v>2232.985685745562</v>
      </c>
      <c r="DQ301" s="28">
        <v>10</v>
      </c>
      <c r="DR301" s="26">
        <v>5.0000000000000002E-5</v>
      </c>
      <c r="DS301" s="28">
        <v>15</v>
      </c>
      <c r="DT301" s="28">
        <v>300</v>
      </c>
      <c r="DU301" s="26">
        <v>7.5000000000000002E-6</v>
      </c>
      <c r="DV301" s="26">
        <f t="shared" si="402"/>
        <v>1.125E-4</v>
      </c>
      <c r="DW301" s="26">
        <f t="shared" si="403"/>
        <v>4.5</v>
      </c>
      <c r="DX301" s="7">
        <v>7.8351507894722596</v>
      </c>
      <c r="DY301" s="7">
        <v>254.539230510376</v>
      </c>
      <c r="DZ301" s="7">
        <v>143.53683005919299</v>
      </c>
      <c r="EA301" s="7">
        <v>254.539230510376</v>
      </c>
      <c r="EB301" s="7">
        <v>2706.0032827888099</v>
      </c>
      <c r="EC301" s="7">
        <v>8148.7330863050402</v>
      </c>
      <c r="ED301" s="7">
        <f t="shared" si="404"/>
        <v>652.615291079945</v>
      </c>
    </row>
    <row r="302" spans="1:134" x14ac:dyDescent="0.4">
      <c r="A302" s="28">
        <v>12</v>
      </c>
      <c r="B302" s="26">
        <v>1.0000000000000001E-5</v>
      </c>
      <c r="C302" s="28">
        <v>0.2</v>
      </c>
      <c r="D302" s="28">
        <v>30</v>
      </c>
      <c r="E302" s="26">
        <v>1.0000000000000001E-5</v>
      </c>
      <c r="F302" s="26">
        <f t="shared" si="378"/>
        <v>2.0000000000000003E-6</v>
      </c>
      <c r="G302" s="26">
        <f t="shared" si="379"/>
        <v>0.4</v>
      </c>
      <c r="H302" s="7">
        <v>0.25001975151890898</v>
      </c>
      <c r="I302" s="7">
        <v>20967.675665585699</v>
      </c>
      <c r="J302" s="7">
        <v>18265.061724746</v>
      </c>
      <c r="K302" s="7">
        <v>20967.675665585699</v>
      </c>
      <c r="L302" s="7">
        <v>1222830.0672564299</v>
      </c>
      <c r="M302" s="7">
        <v>254647.90894703299</v>
      </c>
      <c r="N302" s="7">
        <f t="shared" si="380"/>
        <v>60200.413055917394</v>
      </c>
      <c r="P302" s="28">
        <v>12</v>
      </c>
      <c r="Q302" s="26">
        <v>3.0000000000000001E-5</v>
      </c>
      <c r="R302" s="28">
        <v>0.2</v>
      </c>
      <c r="S302" s="28">
        <v>30</v>
      </c>
      <c r="T302" s="26">
        <v>1.0000000000000001E-5</v>
      </c>
      <c r="U302" s="26">
        <f t="shared" si="381"/>
        <v>2.0000000000000003E-6</v>
      </c>
      <c r="V302" s="26">
        <f t="shared" si="382"/>
        <v>0.13333333333333336</v>
      </c>
      <c r="W302" s="7">
        <v>0.50186813291850196</v>
      </c>
      <c r="X302" s="7">
        <v>6989.2252213633501</v>
      </c>
      <c r="Y302" s="7">
        <v>6088.3538895246002</v>
      </c>
      <c r="Z302" s="7">
        <v>6989.2252213633501</v>
      </c>
      <c r="AA302" s="7">
        <v>407610.02322415198</v>
      </c>
      <c r="AB302" s="7">
        <v>28294.212105225801</v>
      </c>
      <c r="AC302" s="7">
        <f t="shared" si="383"/>
        <v>20066.8043322513</v>
      </c>
      <c r="AE302" s="28">
        <v>12</v>
      </c>
      <c r="AF302" s="26">
        <v>5.0000000000000002E-5</v>
      </c>
      <c r="AG302" s="28">
        <v>0.2</v>
      </c>
      <c r="AH302" s="28">
        <v>30</v>
      </c>
      <c r="AI302" s="26">
        <v>1.0000000000000001E-5</v>
      </c>
      <c r="AJ302" s="26">
        <f t="shared" si="384"/>
        <v>2.0000000000000003E-6</v>
      </c>
      <c r="AK302" s="26">
        <f t="shared" si="385"/>
        <v>8.0000000000000016E-2</v>
      </c>
      <c r="AL302" s="7">
        <v>0.67887304405122595</v>
      </c>
      <c r="AM302" s="7">
        <v>4193.5351285970401</v>
      </c>
      <c r="AN302" s="7">
        <v>3653.01217518762</v>
      </c>
      <c r="AO302" s="7">
        <v>4193.5351285970401</v>
      </c>
      <c r="AP302" s="7">
        <v>244566.02075291699</v>
      </c>
      <c r="AQ302" s="7">
        <v>10185.9163578813</v>
      </c>
      <c r="AR302" s="7">
        <f t="shared" si="386"/>
        <v>12040.0824323817</v>
      </c>
      <c r="AT302" s="28">
        <v>12</v>
      </c>
      <c r="AU302" s="26">
        <v>1.0000000000000001E-5</v>
      </c>
      <c r="AV302" s="28">
        <v>0.2</v>
      </c>
      <c r="AW302" s="28">
        <v>200</v>
      </c>
      <c r="AX302" s="26">
        <v>1.0000000000000001E-5</v>
      </c>
      <c r="AY302" s="26">
        <f t="shared" si="387"/>
        <v>2.0000000000000003E-6</v>
      </c>
      <c r="AZ302" s="26">
        <f t="shared" si="388"/>
        <v>0.4</v>
      </c>
      <c r="BA302" s="7">
        <v>0.26059464999951798</v>
      </c>
      <c r="BB302" s="7">
        <v>4345.3623253436699</v>
      </c>
      <c r="BC302" s="7">
        <v>18265.061724746</v>
      </c>
      <c r="BD302" s="7">
        <v>4345.3623253436699</v>
      </c>
      <c r="BE302" s="7">
        <v>1222830.0672564299</v>
      </c>
      <c r="BF302" s="7">
        <v>254647.90894703299</v>
      </c>
      <c r="BG302" s="7">
        <f t="shared" si="389"/>
        <v>26955.786375433341</v>
      </c>
      <c r="BI302" s="28">
        <v>12</v>
      </c>
      <c r="BJ302" s="26">
        <v>1.0000000000000001E-5</v>
      </c>
      <c r="BK302" s="28">
        <v>0.5</v>
      </c>
      <c r="BL302" s="28">
        <v>200</v>
      </c>
      <c r="BM302" s="26">
        <v>1.0000000000000001E-5</v>
      </c>
      <c r="BN302" s="26">
        <f t="shared" si="390"/>
        <v>5.0000000000000004E-6</v>
      </c>
      <c r="BO302" s="26">
        <f t="shared" si="391"/>
        <v>1</v>
      </c>
      <c r="BP302" s="7">
        <v>0.383946591885583</v>
      </c>
      <c r="BQ302" s="7">
        <v>3764.12485338133</v>
      </c>
      <c r="BR302" s="7">
        <v>7306.0246898983996</v>
      </c>
      <c r="BS302" s="7">
        <v>3764.12485338133</v>
      </c>
      <c r="BT302" s="7">
        <v>489132.02690256998</v>
      </c>
      <c r="BU302" s="7">
        <v>254647.90894703299</v>
      </c>
      <c r="BV302" s="7">
        <f t="shared" si="392"/>
        <v>14834.27439666106</v>
      </c>
      <c r="BX302" s="28">
        <v>12</v>
      </c>
      <c r="BY302" s="26">
        <v>5.0000000000000002E-5</v>
      </c>
      <c r="BZ302" s="28">
        <v>0.5</v>
      </c>
      <c r="CA302" s="28">
        <v>200</v>
      </c>
      <c r="CB302" s="26">
        <v>1.0000000000000001E-5</v>
      </c>
      <c r="CC302" s="26">
        <f t="shared" si="393"/>
        <v>5.0000000000000004E-6</v>
      </c>
      <c r="CD302" s="26">
        <f t="shared" si="394"/>
        <v>0.2</v>
      </c>
      <c r="CE302" s="7">
        <v>1.03107247357704</v>
      </c>
      <c r="CF302" s="7">
        <v>752.82497001808497</v>
      </c>
      <c r="CG302" s="7">
        <v>1461.2048700750499</v>
      </c>
      <c r="CH302" s="7">
        <v>752.82497001808497</v>
      </c>
      <c r="CI302" s="7">
        <v>97826.408301166695</v>
      </c>
      <c r="CJ302" s="7">
        <v>10185.9163578813</v>
      </c>
      <c r="CK302" s="7">
        <f t="shared" si="395"/>
        <v>2966.8548101112201</v>
      </c>
      <c r="CM302" s="28">
        <v>12</v>
      </c>
      <c r="CN302" s="26">
        <v>5.0000000000000002E-5</v>
      </c>
      <c r="CO302" s="28">
        <v>1</v>
      </c>
      <c r="CP302" s="28">
        <v>200</v>
      </c>
      <c r="CQ302" s="26">
        <v>1.0000000000000001E-5</v>
      </c>
      <c r="CR302" s="26">
        <f t="shared" si="396"/>
        <v>1.0000000000000001E-5</v>
      </c>
      <c r="CS302" s="26">
        <f t="shared" si="397"/>
        <v>0.4</v>
      </c>
      <c r="CT302" s="7">
        <v>1.2632895757495599</v>
      </c>
      <c r="CU302" s="7">
        <v>665.23311259709499</v>
      </c>
      <c r="CV302" s="7">
        <v>730.60243503752497</v>
      </c>
      <c r="CW302" s="7">
        <v>665.23311259709499</v>
      </c>
      <c r="CX302" s="7">
        <v>48913.204150583399</v>
      </c>
      <c r="CY302" s="7">
        <v>10185.9163578813</v>
      </c>
      <c r="CZ302" s="7">
        <f t="shared" si="398"/>
        <v>2061.0686602317151</v>
      </c>
      <c r="DB302" s="28">
        <v>12</v>
      </c>
      <c r="DC302" s="26">
        <v>5.0000000000000002E-5</v>
      </c>
      <c r="DD302" s="28">
        <v>2</v>
      </c>
      <c r="DE302" s="28">
        <v>200</v>
      </c>
      <c r="DF302" s="26">
        <v>1.0000000000000001E-5</v>
      </c>
      <c r="DG302" s="26">
        <f t="shared" si="399"/>
        <v>2.0000000000000002E-5</v>
      </c>
      <c r="DH302" s="26">
        <f t="shared" si="400"/>
        <v>0.8</v>
      </c>
      <c r="DI302" s="7">
        <v>1.6818319756212201</v>
      </c>
      <c r="DJ302" s="7">
        <v>578.22973015081095</v>
      </c>
      <c r="DK302" s="7">
        <v>365.301217518763</v>
      </c>
      <c r="DL302" s="7">
        <v>578.22973015081095</v>
      </c>
      <c r="DM302" s="7">
        <v>24456.602075291699</v>
      </c>
      <c r="DN302" s="7">
        <v>10185.9163578813</v>
      </c>
      <c r="DO302" s="7">
        <f t="shared" si="401"/>
        <v>1521.7606778203849</v>
      </c>
      <c r="DQ302" s="28">
        <v>12</v>
      </c>
      <c r="DR302" s="26">
        <v>5.0000000000000002E-5</v>
      </c>
      <c r="DS302" s="28">
        <v>15</v>
      </c>
      <c r="DT302" s="28">
        <v>300</v>
      </c>
      <c r="DU302" s="26">
        <v>7.5000000000000002E-6</v>
      </c>
      <c r="DV302" s="26">
        <f t="shared" si="402"/>
        <v>1.125E-4</v>
      </c>
      <c r="DW302" s="26">
        <f t="shared" si="403"/>
        <v>4.5</v>
      </c>
      <c r="DX302" s="7">
        <v>7.1108019316772699</v>
      </c>
      <c r="DY302" s="7">
        <v>254.539230510376</v>
      </c>
      <c r="DZ302" s="7">
        <v>48.7068290025016</v>
      </c>
      <c r="EA302" s="7">
        <v>254.539230510376</v>
      </c>
      <c r="EB302" s="7">
        <v>3260.8802767055599</v>
      </c>
      <c r="EC302" s="7">
        <v>8148.7330863050402</v>
      </c>
      <c r="ED302" s="7">
        <f t="shared" si="404"/>
        <v>557.78529002325354</v>
      </c>
    </row>
    <row r="303" spans="1:134" x14ac:dyDescent="0.4">
      <c r="A303" s="28">
        <v>15</v>
      </c>
      <c r="B303" s="26">
        <v>1.0000000000000001E-5</v>
      </c>
      <c r="C303" s="28">
        <v>0.2</v>
      </c>
      <c r="D303" s="28">
        <v>30</v>
      </c>
      <c r="E303" s="26">
        <v>1.0000000000000001E-5</v>
      </c>
      <c r="F303" s="26">
        <f t="shared" si="378"/>
        <v>2.0000000000000003E-6</v>
      </c>
      <c r="G303" s="26">
        <f t="shared" si="379"/>
        <v>0.4</v>
      </c>
      <c r="H303" s="7">
        <v>0.25821086858953202</v>
      </c>
      <c r="I303" s="7">
        <v>12481.634129420599</v>
      </c>
      <c r="J303" s="7">
        <v>3828.3041509332402</v>
      </c>
      <c r="K303" s="7">
        <v>12481.634129420599</v>
      </c>
      <c r="L303" s="7">
        <v>1641861.5249040499</v>
      </c>
      <c r="M303" s="7">
        <v>254647.90894703299</v>
      </c>
      <c r="N303" s="7">
        <f t="shared" si="380"/>
        <v>28791.572409774439</v>
      </c>
      <c r="P303" s="28">
        <v>15</v>
      </c>
      <c r="Q303" s="26">
        <v>3.0000000000000001E-5</v>
      </c>
      <c r="R303" s="28">
        <v>0.2</v>
      </c>
      <c r="S303" s="28">
        <v>30</v>
      </c>
      <c r="T303" s="26">
        <v>1.0000000000000001E-5</v>
      </c>
      <c r="U303" s="26">
        <f t="shared" si="381"/>
        <v>2.0000000000000003E-6</v>
      </c>
      <c r="V303" s="26">
        <f t="shared" si="382"/>
        <v>0.13333333333333336</v>
      </c>
      <c r="W303" s="7">
        <v>0.59076221860357803</v>
      </c>
      <c r="X303" s="7">
        <v>4160.5447097236602</v>
      </c>
      <c r="Y303" s="7">
        <v>1276.1013836444099</v>
      </c>
      <c r="Z303" s="7">
        <v>4160.5447097236602</v>
      </c>
      <c r="AA303" s="7">
        <v>547287.17553344101</v>
      </c>
      <c r="AB303" s="7">
        <v>28294.212105225801</v>
      </c>
      <c r="AC303" s="7">
        <f t="shared" si="383"/>
        <v>9597.1908030917293</v>
      </c>
      <c r="AE303" s="28">
        <v>15</v>
      </c>
      <c r="AF303" s="26">
        <v>5.0000000000000002E-5</v>
      </c>
      <c r="AG303" s="28">
        <v>0.2</v>
      </c>
      <c r="AH303" s="28">
        <v>30</v>
      </c>
      <c r="AI303" s="26">
        <v>1.0000000000000001E-5</v>
      </c>
      <c r="AJ303" s="26">
        <f t="shared" si="384"/>
        <v>2.0000000000000003E-6</v>
      </c>
      <c r="AK303" s="26">
        <f t="shared" si="385"/>
        <v>8.0000000000000016E-2</v>
      </c>
      <c r="AL303" s="7">
        <v>0.86468595301528495</v>
      </c>
      <c r="AM303" s="7">
        <v>2496.32682512977</v>
      </c>
      <c r="AN303" s="7">
        <v>765.66083018664904</v>
      </c>
      <c r="AO303" s="7">
        <v>2496.32682512977</v>
      </c>
      <c r="AP303" s="7">
        <v>328372.31010722602</v>
      </c>
      <c r="AQ303" s="7">
        <v>10185.9163578813</v>
      </c>
      <c r="AR303" s="7">
        <f t="shared" si="386"/>
        <v>5758.314480446189</v>
      </c>
      <c r="AT303" s="28">
        <v>15</v>
      </c>
      <c r="AU303" s="26">
        <v>1.0000000000000001E-5</v>
      </c>
      <c r="AV303" s="28">
        <v>0.2</v>
      </c>
      <c r="AW303" s="28">
        <v>200</v>
      </c>
      <c r="AX303" s="26">
        <v>1.0000000000000001E-5</v>
      </c>
      <c r="AY303" s="26">
        <f t="shared" si="387"/>
        <v>2.0000000000000003E-6</v>
      </c>
      <c r="AZ303" s="26">
        <f t="shared" si="388"/>
        <v>0.4</v>
      </c>
      <c r="BA303" s="7">
        <v>0.26739575772740098</v>
      </c>
      <c r="BB303" s="7">
        <v>1941.00035424731</v>
      </c>
      <c r="BC303" s="7">
        <v>642.33504314082199</v>
      </c>
      <c r="BD303" s="7">
        <v>1941.00035424731</v>
      </c>
      <c r="BE303" s="7">
        <v>1641861.5249040499</v>
      </c>
      <c r="BF303" s="7">
        <v>254647.90894703299</v>
      </c>
      <c r="BG303" s="7">
        <f t="shared" si="389"/>
        <v>4524.3357516354426</v>
      </c>
      <c r="BI303" s="28">
        <v>15</v>
      </c>
      <c r="BJ303" s="26">
        <v>1.0000000000000001E-5</v>
      </c>
      <c r="BK303" s="28">
        <v>0.5</v>
      </c>
      <c r="BL303" s="28">
        <v>200</v>
      </c>
      <c r="BM303" s="26">
        <v>1.0000000000000001E-5</v>
      </c>
      <c r="BN303" s="26">
        <f t="shared" si="390"/>
        <v>5.0000000000000004E-6</v>
      </c>
      <c r="BO303" s="26">
        <f t="shared" si="391"/>
        <v>1</v>
      </c>
      <c r="BP303" s="7">
        <v>0.363021765326696</v>
      </c>
      <c r="BQ303" s="7">
        <v>1921.9637593119501</v>
      </c>
      <c r="BR303" s="7">
        <v>622.78773017584695</v>
      </c>
      <c r="BS303" s="7">
        <v>1921.9637593119501</v>
      </c>
      <c r="BT303" s="7">
        <v>656744.60996161995</v>
      </c>
      <c r="BU303" s="7">
        <v>254647.90894703299</v>
      </c>
      <c r="BV303" s="7">
        <f t="shared" si="392"/>
        <v>4466.7152487997464</v>
      </c>
      <c r="BX303" s="28">
        <v>15</v>
      </c>
      <c r="BY303" s="26">
        <v>5.0000000000000002E-5</v>
      </c>
      <c r="BZ303" s="28">
        <v>0.5</v>
      </c>
      <c r="CA303" s="28">
        <v>200</v>
      </c>
      <c r="CB303" s="26">
        <v>1.0000000000000001E-5</v>
      </c>
      <c r="CC303" s="26">
        <f t="shared" si="393"/>
        <v>5.0000000000000004E-6</v>
      </c>
      <c r="CD303" s="26">
        <f t="shared" si="394"/>
        <v>0.2</v>
      </c>
      <c r="CE303" s="7">
        <v>1.1435277324700099</v>
      </c>
      <c r="CF303" s="7">
        <v>384.39275181655802</v>
      </c>
      <c r="CG303" s="7">
        <v>124.557546035169</v>
      </c>
      <c r="CH303" s="7">
        <v>384.39275181655802</v>
      </c>
      <c r="CI303" s="7">
        <v>131348.92404288999</v>
      </c>
      <c r="CJ303" s="7">
        <v>10185.9163578813</v>
      </c>
      <c r="CK303" s="7">
        <f t="shared" si="395"/>
        <v>893.34304966828495</v>
      </c>
      <c r="CM303" s="28">
        <v>15</v>
      </c>
      <c r="CN303" s="26">
        <v>5.0000000000000002E-5</v>
      </c>
      <c r="CO303" s="28">
        <v>1</v>
      </c>
      <c r="CP303" s="28">
        <v>200</v>
      </c>
      <c r="CQ303" s="26">
        <v>1.0000000000000001E-5</v>
      </c>
      <c r="CR303" s="26">
        <f t="shared" si="396"/>
        <v>1.0000000000000001E-5</v>
      </c>
      <c r="CS303" s="26">
        <f t="shared" si="397"/>
        <v>0.4</v>
      </c>
      <c r="CT303" s="7">
        <v>1.30370735828319</v>
      </c>
      <c r="CU303" s="7">
        <v>378.32091509688701</v>
      </c>
      <c r="CV303" s="7">
        <v>118.54503217394399</v>
      </c>
      <c r="CW303" s="7">
        <v>378.32091509688701</v>
      </c>
      <c r="CX303" s="7">
        <v>65674.462021445201</v>
      </c>
      <c r="CY303" s="7">
        <v>10185.9163578813</v>
      </c>
      <c r="CZ303" s="7">
        <f t="shared" si="398"/>
        <v>875.18686236771805</v>
      </c>
      <c r="DB303" s="28">
        <v>15</v>
      </c>
      <c r="DC303" s="26">
        <v>5.0000000000000002E-5</v>
      </c>
      <c r="DD303" s="28">
        <v>2</v>
      </c>
      <c r="DE303" s="28">
        <v>200</v>
      </c>
      <c r="DF303" s="26">
        <v>1.0000000000000001E-5</v>
      </c>
      <c r="DG303" s="26">
        <f t="shared" si="399"/>
        <v>2.0000000000000002E-5</v>
      </c>
      <c r="DH303" s="26">
        <f t="shared" si="400"/>
        <v>0.8</v>
      </c>
      <c r="DI303" s="7">
        <v>1.6239122944839599</v>
      </c>
      <c r="DJ303" s="7">
        <v>367.08848561923799</v>
      </c>
      <c r="DK303" s="7">
        <v>108.10811969663401</v>
      </c>
      <c r="DL303" s="7">
        <v>367.08848561923799</v>
      </c>
      <c r="DM303" s="7">
        <v>32837.2310107226</v>
      </c>
      <c r="DN303" s="7">
        <v>10185.9163578813</v>
      </c>
      <c r="DO303" s="7">
        <f t="shared" si="401"/>
        <v>842.28509093511002</v>
      </c>
      <c r="DQ303" s="28">
        <v>15</v>
      </c>
      <c r="DR303" s="26">
        <v>5.0000000000000002E-5</v>
      </c>
      <c r="DS303" s="28">
        <v>15</v>
      </c>
      <c r="DT303" s="28">
        <v>300</v>
      </c>
      <c r="DU303" s="26">
        <v>7.5000000000000002E-6</v>
      </c>
      <c r="DV303" s="26">
        <f t="shared" si="402"/>
        <v>1.125E-4</v>
      </c>
      <c r="DW303" s="26">
        <f t="shared" si="403"/>
        <v>4.5</v>
      </c>
      <c r="DX303" s="7">
        <v>6.0299873446252903</v>
      </c>
      <c r="DY303" s="7">
        <v>202.84957985735099</v>
      </c>
      <c r="DZ303" s="7">
        <v>42.287816140325297</v>
      </c>
      <c r="EA303" s="7">
        <v>202.84957985735099</v>
      </c>
      <c r="EB303" s="7">
        <v>4378.2974680963498</v>
      </c>
      <c r="EC303" s="7">
        <v>8148.7330863050402</v>
      </c>
      <c r="ED303" s="7">
        <f t="shared" si="404"/>
        <v>447.98697585502725</v>
      </c>
    </row>
    <row r="304" spans="1:134" x14ac:dyDescent="0.4">
      <c r="A304" s="28">
        <v>20</v>
      </c>
      <c r="B304" s="26">
        <v>1.0000000000000001E-5</v>
      </c>
      <c r="C304" s="28">
        <v>0.2</v>
      </c>
      <c r="D304" s="28">
        <v>30</v>
      </c>
      <c r="E304" s="26">
        <v>1.0000000000000001E-5</v>
      </c>
      <c r="F304" s="26">
        <f t="shared" si="378"/>
        <v>2.0000000000000003E-6</v>
      </c>
      <c r="G304" s="26">
        <f t="shared" si="379"/>
        <v>0.4</v>
      </c>
      <c r="H304" s="7">
        <v>0.26265706708137998</v>
      </c>
      <c r="I304" s="7">
        <v>7857.7524727739301</v>
      </c>
      <c r="J304" s="7">
        <v>4475.4086280782203</v>
      </c>
      <c r="K304" s="7">
        <v>7857.7524727739301</v>
      </c>
      <c r="L304" s="7">
        <v>2551974.2921694499</v>
      </c>
      <c r="M304" s="7">
        <v>254647.90894703299</v>
      </c>
      <c r="N304" s="7">
        <f t="shared" si="380"/>
        <v>20190.91357362608</v>
      </c>
      <c r="P304" s="28">
        <v>20</v>
      </c>
      <c r="Q304" s="26">
        <v>3.0000000000000001E-5</v>
      </c>
      <c r="R304" s="28">
        <v>0.2</v>
      </c>
      <c r="S304" s="28">
        <v>30</v>
      </c>
      <c r="T304" s="26">
        <v>1.0000000000000001E-5</v>
      </c>
      <c r="U304" s="26">
        <f t="shared" si="381"/>
        <v>2.0000000000000003E-6</v>
      </c>
      <c r="V304" s="26">
        <f t="shared" si="382"/>
        <v>0.13333333333333336</v>
      </c>
      <c r="W304" s="7">
        <v>0.65146410355360695</v>
      </c>
      <c r="X304" s="7">
        <v>2619.2508242245099</v>
      </c>
      <c r="Y304" s="7">
        <v>1491.80287602607</v>
      </c>
      <c r="Z304" s="7">
        <v>2619.2508242245099</v>
      </c>
      <c r="AA304" s="7">
        <v>850658.09849467594</v>
      </c>
      <c r="AB304" s="7">
        <v>28294.212105225801</v>
      </c>
      <c r="AC304" s="7">
        <f t="shared" si="383"/>
        <v>6730.3045244750901</v>
      </c>
      <c r="AE304" s="28">
        <v>20</v>
      </c>
      <c r="AF304" s="26">
        <v>5.0000000000000002E-5</v>
      </c>
      <c r="AG304" s="28">
        <v>0.2</v>
      </c>
      <c r="AH304" s="28">
        <v>30</v>
      </c>
      <c r="AI304" s="26">
        <v>1.0000000000000001E-5</v>
      </c>
      <c r="AJ304" s="26">
        <f t="shared" si="384"/>
        <v>2.0000000000000003E-6</v>
      </c>
      <c r="AK304" s="26">
        <f t="shared" si="385"/>
        <v>8.0000000000000016E-2</v>
      </c>
      <c r="AL304" s="7">
        <v>0.98881442934822195</v>
      </c>
      <c r="AM304" s="7">
        <v>1571.5504942513201</v>
      </c>
      <c r="AN304" s="7">
        <v>895.08172561564299</v>
      </c>
      <c r="AO304" s="7">
        <v>1571.5504942513201</v>
      </c>
      <c r="AP304" s="7">
        <v>510394.86845111102</v>
      </c>
      <c r="AQ304" s="7">
        <v>10185.9163578813</v>
      </c>
      <c r="AR304" s="7">
        <f t="shared" si="386"/>
        <v>4038.182714118283</v>
      </c>
      <c r="AT304" s="28">
        <v>20</v>
      </c>
      <c r="AU304" s="26">
        <v>1.0000000000000001E-5</v>
      </c>
      <c r="AV304" s="28">
        <v>0.2</v>
      </c>
      <c r="AW304" s="28">
        <v>200</v>
      </c>
      <c r="AX304" s="26">
        <v>1.0000000000000001E-5</v>
      </c>
      <c r="AY304" s="26">
        <f t="shared" si="387"/>
        <v>2.0000000000000003E-6</v>
      </c>
      <c r="AZ304" s="26">
        <f t="shared" si="388"/>
        <v>0.4</v>
      </c>
      <c r="BA304" s="7">
        <v>0.26991782908851197</v>
      </c>
      <c r="BB304" s="7">
        <v>1196.98361424428</v>
      </c>
      <c r="BC304" s="7">
        <v>694.07852984949898</v>
      </c>
      <c r="BD304" s="7">
        <v>1196.98361424428</v>
      </c>
      <c r="BE304" s="7">
        <v>2551974.2921694499</v>
      </c>
      <c r="BF304" s="7">
        <v>254647.90894703299</v>
      </c>
      <c r="BG304" s="7">
        <f t="shared" si="389"/>
        <v>3088.0457583380589</v>
      </c>
      <c r="BI304" s="28">
        <v>20</v>
      </c>
      <c r="BJ304" s="26">
        <v>1.0000000000000001E-5</v>
      </c>
      <c r="BK304" s="28">
        <v>0.5</v>
      </c>
      <c r="BL304" s="28">
        <v>200</v>
      </c>
      <c r="BM304" s="26">
        <v>1.0000000000000001E-5</v>
      </c>
      <c r="BN304" s="26">
        <f t="shared" si="390"/>
        <v>5.0000000000000004E-6</v>
      </c>
      <c r="BO304" s="26">
        <f t="shared" si="391"/>
        <v>1</v>
      </c>
      <c r="BP304" s="7">
        <v>0.337623313958892</v>
      </c>
      <c r="BQ304" s="7">
        <v>1192.0586917390101</v>
      </c>
      <c r="BR304" s="7">
        <v>687.90288040570601</v>
      </c>
      <c r="BS304" s="7">
        <v>1192.0586917390101</v>
      </c>
      <c r="BT304" s="7">
        <v>1020789.71686778</v>
      </c>
      <c r="BU304" s="7">
        <v>254647.90894703299</v>
      </c>
      <c r="BV304" s="7">
        <f t="shared" si="392"/>
        <v>3072.0202638837263</v>
      </c>
      <c r="BX304" s="28">
        <v>20</v>
      </c>
      <c r="BY304" s="26">
        <v>5.0000000000000002E-5</v>
      </c>
      <c r="BZ304" s="28">
        <v>0.5</v>
      </c>
      <c r="CA304" s="28">
        <v>200</v>
      </c>
      <c r="CB304" s="26">
        <v>1.0000000000000001E-5</v>
      </c>
      <c r="CC304" s="26">
        <f t="shared" si="393"/>
        <v>5.0000000000000004E-6</v>
      </c>
      <c r="CD304" s="26">
        <f t="shared" si="394"/>
        <v>0.2</v>
      </c>
      <c r="CE304" s="7">
        <v>1.2104689614496</v>
      </c>
      <c r="CF304" s="7">
        <v>238.41173833028401</v>
      </c>
      <c r="CG304" s="7">
        <v>137.580576081141</v>
      </c>
      <c r="CH304" s="7">
        <v>238.41173833028401</v>
      </c>
      <c r="CI304" s="7">
        <v>204157.947380445</v>
      </c>
      <c r="CJ304" s="7">
        <v>10185.9163578813</v>
      </c>
      <c r="CK304" s="7">
        <f t="shared" si="395"/>
        <v>614.40405274170905</v>
      </c>
      <c r="CM304" s="28">
        <v>20</v>
      </c>
      <c r="CN304" s="26">
        <v>5.0000000000000002E-5</v>
      </c>
      <c r="CO304" s="28">
        <v>1</v>
      </c>
      <c r="CP304" s="28">
        <v>200</v>
      </c>
      <c r="CQ304" s="26">
        <v>1.0000000000000001E-5</v>
      </c>
      <c r="CR304" s="26">
        <f t="shared" si="396"/>
        <v>1.0000000000000001E-5</v>
      </c>
      <c r="CS304" s="26">
        <f t="shared" si="397"/>
        <v>0.4</v>
      </c>
      <c r="CT304" s="7">
        <v>1.32357411942968</v>
      </c>
      <c r="CU304" s="7">
        <v>236.794372688691</v>
      </c>
      <c r="CV304" s="7">
        <v>135.57018035757301</v>
      </c>
      <c r="CW304" s="7">
        <v>236.794372688691</v>
      </c>
      <c r="CX304" s="7">
        <v>102078.973690222</v>
      </c>
      <c r="CY304" s="7">
        <v>10185.9163578813</v>
      </c>
      <c r="CZ304" s="7">
        <f t="shared" si="398"/>
        <v>609.15892573495501</v>
      </c>
      <c r="DB304" s="28">
        <v>20</v>
      </c>
      <c r="DC304" s="26">
        <v>5.0000000000000002E-5</v>
      </c>
      <c r="DD304" s="28">
        <v>2</v>
      </c>
      <c r="DE304" s="28">
        <v>200</v>
      </c>
      <c r="DF304" s="26">
        <v>1.0000000000000001E-5</v>
      </c>
      <c r="DG304" s="26">
        <f t="shared" si="399"/>
        <v>2.0000000000000002E-5</v>
      </c>
      <c r="DH304" s="26">
        <f t="shared" si="400"/>
        <v>0.8</v>
      </c>
      <c r="DI304" s="7">
        <v>1.54976670074913</v>
      </c>
      <c r="DJ304" s="7">
        <v>233.64718966736299</v>
      </c>
      <c r="DK304" s="7">
        <v>131.72072797829401</v>
      </c>
      <c r="DL304" s="7">
        <v>233.64718966736299</v>
      </c>
      <c r="DM304" s="7">
        <v>51039.486845111103</v>
      </c>
      <c r="DN304" s="7">
        <v>10185.9163578813</v>
      </c>
      <c r="DO304" s="7">
        <f t="shared" si="401"/>
        <v>599.01510731302005</v>
      </c>
      <c r="DQ304" s="28">
        <v>20</v>
      </c>
      <c r="DR304" s="26">
        <v>5.0000000000000002E-5</v>
      </c>
      <c r="DS304" s="28">
        <v>15</v>
      </c>
      <c r="DT304" s="28">
        <v>300</v>
      </c>
      <c r="DU304" s="26">
        <v>7.5000000000000002E-6</v>
      </c>
      <c r="DV304" s="26">
        <f t="shared" si="402"/>
        <v>1.125E-4</v>
      </c>
      <c r="DW304" s="26">
        <f t="shared" si="403"/>
        <v>4.5</v>
      </c>
      <c r="DX304" s="7">
        <v>4.7682879366435396</v>
      </c>
      <c r="DY304" s="7">
        <v>141.30482192536101</v>
      </c>
      <c r="DZ304" s="7">
        <v>71.560155029152398</v>
      </c>
      <c r="EA304" s="7">
        <v>141.30482192536101</v>
      </c>
      <c r="EB304" s="7">
        <v>6805.2649126814904</v>
      </c>
      <c r="EC304" s="7">
        <v>8148.7330863050402</v>
      </c>
      <c r="ED304" s="7">
        <f t="shared" si="404"/>
        <v>354.16979887987441</v>
      </c>
    </row>
    <row r="305" spans="1:134" x14ac:dyDescent="0.4">
      <c r="A305" s="28">
        <v>25</v>
      </c>
      <c r="B305" s="26">
        <v>1.0000000000000001E-5</v>
      </c>
      <c r="C305" s="28">
        <v>0.2</v>
      </c>
      <c r="D305" s="28">
        <v>30</v>
      </c>
      <c r="E305" s="26">
        <v>1.0000000000000001E-5</v>
      </c>
      <c r="F305" s="26">
        <f t="shared" si="378"/>
        <v>2.0000000000000003E-6</v>
      </c>
      <c r="G305" s="26">
        <f t="shared" si="379"/>
        <v>0.4</v>
      </c>
      <c r="H305" s="7">
        <v>0.26776707465810001</v>
      </c>
      <c r="I305" s="7">
        <v>5967.7070610572</v>
      </c>
      <c r="J305" s="7">
        <v>4769.5933204541298</v>
      </c>
      <c r="K305" s="7">
        <v>5967.7070610572</v>
      </c>
      <c r="L305" s="7">
        <v>3890230.9388607698</v>
      </c>
      <c r="M305" s="7">
        <v>254647.90894703299</v>
      </c>
      <c r="N305" s="7">
        <f t="shared" si="380"/>
        <v>16705.007442568531</v>
      </c>
      <c r="P305" s="28">
        <v>25</v>
      </c>
      <c r="Q305" s="26">
        <v>3.0000000000000001E-5</v>
      </c>
      <c r="R305" s="28">
        <v>0.2</v>
      </c>
      <c r="S305" s="28">
        <v>30</v>
      </c>
      <c r="T305" s="26">
        <v>1.0000000000000001E-5</v>
      </c>
      <c r="U305" s="26">
        <f t="shared" si="381"/>
        <v>2.0000000000000003E-6</v>
      </c>
      <c r="V305" s="26">
        <f t="shared" si="382"/>
        <v>0.13333333333333336</v>
      </c>
      <c r="W305" s="7">
        <v>0.69725398089114998</v>
      </c>
      <c r="X305" s="7">
        <v>1989.2356869965699</v>
      </c>
      <c r="Y305" s="7">
        <v>1589.86444015137</v>
      </c>
      <c r="Z305" s="7">
        <v>1989.2356869965699</v>
      </c>
      <c r="AA305" s="7">
        <v>1296743.6482743199</v>
      </c>
      <c r="AB305" s="7">
        <v>28294.212105225801</v>
      </c>
      <c r="AC305" s="7">
        <f t="shared" si="383"/>
        <v>5568.3358141445096</v>
      </c>
      <c r="AE305" s="28">
        <v>25</v>
      </c>
      <c r="AF305" s="26">
        <v>5.0000000000000002E-5</v>
      </c>
      <c r="AG305" s="28">
        <v>0.2</v>
      </c>
      <c r="AH305" s="28">
        <v>30</v>
      </c>
      <c r="AI305" s="26">
        <v>1.0000000000000001E-5</v>
      </c>
      <c r="AJ305" s="26">
        <f t="shared" si="384"/>
        <v>2.0000000000000003E-6</v>
      </c>
      <c r="AK305" s="26">
        <f t="shared" si="385"/>
        <v>8.0000000000000016E-2</v>
      </c>
      <c r="AL305" s="7">
        <v>1.0783311053389399</v>
      </c>
      <c r="AM305" s="7">
        <v>1193.54141200751</v>
      </c>
      <c r="AN305" s="7">
        <v>953.91866409082502</v>
      </c>
      <c r="AO305" s="7">
        <v>1193.54141200751</v>
      </c>
      <c r="AP305" s="7">
        <v>778046.205790887</v>
      </c>
      <c r="AQ305" s="7">
        <v>10185.9163578813</v>
      </c>
      <c r="AR305" s="7">
        <f t="shared" si="386"/>
        <v>3341.0014881058451</v>
      </c>
      <c r="AT305" s="28">
        <v>25</v>
      </c>
      <c r="AU305" s="26">
        <v>1.0000000000000001E-5</v>
      </c>
      <c r="AV305" s="28">
        <v>0.2</v>
      </c>
      <c r="AW305" s="28">
        <v>200</v>
      </c>
      <c r="AX305" s="26">
        <v>1.0000000000000001E-5</v>
      </c>
      <c r="AY305" s="26">
        <f t="shared" si="387"/>
        <v>2.0000000000000003E-6</v>
      </c>
      <c r="AZ305" s="26">
        <f t="shared" si="388"/>
        <v>0.4</v>
      </c>
      <c r="BA305" s="7">
        <v>0.27429519437623301</v>
      </c>
      <c r="BB305" s="7">
        <v>904.92261526204402</v>
      </c>
      <c r="BC305" s="7">
        <v>729.47946385146201</v>
      </c>
      <c r="BD305" s="7">
        <v>904.92261526204402</v>
      </c>
      <c r="BE305" s="7">
        <v>3890230.9388607698</v>
      </c>
      <c r="BF305" s="7">
        <v>254647.90894703299</v>
      </c>
      <c r="BG305" s="7">
        <f t="shared" si="389"/>
        <v>2539.3246943755503</v>
      </c>
      <c r="BI305" s="28">
        <v>25</v>
      </c>
      <c r="BJ305" s="26">
        <v>1.0000000000000001E-5</v>
      </c>
      <c r="BK305" s="28">
        <v>0.5</v>
      </c>
      <c r="BL305" s="28">
        <v>200</v>
      </c>
      <c r="BM305" s="26">
        <v>1.0000000000000001E-5</v>
      </c>
      <c r="BN305" s="26">
        <f t="shared" si="390"/>
        <v>5.0000000000000004E-6</v>
      </c>
      <c r="BO305" s="26">
        <f t="shared" si="391"/>
        <v>1</v>
      </c>
      <c r="BP305" s="7">
        <v>0.32213855314296203</v>
      </c>
      <c r="BQ305" s="7">
        <v>902.31159397251201</v>
      </c>
      <c r="BR305" s="7">
        <v>725.70943403112403</v>
      </c>
      <c r="BS305" s="7">
        <v>902.31159397251201</v>
      </c>
      <c r="BT305" s="7">
        <v>1556092.3755443101</v>
      </c>
      <c r="BU305" s="7">
        <v>254647.90894703299</v>
      </c>
      <c r="BV305" s="7">
        <f t="shared" si="392"/>
        <v>2530.3326219761479</v>
      </c>
      <c r="BX305" s="28">
        <v>25</v>
      </c>
      <c r="BY305" s="26">
        <v>5.0000000000000002E-5</v>
      </c>
      <c r="BZ305" s="28">
        <v>0.5</v>
      </c>
      <c r="CA305" s="28">
        <v>200</v>
      </c>
      <c r="CB305" s="26">
        <v>1.0000000000000001E-5</v>
      </c>
      <c r="CC305" s="26">
        <f t="shared" si="393"/>
        <v>5.0000000000000004E-6</v>
      </c>
      <c r="CD305" s="26">
        <f t="shared" si="394"/>
        <v>0.2</v>
      </c>
      <c r="CE305" s="7">
        <v>1.26826231311296</v>
      </c>
      <c r="CF305" s="7">
        <v>180.46231878283399</v>
      </c>
      <c r="CG305" s="7">
        <v>145.14188680622499</v>
      </c>
      <c r="CH305" s="7">
        <v>180.46231878283399</v>
      </c>
      <c r="CI305" s="7">
        <v>311218.48231635499</v>
      </c>
      <c r="CJ305" s="7">
        <v>10185.9163578813</v>
      </c>
      <c r="CK305" s="7">
        <f t="shared" si="395"/>
        <v>506.06652437189302</v>
      </c>
      <c r="CM305" s="28">
        <v>25</v>
      </c>
      <c r="CN305" s="26">
        <v>5.0000000000000002E-5</v>
      </c>
      <c r="CO305" s="28">
        <v>1</v>
      </c>
      <c r="CP305" s="28">
        <v>200</v>
      </c>
      <c r="CQ305" s="26">
        <v>1.0000000000000001E-5</v>
      </c>
      <c r="CR305" s="26">
        <f t="shared" si="396"/>
        <v>1.0000000000000001E-5</v>
      </c>
      <c r="CS305" s="26">
        <f t="shared" si="397"/>
        <v>0.4</v>
      </c>
      <c r="CT305" s="7">
        <v>1.34816287969454</v>
      </c>
      <c r="CU305" s="7">
        <v>179.60025764253999</v>
      </c>
      <c r="CV305" s="7">
        <v>143.90240734913101</v>
      </c>
      <c r="CW305" s="7">
        <v>179.60025764253999</v>
      </c>
      <c r="CX305" s="7">
        <v>155609.241158177</v>
      </c>
      <c r="CY305" s="7">
        <v>10185.9163578813</v>
      </c>
      <c r="CZ305" s="7">
        <f t="shared" si="398"/>
        <v>503.10292263421098</v>
      </c>
      <c r="DB305" s="28">
        <v>25</v>
      </c>
      <c r="DC305" s="26">
        <v>5.0000000000000002E-5</v>
      </c>
      <c r="DD305" s="28">
        <v>2</v>
      </c>
      <c r="DE305" s="28">
        <v>200</v>
      </c>
      <c r="DF305" s="26">
        <v>1.0000000000000001E-5</v>
      </c>
      <c r="DG305" s="26">
        <f t="shared" si="399"/>
        <v>2.0000000000000002E-5</v>
      </c>
      <c r="DH305" s="26">
        <f t="shared" si="400"/>
        <v>0.8</v>
      </c>
      <c r="DI305" s="7">
        <v>1.5079571408982899</v>
      </c>
      <c r="DJ305" s="7">
        <v>177.90643586546901</v>
      </c>
      <c r="DK305" s="7">
        <v>141.48598257191699</v>
      </c>
      <c r="DL305" s="7">
        <v>177.90643586546901</v>
      </c>
      <c r="DM305" s="7">
        <v>77804.620579088703</v>
      </c>
      <c r="DN305" s="7">
        <v>10185.9163578813</v>
      </c>
      <c r="DO305" s="7">
        <f t="shared" si="401"/>
        <v>497.29885430285503</v>
      </c>
      <c r="DQ305" s="28">
        <v>25</v>
      </c>
      <c r="DR305" s="26">
        <v>5.0000000000000002E-5</v>
      </c>
      <c r="DS305" s="28">
        <v>15</v>
      </c>
      <c r="DT305" s="28">
        <v>300</v>
      </c>
      <c r="DU305" s="26">
        <v>7.5000000000000002E-6</v>
      </c>
      <c r="DV305" s="26">
        <f t="shared" si="402"/>
        <v>1.125E-4</v>
      </c>
      <c r="DW305" s="26">
        <f t="shared" si="403"/>
        <v>4.5</v>
      </c>
      <c r="DX305" s="7">
        <v>3.8866420187580801</v>
      </c>
      <c r="DY305" s="7">
        <v>110.42994925436599</v>
      </c>
      <c r="DZ305" s="7">
        <v>83.155364315094602</v>
      </c>
      <c r="EA305" s="7">
        <v>110.42994925436599</v>
      </c>
      <c r="EB305" s="7">
        <v>10373.949410545199</v>
      </c>
      <c r="EC305" s="7">
        <v>8148.7330863050402</v>
      </c>
      <c r="ED305" s="7">
        <f t="shared" si="404"/>
        <v>304.01526282382656</v>
      </c>
    </row>
    <row r="306" spans="1:134" x14ac:dyDescent="0.4">
      <c r="A306" s="28">
        <v>30</v>
      </c>
      <c r="B306" s="26">
        <v>1.0000000000000001E-5</v>
      </c>
      <c r="C306" s="28">
        <v>0.2</v>
      </c>
      <c r="D306" s="28">
        <v>30</v>
      </c>
      <c r="E306" s="26">
        <v>1.0000000000000001E-5</v>
      </c>
      <c r="F306" s="26">
        <f t="shared" si="378"/>
        <v>2.0000000000000003E-6</v>
      </c>
      <c r="G306" s="26">
        <f t="shared" si="379"/>
        <v>0.4</v>
      </c>
      <c r="H306" s="7">
        <v>0.27403211125832899</v>
      </c>
      <c r="I306" s="7">
        <v>4807.3324198337996</v>
      </c>
      <c r="J306" s="7">
        <v>4988.6125859415297</v>
      </c>
      <c r="K306" s="7">
        <v>4807.3324198337996</v>
      </c>
      <c r="L306" s="7">
        <v>5893089.4851508904</v>
      </c>
      <c r="M306" s="7">
        <v>254647.90894703299</v>
      </c>
      <c r="N306" s="7">
        <f t="shared" si="380"/>
        <v>14603.277425609129</v>
      </c>
      <c r="P306" s="28">
        <v>30</v>
      </c>
      <c r="Q306" s="26">
        <v>3.0000000000000001E-5</v>
      </c>
      <c r="R306" s="28">
        <v>0.2</v>
      </c>
      <c r="S306" s="28">
        <v>30</v>
      </c>
      <c r="T306" s="26">
        <v>1.0000000000000001E-5</v>
      </c>
      <c r="U306" s="26">
        <f t="shared" si="381"/>
        <v>2.0000000000000003E-6</v>
      </c>
      <c r="V306" s="26">
        <f t="shared" si="382"/>
        <v>0.13333333333333336</v>
      </c>
      <c r="W306" s="7">
        <v>0.737484619252183</v>
      </c>
      <c r="X306" s="7">
        <v>1602.4441399274999</v>
      </c>
      <c r="Y306" s="7">
        <v>1662.87086198051</v>
      </c>
      <c r="Z306" s="7">
        <v>1602.4441399274999</v>
      </c>
      <c r="AA306" s="7">
        <v>1964363.1651242101</v>
      </c>
      <c r="AB306" s="7">
        <v>28294.212105225801</v>
      </c>
      <c r="AC306" s="7">
        <f t="shared" si="383"/>
        <v>4867.7591418355096</v>
      </c>
      <c r="AE306" s="28">
        <v>30</v>
      </c>
      <c r="AF306" s="26">
        <v>5.0000000000000002E-5</v>
      </c>
      <c r="AG306" s="28">
        <v>0.2</v>
      </c>
      <c r="AH306" s="28">
        <v>30</v>
      </c>
      <c r="AI306" s="26">
        <v>1.0000000000000001E-5</v>
      </c>
      <c r="AJ306" s="26">
        <f t="shared" si="384"/>
        <v>2.0000000000000003E-6</v>
      </c>
      <c r="AK306" s="26">
        <f t="shared" si="385"/>
        <v>8.0000000000000016E-2</v>
      </c>
      <c r="AL306" s="7">
        <v>1.1544471133874299</v>
      </c>
      <c r="AM306" s="7">
        <v>961.46648381169098</v>
      </c>
      <c r="AN306" s="7">
        <v>997.72251718830603</v>
      </c>
      <c r="AO306" s="7">
        <v>961.46648381169098</v>
      </c>
      <c r="AP306" s="7">
        <v>1178617.9279219799</v>
      </c>
      <c r="AQ306" s="7">
        <v>10185.9163578813</v>
      </c>
      <c r="AR306" s="7">
        <f t="shared" si="386"/>
        <v>2920.655484811688</v>
      </c>
      <c r="AT306" s="28">
        <v>30</v>
      </c>
      <c r="AU306" s="26">
        <v>1.0000000000000001E-5</v>
      </c>
      <c r="AV306" s="28">
        <v>0.2</v>
      </c>
      <c r="AW306" s="28">
        <v>200</v>
      </c>
      <c r="AX306" s="26">
        <v>1.0000000000000001E-5</v>
      </c>
      <c r="AY306" s="26">
        <f t="shared" si="387"/>
        <v>2.0000000000000003E-6</v>
      </c>
      <c r="AZ306" s="26">
        <f t="shared" si="388"/>
        <v>0.4</v>
      </c>
      <c r="BA306" s="7">
        <v>0.28012796998667699</v>
      </c>
      <c r="BB306" s="7">
        <v>727.37388968977803</v>
      </c>
      <c r="BC306" s="7">
        <v>758.42598130330396</v>
      </c>
      <c r="BD306" s="7">
        <v>727.37388968977803</v>
      </c>
      <c r="BE306" s="7">
        <v>5893089.4851508904</v>
      </c>
      <c r="BF306" s="7">
        <v>254647.90894703299</v>
      </c>
      <c r="BG306" s="7">
        <f t="shared" si="389"/>
        <v>2213.1737606828601</v>
      </c>
      <c r="BI306" s="28">
        <v>30</v>
      </c>
      <c r="BJ306" s="26">
        <v>1.0000000000000001E-5</v>
      </c>
      <c r="BK306" s="28">
        <v>0.5</v>
      </c>
      <c r="BL306" s="28">
        <v>200</v>
      </c>
      <c r="BM306" s="26">
        <v>1.0000000000000001E-5</v>
      </c>
      <c r="BN306" s="26">
        <f t="shared" si="390"/>
        <v>5.0000000000000004E-6</v>
      </c>
      <c r="BO306" s="26">
        <f t="shared" si="391"/>
        <v>1</v>
      </c>
      <c r="BP306" s="7">
        <v>0.313690028286505</v>
      </c>
      <c r="BQ306" s="7">
        <v>725.70064173773096</v>
      </c>
      <c r="BR306" s="7">
        <v>755.71672459466504</v>
      </c>
      <c r="BS306" s="7">
        <v>725.70064173773096</v>
      </c>
      <c r="BT306" s="7">
        <v>2357235.7940603602</v>
      </c>
      <c r="BU306" s="7">
        <v>254647.90894703299</v>
      </c>
      <c r="BV306" s="7">
        <f t="shared" si="392"/>
        <v>2207.118008070127</v>
      </c>
      <c r="BX306" s="28">
        <v>30</v>
      </c>
      <c r="BY306" s="26">
        <v>5.0000000000000002E-5</v>
      </c>
      <c r="BZ306" s="28">
        <v>0.5</v>
      </c>
      <c r="CA306" s="28">
        <v>200</v>
      </c>
      <c r="CB306" s="26">
        <v>1.0000000000000001E-5</v>
      </c>
      <c r="CC306" s="26">
        <f t="shared" si="393"/>
        <v>5.0000000000000004E-6</v>
      </c>
      <c r="CD306" s="26">
        <f t="shared" si="394"/>
        <v>0.2</v>
      </c>
      <c r="CE306" s="7">
        <v>1.3228564765986099</v>
      </c>
      <c r="CF306" s="7">
        <v>145.140128338708</v>
      </c>
      <c r="CG306" s="7">
        <v>151.143344918933</v>
      </c>
      <c r="CH306" s="7">
        <v>145.140128338708</v>
      </c>
      <c r="CI306" s="7">
        <v>471447.17116879002</v>
      </c>
      <c r="CJ306" s="7">
        <v>10185.9163578813</v>
      </c>
      <c r="CK306" s="7">
        <f t="shared" si="395"/>
        <v>441.42360159634899</v>
      </c>
      <c r="CM306" s="28">
        <v>30</v>
      </c>
      <c r="CN306" s="26">
        <v>5.0000000000000002E-5</v>
      </c>
      <c r="CO306" s="28">
        <v>1</v>
      </c>
      <c r="CP306" s="28">
        <v>200</v>
      </c>
      <c r="CQ306" s="26">
        <v>1.0000000000000001E-5</v>
      </c>
      <c r="CR306" s="26">
        <f t="shared" si="396"/>
        <v>1.0000000000000001E-5</v>
      </c>
      <c r="CS306" s="26">
        <f t="shared" si="397"/>
        <v>0.4</v>
      </c>
      <c r="CT306" s="7">
        <v>1.37891002817769</v>
      </c>
      <c r="CU306" s="7">
        <v>144.58638467526899</v>
      </c>
      <c r="CV306" s="7">
        <v>150.24883810203599</v>
      </c>
      <c r="CW306" s="7">
        <v>144.58638467526899</v>
      </c>
      <c r="CX306" s="7">
        <v>235723.58558439501</v>
      </c>
      <c r="CY306" s="7">
        <v>10185.9163578813</v>
      </c>
      <c r="CZ306" s="7">
        <f t="shared" si="398"/>
        <v>439.42160745257399</v>
      </c>
      <c r="DB306" s="28">
        <v>30</v>
      </c>
      <c r="DC306" s="26">
        <v>5.0000000000000002E-5</v>
      </c>
      <c r="DD306" s="28">
        <v>2</v>
      </c>
      <c r="DE306" s="28">
        <v>200</v>
      </c>
      <c r="DF306" s="26">
        <v>1.0000000000000001E-5</v>
      </c>
      <c r="DG306" s="26">
        <f t="shared" si="399"/>
        <v>2.0000000000000002E-5</v>
      </c>
      <c r="DH306" s="26">
        <f t="shared" si="400"/>
        <v>0.8</v>
      </c>
      <c r="DI306" s="7">
        <v>1.4910134866224101</v>
      </c>
      <c r="DJ306" s="7">
        <v>143.493651420682</v>
      </c>
      <c r="DK306" s="7">
        <v>148.49131311393799</v>
      </c>
      <c r="DL306" s="7">
        <v>143.493651420682</v>
      </c>
      <c r="DM306" s="7">
        <v>117861.792792198</v>
      </c>
      <c r="DN306" s="7">
        <v>10185.9163578813</v>
      </c>
      <c r="DO306" s="7">
        <f t="shared" si="401"/>
        <v>435.47861595530196</v>
      </c>
      <c r="DQ306" s="28">
        <v>30</v>
      </c>
      <c r="DR306" s="26">
        <v>5.0000000000000002E-5</v>
      </c>
      <c r="DS306" s="28">
        <v>15</v>
      </c>
      <c r="DT306" s="28">
        <v>300</v>
      </c>
      <c r="DU306" s="26">
        <v>7.5000000000000002E-6</v>
      </c>
      <c r="DV306" s="26">
        <f t="shared" si="402"/>
        <v>1.125E-4</v>
      </c>
      <c r="DW306" s="26">
        <f t="shared" si="403"/>
        <v>4.5</v>
      </c>
      <c r="DX306" s="7">
        <v>3.2694518521483</v>
      </c>
      <c r="DY306" s="7">
        <v>90.265822408235607</v>
      </c>
      <c r="DZ306" s="7">
        <v>90.525422516156297</v>
      </c>
      <c r="EA306" s="7">
        <v>90.265822408235607</v>
      </c>
      <c r="EB306" s="7">
        <v>15714.905705626299</v>
      </c>
      <c r="EC306" s="7">
        <v>8148.7330863050402</v>
      </c>
      <c r="ED306" s="7">
        <f t="shared" si="404"/>
        <v>271.05706733262753</v>
      </c>
    </row>
    <row r="307" spans="1:134" x14ac:dyDescent="0.4">
      <c r="A307" s="28">
        <v>35</v>
      </c>
      <c r="B307" s="26">
        <v>1.0000000000000001E-5</v>
      </c>
      <c r="C307" s="28">
        <v>0.2</v>
      </c>
      <c r="D307" s="28">
        <v>30</v>
      </c>
      <c r="E307" s="26">
        <v>1.0000000000000001E-5</v>
      </c>
      <c r="F307" s="26">
        <f t="shared" si="378"/>
        <v>2.0000000000000003E-6</v>
      </c>
      <c r="G307" s="26">
        <f t="shared" si="379"/>
        <v>0.4</v>
      </c>
      <c r="H307" s="7">
        <v>0.28113952926882602</v>
      </c>
      <c r="I307" s="7">
        <v>3984.07853527202</v>
      </c>
      <c r="J307" s="7">
        <v>5168.7820727017497</v>
      </c>
      <c r="K307" s="7">
        <v>3984.07853527202</v>
      </c>
      <c r="L307" s="7">
        <v>8973470.5022608098</v>
      </c>
      <c r="M307" s="7">
        <v>254647.90894703299</v>
      </c>
      <c r="N307" s="7">
        <f t="shared" si="380"/>
        <v>13136.939143245789</v>
      </c>
      <c r="P307" s="28">
        <v>35</v>
      </c>
      <c r="Q307" s="26">
        <v>3.0000000000000001E-5</v>
      </c>
      <c r="R307" s="28">
        <v>0.2</v>
      </c>
      <c r="S307" s="28">
        <v>30</v>
      </c>
      <c r="T307" s="26">
        <v>1.0000000000000001E-5</v>
      </c>
      <c r="U307" s="26">
        <f t="shared" si="381"/>
        <v>2.0000000000000003E-6</v>
      </c>
      <c r="V307" s="26">
        <f t="shared" si="382"/>
        <v>0.13333333333333336</v>
      </c>
      <c r="W307" s="7">
        <v>0.77432010687698605</v>
      </c>
      <c r="X307" s="7">
        <v>1328.02617841029</v>
      </c>
      <c r="Y307" s="7">
        <v>1722.9273575672501</v>
      </c>
      <c r="Z307" s="7">
        <v>1328.02617841029</v>
      </c>
      <c r="AA307" s="7">
        <v>2991156.8397606201</v>
      </c>
      <c r="AB307" s="7">
        <v>28294.212105225801</v>
      </c>
      <c r="AC307" s="7">
        <f t="shared" si="383"/>
        <v>4378.9797143878295</v>
      </c>
      <c r="AE307" s="28">
        <v>35</v>
      </c>
      <c r="AF307" s="26">
        <v>5.0000000000000002E-5</v>
      </c>
      <c r="AG307" s="28">
        <v>0.2</v>
      </c>
      <c r="AH307" s="28">
        <v>30</v>
      </c>
      <c r="AI307" s="26">
        <v>1.0000000000000001E-5</v>
      </c>
      <c r="AJ307" s="26">
        <f t="shared" si="384"/>
        <v>2.0000000000000003E-6</v>
      </c>
      <c r="AK307" s="26">
        <f t="shared" si="385"/>
        <v>8.0000000000000016E-2</v>
      </c>
      <c r="AL307" s="7">
        <v>1.2224286645804401</v>
      </c>
      <c r="AM307" s="7">
        <v>796.81570693005597</v>
      </c>
      <c r="AN307" s="7">
        <v>1033.7564145403501</v>
      </c>
      <c r="AO307" s="7">
        <v>796.81570693005597</v>
      </c>
      <c r="AP307" s="7">
        <v>1794694.1518928199</v>
      </c>
      <c r="AQ307" s="7">
        <v>10185.9163578813</v>
      </c>
      <c r="AR307" s="7">
        <f t="shared" si="386"/>
        <v>2627.3878284004622</v>
      </c>
      <c r="AT307" s="28">
        <v>35</v>
      </c>
      <c r="AU307" s="26">
        <v>1.0000000000000001E-5</v>
      </c>
      <c r="AV307" s="28">
        <v>0.2</v>
      </c>
      <c r="AW307" s="28">
        <v>200</v>
      </c>
      <c r="AX307" s="26">
        <v>1.0000000000000001E-5</v>
      </c>
      <c r="AY307" s="26">
        <f t="shared" si="387"/>
        <v>2.0000000000000003E-6</v>
      </c>
      <c r="AZ307" s="26">
        <f t="shared" si="388"/>
        <v>0.4</v>
      </c>
      <c r="BA307" s="7">
        <v>0.28693316145780501</v>
      </c>
      <c r="BB307" s="7">
        <v>602.00500937137394</v>
      </c>
      <c r="BC307" s="7">
        <v>783.15203621901901</v>
      </c>
      <c r="BD307" s="7">
        <v>602.00500937137394</v>
      </c>
      <c r="BE307" s="7">
        <v>8973470.5022608098</v>
      </c>
      <c r="BF307" s="7">
        <v>254647.90894703299</v>
      </c>
      <c r="BG307" s="7">
        <f t="shared" si="389"/>
        <v>1987.1620549617669</v>
      </c>
      <c r="BI307" s="28">
        <v>35</v>
      </c>
      <c r="BJ307" s="26">
        <v>1.0000000000000001E-5</v>
      </c>
      <c r="BK307" s="28">
        <v>0.5</v>
      </c>
      <c r="BL307" s="28">
        <v>200</v>
      </c>
      <c r="BM307" s="26">
        <v>1.0000000000000001E-5</v>
      </c>
      <c r="BN307" s="26">
        <f t="shared" si="390"/>
        <v>5.0000000000000004E-6</v>
      </c>
      <c r="BO307" s="26">
        <f t="shared" si="391"/>
        <v>1</v>
      </c>
      <c r="BP307" s="7">
        <v>0.31013654458402001</v>
      </c>
      <c r="BQ307" s="7">
        <v>600.83500597989303</v>
      </c>
      <c r="BR307" s="7">
        <v>781.06268252331097</v>
      </c>
      <c r="BS307" s="7">
        <v>600.83500597989303</v>
      </c>
      <c r="BT307" s="7">
        <v>3589388.20090432</v>
      </c>
      <c r="BU307" s="7">
        <v>254647.90894703299</v>
      </c>
      <c r="BV307" s="7">
        <f t="shared" si="392"/>
        <v>1982.732694483097</v>
      </c>
      <c r="BX307" s="28">
        <v>35</v>
      </c>
      <c r="BY307" s="26">
        <v>5.0000000000000002E-5</v>
      </c>
      <c r="BZ307" s="28">
        <v>0.5</v>
      </c>
      <c r="CA307" s="28">
        <v>200</v>
      </c>
      <c r="CB307" s="26">
        <v>1.0000000000000001E-5</v>
      </c>
      <c r="CC307" s="26">
        <f t="shared" si="393"/>
        <v>5.0000000000000004E-6</v>
      </c>
      <c r="CD307" s="26">
        <f t="shared" si="394"/>
        <v>0.2</v>
      </c>
      <c r="CE307" s="7">
        <v>1.3752757833726299</v>
      </c>
      <c r="CF307" s="7">
        <v>120.167001188906</v>
      </c>
      <c r="CG307" s="7">
        <v>156.21253650466201</v>
      </c>
      <c r="CH307" s="7">
        <v>120.167001188906</v>
      </c>
      <c r="CI307" s="7">
        <v>717877.66075713001</v>
      </c>
      <c r="CJ307" s="7">
        <v>10185.9163578813</v>
      </c>
      <c r="CK307" s="7">
        <f t="shared" si="395"/>
        <v>396.54653888247401</v>
      </c>
      <c r="CM307" s="28">
        <v>35</v>
      </c>
      <c r="CN307" s="26">
        <v>5.0000000000000002E-5</v>
      </c>
      <c r="CO307" s="28">
        <v>1</v>
      </c>
      <c r="CP307" s="28">
        <v>200</v>
      </c>
      <c r="CQ307" s="26">
        <v>1.0000000000000001E-5</v>
      </c>
      <c r="CR307" s="26">
        <f t="shared" si="396"/>
        <v>1.0000000000000001E-5</v>
      </c>
      <c r="CS307" s="26">
        <f t="shared" si="397"/>
        <v>0.4</v>
      </c>
      <c r="CT307" s="7">
        <v>1.41403858375669</v>
      </c>
      <c r="CU307" s="7">
        <v>119.779274796552</v>
      </c>
      <c r="CV307" s="7">
        <v>155.521045898078</v>
      </c>
      <c r="CW307" s="7">
        <v>119.779274796552</v>
      </c>
      <c r="CX307" s="7">
        <v>358938.83037856501</v>
      </c>
      <c r="CY307" s="7">
        <v>10185.9163578813</v>
      </c>
      <c r="CZ307" s="7">
        <f t="shared" si="398"/>
        <v>395.07959549118198</v>
      </c>
      <c r="DB307" s="28">
        <v>35</v>
      </c>
      <c r="DC307" s="26">
        <v>5.0000000000000002E-5</v>
      </c>
      <c r="DD307" s="28">
        <v>2</v>
      </c>
      <c r="DE307" s="28">
        <v>200</v>
      </c>
      <c r="DF307" s="26">
        <v>1.0000000000000001E-5</v>
      </c>
      <c r="DG307" s="26">
        <f t="shared" si="399"/>
        <v>2.0000000000000002E-5</v>
      </c>
      <c r="DH307" s="26">
        <f t="shared" si="400"/>
        <v>0.8</v>
      </c>
      <c r="DI307" s="7">
        <v>1.4915619630961501</v>
      </c>
      <c r="DJ307" s="7">
        <v>119.01223137089301</v>
      </c>
      <c r="DK307" s="7">
        <v>154.156369850555</v>
      </c>
      <c r="DL307" s="7">
        <v>119.01223137089301</v>
      </c>
      <c r="DM307" s="7">
        <v>179469.41518928201</v>
      </c>
      <c r="DN307" s="7">
        <v>10185.9163578813</v>
      </c>
      <c r="DO307" s="7">
        <f t="shared" si="401"/>
        <v>392.18083259234101</v>
      </c>
      <c r="DQ307" s="28">
        <v>35</v>
      </c>
      <c r="DR307" s="26">
        <v>5.0000000000000002E-5</v>
      </c>
      <c r="DS307" s="28">
        <v>15</v>
      </c>
      <c r="DT307" s="28">
        <v>300</v>
      </c>
      <c r="DU307" s="26">
        <v>7.5000000000000002E-6</v>
      </c>
      <c r="DV307" s="26">
        <f t="shared" si="402"/>
        <v>1.125E-4</v>
      </c>
      <c r="DW307" s="26">
        <f t="shared" si="403"/>
        <v>4.5</v>
      </c>
      <c r="DX307" s="7">
        <v>2.8379003141200401</v>
      </c>
      <c r="DY307" s="7">
        <v>75.5008244304708</v>
      </c>
      <c r="DZ307" s="7">
        <v>96.032312732024195</v>
      </c>
      <c r="EA307" s="7">
        <v>75.5008244304708</v>
      </c>
      <c r="EB307" s="7">
        <v>23929.255358571001</v>
      </c>
      <c r="EC307" s="7">
        <v>8148.7330863050402</v>
      </c>
      <c r="ED307" s="7">
        <f t="shared" si="404"/>
        <v>247.0339615929658</v>
      </c>
    </row>
    <row r="308" spans="1:134" x14ac:dyDescent="0.4">
      <c r="A308" s="28">
        <v>40</v>
      </c>
      <c r="B308" s="26">
        <v>1.0000000000000001E-5</v>
      </c>
      <c r="C308" s="28">
        <v>0.2</v>
      </c>
      <c r="D308" s="28">
        <v>30</v>
      </c>
      <c r="E308" s="26">
        <v>1.0000000000000001E-5</v>
      </c>
      <c r="F308" s="26">
        <f t="shared" si="378"/>
        <v>2.0000000000000003E-6</v>
      </c>
      <c r="G308" s="26">
        <f t="shared" si="379"/>
        <v>0.4</v>
      </c>
      <c r="H308" s="7">
        <v>0.28878764644426402</v>
      </c>
      <c r="I308" s="7">
        <v>3352.9677929484601</v>
      </c>
      <c r="J308" s="7">
        <v>5323.5334580216904</v>
      </c>
      <c r="K308" s="7">
        <v>3352.9677929484601</v>
      </c>
      <c r="L308" s="7">
        <v>13908939.478979601</v>
      </c>
      <c r="M308" s="7">
        <v>254647.90894703299</v>
      </c>
      <c r="N308" s="7">
        <f t="shared" si="380"/>
        <v>12029.469043918611</v>
      </c>
      <c r="P308" s="28">
        <v>40</v>
      </c>
      <c r="Q308" s="26">
        <v>3.0000000000000001E-5</v>
      </c>
      <c r="R308" s="28">
        <v>0.2</v>
      </c>
      <c r="S308" s="28">
        <v>30</v>
      </c>
      <c r="T308" s="26">
        <v>1.0000000000000001E-5</v>
      </c>
      <c r="U308" s="26">
        <f t="shared" si="381"/>
        <v>2.0000000000000003E-6</v>
      </c>
      <c r="V308" s="26">
        <f t="shared" si="382"/>
        <v>0.13333333333333336</v>
      </c>
      <c r="W308" s="7">
        <v>0.80865897075561199</v>
      </c>
      <c r="X308" s="7">
        <v>1117.6559309715101</v>
      </c>
      <c r="Y308" s="7">
        <v>1774.5111526738999</v>
      </c>
      <c r="Z308" s="7">
        <v>1117.6559309715101</v>
      </c>
      <c r="AA308" s="7">
        <v>4636313.1689486196</v>
      </c>
      <c r="AB308" s="7">
        <v>28294.212105225801</v>
      </c>
      <c r="AC308" s="7">
        <f t="shared" si="383"/>
        <v>4009.8230146169199</v>
      </c>
      <c r="AE308" s="28">
        <v>40</v>
      </c>
      <c r="AF308" s="26">
        <v>5.0000000000000002E-5</v>
      </c>
      <c r="AG308" s="28">
        <v>0.2</v>
      </c>
      <c r="AH308" s="28">
        <v>30</v>
      </c>
      <c r="AI308" s="26">
        <v>1.0000000000000001E-5</v>
      </c>
      <c r="AJ308" s="26">
        <f t="shared" si="384"/>
        <v>2.0000000000000003E-6</v>
      </c>
      <c r="AK308" s="26">
        <f t="shared" si="385"/>
        <v>8.0000000000000016E-2</v>
      </c>
      <c r="AL308" s="7">
        <v>1.28460123281503</v>
      </c>
      <c r="AM308" s="7">
        <v>670.59355848720395</v>
      </c>
      <c r="AN308" s="7">
        <v>1064.70669160434</v>
      </c>
      <c r="AO308" s="7">
        <v>670.59355848720395</v>
      </c>
      <c r="AP308" s="7">
        <v>2781787.9800138599</v>
      </c>
      <c r="AQ308" s="7">
        <v>10185.9163578813</v>
      </c>
      <c r="AR308" s="7">
        <f t="shared" si="386"/>
        <v>2405.8938085787481</v>
      </c>
      <c r="AT308" s="28">
        <v>40</v>
      </c>
      <c r="AU308" s="26">
        <v>1.0000000000000001E-5</v>
      </c>
      <c r="AV308" s="28">
        <v>0.2</v>
      </c>
      <c r="AW308" s="28">
        <v>200</v>
      </c>
      <c r="AX308" s="26">
        <v>1.0000000000000001E-5</v>
      </c>
      <c r="AY308" s="26">
        <f t="shared" si="387"/>
        <v>2.0000000000000003E-6</v>
      </c>
      <c r="AZ308" s="26">
        <f t="shared" si="388"/>
        <v>0.4</v>
      </c>
      <c r="BA308" s="7">
        <v>0.29434932329917202</v>
      </c>
      <c r="BB308" s="7">
        <v>506.171357939058</v>
      </c>
      <c r="BC308" s="7">
        <v>804.808472591532</v>
      </c>
      <c r="BD308" s="7">
        <v>506.171357939058</v>
      </c>
      <c r="BE308" s="7">
        <v>13908939.478979601</v>
      </c>
      <c r="BF308" s="7">
        <v>254647.90894703299</v>
      </c>
      <c r="BG308" s="7">
        <f t="shared" si="389"/>
        <v>1817.1511884696479</v>
      </c>
      <c r="BI308" s="28">
        <v>40</v>
      </c>
      <c r="BJ308" s="26">
        <v>1.0000000000000001E-5</v>
      </c>
      <c r="BK308" s="28">
        <v>0.5</v>
      </c>
      <c r="BL308" s="28">
        <v>200</v>
      </c>
      <c r="BM308" s="26">
        <v>1.0000000000000001E-5</v>
      </c>
      <c r="BN308" s="26">
        <f t="shared" si="390"/>
        <v>5.0000000000000004E-6</v>
      </c>
      <c r="BO308" s="26">
        <f t="shared" si="391"/>
        <v>1</v>
      </c>
      <c r="BP308" s="7">
        <v>0.31000084589370802</v>
      </c>
      <c r="BQ308" s="7">
        <v>505.31296257696903</v>
      </c>
      <c r="BR308" s="7">
        <v>803.13685140779603</v>
      </c>
      <c r="BS308" s="7">
        <v>505.31296257696903</v>
      </c>
      <c r="BT308" s="7">
        <v>5563575.7915918296</v>
      </c>
      <c r="BU308" s="7">
        <v>254647.90894703299</v>
      </c>
      <c r="BV308" s="7">
        <f t="shared" si="392"/>
        <v>1813.7627765617342</v>
      </c>
      <c r="BX308" s="28">
        <v>40</v>
      </c>
      <c r="BY308" s="26">
        <v>5.0000000000000002E-5</v>
      </c>
      <c r="BZ308" s="28">
        <v>0.5</v>
      </c>
      <c r="CA308" s="28">
        <v>200</v>
      </c>
      <c r="CB308" s="26">
        <v>1.0000000000000001E-5</v>
      </c>
      <c r="CC308" s="26">
        <f t="shared" si="393"/>
        <v>5.0000000000000004E-6</v>
      </c>
      <c r="CD308" s="26">
        <f t="shared" si="394"/>
        <v>0.2</v>
      </c>
      <c r="CE308" s="7">
        <v>1.42580464942848</v>
      </c>
      <c r="CF308" s="7">
        <v>101.06259250957299</v>
      </c>
      <c r="CG308" s="7">
        <v>160.627370281559</v>
      </c>
      <c r="CH308" s="7">
        <v>101.06259250957299</v>
      </c>
      <c r="CI308" s="7">
        <v>1112715.19200554</v>
      </c>
      <c r="CJ308" s="7">
        <v>10185.9163578813</v>
      </c>
      <c r="CK308" s="7">
        <f t="shared" si="395"/>
        <v>362.75255530070496</v>
      </c>
      <c r="CM308" s="28">
        <v>40</v>
      </c>
      <c r="CN308" s="26">
        <v>5.0000000000000002E-5</v>
      </c>
      <c r="CO308" s="28">
        <v>1</v>
      </c>
      <c r="CP308" s="28">
        <v>200</v>
      </c>
      <c r="CQ308" s="26">
        <v>1.0000000000000001E-5</v>
      </c>
      <c r="CR308" s="26">
        <f t="shared" si="396"/>
        <v>1.0000000000000001E-5</v>
      </c>
      <c r="CS308" s="26">
        <f t="shared" si="397"/>
        <v>0.4</v>
      </c>
      <c r="CT308" s="7">
        <v>1.4519632332043699</v>
      </c>
      <c r="CU308" s="7">
        <v>100.77787314708399</v>
      </c>
      <c r="CV308" s="7">
        <v>160.073267279547</v>
      </c>
      <c r="CW308" s="7">
        <v>100.77787314708399</v>
      </c>
      <c r="CX308" s="7">
        <v>556357.59600277198</v>
      </c>
      <c r="CY308" s="7">
        <v>10185.9163578813</v>
      </c>
      <c r="CZ308" s="7">
        <f t="shared" si="398"/>
        <v>361.62901357371499</v>
      </c>
      <c r="DB308" s="28">
        <v>40</v>
      </c>
      <c r="DC308" s="26">
        <v>5.0000000000000002E-5</v>
      </c>
      <c r="DD308" s="28">
        <v>2</v>
      </c>
      <c r="DE308" s="28">
        <v>200</v>
      </c>
      <c r="DF308" s="26">
        <v>1.0000000000000001E-5</v>
      </c>
      <c r="DG308" s="26">
        <f t="shared" si="399"/>
        <v>2.0000000000000002E-5</v>
      </c>
      <c r="DH308" s="26">
        <f t="shared" si="400"/>
        <v>0.8</v>
      </c>
      <c r="DI308" s="7">
        <v>1.5042789423460601</v>
      </c>
      <c r="DJ308" s="7">
        <v>100.213668542356</v>
      </c>
      <c r="DK308" s="7">
        <v>158.97655523681999</v>
      </c>
      <c r="DL308" s="7">
        <v>100.213668542356</v>
      </c>
      <c r="DM308" s="7">
        <v>278178.79800138599</v>
      </c>
      <c r="DN308" s="7">
        <v>10185.9163578813</v>
      </c>
      <c r="DO308" s="7">
        <f t="shared" si="401"/>
        <v>359.403892321532</v>
      </c>
      <c r="DQ308" s="28">
        <v>40</v>
      </c>
      <c r="DR308" s="26">
        <v>5.0000000000000002E-5</v>
      </c>
      <c r="DS308" s="28">
        <v>15</v>
      </c>
      <c r="DT308" s="28">
        <v>300</v>
      </c>
      <c r="DU308" s="26">
        <v>7.5000000000000002E-6</v>
      </c>
      <c r="DV308" s="26">
        <f t="shared" si="402"/>
        <v>1.125E-4</v>
      </c>
      <c r="DW308" s="26">
        <f t="shared" si="403"/>
        <v>4.5</v>
      </c>
      <c r="DX308" s="7">
        <v>2.53867810072509</v>
      </c>
      <c r="DY308" s="7">
        <v>63.957630951740299</v>
      </c>
      <c r="DZ308" s="7">
        <v>100.479958515748</v>
      </c>
      <c r="EA308" s="7">
        <v>63.957630951740299</v>
      </c>
      <c r="EB308" s="7">
        <v>37090.5064001848</v>
      </c>
      <c r="EC308" s="7">
        <v>8148.7330863050402</v>
      </c>
      <c r="ED308" s="7">
        <f t="shared" si="404"/>
        <v>228.39522041922859</v>
      </c>
    </row>
    <row r="309" spans="1:134" x14ac:dyDescent="0.4">
      <c r="A309" s="28">
        <v>45</v>
      </c>
      <c r="B309" s="26">
        <v>1.0000000000000001E-5</v>
      </c>
      <c r="C309" s="28">
        <v>0.2</v>
      </c>
      <c r="D309" s="28">
        <v>30</v>
      </c>
      <c r="E309" s="26">
        <v>1.0000000000000001E-5</v>
      </c>
      <c r="F309" s="26">
        <f t="shared" si="378"/>
        <v>2.0000000000000003E-6</v>
      </c>
      <c r="G309" s="26">
        <f t="shared" si="379"/>
        <v>0.4</v>
      </c>
      <c r="H309" s="7">
        <v>0.29675336211515102</v>
      </c>
      <c r="I309" s="7">
        <v>2844.9728255004802</v>
      </c>
      <c r="J309" s="7">
        <v>5459.8455675855203</v>
      </c>
      <c r="K309" s="7">
        <v>2844.9728255004802</v>
      </c>
      <c r="L309" s="7">
        <v>22314016.336053099</v>
      </c>
      <c r="M309" s="7">
        <v>254647.90894703299</v>
      </c>
      <c r="N309" s="7">
        <f t="shared" si="380"/>
        <v>11149.791218586481</v>
      </c>
      <c r="P309" s="28">
        <v>45</v>
      </c>
      <c r="Q309" s="26">
        <v>3.0000000000000001E-5</v>
      </c>
      <c r="R309" s="28">
        <v>0.2</v>
      </c>
      <c r="S309" s="28">
        <v>30</v>
      </c>
      <c r="T309" s="26">
        <v>1.0000000000000001E-5</v>
      </c>
      <c r="U309" s="26">
        <f t="shared" si="381"/>
        <v>2.0000000000000003E-6</v>
      </c>
      <c r="V309" s="26">
        <f t="shared" si="382"/>
        <v>0.13333333333333336</v>
      </c>
      <c r="W309" s="7">
        <v>0.84098869442202195</v>
      </c>
      <c r="X309" s="7">
        <v>948.32427515736799</v>
      </c>
      <c r="Y309" s="7">
        <v>1819.94852252851</v>
      </c>
      <c r="Z309" s="7">
        <v>948.32427515736799</v>
      </c>
      <c r="AA309" s="7">
        <v>7438005.4604388904</v>
      </c>
      <c r="AB309" s="7">
        <v>28294.212105225801</v>
      </c>
      <c r="AC309" s="7">
        <f t="shared" si="383"/>
        <v>3716.5970728432458</v>
      </c>
      <c r="AE309" s="28">
        <v>45</v>
      </c>
      <c r="AF309" s="26">
        <v>5.0000000000000002E-5</v>
      </c>
      <c r="AG309" s="28">
        <v>0.2</v>
      </c>
      <c r="AH309" s="28">
        <v>30</v>
      </c>
      <c r="AI309" s="26">
        <v>1.0000000000000001E-5</v>
      </c>
      <c r="AJ309" s="26">
        <f t="shared" si="384"/>
        <v>2.0000000000000003E-6</v>
      </c>
      <c r="AK309" s="26">
        <f t="shared" si="385"/>
        <v>8.0000000000000016E-2</v>
      </c>
      <c r="AL309" s="7">
        <v>1.3422673575758599</v>
      </c>
      <c r="AM309" s="7">
        <v>568.99456501435202</v>
      </c>
      <c r="AN309" s="7">
        <v>1091.9691135170999</v>
      </c>
      <c r="AO309" s="7">
        <v>568.99456501435202</v>
      </c>
      <c r="AP309" s="7">
        <v>4462803.4040061999</v>
      </c>
      <c r="AQ309" s="7">
        <v>10185.9163578813</v>
      </c>
      <c r="AR309" s="7">
        <f t="shared" si="386"/>
        <v>2229.9582435458042</v>
      </c>
      <c r="AT309" s="28">
        <v>45</v>
      </c>
      <c r="AU309" s="26">
        <v>1.0000000000000001E-5</v>
      </c>
      <c r="AV309" s="28">
        <v>0.2</v>
      </c>
      <c r="AW309" s="28">
        <v>200</v>
      </c>
      <c r="AX309" s="26">
        <v>1.0000000000000001E-5</v>
      </c>
      <c r="AY309" s="26">
        <f t="shared" si="387"/>
        <v>2.0000000000000003E-6</v>
      </c>
      <c r="AZ309" s="26">
        <f t="shared" si="388"/>
        <v>0.4</v>
      </c>
      <c r="BA309" s="7">
        <v>0.30212624167521102</v>
      </c>
      <c r="BB309" s="7">
        <v>429.182314820393</v>
      </c>
      <c r="BC309" s="7">
        <v>824.10906225483302</v>
      </c>
      <c r="BD309" s="7">
        <v>429.182314820393</v>
      </c>
      <c r="BE309" s="7">
        <v>22314016.336053099</v>
      </c>
      <c r="BF309" s="7">
        <v>254647.90894703299</v>
      </c>
      <c r="BG309" s="7">
        <f t="shared" si="389"/>
        <v>1682.4736918956191</v>
      </c>
      <c r="BI309" s="28">
        <v>45</v>
      </c>
      <c r="BJ309" s="26">
        <v>1.0000000000000001E-5</v>
      </c>
      <c r="BK309" s="28">
        <v>0.5</v>
      </c>
      <c r="BL309" s="28">
        <v>200</v>
      </c>
      <c r="BM309" s="26">
        <v>1.0000000000000001E-5</v>
      </c>
      <c r="BN309" s="26">
        <f t="shared" si="390"/>
        <v>5.0000000000000004E-6</v>
      </c>
      <c r="BO309" s="26">
        <f t="shared" si="391"/>
        <v>1</v>
      </c>
      <c r="BP309" s="7">
        <v>0.31227323324336098</v>
      </c>
      <c r="BQ309" s="7">
        <v>428.53449983983199</v>
      </c>
      <c r="BR309" s="7">
        <v>822.74419088845502</v>
      </c>
      <c r="BS309" s="7">
        <v>428.53449983983199</v>
      </c>
      <c r="BT309" s="7">
        <v>8925606.5344212595</v>
      </c>
      <c r="BU309" s="7">
        <v>254647.90894703299</v>
      </c>
      <c r="BV309" s="7">
        <f t="shared" si="392"/>
        <v>1679.8131905681191</v>
      </c>
      <c r="BX309" s="28">
        <v>45</v>
      </c>
      <c r="BY309" s="26">
        <v>5.0000000000000002E-5</v>
      </c>
      <c r="BZ309" s="28">
        <v>0.5</v>
      </c>
      <c r="CA309" s="28">
        <v>200</v>
      </c>
      <c r="CB309" s="26">
        <v>1.0000000000000001E-5</v>
      </c>
      <c r="CC309" s="26">
        <f t="shared" si="393"/>
        <v>5.0000000000000004E-6</v>
      </c>
      <c r="CD309" s="26">
        <f t="shared" si="394"/>
        <v>0.2</v>
      </c>
      <c r="CE309" s="7">
        <v>1.47456189237522</v>
      </c>
      <c r="CF309" s="7">
        <v>85.706899963102501</v>
      </c>
      <c r="CG309" s="7">
        <v>164.54883817769101</v>
      </c>
      <c r="CH309" s="7">
        <v>85.706899963102501</v>
      </c>
      <c r="CI309" s="7">
        <v>1785121.3616024801</v>
      </c>
      <c r="CJ309" s="7">
        <v>10185.9163578813</v>
      </c>
      <c r="CK309" s="7">
        <f t="shared" si="395"/>
        <v>335.96263810389598</v>
      </c>
      <c r="CM309" s="28">
        <v>45</v>
      </c>
      <c r="CN309" s="26">
        <v>5.0000000000000002E-5</v>
      </c>
      <c r="CO309" s="28">
        <v>1</v>
      </c>
      <c r="CP309" s="28">
        <v>200</v>
      </c>
      <c r="CQ309" s="26">
        <v>1.0000000000000001E-5</v>
      </c>
      <c r="CR309" s="26">
        <f t="shared" si="396"/>
        <v>1.0000000000000001E-5</v>
      </c>
      <c r="CS309" s="26">
        <f t="shared" si="397"/>
        <v>0.4</v>
      </c>
      <c r="CT309" s="7">
        <v>1.49153313612687</v>
      </c>
      <c r="CU309" s="7">
        <v>85.491887514072303</v>
      </c>
      <c r="CV309" s="7">
        <v>164.095913900619</v>
      </c>
      <c r="CW309" s="7">
        <v>85.491887514072303</v>
      </c>
      <c r="CX309" s="7">
        <v>892560.68080124003</v>
      </c>
      <c r="CY309" s="7">
        <v>10185.9163578813</v>
      </c>
      <c r="CZ309" s="7">
        <f t="shared" si="398"/>
        <v>335.07968892876357</v>
      </c>
      <c r="DB309" s="28">
        <v>45</v>
      </c>
      <c r="DC309" s="26">
        <v>5.0000000000000002E-5</v>
      </c>
      <c r="DD309" s="28">
        <v>2</v>
      </c>
      <c r="DE309" s="28">
        <v>200</v>
      </c>
      <c r="DF309" s="26">
        <v>1.0000000000000001E-5</v>
      </c>
      <c r="DG309" s="26">
        <f t="shared" si="399"/>
        <v>2.0000000000000002E-5</v>
      </c>
      <c r="DH309" s="26">
        <f t="shared" si="400"/>
        <v>0.8</v>
      </c>
      <c r="DI309" s="7">
        <v>1.52547462424067</v>
      </c>
      <c r="DJ309" s="7">
        <v>85.065299620820397</v>
      </c>
      <c r="DK309" s="7">
        <v>163.197611169178</v>
      </c>
      <c r="DL309" s="7">
        <v>85.065299620820397</v>
      </c>
      <c r="DM309" s="7">
        <v>446280.34040062001</v>
      </c>
      <c r="DN309" s="7">
        <v>10185.9163578813</v>
      </c>
      <c r="DO309" s="7">
        <f t="shared" si="401"/>
        <v>333.32821041081877</v>
      </c>
      <c r="DQ309" s="28">
        <v>45</v>
      </c>
      <c r="DR309" s="26">
        <v>5.0000000000000002E-5</v>
      </c>
      <c r="DS309" s="28">
        <v>15</v>
      </c>
      <c r="DT309" s="28">
        <v>300</v>
      </c>
      <c r="DU309" s="26">
        <v>7.5000000000000002E-6</v>
      </c>
      <c r="DV309" s="26">
        <f t="shared" si="402"/>
        <v>1.125E-4</v>
      </c>
      <c r="DW309" s="26">
        <f t="shared" si="403"/>
        <v>4.5</v>
      </c>
      <c r="DX309" s="7">
        <v>2.33545843402525</v>
      </c>
      <c r="DY309" s="7">
        <v>54.539450656433999</v>
      </c>
      <c r="DZ309" s="7">
        <v>104.236562937325</v>
      </c>
      <c r="EA309" s="7">
        <v>54.539450656433999</v>
      </c>
      <c r="EB309" s="7">
        <v>59504.045386749298</v>
      </c>
      <c r="EC309" s="7">
        <v>8148.7330863050402</v>
      </c>
      <c r="ED309" s="7">
        <f t="shared" si="404"/>
        <v>213.31546425019297</v>
      </c>
    </row>
    <row r="310" spans="1:134" x14ac:dyDescent="0.4">
      <c r="A310" s="28">
        <v>50</v>
      </c>
      <c r="B310" s="26">
        <v>1.0000000000000001E-5</v>
      </c>
      <c r="C310" s="28">
        <v>0.2</v>
      </c>
      <c r="D310" s="28">
        <v>30</v>
      </c>
      <c r="E310" s="26">
        <v>1.0000000000000001E-5</v>
      </c>
      <c r="F310" s="26">
        <f t="shared" si="378"/>
        <v>2.0000000000000003E-6</v>
      </c>
      <c r="G310" s="26">
        <f t="shared" si="379"/>
        <v>0.4</v>
      </c>
      <c r="H310" s="7">
        <v>0.30488346136779299</v>
      </c>
      <c r="I310" s="7">
        <v>2422.0764785389101</v>
      </c>
      <c r="J310" s="7">
        <v>5581.9822447758097</v>
      </c>
      <c r="K310" s="7">
        <v>2422.0764785389101</v>
      </c>
      <c r="L310" s="7">
        <v>38032949.861855596</v>
      </c>
      <c r="M310" s="7">
        <v>254647.90894703299</v>
      </c>
      <c r="N310" s="7">
        <f t="shared" si="380"/>
        <v>10426.135201853631</v>
      </c>
      <c r="P310" s="28">
        <v>50</v>
      </c>
      <c r="Q310" s="26">
        <v>3.0000000000000001E-5</v>
      </c>
      <c r="R310" s="28">
        <v>0.2</v>
      </c>
      <c r="S310" s="28">
        <v>30</v>
      </c>
      <c r="T310" s="26">
        <v>1.0000000000000001E-5</v>
      </c>
      <c r="U310" s="26">
        <f t="shared" si="381"/>
        <v>2.0000000000000003E-6</v>
      </c>
      <c r="V310" s="26">
        <f t="shared" si="382"/>
        <v>0.13333333333333336</v>
      </c>
      <c r="W310" s="7">
        <v>0.87162385621407201</v>
      </c>
      <c r="X310" s="7">
        <v>807.35882617166396</v>
      </c>
      <c r="Y310" s="7">
        <v>1860.6607482586001</v>
      </c>
      <c r="Z310" s="7">
        <v>807.35882617166396</v>
      </c>
      <c r="AA310" s="7">
        <v>12677649.9784535</v>
      </c>
      <c r="AB310" s="7">
        <v>28294.212105225801</v>
      </c>
      <c r="AC310" s="7">
        <f t="shared" si="383"/>
        <v>3475.3784006019282</v>
      </c>
      <c r="AE310" s="28">
        <v>50</v>
      </c>
      <c r="AF310" s="26">
        <v>5.0000000000000002E-5</v>
      </c>
      <c r="AG310" s="28">
        <v>0.2</v>
      </c>
      <c r="AH310" s="28">
        <v>30</v>
      </c>
      <c r="AI310" s="26">
        <v>1.0000000000000001E-5</v>
      </c>
      <c r="AJ310" s="26">
        <f t="shared" si="384"/>
        <v>2.0000000000000003E-6</v>
      </c>
      <c r="AK310" s="26">
        <f t="shared" si="385"/>
        <v>8.0000000000000016E-2</v>
      </c>
      <c r="AL310" s="7">
        <v>1.3962649767390301</v>
      </c>
      <c r="AM310" s="7">
        <v>484.41529563550102</v>
      </c>
      <c r="AN310" s="7">
        <v>1116.3964489551599</v>
      </c>
      <c r="AO310" s="7">
        <v>484.41529563550102</v>
      </c>
      <c r="AP310" s="7">
        <v>7606590.1945190197</v>
      </c>
      <c r="AQ310" s="7">
        <v>10185.9163578813</v>
      </c>
      <c r="AR310" s="7">
        <f t="shared" si="386"/>
        <v>2085.227040226162</v>
      </c>
      <c r="AT310" s="28">
        <v>50</v>
      </c>
      <c r="AU310" s="26">
        <v>1.0000000000000001E-5</v>
      </c>
      <c r="AV310" s="28">
        <v>0.2</v>
      </c>
      <c r="AW310" s="28">
        <v>200</v>
      </c>
      <c r="AX310" s="26">
        <v>1.0000000000000001E-5</v>
      </c>
      <c r="AY310" s="26">
        <f t="shared" si="387"/>
        <v>2.0000000000000003E-6</v>
      </c>
      <c r="AZ310" s="26">
        <f t="shared" si="388"/>
        <v>0.4</v>
      </c>
      <c r="BA310" s="7">
        <v>0.31009639340725598</v>
      </c>
      <c r="BB310" s="7">
        <v>365.18105956717</v>
      </c>
      <c r="BC310" s="7">
        <v>841.53641728653497</v>
      </c>
      <c r="BD310" s="7">
        <v>365.18105956717</v>
      </c>
      <c r="BE310" s="7">
        <v>38032949.861855596</v>
      </c>
      <c r="BF310" s="7">
        <v>254647.90894703299</v>
      </c>
      <c r="BG310" s="7">
        <f t="shared" si="389"/>
        <v>1571.898536420875</v>
      </c>
      <c r="BI310" s="28">
        <v>50</v>
      </c>
      <c r="BJ310" s="26">
        <v>1.0000000000000001E-5</v>
      </c>
      <c r="BK310" s="28">
        <v>0.5</v>
      </c>
      <c r="BL310" s="28">
        <v>200</v>
      </c>
      <c r="BM310" s="26">
        <v>1.0000000000000001E-5</v>
      </c>
      <c r="BN310" s="26">
        <f t="shared" si="390"/>
        <v>5.0000000000000004E-6</v>
      </c>
      <c r="BO310" s="26">
        <f t="shared" si="391"/>
        <v>1</v>
      </c>
      <c r="BP310" s="7">
        <v>0.31626278567534799</v>
      </c>
      <c r="BQ310" s="7">
        <v>364.68421056947602</v>
      </c>
      <c r="BR310" s="7">
        <v>840.41004328064798</v>
      </c>
      <c r="BS310" s="7">
        <v>364.68421056947602</v>
      </c>
      <c r="BT310" s="7">
        <v>15213179.944742201</v>
      </c>
      <c r="BU310" s="7">
        <v>254647.90894703299</v>
      </c>
      <c r="BV310" s="7">
        <f t="shared" si="392"/>
        <v>1569.7784644195999</v>
      </c>
      <c r="BX310" s="28">
        <v>50</v>
      </c>
      <c r="BY310" s="26">
        <v>5.0000000000000002E-5</v>
      </c>
      <c r="BZ310" s="28">
        <v>0.5</v>
      </c>
      <c r="CA310" s="28">
        <v>200</v>
      </c>
      <c r="CB310" s="26">
        <v>1.0000000000000001E-5</v>
      </c>
      <c r="CC310" s="26">
        <f t="shared" si="393"/>
        <v>5.0000000000000004E-6</v>
      </c>
      <c r="CD310" s="26">
        <f t="shared" si="394"/>
        <v>0.2</v>
      </c>
      <c r="CE310" s="7">
        <v>1.52163677501384</v>
      </c>
      <c r="CF310" s="7">
        <v>72.936842109798505</v>
      </c>
      <c r="CG310" s="7">
        <v>168.08200865613</v>
      </c>
      <c r="CH310" s="7">
        <v>72.936842109798505</v>
      </c>
      <c r="CI310" s="7">
        <v>3042636.0778076099</v>
      </c>
      <c r="CJ310" s="7">
        <v>10185.9163578813</v>
      </c>
      <c r="CK310" s="7">
        <f t="shared" si="395"/>
        <v>313.95569287572698</v>
      </c>
      <c r="CM310" s="28">
        <v>50</v>
      </c>
      <c r="CN310" s="26">
        <v>5.0000000000000002E-5</v>
      </c>
      <c r="CO310" s="28">
        <v>1</v>
      </c>
      <c r="CP310" s="28">
        <v>200</v>
      </c>
      <c r="CQ310" s="26">
        <v>1.0000000000000001E-5</v>
      </c>
      <c r="CR310" s="26">
        <f t="shared" si="396"/>
        <v>1.0000000000000001E-5</v>
      </c>
      <c r="CS310" s="26">
        <f t="shared" si="397"/>
        <v>0.4</v>
      </c>
      <c r="CT310" s="7">
        <v>1.5319634217545499</v>
      </c>
      <c r="CU310" s="7">
        <v>72.771853396363895</v>
      </c>
      <c r="CV310" s="7">
        <v>167.707917393011</v>
      </c>
      <c r="CW310" s="7">
        <v>72.771853396363895</v>
      </c>
      <c r="CX310" s="7">
        <v>1521318.0389038101</v>
      </c>
      <c r="CY310" s="7">
        <v>10185.9163578813</v>
      </c>
      <c r="CZ310" s="7">
        <f t="shared" si="398"/>
        <v>313.25162418573882</v>
      </c>
      <c r="DB310" s="28">
        <v>50</v>
      </c>
      <c r="DC310" s="26">
        <v>5.0000000000000002E-5</v>
      </c>
      <c r="DD310" s="28">
        <v>2</v>
      </c>
      <c r="DE310" s="28">
        <v>200</v>
      </c>
      <c r="DF310" s="26">
        <v>1.0000000000000001E-5</v>
      </c>
      <c r="DG310" s="26">
        <f t="shared" si="399"/>
        <v>2.0000000000000002E-5</v>
      </c>
      <c r="DH310" s="26">
        <f t="shared" si="400"/>
        <v>0.8</v>
      </c>
      <c r="DI310" s="7">
        <v>1.5526160133625899</v>
      </c>
      <c r="DJ310" s="7">
        <v>72.444208829560395</v>
      </c>
      <c r="DK310" s="7">
        <v>166.964817403171</v>
      </c>
      <c r="DL310" s="7">
        <v>72.444208829560395</v>
      </c>
      <c r="DM310" s="7">
        <v>760659.01945190295</v>
      </c>
      <c r="DN310" s="7">
        <v>10185.9163578813</v>
      </c>
      <c r="DO310" s="7">
        <f t="shared" si="401"/>
        <v>311.85323506229179</v>
      </c>
      <c r="DQ310" s="28">
        <v>50</v>
      </c>
      <c r="DR310" s="26">
        <v>5.0000000000000002E-5</v>
      </c>
      <c r="DS310" s="28">
        <v>15</v>
      </c>
      <c r="DT310" s="28">
        <v>300</v>
      </c>
      <c r="DU310" s="26">
        <v>7.5000000000000002E-6</v>
      </c>
      <c r="DV310" s="26">
        <f t="shared" si="402"/>
        <v>1.125E-4</v>
      </c>
      <c r="DW310" s="26">
        <f t="shared" si="403"/>
        <v>4.5</v>
      </c>
      <c r="DX310" s="7">
        <v>2.2032318865761402</v>
      </c>
      <c r="DY310" s="7">
        <v>46.620018473906597</v>
      </c>
      <c r="DZ310" s="7">
        <v>107.50242472112301</v>
      </c>
      <c r="EA310" s="7">
        <v>46.620018473906597</v>
      </c>
      <c r="EB310" s="7">
        <v>101421.202593587</v>
      </c>
      <c r="EC310" s="7">
        <v>8148.7330863050402</v>
      </c>
      <c r="ED310" s="7">
        <f t="shared" si="404"/>
        <v>200.74246166893619</v>
      </c>
    </row>
    <row r="311" spans="1:134" x14ac:dyDescent="0.4">
      <c r="A311" s="28">
        <v>55.000000000000007</v>
      </c>
      <c r="B311" s="26">
        <v>1.0000000000000001E-5</v>
      </c>
      <c r="C311" s="28">
        <v>0.2</v>
      </c>
      <c r="D311" s="28">
        <v>30</v>
      </c>
      <c r="E311" s="26">
        <v>1.0000000000000001E-5</v>
      </c>
      <c r="F311" s="26">
        <f t="shared" si="378"/>
        <v>2.0000000000000003E-6</v>
      </c>
      <c r="G311" s="26">
        <f t="shared" si="379"/>
        <v>0.4</v>
      </c>
      <c r="H311" s="7">
        <v>0.313078085349353</v>
      </c>
      <c r="I311" s="7">
        <v>2061.2283400943002</v>
      </c>
      <c r="J311" s="7">
        <v>5692.8014386926097</v>
      </c>
      <c r="K311" s="7">
        <v>2061.2283400943002</v>
      </c>
      <c r="L311" s="7">
        <v>72349793.874809399</v>
      </c>
      <c r="M311" s="7">
        <v>254647.90894703299</v>
      </c>
      <c r="N311" s="7">
        <f t="shared" si="380"/>
        <v>9815.2581188812092</v>
      </c>
      <c r="P311" s="28">
        <v>55.000000000000007</v>
      </c>
      <c r="Q311" s="26">
        <v>3.0000000000000001E-5</v>
      </c>
      <c r="R311" s="28">
        <v>0.2</v>
      </c>
      <c r="S311" s="28">
        <v>30</v>
      </c>
      <c r="T311" s="26">
        <v>1.0000000000000001E-5</v>
      </c>
      <c r="U311" s="26">
        <f t="shared" si="381"/>
        <v>2.0000000000000003E-6</v>
      </c>
      <c r="V311" s="26">
        <f t="shared" si="382"/>
        <v>0.13333333333333336</v>
      </c>
      <c r="W311" s="7">
        <v>0.90079382849966305</v>
      </c>
      <c r="X311" s="7">
        <v>687.07611335802699</v>
      </c>
      <c r="Y311" s="7">
        <v>1897.6004795642</v>
      </c>
      <c r="Z311" s="7">
        <v>687.07611335802699</v>
      </c>
      <c r="AA311" s="7">
        <v>24116597.9983452</v>
      </c>
      <c r="AB311" s="7">
        <v>28294.212105225801</v>
      </c>
      <c r="AC311" s="7">
        <f t="shared" si="383"/>
        <v>3271.7527062802537</v>
      </c>
      <c r="AE311" s="28">
        <v>55.000000000000007</v>
      </c>
      <c r="AF311" s="26">
        <v>5.0000000000000002E-5</v>
      </c>
      <c r="AG311" s="28">
        <v>0.2</v>
      </c>
      <c r="AH311" s="28">
        <v>30</v>
      </c>
      <c r="AI311" s="26">
        <v>1.0000000000000001E-5</v>
      </c>
      <c r="AJ311" s="26">
        <f t="shared" si="384"/>
        <v>2.0000000000000003E-6</v>
      </c>
      <c r="AK311" s="26">
        <f t="shared" si="385"/>
        <v>8.0000000000000016E-2</v>
      </c>
      <c r="AL311" s="7">
        <v>1.4471852888813601</v>
      </c>
      <c r="AM311" s="7">
        <v>412.24566795777702</v>
      </c>
      <c r="AN311" s="7">
        <v>1138.5602877385199</v>
      </c>
      <c r="AO311" s="7">
        <v>412.24566795777702</v>
      </c>
      <c r="AP311" s="7">
        <v>14469959.1382923</v>
      </c>
      <c r="AQ311" s="7">
        <v>10185.9163578813</v>
      </c>
      <c r="AR311" s="7">
        <f t="shared" si="386"/>
        <v>1963.0516236540739</v>
      </c>
      <c r="AT311" s="28">
        <v>55.000000000000007</v>
      </c>
      <c r="AU311" s="26">
        <v>1.0000000000000001E-5</v>
      </c>
      <c r="AV311" s="28">
        <v>0.2</v>
      </c>
      <c r="AW311" s="28">
        <v>200</v>
      </c>
      <c r="AX311" s="26">
        <v>1.0000000000000001E-5</v>
      </c>
      <c r="AY311" s="26">
        <f t="shared" si="387"/>
        <v>2.0000000000000003E-6</v>
      </c>
      <c r="AZ311" s="26">
        <f t="shared" si="388"/>
        <v>0.4</v>
      </c>
      <c r="BA311" s="7">
        <v>0.31815156129032302</v>
      </c>
      <c r="BB311" s="7">
        <v>310.62949089263498</v>
      </c>
      <c r="BC311" s="7">
        <v>857.43494866405695</v>
      </c>
      <c r="BD311" s="7">
        <v>310.62949089263498</v>
      </c>
      <c r="BE311" s="7">
        <v>72349793.874809399</v>
      </c>
      <c r="BF311" s="7">
        <v>254647.90894703299</v>
      </c>
      <c r="BG311" s="7">
        <f t="shared" si="389"/>
        <v>1478.6939304493269</v>
      </c>
      <c r="BI311" s="28">
        <v>55.000000000000007</v>
      </c>
      <c r="BJ311" s="26">
        <v>1.0000000000000001E-5</v>
      </c>
      <c r="BK311" s="28">
        <v>0.5</v>
      </c>
      <c r="BL311" s="28">
        <v>200</v>
      </c>
      <c r="BM311" s="26">
        <v>1.0000000000000001E-5</v>
      </c>
      <c r="BN311" s="26">
        <f t="shared" si="390"/>
        <v>5.0000000000000004E-6</v>
      </c>
      <c r="BO311" s="26">
        <f t="shared" si="391"/>
        <v>1</v>
      </c>
      <c r="BP311" s="7">
        <v>0.32149812074384498</v>
      </c>
      <c r="BQ311" s="7">
        <v>310.245574031601</v>
      </c>
      <c r="BR311" s="7">
        <v>856.50167124423206</v>
      </c>
      <c r="BS311" s="7">
        <v>310.245574031601</v>
      </c>
      <c r="BT311" s="7">
        <v>28939917.5499238</v>
      </c>
      <c r="BU311" s="7">
        <v>254647.90894703299</v>
      </c>
      <c r="BV311" s="7">
        <f t="shared" si="392"/>
        <v>1476.9928193074338</v>
      </c>
      <c r="BX311" s="28">
        <v>55.000000000000007</v>
      </c>
      <c r="BY311" s="26">
        <v>5.0000000000000002E-5</v>
      </c>
      <c r="BZ311" s="28">
        <v>0.5</v>
      </c>
      <c r="CA311" s="28">
        <v>200</v>
      </c>
      <c r="CB311" s="26">
        <v>1.0000000000000001E-5</v>
      </c>
      <c r="CC311" s="26">
        <f t="shared" si="393"/>
        <v>5.0000000000000004E-6</v>
      </c>
      <c r="CD311" s="26">
        <f t="shared" si="394"/>
        <v>0.2</v>
      </c>
      <c r="CE311" s="7">
        <v>1.5671252016105901</v>
      </c>
      <c r="CF311" s="7">
        <v>62.049114802860501</v>
      </c>
      <c r="CG311" s="7">
        <v>171.30033424884601</v>
      </c>
      <c r="CH311" s="7">
        <v>62.049114802860501</v>
      </c>
      <c r="CI311" s="7">
        <v>5787983.6553169098</v>
      </c>
      <c r="CJ311" s="7">
        <v>10185.9163578813</v>
      </c>
      <c r="CK311" s="7">
        <f t="shared" si="395"/>
        <v>295.39856385456704</v>
      </c>
      <c r="CM311" s="28">
        <v>55.000000000000007</v>
      </c>
      <c r="CN311" s="26">
        <v>5.0000000000000002E-5</v>
      </c>
      <c r="CO311" s="28">
        <v>1</v>
      </c>
      <c r="CP311" s="28">
        <v>200</v>
      </c>
      <c r="CQ311" s="26">
        <v>1.0000000000000001E-5</v>
      </c>
      <c r="CR311" s="26">
        <f t="shared" si="396"/>
        <v>1.0000000000000001E-5</v>
      </c>
      <c r="CS311" s="26">
        <f t="shared" si="397"/>
        <v>0.4</v>
      </c>
      <c r="CT311" s="7">
        <v>1.57274375569744</v>
      </c>
      <c r="CU311" s="7">
        <v>61.921576216120698</v>
      </c>
      <c r="CV311" s="7">
        <v>170.99017320176</v>
      </c>
      <c r="CW311" s="7">
        <v>61.921576216120698</v>
      </c>
      <c r="CX311" s="7">
        <v>2893991.8276584502</v>
      </c>
      <c r="CY311" s="7">
        <v>10185.9163578813</v>
      </c>
      <c r="CZ311" s="7">
        <f t="shared" si="398"/>
        <v>294.83332563400137</v>
      </c>
      <c r="DB311" s="28">
        <v>55.000000000000007</v>
      </c>
      <c r="DC311" s="26">
        <v>5.0000000000000002E-5</v>
      </c>
      <c r="DD311" s="28">
        <v>2</v>
      </c>
      <c r="DE311" s="28">
        <v>200</v>
      </c>
      <c r="DF311" s="26">
        <v>1.0000000000000001E-5</v>
      </c>
      <c r="DG311" s="26">
        <f t="shared" si="399"/>
        <v>2.0000000000000002E-5</v>
      </c>
      <c r="DH311" s="26">
        <f t="shared" si="400"/>
        <v>0.8</v>
      </c>
      <c r="DI311" s="7">
        <v>1.5839803648644999</v>
      </c>
      <c r="DJ311" s="7">
        <v>61.6681127663864</v>
      </c>
      <c r="DK311" s="7">
        <v>170.373319720317</v>
      </c>
      <c r="DL311" s="7">
        <v>61.6681127663864</v>
      </c>
      <c r="DM311" s="7">
        <v>1446995.91382923</v>
      </c>
      <c r="DN311" s="7">
        <v>10185.9163578813</v>
      </c>
      <c r="DO311" s="7">
        <f t="shared" si="401"/>
        <v>293.7095452530898</v>
      </c>
      <c r="DQ311" s="28">
        <v>55.000000000000007</v>
      </c>
      <c r="DR311" s="26">
        <v>5.0000000000000002E-5</v>
      </c>
      <c r="DS311" s="28">
        <v>15</v>
      </c>
      <c r="DT311" s="28">
        <v>300</v>
      </c>
      <c r="DU311" s="26">
        <v>7.5000000000000002E-6</v>
      </c>
      <c r="DV311" s="26">
        <f t="shared" si="402"/>
        <v>1.125E-4</v>
      </c>
      <c r="DW311" s="26">
        <f t="shared" si="403"/>
        <v>4.5</v>
      </c>
      <c r="DX311" s="7">
        <v>2.1246934357310501</v>
      </c>
      <c r="DY311" s="7">
        <v>39.809859656104699</v>
      </c>
      <c r="DZ311" s="7">
        <v>110.399385072318</v>
      </c>
      <c r="EA311" s="7">
        <v>39.809859656104699</v>
      </c>
      <c r="EB311" s="7">
        <v>192932.78851056399</v>
      </c>
      <c r="EC311" s="7">
        <v>8148.7330863050402</v>
      </c>
      <c r="ED311" s="7">
        <f t="shared" si="404"/>
        <v>190.0191043845274</v>
      </c>
    </row>
    <row r="312" spans="1:134" x14ac:dyDescent="0.4">
      <c r="A312" s="28">
        <v>60</v>
      </c>
      <c r="B312" s="26">
        <v>1.0000000000000001E-5</v>
      </c>
      <c r="C312" s="28">
        <v>0.2</v>
      </c>
      <c r="D312" s="28">
        <v>30</v>
      </c>
      <c r="E312" s="26">
        <v>1.0000000000000001E-5</v>
      </c>
      <c r="F312" s="26">
        <f t="shared" si="378"/>
        <v>2.0000000000000003E-6</v>
      </c>
      <c r="G312" s="26">
        <f t="shared" si="379"/>
        <v>0.4</v>
      </c>
      <c r="H312" s="7">
        <v>0.32127914423659798</v>
      </c>
      <c r="I312" s="7">
        <v>1747.4582681561301</v>
      </c>
      <c r="J312" s="7">
        <v>5794.3371345962596</v>
      </c>
      <c r="K312" s="7">
        <v>1747.4582681561301</v>
      </c>
      <c r="L312" s="7">
        <v>173207643.02618799</v>
      </c>
      <c r="M312" s="7">
        <v>254647.90894703299</v>
      </c>
      <c r="N312" s="7">
        <f t="shared" si="380"/>
        <v>9289.2536709085198</v>
      </c>
      <c r="P312" s="28">
        <v>60</v>
      </c>
      <c r="Q312" s="26">
        <v>3.0000000000000001E-5</v>
      </c>
      <c r="R312" s="28">
        <v>0.2</v>
      </c>
      <c r="S312" s="28">
        <v>30</v>
      </c>
      <c r="T312" s="26">
        <v>1.0000000000000001E-5</v>
      </c>
      <c r="U312" s="26">
        <f t="shared" si="381"/>
        <v>2.0000000000000003E-6</v>
      </c>
      <c r="V312" s="26">
        <f t="shared" si="382"/>
        <v>0.13333333333333336</v>
      </c>
      <c r="W312" s="7">
        <v>0.92868327732985501</v>
      </c>
      <c r="X312" s="7">
        <v>582.48608937969198</v>
      </c>
      <c r="Y312" s="7">
        <v>1931.4457115320899</v>
      </c>
      <c r="Z312" s="7">
        <v>582.48608937969198</v>
      </c>
      <c r="AA312" s="7">
        <v>57735881.0752545</v>
      </c>
      <c r="AB312" s="7">
        <v>28294.212105225801</v>
      </c>
      <c r="AC312" s="7">
        <f t="shared" si="383"/>
        <v>3096.4178902914737</v>
      </c>
      <c r="AE312" s="28">
        <v>60</v>
      </c>
      <c r="AF312" s="26">
        <v>5.0000000000000002E-5</v>
      </c>
      <c r="AG312" s="28">
        <v>0.2</v>
      </c>
      <c r="AH312" s="28">
        <v>30</v>
      </c>
      <c r="AI312" s="26">
        <v>1.0000000000000001E-5</v>
      </c>
      <c r="AJ312" s="26">
        <f t="shared" si="384"/>
        <v>2.0000000000000003E-6</v>
      </c>
      <c r="AK312" s="26">
        <f t="shared" si="385"/>
        <v>8.0000000000000016E-2</v>
      </c>
      <c r="AL312" s="7">
        <v>1.49547626209525</v>
      </c>
      <c r="AM312" s="7">
        <v>349.491653579706</v>
      </c>
      <c r="AN312" s="7">
        <v>1158.86742691925</v>
      </c>
      <c r="AO312" s="7">
        <v>349.491653579706</v>
      </c>
      <c r="AP312" s="7">
        <v>34641529.208382502</v>
      </c>
      <c r="AQ312" s="7">
        <v>10185.9163578813</v>
      </c>
      <c r="AR312" s="7">
        <f t="shared" si="386"/>
        <v>1857.8507340786621</v>
      </c>
      <c r="AT312" s="28">
        <v>60</v>
      </c>
      <c r="AU312" s="26">
        <v>1.0000000000000001E-5</v>
      </c>
      <c r="AV312" s="28">
        <v>0.2</v>
      </c>
      <c r="AW312" s="28">
        <v>200</v>
      </c>
      <c r="AX312" s="26">
        <v>1.0000000000000001E-5</v>
      </c>
      <c r="AY312" s="26">
        <f t="shared" si="387"/>
        <v>2.0000000000000003E-6</v>
      </c>
      <c r="AZ312" s="26">
        <f t="shared" si="388"/>
        <v>0.4</v>
      </c>
      <c r="BA312" s="7">
        <v>0.32622839959187699</v>
      </c>
      <c r="BB312" s="7">
        <v>263.235986756096</v>
      </c>
      <c r="BC312" s="7">
        <v>872.060132412553</v>
      </c>
      <c r="BD312" s="7">
        <v>263.235986756096</v>
      </c>
      <c r="BE312" s="7">
        <v>173207643.02618799</v>
      </c>
      <c r="BF312" s="7">
        <v>254647.90894703299</v>
      </c>
      <c r="BG312" s="7">
        <f t="shared" si="389"/>
        <v>1398.5321059247451</v>
      </c>
      <c r="BI312" s="28">
        <v>60</v>
      </c>
      <c r="BJ312" s="26">
        <v>1.0000000000000001E-5</v>
      </c>
      <c r="BK312" s="28">
        <v>0.5</v>
      </c>
      <c r="BL312" s="28">
        <v>200</v>
      </c>
      <c r="BM312" s="26">
        <v>1.0000000000000001E-5</v>
      </c>
      <c r="BN312" s="26">
        <f t="shared" si="390"/>
        <v>5.0000000000000004E-6</v>
      </c>
      <c r="BO312" s="26">
        <f t="shared" si="391"/>
        <v>1</v>
      </c>
      <c r="BP312" s="7">
        <v>0.327667830761247</v>
      </c>
      <c r="BQ312" s="7">
        <v>262.93930247937197</v>
      </c>
      <c r="BR312" s="7">
        <v>871.287964463192</v>
      </c>
      <c r="BS312" s="7">
        <v>262.93930247937197</v>
      </c>
      <c r="BT312" s="7">
        <v>69283057.210475206</v>
      </c>
      <c r="BU312" s="7">
        <v>254647.90894703299</v>
      </c>
      <c r="BV312" s="7">
        <f t="shared" si="392"/>
        <v>1397.1665694219359</v>
      </c>
      <c r="BX312" s="28">
        <v>60</v>
      </c>
      <c r="BY312" s="26">
        <v>5.0000000000000002E-5</v>
      </c>
      <c r="BZ312" s="28">
        <v>0.5</v>
      </c>
      <c r="CA312" s="28">
        <v>200</v>
      </c>
      <c r="CB312" s="26">
        <v>1.0000000000000001E-5</v>
      </c>
      <c r="CC312" s="26">
        <f t="shared" si="393"/>
        <v>5.0000000000000004E-6</v>
      </c>
      <c r="CD312" s="26">
        <f t="shared" si="394"/>
        <v>0.2</v>
      </c>
      <c r="CE312" s="7">
        <v>1.61114375326074</v>
      </c>
      <c r="CF312" s="7">
        <v>52.5878604929581</v>
      </c>
      <c r="CG312" s="7">
        <v>174.257592892638</v>
      </c>
      <c r="CH312" s="7">
        <v>52.5878604929581</v>
      </c>
      <c r="CI312" s="7">
        <v>13856611.683352999</v>
      </c>
      <c r="CJ312" s="7">
        <v>10185.9163578813</v>
      </c>
      <c r="CK312" s="7">
        <f t="shared" si="395"/>
        <v>279.4333138785542</v>
      </c>
      <c r="CM312" s="28">
        <v>60</v>
      </c>
      <c r="CN312" s="26">
        <v>5.0000000000000002E-5</v>
      </c>
      <c r="CO312" s="28">
        <v>1</v>
      </c>
      <c r="CP312" s="28">
        <v>200</v>
      </c>
      <c r="CQ312" s="26">
        <v>1.0000000000000001E-5</v>
      </c>
      <c r="CR312" s="26">
        <f t="shared" si="396"/>
        <v>1.0000000000000001E-5</v>
      </c>
      <c r="CS312" s="26">
        <f t="shared" si="397"/>
        <v>0.4</v>
      </c>
      <c r="CT312" s="7">
        <v>1.6135767183894401</v>
      </c>
      <c r="CU312" s="7">
        <v>52.489267736237203</v>
      </c>
      <c r="CV312" s="7">
        <v>174.00084097458901</v>
      </c>
      <c r="CW312" s="7">
        <v>52.489267736237203</v>
      </c>
      <c r="CX312" s="7">
        <v>6928305.8416764997</v>
      </c>
      <c r="CY312" s="7">
        <v>10185.9163578813</v>
      </c>
      <c r="CZ312" s="7">
        <f t="shared" si="398"/>
        <v>278.97937644706343</v>
      </c>
      <c r="DB312" s="28">
        <v>60</v>
      </c>
      <c r="DC312" s="26">
        <v>5.0000000000000002E-5</v>
      </c>
      <c r="DD312" s="28">
        <v>2</v>
      </c>
      <c r="DE312" s="28">
        <v>200</v>
      </c>
      <c r="DF312" s="26">
        <v>1.0000000000000001E-5</v>
      </c>
      <c r="DG312" s="26">
        <f t="shared" si="399"/>
        <v>2.0000000000000002E-5</v>
      </c>
      <c r="DH312" s="26">
        <f t="shared" si="400"/>
        <v>0.8</v>
      </c>
      <c r="DI312" s="7">
        <v>1.6184422929271101</v>
      </c>
      <c r="DJ312" s="7">
        <v>52.293206867341603</v>
      </c>
      <c r="DK312" s="7">
        <v>173.489713442035</v>
      </c>
      <c r="DL312" s="7">
        <v>52.293206867341603</v>
      </c>
      <c r="DM312" s="7">
        <v>3464152.9208382498</v>
      </c>
      <c r="DN312" s="7">
        <v>10185.9163578813</v>
      </c>
      <c r="DO312" s="7">
        <f t="shared" si="401"/>
        <v>278.07612717671822</v>
      </c>
      <c r="DQ312" s="28">
        <v>60</v>
      </c>
      <c r="DR312" s="26">
        <v>5.0000000000000002E-5</v>
      </c>
      <c r="DS312" s="28">
        <v>15</v>
      </c>
      <c r="DT312" s="28">
        <v>300</v>
      </c>
      <c r="DU312" s="26">
        <v>7.5000000000000002E-6</v>
      </c>
      <c r="DV312" s="26">
        <f t="shared" si="402"/>
        <v>1.125E-4</v>
      </c>
      <c r="DW312" s="26">
        <f t="shared" si="403"/>
        <v>4.5</v>
      </c>
      <c r="DX312" s="7">
        <v>2.0880883857852801</v>
      </c>
      <c r="DY312" s="7">
        <v>33.851188115179603</v>
      </c>
      <c r="DZ312" s="7">
        <v>113.007558882322</v>
      </c>
      <c r="EA312" s="7">
        <v>33.851188115179603</v>
      </c>
      <c r="EB312" s="7">
        <v>461887.05611176701</v>
      </c>
      <c r="EC312" s="7">
        <v>8148.7330863050402</v>
      </c>
      <c r="ED312" s="7">
        <f t="shared" si="404"/>
        <v>180.70993511268122</v>
      </c>
    </row>
    <row r="313" spans="1:134" x14ac:dyDescent="0.4">
      <c r="A313" s="28">
        <v>65</v>
      </c>
      <c r="B313" s="26">
        <v>1.0000000000000001E-5</v>
      </c>
      <c r="C313" s="28">
        <v>0.2</v>
      </c>
      <c r="D313" s="28">
        <v>30</v>
      </c>
      <c r="E313" s="26">
        <v>1.0000000000000001E-5</v>
      </c>
      <c r="F313" s="26">
        <f t="shared" si="378"/>
        <v>2.0000000000000003E-6</v>
      </c>
      <c r="G313" s="26">
        <f t="shared" si="379"/>
        <v>0.4</v>
      </c>
      <c r="H313" s="7">
        <v>0.32947220745039801</v>
      </c>
      <c r="I313" s="7">
        <v>1470.52695643265</v>
      </c>
      <c r="J313" s="7">
        <v>5888.0994972997396</v>
      </c>
      <c r="K313" s="7">
        <v>1470.52695643265</v>
      </c>
      <c r="L313" s="7">
        <v>859463306.304919</v>
      </c>
      <c r="M313" s="7">
        <v>254647.90894703299</v>
      </c>
      <c r="N313" s="7">
        <f t="shared" si="380"/>
        <v>8829.1534101650395</v>
      </c>
      <c r="P313" s="28">
        <v>65</v>
      </c>
      <c r="Q313" s="26">
        <v>3.0000000000000001E-5</v>
      </c>
      <c r="R313" s="28">
        <v>0.2</v>
      </c>
      <c r="S313" s="28">
        <v>30</v>
      </c>
      <c r="T313" s="26">
        <v>1.0000000000000001E-5</v>
      </c>
      <c r="U313" s="26">
        <f t="shared" si="381"/>
        <v>2.0000000000000003E-6</v>
      </c>
      <c r="V313" s="26">
        <f t="shared" si="382"/>
        <v>0.13333333333333336</v>
      </c>
      <c r="W313" s="7">
        <v>0.95546308147328696</v>
      </c>
      <c r="X313" s="7">
        <v>490.175652139448</v>
      </c>
      <c r="Y313" s="7">
        <v>1962.6998324332501</v>
      </c>
      <c r="Z313" s="7">
        <v>490.175652139448</v>
      </c>
      <c r="AA313" s="7">
        <v>286487768.88169003</v>
      </c>
      <c r="AB313" s="7">
        <v>28294.212105225801</v>
      </c>
      <c r="AC313" s="7">
        <f t="shared" si="383"/>
        <v>2943.0511367121462</v>
      </c>
      <c r="AE313" s="28">
        <v>65</v>
      </c>
      <c r="AF313" s="26">
        <v>5.0000000000000002E-5</v>
      </c>
      <c r="AG313" s="28">
        <v>0.2</v>
      </c>
      <c r="AH313" s="28">
        <v>30</v>
      </c>
      <c r="AI313" s="26">
        <v>1.0000000000000001E-5</v>
      </c>
      <c r="AJ313" s="26">
        <f t="shared" si="384"/>
        <v>2.0000000000000003E-6</v>
      </c>
      <c r="AK313" s="26">
        <f t="shared" si="385"/>
        <v>8.0000000000000016E-2</v>
      </c>
      <c r="AL313" s="7">
        <v>1.5415077742925101</v>
      </c>
      <c r="AM313" s="7">
        <v>294.10539124333502</v>
      </c>
      <c r="AN313" s="7">
        <v>1177.6198994599499</v>
      </c>
      <c r="AO313" s="7">
        <v>294.10539124333502</v>
      </c>
      <c r="AP313" s="7">
        <v>171892662.28655201</v>
      </c>
      <c r="AQ313" s="7">
        <v>10185.9163578813</v>
      </c>
      <c r="AR313" s="7">
        <f t="shared" si="386"/>
        <v>1765.8306819466197</v>
      </c>
      <c r="AT313" s="28">
        <v>65</v>
      </c>
      <c r="AU313" s="26">
        <v>1.0000000000000001E-5</v>
      </c>
      <c r="AV313" s="28">
        <v>0.2</v>
      </c>
      <c r="AW313" s="28">
        <v>200</v>
      </c>
      <c r="AX313" s="26">
        <v>1.0000000000000001E-5</v>
      </c>
      <c r="AY313" s="26">
        <f t="shared" si="387"/>
        <v>2.0000000000000003E-6</v>
      </c>
      <c r="AZ313" s="26">
        <f t="shared" si="388"/>
        <v>0.4</v>
      </c>
      <c r="BA313" s="7">
        <v>0.33430898185775498</v>
      </c>
      <c r="BB313" s="7">
        <v>221.436390808456</v>
      </c>
      <c r="BC313" s="7">
        <v>885.60719905590599</v>
      </c>
      <c r="BD313" s="7">
        <v>221.436390808456</v>
      </c>
      <c r="BE313" s="7">
        <v>859463306.304919</v>
      </c>
      <c r="BF313" s="7">
        <v>254647.90894703299</v>
      </c>
      <c r="BG313" s="7">
        <f t="shared" si="389"/>
        <v>1328.4799806728181</v>
      </c>
      <c r="BI313" s="28">
        <v>65</v>
      </c>
      <c r="BJ313" s="26">
        <v>1.0000000000000001E-5</v>
      </c>
      <c r="BK313" s="28">
        <v>0.5</v>
      </c>
      <c r="BL313" s="28">
        <v>200</v>
      </c>
      <c r="BM313" s="26">
        <v>1.0000000000000001E-5</v>
      </c>
      <c r="BN313" s="26">
        <f t="shared" si="390"/>
        <v>5.0000000000000004E-6</v>
      </c>
      <c r="BO313" s="26">
        <f t="shared" si="391"/>
        <v>1</v>
      </c>
      <c r="BP313" s="7">
        <v>0.33460744749073701</v>
      </c>
      <c r="BQ313" s="7">
        <v>221.20879187134</v>
      </c>
      <c r="BR313" s="7">
        <v>884.97259280428204</v>
      </c>
      <c r="BS313" s="7">
        <v>221.20879187134</v>
      </c>
      <c r="BT313" s="7">
        <v>343785322.52196801</v>
      </c>
      <c r="BU313" s="7">
        <v>254647.90894703299</v>
      </c>
      <c r="BV313" s="7">
        <f t="shared" si="392"/>
        <v>1327.390176546962</v>
      </c>
      <c r="BX313" s="28">
        <v>65</v>
      </c>
      <c r="BY313" s="26">
        <v>5.0000000000000002E-5</v>
      </c>
      <c r="BZ313" s="28">
        <v>0.5</v>
      </c>
      <c r="CA313" s="28">
        <v>200</v>
      </c>
      <c r="CB313" s="26">
        <v>1.0000000000000001E-5</v>
      </c>
      <c r="CC313" s="26">
        <f t="shared" si="393"/>
        <v>5.0000000000000004E-6</v>
      </c>
      <c r="CD313" s="26">
        <f t="shared" si="394"/>
        <v>0.2</v>
      </c>
      <c r="CE313" s="7">
        <v>1.6538602162521101</v>
      </c>
      <c r="CF313" s="7">
        <v>44.241758371824098</v>
      </c>
      <c r="CG313" s="7">
        <v>176.99451856085599</v>
      </c>
      <c r="CH313" s="7">
        <v>44.241758371824098</v>
      </c>
      <c r="CI313" s="7">
        <v>68757064.914620593</v>
      </c>
      <c r="CJ313" s="7">
        <v>10185.9163578813</v>
      </c>
      <c r="CK313" s="7">
        <f t="shared" si="395"/>
        <v>265.4780353045042</v>
      </c>
      <c r="CM313" s="28">
        <v>65</v>
      </c>
      <c r="CN313" s="26">
        <v>5.0000000000000002E-5</v>
      </c>
      <c r="CO313" s="28">
        <v>1</v>
      </c>
      <c r="CP313" s="28">
        <v>200</v>
      </c>
      <c r="CQ313" s="26">
        <v>1.0000000000000001E-5</v>
      </c>
      <c r="CR313" s="26">
        <f t="shared" si="396"/>
        <v>1.0000000000000001E-5</v>
      </c>
      <c r="CS313" s="26">
        <f t="shared" si="397"/>
        <v>0.4</v>
      </c>
      <c r="CT313" s="7">
        <v>1.65438550593738</v>
      </c>
      <c r="CU313" s="7">
        <v>44.166101596649497</v>
      </c>
      <c r="CV313" s="7">
        <v>176.783417824277</v>
      </c>
      <c r="CW313" s="7">
        <v>44.166101596649497</v>
      </c>
      <c r="CX313" s="7">
        <v>34378532.457310297</v>
      </c>
      <c r="CY313" s="7">
        <v>10185.9163578813</v>
      </c>
      <c r="CZ313" s="7">
        <f t="shared" si="398"/>
        <v>265.11562101757602</v>
      </c>
      <c r="DB313" s="28">
        <v>65</v>
      </c>
      <c r="DC313" s="26">
        <v>5.0000000000000002E-5</v>
      </c>
      <c r="DD313" s="28">
        <v>2</v>
      </c>
      <c r="DE313" s="28">
        <v>200</v>
      </c>
      <c r="DF313" s="26">
        <v>1.0000000000000001E-5</v>
      </c>
      <c r="DG313" s="26">
        <f t="shared" si="399"/>
        <v>2.0000000000000002E-5</v>
      </c>
      <c r="DH313" s="26">
        <f t="shared" si="400"/>
        <v>0.8</v>
      </c>
      <c r="DI313" s="7">
        <v>1.6554358332763399</v>
      </c>
      <c r="DJ313" s="7">
        <v>44.0155689113517</v>
      </c>
      <c r="DK313" s="7">
        <v>176.36283833637401</v>
      </c>
      <c r="DL313" s="7">
        <v>44.0155689113517</v>
      </c>
      <c r="DM313" s="7">
        <v>17189266.2286552</v>
      </c>
      <c r="DN313" s="7">
        <v>10185.9163578813</v>
      </c>
      <c r="DO313" s="7">
        <f t="shared" si="401"/>
        <v>264.3939761590774</v>
      </c>
      <c r="DQ313" s="28">
        <v>65</v>
      </c>
      <c r="DR313" s="26">
        <v>5.0000000000000002E-5</v>
      </c>
      <c r="DS313" s="28">
        <v>15</v>
      </c>
      <c r="DT313" s="28">
        <v>300</v>
      </c>
      <c r="DU313" s="26">
        <v>7.5000000000000002E-6</v>
      </c>
      <c r="DV313" s="26">
        <f t="shared" si="402"/>
        <v>1.125E-4</v>
      </c>
      <c r="DW313" s="26">
        <f t="shared" si="403"/>
        <v>4.5</v>
      </c>
      <c r="DX313" s="7">
        <v>2.0865955431121499</v>
      </c>
      <c r="DY313" s="7">
        <v>28.565057936355299</v>
      </c>
      <c r="DZ313" s="7">
        <v>115.382714159923</v>
      </c>
      <c r="EA313" s="7">
        <v>28.565057936355299</v>
      </c>
      <c r="EB313" s="7">
        <v>2291902.16382069</v>
      </c>
      <c r="EC313" s="7">
        <v>8148.7330863050402</v>
      </c>
      <c r="ED313" s="7">
        <f t="shared" si="404"/>
        <v>172.51283003263359</v>
      </c>
    </row>
    <row r="314" spans="1:134" x14ac:dyDescent="0.4">
      <c r="A314" s="28">
        <v>70</v>
      </c>
      <c r="B314" s="26">
        <v>1.0000000000000001E-5</v>
      </c>
      <c r="C314" s="28">
        <v>0.2</v>
      </c>
      <c r="D314" s="28">
        <v>30</v>
      </c>
      <c r="E314" s="26">
        <v>1.0000000000000001E-5</v>
      </c>
      <c r="F314" s="26">
        <f t="shared" si="378"/>
        <v>2.0000000000000003E-6</v>
      </c>
      <c r="G314" s="26">
        <f t="shared" si="379"/>
        <v>0.4</v>
      </c>
      <c r="H314" s="7">
        <v>0.33777467649980197</v>
      </c>
      <c r="I314" s="7">
        <v>1223.14114606982</v>
      </c>
      <c r="J314" s="7">
        <v>5975.2459753258199</v>
      </c>
      <c r="K314" s="7">
        <v>1223.14114606982</v>
      </c>
      <c r="L314" s="7" t="s">
        <v>94</v>
      </c>
      <c r="M314" s="7">
        <v>254647.90894703299</v>
      </c>
      <c r="N314" s="7">
        <f t="shared" si="380"/>
        <v>8421.5282674654591</v>
      </c>
      <c r="P314" s="28">
        <v>70</v>
      </c>
      <c r="Q314" s="26">
        <v>3.0000000000000001E-5</v>
      </c>
      <c r="R314" s="28">
        <v>0.2</v>
      </c>
      <c r="S314" s="28">
        <v>30</v>
      </c>
      <c r="T314" s="26">
        <v>1.0000000000000001E-5</v>
      </c>
      <c r="U314" s="26">
        <f t="shared" si="381"/>
        <v>2.0000000000000003E-6</v>
      </c>
      <c r="V314" s="26">
        <f t="shared" si="382"/>
        <v>0.13333333333333336</v>
      </c>
      <c r="W314" s="7">
        <v>0.98139597453891902</v>
      </c>
      <c r="X314" s="7">
        <v>407.71371535265399</v>
      </c>
      <c r="Y314" s="7">
        <v>1991.7486584419401</v>
      </c>
      <c r="Z314" s="7">
        <v>407.71371535265399</v>
      </c>
      <c r="AA314" s="7" t="s">
        <v>94</v>
      </c>
      <c r="AB314" s="7">
        <v>28294.212105225801</v>
      </c>
      <c r="AC314" s="7">
        <f t="shared" si="383"/>
        <v>2807.1760891472481</v>
      </c>
      <c r="AE314" s="28">
        <v>70</v>
      </c>
      <c r="AF314" s="26">
        <v>5.0000000000000002E-5</v>
      </c>
      <c r="AG314" s="28">
        <v>0.2</v>
      </c>
      <c r="AH314" s="28">
        <v>30</v>
      </c>
      <c r="AI314" s="26">
        <v>1.0000000000000001E-5</v>
      </c>
      <c r="AJ314" s="26">
        <f t="shared" si="384"/>
        <v>2.0000000000000003E-6</v>
      </c>
      <c r="AK314" s="26">
        <f t="shared" si="385"/>
        <v>8.0000000000000016E-2</v>
      </c>
      <c r="AL314" s="7">
        <v>1.58569742527886</v>
      </c>
      <c r="AM314" s="7">
        <v>244.62822917813699</v>
      </c>
      <c r="AN314" s="7">
        <v>1195.0491950651599</v>
      </c>
      <c r="AO314" s="7">
        <v>244.62822917813699</v>
      </c>
      <c r="AP314" s="7" t="s">
        <v>94</v>
      </c>
      <c r="AQ314" s="7">
        <v>10185.9163578813</v>
      </c>
      <c r="AR314" s="7">
        <f t="shared" si="386"/>
        <v>1684.3056534214338</v>
      </c>
      <c r="AT314" s="28">
        <v>70</v>
      </c>
      <c r="AU314" s="26">
        <v>1.0000000000000001E-5</v>
      </c>
      <c r="AV314" s="28">
        <v>0.2</v>
      </c>
      <c r="AW314" s="28">
        <v>200</v>
      </c>
      <c r="AX314" s="26">
        <v>1.0000000000000001E-5</v>
      </c>
      <c r="AY314" s="26">
        <f t="shared" si="387"/>
        <v>2.0000000000000003E-6</v>
      </c>
      <c r="AZ314" s="26">
        <f t="shared" si="388"/>
        <v>0.4</v>
      </c>
      <c r="BA314" s="7">
        <v>0.34250827899074998</v>
      </c>
      <c r="BB314" s="7">
        <v>184.11844341766201</v>
      </c>
      <c r="BC314" s="7">
        <v>898.22894938474894</v>
      </c>
      <c r="BD314" s="7">
        <v>184.11844341766201</v>
      </c>
      <c r="BE314" s="7" t="s">
        <v>94</v>
      </c>
      <c r="BF314" s="7">
        <v>254647.90894703299</v>
      </c>
      <c r="BG314" s="7">
        <f t="shared" si="389"/>
        <v>1266.465836220073</v>
      </c>
      <c r="BI314" s="28">
        <v>70</v>
      </c>
      <c r="BJ314" s="26">
        <v>1.0000000000000001E-5</v>
      </c>
      <c r="BK314" s="28">
        <v>0.5</v>
      </c>
      <c r="BL314" s="28">
        <v>200</v>
      </c>
      <c r="BM314" s="26">
        <v>1.0000000000000001E-5</v>
      </c>
      <c r="BN314" s="26">
        <f t="shared" si="390"/>
        <v>5.0000000000000004E-6</v>
      </c>
      <c r="BO314" s="26">
        <f t="shared" si="391"/>
        <v>1</v>
      </c>
      <c r="BP314" s="7">
        <v>0.342508854949163</v>
      </c>
      <c r="BQ314" s="7">
        <v>183.946660682919</v>
      </c>
      <c r="BR314" s="7">
        <v>897.71395999315905</v>
      </c>
      <c r="BS314" s="7">
        <v>183.946660682919</v>
      </c>
      <c r="BT314" s="7" t="s">
        <v>94</v>
      </c>
      <c r="BU314" s="7">
        <v>254647.90894703299</v>
      </c>
      <c r="BV314" s="7">
        <f t="shared" si="392"/>
        <v>1265.6072813589969</v>
      </c>
      <c r="BX314" s="28">
        <v>70</v>
      </c>
      <c r="BY314" s="26">
        <v>5.0000000000000002E-5</v>
      </c>
      <c r="BZ314" s="28">
        <v>0.5</v>
      </c>
      <c r="CA314" s="28">
        <v>200</v>
      </c>
      <c r="CB314" s="26">
        <v>1.0000000000000001E-5</v>
      </c>
      <c r="CC314" s="26">
        <f t="shared" si="393"/>
        <v>5.0000000000000004E-6</v>
      </c>
      <c r="CD314" s="26">
        <f t="shared" si="394"/>
        <v>0.2</v>
      </c>
      <c r="CE314" s="7">
        <v>1.69573040172076</v>
      </c>
      <c r="CF314" s="7">
        <v>36.7893321345583</v>
      </c>
      <c r="CG314" s="7">
        <v>179.542791998632</v>
      </c>
      <c r="CH314" s="7">
        <v>36.7893321345583</v>
      </c>
      <c r="CI314" s="7" t="s">
        <v>94</v>
      </c>
      <c r="CJ314" s="7">
        <v>10185.9163578813</v>
      </c>
      <c r="CK314" s="7">
        <f t="shared" si="395"/>
        <v>253.12145626774858</v>
      </c>
      <c r="CM314" s="28">
        <v>70</v>
      </c>
      <c r="CN314" s="26">
        <v>5.0000000000000002E-5</v>
      </c>
      <c r="CO314" s="28">
        <v>1</v>
      </c>
      <c r="CP314" s="28">
        <v>200</v>
      </c>
      <c r="CQ314" s="26">
        <v>1.0000000000000001E-5</v>
      </c>
      <c r="CR314" s="26">
        <f t="shared" si="396"/>
        <v>1.0000000000000001E-5</v>
      </c>
      <c r="CS314" s="26">
        <f t="shared" si="397"/>
        <v>0.4</v>
      </c>
      <c r="CT314" s="7">
        <v>1.6957538837999699</v>
      </c>
      <c r="CU314" s="7">
        <v>36.732214141098297</v>
      </c>
      <c r="CV314" s="7">
        <v>179.37142238436701</v>
      </c>
      <c r="CW314" s="7">
        <v>36.732214141098297</v>
      </c>
      <c r="CX314" s="7" t="s">
        <v>94</v>
      </c>
      <c r="CY314" s="7">
        <v>10185.9163578813</v>
      </c>
      <c r="CZ314" s="7">
        <f t="shared" si="398"/>
        <v>252.8358506665636</v>
      </c>
      <c r="DB314" s="28">
        <v>70</v>
      </c>
      <c r="DC314" s="26">
        <v>5.0000000000000002E-5</v>
      </c>
      <c r="DD314" s="28">
        <v>2</v>
      </c>
      <c r="DE314" s="28">
        <v>200</v>
      </c>
      <c r="DF314" s="26">
        <v>1.0000000000000001E-5</v>
      </c>
      <c r="DG314" s="26">
        <f t="shared" si="399"/>
        <v>2.0000000000000002E-5</v>
      </c>
      <c r="DH314" s="26">
        <f t="shared" si="400"/>
        <v>0.8</v>
      </c>
      <c r="DI314" s="7">
        <v>1.69580067215008</v>
      </c>
      <c r="DJ314" s="7">
        <v>36.618511090650998</v>
      </c>
      <c r="DK314" s="7">
        <v>179.02977916857401</v>
      </c>
      <c r="DL314" s="7">
        <v>36.618511090650998</v>
      </c>
      <c r="DM314" s="7" t="s">
        <v>94</v>
      </c>
      <c r="DN314" s="7">
        <v>10185.9163578813</v>
      </c>
      <c r="DO314" s="7">
        <f t="shared" si="401"/>
        <v>252.266801349876</v>
      </c>
      <c r="DQ314" s="28">
        <v>70</v>
      </c>
      <c r="DR314" s="26">
        <v>5.0000000000000002E-5</v>
      </c>
      <c r="DS314" s="28">
        <v>15</v>
      </c>
      <c r="DT314" s="28">
        <v>300</v>
      </c>
      <c r="DU314" s="26">
        <v>7.5000000000000002E-6</v>
      </c>
      <c r="DV314" s="26">
        <f t="shared" si="402"/>
        <v>1.125E-4</v>
      </c>
      <c r="DW314" s="26">
        <f t="shared" si="403"/>
        <v>4.5</v>
      </c>
      <c r="DX314" s="7">
        <v>2.1244638897401602</v>
      </c>
      <c r="DY314" s="7">
        <v>23.8224846510956</v>
      </c>
      <c r="DZ314" s="7">
        <v>117.565391453988</v>
      </c>
      <c r="EA314" s="7">
        <v>23.8224846510956</v>
      </c>
      <c r="EB314" s="7" t="s">
        <v>94</v>
      </c>
      <c r="EC314" s="7">
        <v>8148.7330863050402</v>
      </c>
      <c r="ED314" s="7">
        <f t="shared" si="404"/>
        <v>165.2103607561792</v>
      </c>
    </row>
    <row r="315" spans="1:134" x14ac:dyDescent="0.4">
      <c r="B315" s="26"/>
      <c r="E315" s="26"/>
      <c r="F315" s="26"/>
      <c r="G315" s="26"/>
      <c r="Q315" s="26"/>
      <c r="T315" s="26"/>
      <c r="U315" s="26"/>
      <c r="V315" s="26"/>
      <c r="AF315" s="26"/>
      <c r="AI315" s="26"/>
      <c r="AJ315" s="26"/>
      <c r="AK315" s="26"/>
      <c r="AU315" s="26"/>
      <c r="AX315" s="26"/>
      <c r="AY315" s="26"/>
      <c r="AZ315" s="26"/>
      <c r="BJ315" s="26"/>
      <c r="BM315" s="26"/>
      <c r="BN315" s="26"/>
      <c r="BO315" s="26"/>
      <c r="BY315" s="26"/>
      <c r="CB315" s="26"/>
      <c r="CC315" s="26"/>
      <c r="CD315" s="26"/>
      <c r="CN315" s="26"/>
      <c r="CQ315" s="26"/>
      <c r="CR315" s="26"/>
      <c r="CS315" s="26"/>
      <c r="DC315" s="26"/>
      <c r="DF315" s="26"/>
      <c r="DG315" s="26"/>
      <c r="DH315" s="26"/>
      <c r="DR315" s="26"/>
      <c r="DU315" s="26"/>
      <c r="DV315" s="26"/>
      <c r="DW315" s="26"/>
    </row>
    <row r="316" spans="1:134" s="36" customFormat="1" ht="47.25" x14ac:dyDescent="0.4">
      <c r="A316" s="53" t="s">
        <v>69</v>
      </c>
      <c r="B316" s="54" t="s">
        <v>93</v>
      </c>
      <c r="C316" s="39" t="s">
        <v>73</v>
      </c>
      <c r="D316" s="39" t="s">
        <v>98</v>
      </c>
      <c r="E316" s="39" t="s">
        <v>97</v>
      </c>
      <c r="F316" s="39" t="s">
        <v>99</v>
      </c>
      <c r="G316" s="39" t="s">
        <v>96</v>
      </c>
      <c r="H316" s="37" t="s">
        <v>60</v>
      </c>
      <c r="I316" s="37" t="s">
        <v>100</v>
      </c>
      <c r="J316" s="37" t="s">
        <v>101</v>
      </c>
      <c r="K316" s="37" t="s">
        <v>102</v>
      </c>
      <c r="L316" s="37" t="s">
        <v>103</v>
      </c>
      <c r="M316" s="37" t="s">
        <v>65</v>
      </c>
      <c r="N316" s="37" t="s">
        <v>68</v>
      </c>
      <c r="O316" s="55"/>
      <c r="P316" s="53" t="s">
        <v>69</v>
      </c>
      <c r="Q316" s="54" t="s">
        <v>93</v>
      </c>
      <c r="R316" s="39" t="s">
        <v>73</v>
      </c>
      <c r="S316" s="39" t="s">
        <v>98</v>
      </c>
      <c r="T316" s="39" t="s">
        <v>97</v>
      </c>
      <c r="U316" s="39" t="s">
        <v>99</v>
      </c>
      <c r="V316" s="39" t="s">
        <v>96</v>
      </c>
      <c r="W316" s="37" t="s">
        <v>60</v>
      </c>
      <c r="X316" s="37" t="s">
        <v>100</v>
      </c>
      <c r="Y316" s="37" t="s">
        <v>101</v>
      </c>
      <c r="Z316" s="37" t="s">
        <v>102</v>
      </c>
      <c r="AA316" s="37" t="s">
        <v>103</v>
      </c>
      <c r="AB316" s="37" t="s">
        <v>65</v>
      </c>
      <c r="AC316" s="37" t="s">
        <v>68</v>
      </c>
      <c r="AD316" s="55"/>
      <c r="AE316" s="53" t="s">
        <v>69</v>
      </c>
      <c r="AF316" s="54" t="s">
        <v>93</v>
      </c>
      <c r="AG316" s="39" t="s">
        <v>73</v>
      </c>
      <c r="AH316" s="39" t="s">
        <v>98</v>
      </c>
      <c r="AI316" s="39" t="s">
        <v>97</v>
      </c>
      <c r="AJ316" s="39" t="s">
        <v>99</v>
      </c>
      <c r="AK316" s="39" t="s">
        <v>96</v>
      </c>
      <c r="AL316" s="37" t="s">
        <v>60</v>
      </c>
      <c r="AM316" s="37" t="s">
        <v>100</v>
      </c>
      <c r="AN316" s="37" t="s">
        <v>101</v>
      </c>
      <c r="AO316" s="37" t="s">
        <v>102</v>
      </c>
      <c r="AP316" s="37" t="s">
        <v>103</v>
      </c>
      <c r="AQ316" s="37" t="s">
        <v>65</v>
      </c>
      <c r="AR316" s="37" t="s">
        <v>68</v>
      </c>
      <c r="AS316" s="55"/>
      <c r="AT316" s="53" t="s">
        <v>69</v>
      </c>
      <c r="AU316" s="54" t="s">
        <v>93</v>
      </c>
      <c r="AV316" s="39" t="s">
        <v>73</v>
      </c>
      <c r="AW316" s="39" t="s">
        <v>98</v>
      </c>
      <c r="AX316" s="39" t="s">
        <v>97</v>
      </c>
      <c r="AY316" s="39" t="s">
        <v>99</v>
      </c>
      <c r="AZ316" s="39" t="s">
        <v>96</v>
      </c>
      <c r="BA316" s="37" t="s">
        <v>60</v>
      </c>
      <c r="BB316" s="37" t="s">
        <v>100</v>
      </c>
      <c r="BC316" s="37" t="s">
        <v>101</v>
      </c>
      <c r="BD316" s="37" t="s">
        <v>102</v>
      </c>
      <c r="BE316" s="37" t="s">
        <v>103</v>
      </c>
      <c r="BF316" s="37" t="s">
        <v>65</v>
      </c>
      <c r="BG316" s="37" t="s">
        <v>68</v>
      </c>
      <c r="BH316" s="55"/>
      <c r="BI316" s="53" t="s">
        <v>69</v>
      </c>
      <c r="BJ316" s="54" t="s">
        <v>93</v>
      </c>
      <c r="BK316" s="39" t="s">
        <v>73</v>
      </c>
      <c r="BL316" s="39" t="s">
        <v>98</v>
      </c>
      <c r="BM316" s="39" t="s">
        <v>97</v>
      </c>
      <c r="BN316" s="39" t="s">
        <v>99</v>
      </c>
      <c r="BO316" s="39" t="s">
        <v>96</v>
      </c>
      <c r="BP316" s="37" t="s">
        <v>60</v>
      </c>
      <c r="BQ316" s="37" t="s">
        <v>100</v>
      </c>
      <c r="BR316" s="37" t="s">
        <v>101</v>
      </c>
      <c r="BS316" s="37" t="s">
        <v>102</v>
      </c>
      <c r="BT316" s="37" t="s">
        <v>103</v>
      </c>
      <c r="BU316" s="37" t="s">
        <v>65</v>
      </c>
      <c r="BV316" s="37" t="s">
        <v>68</v>
      </c>
      <c r="BW316" s="55"/>
      <c r="BX316" s="53" t="s">
        <v>69</v>
      </c>
      <c r="BY316" s="54" t="s">
        <v>93</v>
      </c>
      <c r="BZ316" s="39" t="s">
        <v>73</v>
      </c>
      <c r="CA316" s="39" t="s">
        <v>98</v>
      </c>
      <c r="CB316" s="39" t="s">
        <v>97</v>
      </c>
      <c r="CC316" s="39" t="s">
        <v>99</v>
      </c>
      <c r="CD316" s="39" t="s">
        <v>96</v>
      </c>
      <c r="CE316" s="37" t="s">
        <v>60</v>
      </c>
      <c r="CF316" s="37" t="s">
        <v>100</v>
      </c>
      <c r="CG316" s="37" t="s">
        <v>101</v>
      </c>
      <c r="CH316" s="37" t="s">
        <v>102</v>
      </c>
      <c r="CI316" s="37" t="s">
        <v>103</v>
      </c>
      <c r="CJ316" s="37" t="s">
        <v>65</v>
      </c>
      <c r="CK316" s="37" t="s">
        <v>68</v>
      </c>
      <c r="CL316" s="55"/>
      <c r="CM316" s="53" t="s">
        <v>69</v>
      </c>
      <c r="CN316" s="54" t="s">
        <v>93</v>
      </c>
      <c r="CO316" s="39" t="s">
        <v>73</v>
      </c>
      <c r="CP316" s="39" t="s">
        <v>98</v>
      </c>
      <c r="CQ316" s="39" t="s">
        <v>97</v>
      </c>
      <c r="CR316" s="39" t="s">
        <v>99</v>
      </c>
      <c r="CS316" s="39" t="s">
        <v>96</v>
      </c>
      <c r="CT316" s="37" t="s">
        <v>60</v>
      </c>
      <c r="CU316" s="37" t="s">
        <v>100</v>
      </c>
      <c r="CV316" s="37" t="s">
        <v>101</v>
      </c>
      <c r="CW316" s="37" t="s">
        <v>102</v>
      </c>
      <c r="CX316" s="37" t="s">
        <v>103</v>
      </c>
      <c r="CY316" s="37" t="s">
        <v>65</v>
      </c>
      <c r="CZ316" s="37" t="s">
        <v>68</v>
      </c>
      <c r="DA316" s="55"/>
      <c r="DB316" s="53" t="s">
        <v>69</v>
      </c>
      <c r="DC316" s="54" t="s">
        <v>93</v>
      </c>
      <c r="DD316" s="39" t="s">
        <v>73</v>
      </c>
      <c r="DE316" s="39" t="s">
        <v>98</v>
      </c>
      <c r="DF316" s="39" t="s">
        <v>97</v>
      </c>
      <c r="DG316" s="39" t="s">
        <v>99</v>
      </c>
      <c r="DH316" s="39" t="s">
        <v>96</v>
      </c>
      <c r="DI316" s="37" t="s">
        <v>60</v>
      </c>
      <c r="DJ316" s="37" t="s">
        <v>100</v>
      </c>
      <c r="DK316" s="37" t="s">
        <v>101</v>
      </c>
      <c r="DL316" s="37" t="s">
        <v>102</v>
      </c>
      <c r="DM316" s="37" t="s">
        <v>103</v>
      </c>
      <c r="DN316" s="37" t="s">
        <v>65</v>
      </c>
      <c r="DO316" s="37" t="s">
        <v>68</v>
      </c>
      <c r="DP316" s="55"/>
      <c r="DQ316" s="53" t="s">
        <v>69</v>
      </c>
      <c r="DR316" s="54" t="s">
        <v>93</v>
      </c>
      <c r="DS316" s="39" t="s">
        <v>73</v>
      </c>
      <c r="DT316" s="39" t="s">
        <v>98</v>
      </c>
      <c r="DU316" s="39" t="s">
        <v>97</v>
      </c>
      <c r="DV316" s="39" t="s">
        <v>99</v>
      </c>
      <c r="DW316" s="39" t="s">
        <v>96</v>
      </c>
      <c r="DX316" s="37" t="s">
        <v>60</v>
      </c>
      <c r="DY316" s="37" t="s">
        <v>100</v>
      </c>
      <c r="DZ316" s="37" t="s">
        <v>101</v>
      </c>
      <c r="EA316" s="37" t="s">
        <v>102</v>
      </c>
      <c r="EB316" s="37" t="s">
        <v>103</v>
      </c>
      <c r="EC316" s="37" t="s">
        <v>65</v>
      </c>
      <c r="ED316" s="37" t="s">
        <v>68</v>
      </c>
    </row>
    <row r="317" spans="1:134" x14ac:dyDescent="0.4">
      <c r="A317" s="28">
        <v>1</v>
      </c>
      <c r="B317" s="26">
        <v>1.0000000000000001E-5</v>
      </c>
      <c r="C317" s="28">
        <v>0.2</v>
      </c>
      <c r="D317" s="28">
        <v>30</v>
      </c>
      <c r="E317" s="26">
        <v>2.5000000000000001E-5</v>
      </c>
      <c r="F317" s="26">
        <f t="shared" ref="F317:F335" si="405">C317*E317</f>
        <v>5.0000000000000004E-6</v>
      </c>
      <c r="G317" s="26">
        <f t="shared" ref="G317:G335" si="406">F317/(B317/2)</f>
        <v>1</v>
      </c>
      <c r="H317" s="7">
        <v>0.190456841344636</v>
      </c>
      <c r="I317" s="7">
        <v>20967.675665585699</v>
      </c>
      <c r="J317" s="7">
        <v>750067.42850576504</v>
      </c>
      <c r="K317" s="7">
        <v>20967.675665585699</v>
      </c>
      <c r="L317" s="7">
        <v>246455.34799285</v>
      </c>
      <c r="M317" s="7">
        <v>763943.72684109805</v>
      </c>
      <c r="N317" s="7">
        <f t="shared" ref="N317:N335" si="407">I317+J317+K317</f>
        <v>792002.77983693639</v>
      </c>
      <c r="P317" s="28">
        <v>1</v>
      </c>
      <c r="Q317" s="26">
        <v>3.0000000000000001E-5</v>
      </c>
      <c r="R317" s="28">
        <v>0.2</v>
      </c>
      <c r="S317" s="28">
        <v>30</v>
      </c>
      <c r="T317" s="26">
        <v>2.5000000000000001E-5</v>
      </c>
      <c r="U317" s="26">
        <f t="shared" ref="U317:U335" si="408">R317*T317</f>
        <v>5.0000000000000004E-6</v>
      </c>
      <c r="V317" s="26">
        <f t="shared" ref="V317:V335" si="409">U317/(Q317/2)</f>
        <v>0.33333333333333337</v>
      </c>
      <c r="W317" s="7">
        <v>0.20477353823066399</v>
      </c>
      <c r="X317" s="7">
        <v>6989.2252213633501</v>
      </c>
      <c r="Y317" s="7">
        <v>250022.476149864</v>
      </c>
      <c r="Z317" s="7">
        <v>6989.2252213633501</v>
      </c>
      <c r="AA317" s="7">
        <v>82151.782666878105</v>
      </c>
      <c r="AB317" s="7">
        <v>84882.636315677504</v>
      </c>
      <c r="AC317" s="7">
        <f t="shared" ref="AC317:AC335" si="410">X317+Y317+Z317</f>
        <v>264000.92659259069</v>
      </c>
      <c r="AE317" s="28">
        <v>1</v>
      </c>
      <c r="AF317" s="26">
        <v>5.0000000000000002E-5</v>
      </c>
      <c r="AG317" s="28">
        <v>0.2</v>
      </c>
      <c r="AH317" s="28">
        <v>30</v>
      </c>
      <c r="AI317" s="26">
        <v>2.5000000000000001E-5</v>
      </c>
      <c r="AJ317" s="26">
        <f t="shared" ref="AJ317:AJ335" si="411">AG317*AI317</f>
        <v>5.0000000000000004E-6</v>
      </c>
      <c r="AK317" s="26">
        <f t="shared" ref="AK317:AK335" si="412">AJ317/(AF317/2)</f>
        <v>0.2</v>
      </c>
      <c r="AL317" s="7">
        <v>0.21082560857583199</v>
      </c>
      <c r="AM317" s="7">
        <v>4193.5351285970401</v>
      </c>
      <c r="AN317" s="7">
        <v>150013.48553139099</v>
      </c>
      <c r="AO317" s="7">
        <v>4193.5351285970401</v>
      </c>
      <c r="AP317" s="7">
        <v>49291.069622095303</v>
      </c>
      <c r="AQ317" s="7">
        <v>30557.749073643899</v>
      </c>
      <c r="AR317" s="7">
        <f t="shared" ref="AR317:AR335" si="413">AM317+AN317+AO317</f>
        <v>158400.5557885851</v>
      </c>
      <c r="AT317" s="28">
        <v>1</v>
      </c>
      <c r="AU317" s="26">
        <v>1.0000000000000001E-5</v>
      </c>
      <c r="AV317" s="28">
        <v>0.2</v>
      </c>
      <c r="AW317" s="28">
        <v>200</v>
      </c>
      <c r="AX317" s="26">
        <v>2.5000000000000001E-5</v>
      </c>
      <c r="AY317" s="26">
        <f t="shared" ref="AY317:AY335" si="414">AV317*AX317</f>
        <v>5.0000000000000004E-6</v>
      </c>
      <c r="AZ317" s="26">
        <f t="shared" ref="AZ317:AZ335" si="415">AY317/(AU317/2)</f>
        <v>1</v>
      </c>
      <c r="BA317" s="7">
        <v>0.19072275600758501</v>
      </c>
      <c r="BB317" s="7">
        <v>4345.3623253436699</v>
      </c>
      <c r="BC317" s="7">
        <v>750067.42850576504</v>
      </c>
      <c r="BD317" s="7">
        <v>4345.3623253436699</v>
      </c>
      <c r="BE317" s="7">
        <v>246455.34799285</v>
      </c>
      <c r="BF317" s="7">
        <v>763943.72684109805</v>
      </c>
      <c r="BG317" s="7">
        <f t="shared" ref="BG317:BG335" si="416">BB317+BC317+BD317</f>
        <v>758758.15315645235</v>
      </c>
      <c r="BI317" s="28">
        <v>1</v>
      </c>
      <c r="BJ317" s="26">
        <v>1.0000000000000001E-5</v>
      </c>
      <c r="BK317" s="28">
        <v>0.5</v>
      </c>
      <c r="BL317" s="28">
        <v>200</v>
      </c>
      <c r="BM317" s="26">
        <v>2.5000000000000001E-5</v>
      </c>
      <c r="BN317" s="26">
        <f t="shared" ref="BN317:BN335" si="417">BK317*BM317</f>
        <v>1.2500000000000001E-5</v>
      </c>
      <c r="BO317" s="26">
        <f t="shared" ref="BO317:BO335" si="418">BN317/(BJ317/2)</f>
        <v>2.5</v>
      </c>
      <c r="BP317" s="7">
        <v>0.45353426277873599</v>
      </c>
      <c r="BQ317" s="7">
        <v>3764.12485338133</v>
      </c>
      <c r="BR317" s="7">
        <v>300026.97140230599</v>
      </c>
      <c r="BS317" s="7">
        <v>3764.12485338133</v>
      </c>
      <c r="BT317" s="7">
        <v>98582.139197140001</v>
      </c>
      <c r="BU317" s="7">
        <v>763943.72684109805</v>
      </c>
      <c r="BV317" s="7">
        <f t="shared" ref="BV317:BV335" si="419">BQ317+BR317+BS317</f>
        <v>307555.2211090686</v>
      </c>
      <c r="BX317" s="28">
        <v>1</v>
      </c>
      <c r="BY317" s="26">
        <v>5.0000000000000002E-5</v>
      </c>
      <c r="BZ317" s="28">
        <v>0.5</v>
      </c>
      <c r="CA317" s="28">
        <v>200</v>
      </c>
      <c r="CB317" s="26">
        <v>2.5000000000000001E-5</v>
      </c>
      <c r="CC317" s="26">
        <f t="shared" ref="CC317:CC335" si="420">BZ317*CB317</f>
        <v>1.2500000000000001E-5</v>
      </c>
      <c r="CD317" s="26">
        <f t="shared" ref="CD317:CD335" si="421">CC317/(BY317/2)</f>
        <v>0.5</v>
      </c>
      <c r="CE317" s="7">
        <v>0.499620702676974</v>
      </c>
      <c r="CF317" s="7">
        <v>752.82497001808497</v>
      </c>
      <c r="CG317" s="7">
        <v>60005.394212556603</v>
      </c>
      <c r="CH317" s="7">
        <v>752.82497001808497</v>
      </c>
      <c r="CI317" s="7">
        <v>19716.427848838099</v>
      </c>
      <c r="CJ317" s="7">
        <v>30557.749073643899</v>
      </c>
      <c r="CK317" s="7">
        <f t="shared" ref="CK317:CK335" si="422">CF317+CG317+CH317</f>
        <v>61511.044152592767</v>
      </c>
      <c r="CM317" s="28">
        <v>1</v>
      </c>
      <c r="CN317" s="26">
        <v>5.0000000000000002E-5</v>
      </c>
      <c r="CO317" s="28">
        <v>1</v>
      </c>
      <c r="CP317" s="28">
        <v>200</v>
      </c>
      <c r="CQ317" s="26">
        <v>2.5000000000000001E-5</v>
      </c>
      <c r="CR317" s="26">
        <f t="shared" ref="CR317:CR335" si="423">CO317*CQ317</f>
        <v>2.5000000000000001E-5</v>
      </c>
      <c r="CS317" s="26">
        <f t="shared" ref="CS317:CS335" si="424">CR317/(CN317/2)</f>
        <v>1</v>
      </c>
      <c r="CT317" s="7">
        <v>0.95262741105351501</v>
      </c>
      <c r="CU317" s="7">
        <v>665.23311259709499</v>
      </c>
      <c r="CV317" s="7">
        <v>30002.697106278301</v>
      </c>
      <c r="CW317" s="7">
        <v>665.23311259709499</v>
      </c>
      <c r="CX317" s="7">
        <v>9858.2139244190694</v>
      </c>
      <c r="CY317" s="7">
        <v>30557.749073643899</v>
      </c>
      <c r="CZ317" s="7">
        <f t="shared" ref="CZ317:CZ335" si="425">CU317+CV317+CW317</f>
        <v>31333.163331472493</v>
      </c>
      <c r="DB317" s="28">
        <v>1</v>
      </c>
      <c r="DC317" s="26">
        <v>5.0000000000000002E-5</v>
      </c>
      <c r="DD317" s="28">
        <v>2</v>
      </c>
      <c r="DE317" s="28">
        <v>200</v>
      </c>
      <c r="DF317" s="26">
        <v>2.5000000000000001E-5</v>
      </c>
      <c r="DG317" s="26">
        <f t="shared" ref="DG317:DG335" si="426">DD317*DF317</f>
        <v>5.0000000000000002E-5</v>
      </c>
      <c r="DH317" s="26">
        <f t="shared" ref="DH317:DH335" si="427">DG317/(DC317/2)</f>
        <v>2</v>
      </c>
      <c r="DI317" s="7">
        <v>1.83148745784108</v>
      </c>
      <c r="DJ317" s="7">
        <v>578.22973015081095</v>
      </c>
      <c r="DK317" s="7">
        <v>15001.3485531391</v>
      </c>
      <c r="DL317" s="7">
        <v>578.22973015081095</v>
      </c>
      <c r="DM317" s="7">
        <v>4929.1069622095301</v>
      </c>
      <c r="DN317" s="7">
        <v>30557.749073643899</v>
      </c>
      <c r="DO317" s="7">
        <f t="shared" ref="DO317:DO335" si="428">DJ317+DK317+DL317</f>
        <v>16157.808013440723</v>
      </c>
      <c r="DQ317" s="28">
        <v>1</v>
      </c>
      <c r="DR317" s="26">
        <v>5.0000000000000002E-5</v>
      </c>
      <c r="DS317" s="28">
        <v>15</v>
      </c>
      <c r="DT317" s="28">
        <v>300</v>
      </c>
      <c r="DU317" s="26">
        <v>1.0000000000000001E-5</v>
      </c>
      <c r="DV317" s="26">
        <f t="shared" ref="DV317:DV335" si="429">DS317*DU317</f>
        <v>1.5000000000000001E-4</v>
      </c>
      <c r="DW317" s="26">
        <f t="shared" ref="DW317:DW335" si="430">DV317/(DR317/2)</f>
        <v>6</v>
      </c>
      <c r="DX317" s="7">
        <v>13.2833801610041</v>
      </c>
      <c r="DY317" s="7">
        <v>254.539230510376</v>
      </c>
      <c r="DZ317" s="7">
        <v>2000.1798070852201</v>
      </c>
      <c r="EA317" s="7">
        <v>254.539230510376</v>
      </c>
      <c r="EB317" s="7">
        <v>657.21426162793796</v>
      </c>
      <c r="EC317" s="7">
        <v>10185.9163578813</v>
      </c>
      <c r="ED317" s="7">
        <f t="shared" ref="ED317:ED335" si="431">DY317+DZ317+EA317</f>
        <v>2509.2582681059721</v>
      </c>
    </row>
    <row r="318" spans="1:134" x14ac:dyDescent="0.4">
      <c r="A318" s="28">
        <v>2</v>
      </c>
      <c r="B318" s="26">
        <v>1.0000000000000001E-5</v>
      </c>
      <c r="C318" s="28">
        <v>0.2</v>
      </c>
      <c r="D318" s="28">
        <v>30</v>
      </c>
      <c r="E318" s="26">
        <v>2.5000000000000001E-5</v>
      </c>
      <c r="F318" s="26">
        <f t="shared" si="405"/>
        <v>5.0000000000000004E-6</v>
      </c>
      <c r="G318" s="26">
        <f t="shared" si="406"/>
        <v>1</v>
      </c>
      <c r="H318" s="7">
        <v>0.183603100938002</v>
      </c>
      <c r="I318" s="7">
        <v>20967.675665585699</v>
      </c>
      <c r="J318" s="7">
        <v>482013.76177816797</v>
      </c>
      <c r="K318" s="7">
        <v>20967.675665585699</v>
      </c>
      <c r="L318" s="7">
        <v>339325.67523914197</v>
      </c>
      <c r="M318" s="7">
        <v>763943.72684109805</v>
      </c>
      <c r="N318" s="7">
        <f t="shared" si="407"/>
        <v>523949.11310933932</v>
      </c>
      <c r="P318" s="28">
        <v>2</v>
      </c>
      <c r="Q318" s="26">
        <v>3.0000000000000001E-5</v>
      </c>
      <c r="R318" s="28">
        <v>0.2</v>
      </c>
      <c r="S318" s="28">
        <v>30</v>
      </c>
      <c r="T318" s="26">
        <v>2.5000000000000001E-5</v>
      </c>
      <c r="U318" s="26">
        <f t="shared" si="408"/>
        <v>5.0000000000000004E-6</v>
      </c>
      <c r="V318" s="26">
        <f t="shared" si="409"/>
        <v>0.33333333333333337</v>
      </c>
      <c r="W318" s="7">
        <v>0.20928839319810399</v>
      </c>
      <c r="X318" s="7">
        <v>6989.2252213633501</v>
      </c>
      <c r="Y318" s="7">
        <v>160671.25390733199</v>
      </c>
      <c r="Z318" s="7">
        <v>6989.2252213633501</v>
      </c>
      <c r="AA318" s="7">
        <v>113108.558420806</v>
      </c>
      <c r="AB318" s="7">
        <v>84882.636315677504</v>
      </c>
      <c r="AC318" s="7">
        <f t="shared" si="410"/>
        <v>174649.70435005872</v>
      </c>
      <c r="AE318" s="28">
        <v>2</v>
      </c>
      <c r="AF318" s="26">
        <v>5.0000000000000002E-5</v>
      </c>
      <c r="AG318" s="28">
        <v>0.2</v>
      </c>
      <c r="AH318" s="28">
        <v>30</v>
      </c>
      <c r="AI318" s="26">
        <v>2.5000000000000001E-5</v>
      </c>
      <c r="AJ318" s="26">
        <f t="shared" si="411"/>
        <v>5.0000000000000004E-6</v>
      </c>
      <c r="AK318" s="26">
        <f t="shared" si="412"/>
        <v>0.2</v>
      </c>
      <c r="AL318" s="7">
        <v>0.22199492275438101</v>
      </c>
      <c r="AM318" s="7">
        <v>4193.5351285970401</v>
      </c>
      <c r="AN318" s="7">
        <v>96402.752185872101</v>
      </c>
      <c r="AO318" s="7">
        <v>4193.5351285970401</v>
      </c>
      <c r="AP318" s="7">
        <v>67865.135118168895</v>
      </c>
      <c r="AQ318" s="7">
        <v>30557.749073643899</v>
      </c>
      <c r="AR318" s="7">
        <f t="shared" si="413"/>
        <v>104789.82244306618</v>
      </c>
      <c r="AT318" s="28">
        <v>2</v>
      </c>
      <c r="AU318" s="26">
        <v>1.0000000000000001E-5</v>
      </c>
      <c r="AV318" s="28">
        <v>0.2</v>
      </c>
      <c r="AW318" s="28">
        <v>200</v>
      </c>
      <c r="AX318" s="26">
        <v>2.5000000000000001E-5</v>
      </c>
      <c r="AY318" s="26">
        <f t="shared" si="414"/>
        <v>5.0000000000000004E-6</v>
      </c>
      <c r="AZ318" s="26">
        <f t="shared" si="415"/>
        <v>1</v>
      </c>
      <c r="BA318" s="7">
        <v>0.184032203013479</v>
      </c>
      <c r="BB318" s="7">
        <v>4345.3623253436699</v>
      </c>
      <c r="BC318" s="7">
        <v>482013.76177816797</v>
      </c>
      <c r="BD318" s="7">
        <v>4345.3623253436699</v>
      </c>
      <c r="BE318" s="7">
        <v>339325.67523914197</v>
      </c>
      <c r="BF318" s="7">
        <v>763943.72684109805</v>
      </c>
      <c r="BG318" s="7">
        <f t="shared" si="416"/>
        <v>490704.48642885528</v>
      </c>
      <c r="BI318" s="28">
        <v>2</v>
      </c>
      <c r="BJ318" s="26">
        <v>1.0000000000000001E-5</v>
      </c>
      <c r="BK318" s="28">
        <v>0.5</v>
      </c>
      <c r="BL318" s="28">
        <v>200</v>
      </c>
      <c r="BM318" s="26">
        <v>2.5000000000000001E-5</v>
      </c>
      <c r="BN318" s="26">
        <f t="shared" si="417"/>
        <v>1.2500000000000001E-5</v>
      </c>
      <c r="BO318" s="26">
        <f t="shared" si="418"/>
        <v>2.5</v>
      </c>
      <c r="BP318" s="7">
        <v>0.424804407431085</v>
      </c>
      <c r="BQ318" s="7">
        <v>3764.12485338133</v>
      </c>
      <c r="BR318" s="7">
        <v>192805.50471126701</v>
      </c>
      <c r="BS318" s="7">
        <v>3764.12485338133</v>
      </c>
      <c r="BT318" s="7">
        <v>135730.270095657</v>
      </c>
      <c r="BU318" s="7">
        <v>763943.72684109805</v>
      </c>
      <c r="BV318" s="7">
        <f t="shared" si="419"/>
        <v>200333.75441802968</v>
      </c>
      <c r="BX318" s="28">
        <v>2</v>
      </c>
      <c r="BY318" s="26">
        <v>5.0000000000000002E-5</v>
      </c>
      <c r="BZ318" s="28">
        <v>0.5</v>
      </c>
      <c r="CA318" s="28">
        <v>200</v>
      </c>
      <c r="CB318" s="26">
        <v>2.5000000000000001E-5</v>
      </c>
      <c r="CC318" s="26">
        <f t="shared" si="420"/>
        <v>1.2500000000000001E-5</v>
      </c>
      <c r="CD318" s="26">
        <f t="shared" si="421"/>
        <v>0.5</v>
      </c>
      <c r="CE318" s="7">
        <v>0.49954183430075499</v>
      </c>
      <c r="CF318" s="7">
        <v>752.82497001808497</v>
      </c>
      <c r="CG318" s="7">
        <v>38561.1008743489</v>
      </c>
      <c r="CH318" s="7">
        <v>752.82497001808497</v>
      </c>
      <c r="CI318" s="7">
        <v>27146.0540472676</v>
      </c>
      <c r="CJ318" s="7">
        <v>30557.749073643899</v>
      </c>
      <c r="CK318" s="7">
        <f t="shared" si="422"/>
        <v>40066.750814385065</v>
      </c>
      <c r="CM318" s="28">
        <v>2</v>
      </c>
      <c r="CN318" s="26">
        <v>5.0000000000000002E-5</v>
      </c>
      <c r="CO318" s="28">
        <v>1</v>
      </c>
      <c r="CP318" s="28">
        <v>200</v>
      </c>
      <c r="CQ318" s="26">
        <v>2.5000000000000001E-5</v>
      </c>
      <c r="CR318" s="26">
        <f t="shared" si="423"/>
        <v>2.5000000000000001E-5</v>
      </c>
      <c r="CS318" s="26">
        <f t="shared" si="424"/>
        <v>1</v>
      </c>
      <c r="CT318" s="7">
        <v>0.91856854691268097</v>
      </c>
      <c r="CU318" s="7">
        <v>665.23311259709499</v>
      </c>
      <c r="CV318" s="7">
        <v>19280.550437174399</v>
      </c>
      <c r="CW318" s="7">
        <v>665.23311259709499</v>
      </c>
      <c r="CX318" s="7">
        <v>13573.0270236338</v>
      </c>
      <c r="CY318" s="7">
        <v>30557.749073643899</v>
      </c>
      <c r="CZ318" s="7">
        <f t="shared" si="425"/>
        <v>20611.016662368591</v>
      </c>
      <c r="DB318" s="28">
        <v>2</v>
      </c>
      <c r="DC318" s="26">
        <v>5.0000000000000002E-5</v>
      </c>
      <c r="DD318" s="28">
        <v>2</v>
      </c>
      <c r="DE318" s="28">
        <v>200</v>
      </c>
      <c r="DF318" s="26">
        <v>2.5000000000000001E-5</v>
      </c>
      <c r="DG318" s="26">
        <f t="shared" si="426"/>
        <v>5.0000000000000002E-5</v>
      </c>
      <c r="DH318" s="26">
        <f t="shared" si="427"/>
        <v>2</v>
      </c>
      <c r="DI318" s="7">
        <v>1.7241647947074901</v>
      </c>
      <c r="DJ318" s="7">
        <v>578.22973015081095</v>
      </c>
      <c r="DK318" s="7">
        <v>9640.2752185872196</v>
      </c>
      <c r="DL318" s="7">
        <v>578.22973015081095</v>
      </c>
      <c r="DM318" s="7">
        <v>6786.5135118168901</v>
      </c>
      <c r="DN318" s="7">
        <v>30557.749073643899</v>
      </c>
      <c r="DO318" s="7">
        <f t="shared" si="428"/>
        <v>10796.734678888843</v>
      </c>
      <c r="DQ318" s="28">
        <v>2</v>
      </c>
      <c r="DR318" s="26">
        <v>5.0000000000000002E-5</v>
      </c>
      <c r="DS318" s="28">
        <v>15</v>
      </c>
      <c r="DT318" s="28">
        <v>300</v>
      </c>
      <c r="DU318" s="26">
        <v>1.0000000000000001E-5</v>
      </c>
      <c r="DV318" s="26">
        <f t="shared" si="429"/>
        <v>1.5000000000000001E-4</v>
      </c>
      <c r="DW318" s="26">
        <f t="shared" si="430"/>
        <v>6</v>
      </c>
      <c r="DX318" s="7">
        <v>12.298478721125701</v>
      </c>
      <c r="DY318" s="7">
        <v>254.539230510376</v>
      </c>
      <c r="DZ318" s="7">
        <v>1285.37002914496</v>
      </c>
      <c r="EA318" s="7">
        <v>254.539230510376</v>
      </c>
      <c r="EB318" s="7">
        <v>904.86846824225199</v>
      </c>
      <c r="EC318" s="7">
        <v>10185.9163578813</v>
      </c>
      <c r="ED318" s="7">
        <f t="shared" si="431"/>
        <v>1794.448490165712</v>
      </c>
    </row>
    <row r="319" spans="1:134" x14ac:dyDescent="0.4">
      <c r="A319" s="28">
        <v>4</v>
      </c>
      <c r="B319" s="26">
        <v>1.0000000000000001E-5</v>
      </c>
      <c r="C319" s="28">
        <v>0.2</v>
      </c>
      <c r="D319" s="28">
        <v>30</v>
      </c>
      <c r="E319" s="26">
        <v>2.5000000000000001E-5</v>
      </c>
      <c r="F319" s="26">
        <f t="shared" si="405"/>
        <v>5.0000000000000004E-6</v>
      </c>
      <c r="G319" s="26">
        <f t="shared" si="406"/>
        <v>1</v>
      </c>
      <c r="H319" s="7">
        <v>0.172365816428347</v>
      </c>
      <c r="I319" s="7">
        <v>20967.675665585699</v>
      </c>
      <c r="J319" s="7">
        <v>269259.42550450901</v>
      </c>
      <c r="K319" s="7">
        <v>20967.675665585699</v>
      </c>
      <c r="L319" s="7">
        <v>496205.96663466899</v>
      </c>
      <c r="M319" s="7">
        <v>763943.72684109805</v>
      </c>
      <c r="N319" s="7">
        <f t="shared" si="407"/>
        <v>311194.77683568036</v>
      </c>
      <c r="P319" s="28">
        <v>4</v>
      </c>
      <c r="Q319" s="26">
        <v>3.0000000000000001E-5</v>
      </c>
      <c r="R319" s="28">
        <v>0.2</v>
      </c>
      <c r="S319" s="28">
        <v>30</v>
      </c>
      <c r="T319" s="26">
        <v>2.5000000000000001E-5</v>
      </c>
      <c r="U319" s="26">
        <f t="shared" si="408"/>
        <v>5.0000000000000004E-6</v>
      </c>
      <c r="V319" s="26">
        <f t="shared" si="409"/>
        <v>0.33333333333333337</v>
      </c>
      <c r="W319" s="7">
        <v>0.21783311347977199</v>
      </c>
      <c r="X319" s="7">
        <v>6989.2252213633501</v>
      </c>
      <c r="Y319" s="7">
        <v>89753.141816112096</v>
      </c>
      <c r="Z319" s="7">
        <v>6989.2252213633501</v>
      </c>
      <c r="AA319" s="7">
        <v>165401.98890513901</v>
      </c>
      <c r="AB319" s="7">
        <v>84882.636315677504</v>
      </c>
      <c r="AC319" s="7">
        <f t="shared" si="410"/>
        <v>103731.59225883879</v>
      </c>
      <c r="AE319" s="28">
        <v>4</v>
      </c>
      <c r="AF319" s="26">
        <v>5.0000000000000002E-5</v>
      </c>
      <c r="AG319" s="28">
        <v>0.2</v>
      </c>
      <c r="AH319" s="28">
        <v>30</v>
      </c>
      <c r="AI319" s="26">
        <v>2.5000000000000001E-5</v>
      </c>
      <c r="AJ319" s="26">
        <f t="shared" si="411"/>
        <v>5.0000000000000004E-6</v>
      </c>
      <c r="AK319" s="26">
        <f t="shared" si="412"/>
        <v>0.2</v>
      </c>
      <c r="AL319" s="7">
        <v>0.24494785323437401</v>
      </c>
      <c r="AM319" s="7">
        <v>4193.5351285970401</v>
      </c>
      <c r="AN319" s="7">
        <v>53851.884931140201</v>
      </c>
      <c r="AO319" s="7">
        <v>4193.5351285970401</v>
      </c>
      <c r="AP319" s="7">
        <v>99241.193570966701</v>
      </c>
      <c r="AQ319" s="7">
        <v>30557.749073643899</v>
      </c>
      <c r="AR319" s="7">
        <f t="shared" si="413"/>
        <v>62238.955188334279</v>
      </c>
      <c r="AT319" s="28">
        <v>4</v>
      </c>
      <c r="AU319" s="26">
        <v>1.0000000000000001E-5</v>
      </c>
      <c r="AV319" s="28">
        <v>0.2</v>
      </c>
      <c r="AW319" s="28">
        <v>200</v>
      </c>
      <c r="AX319" s="26">
        <v>2.5000000000000001E-5</v>
      </c>
      <c r="AY319" s="26">
        <f t="shared" si="414"/>
        <v>5.0000000000000004E-6</v>
      </c>
      <c r="AZ319" s="26">
        <f t="shared" si="415"/>
        <v>1</v>
      </c>
      <c r="BA319" s="7">
        <v>0.17304005781436901</v>
      </c>
      <c r="BB319" s="7">
        <v>4345.3623253436699</v>
      </c>
      <c r="BC319" s="7">
        <v>269259.42550450901</v>
      </c>
      <c r="BD319" s="7">
        <v>4345.3623253436699</v>
      </c>
      <c r="BE319" s="7">
        <v>496205.96663466899</v>
      </c>
      <c r="BF319" s="7">
        <v>763943.72684109805</v>
      </c>
      <c r="BG319" s="7">
        <f t="shared" si="416"/>
        <v>277950.15015519632</v>
      </c>
      <c r="BI319" s="28">
        <v>4</v>
      </c>
      <c r="BJ319" s="26">
        <v>1.0000000000000001E-5</v>
      </c>
      <c r="BK319" s="28">
        <v>0.5</v>
      </c>
      <c r="BL319" s="28">
        <v>200</v>
      </c>
      <c r="BM319" s="26">
        <v>2.5000000000000001E-5</v>
      </c>
      <c r="BN319" s="26">
        <f t="shared" si="417"/>
        <v>1.2500000000000001E-5</v>
      </c>
      <c r="BO319" s="26">
        <f t="shared" si="418"/>
        <v>2.5</v>
      </c>
      <c r="BP319" s="7">
        <v>0.38034561664417599</v>
      </c>
      <c r="BQ319" s="7">
        <v>3764.12485338133</v>
      </c>
      <c r="BR319" s="7">
        <v>107703.770201803</v>
      </c>
      <c r="BS319" s="7">
        <v>3764.12485338133</v>
      </c>
      <c r="BT319" s="7">
        <v>198482.38665386799</v>
      </c>
      <c r="BU319" s="7">
        <v>763943.72684109805</v>
      </c>
      <c r="BV319" s="7">
        <f t="shared" si="419"/>
        <v>115232.01990856566</v>
      </c>
      <c r="BX319" s="28">
        <v>4</v>
      </c>
      <c r="BY319" s="26">
        <v>5.0000000000000002E-5</v>
      </c>
      <c r="BZ319" s="28">
        <v>0.5</v>
      </c>
      <c r="CA319" s="28">
        <v>200</v>
      </c>
      <c r="CB319" s="26">
        <v>2.5000000000000001E-5</v>
      </c>
      <c r="CC319" s="26">
        <f t="shared" si="420"/>
        <v>1.2500000000000001E-5</v>
      </c>
      <c r="CD319" s="26">
        <f t="shared" si="421"/>
        <v>0.5</v>
      </c>
      <c r="CE319" s="7">
        <v>0.49941509375862803</v>
      </c>
      <c r="CF319" s="7">
        <v>752.82497001808497</v>
      </c>
      <c r="CG319" s="7">
        <v>21540.753972456099</v>
      </c>
      <c r="CH319" s="7">
        <v>752.82497001808497</v>
      </c>
      <c r="CI319" s="7">
        <v>39696.477428386701</v>
      </c>
      <c r="CJ319" s="7">
        <v>30557.749073643899</v>
      </c>
      <c r="CK319" s="7">
        <f t="shared" si="422"/>
        <v>23046.403912492271</v>
      </c>
      <c r="CM319" s="28">
        <v>4</v>
      </c>
      <c r="CN319" s="26">
        <v>5.0000000000000002E-5</v>
      </c>
      <c r="CO319" s="28">
        <v>1</v>
      </c>
      <c r="CP319" s="28">
        <v>200</v>
      </c>
      <c r="CQ319" s="26">
        <v>2.5000000000000001E-5</v>
      </c>
      <c r="CR319" s="26">
        <f t="shared" si="423"/>
        <v>2.5000000000000001E-5</v>
      </c>
      <c r="CS319" s="26">
        <f t="shared" si="424"/>
        <v>1</v>
      </c>
      <c r="CT319" s="7">
        <v>0.86269683889049298</v>
      </c>
      <c r="CU319" s="7">
        <v>665.23311259709499</v>
      </c>
      <c r="CV319" s="7">
        <v>10770.376986228001</v>
      </c>
      <c r="CW319" s="7">
        <v>665.23311259709499</v>
      </c>
      <c r="CX319" s="7">
        <v>19848.2387141933</v>
      </c>
      <c r="CY319" s="7">
        <v>30557.749073643899</v>
      </c>
      <c r="CZ319" s="7">
        <f t="shared" si="425"/>
        <v>12100.843211422191</v>
      </c>
      <c r="DB319" s="28">
        <v>4</v>
      </c>
      <c r="DC319" s="26">
        <v>5.0000000000000002E-5</v>
      </c>
      <c r="DD319" s="28">
        <v>2</v>
      </c>
      <c r="DE319" s="28">
        <v>200</v>
      </c>
      <c r="DF319" s="26">
        <v>2.5000000000000001E-5</v>
      </c>
      <c r="DG319" s="26">
        <f t="shared" si="426"/>
        <v>5.0000000000000002E-5</v>
      </c>
      <c r="DH319" s="26">
        <f t="shared" si="427"/>
        <v>2</v>
      </c>
      <c r="DI319" s="7">
        <v>1.5565210140301899</v>
      </c>
      <c r="DJ319" s="7">
        <v>578.22973015081095</v>
      </c>
      <c r="DK319" s="7">
        <v>5385.1884931140203</v>
      </c>
      <c r="DL319" s="7">
        <v>578.22973015081095</v>
      </c>
      <c r="DM319" s="7">
        <v>9924.1193570966698</v>
      </c>
      <c r="DN319" s="7">
        <v>30557.749073643899</v>
      </c>
      <c r="DO319" s="7">
        <f t="shared" si="428"/>
        <v>6541.6479534156415</v>
      </c>
      <c r="DQ319" s="28">
        <v>4</v>
      </c>
      <c r="DR319" s="26">
        <v>5.0000000000000002E-5</v>
      </c>
      <c r="DS319" s="28">
        <v>15</v>
      </c>
      <c r="DT319" s="28">
        <v>300</v>
      </c>
      <c r="DU319" s="26">
        <v>1.0000000000000001E-5</v>
      </c>
      <c r="DV319" s="26">
        <f t="shared" si="429"/>
        <v>1.5000000000000001E-4</v>
      </c>
      <c r="DW319" s="26">
        <f t="shared" si="430"/>
        <v>6</v>
      </c>
      <c r="DX319" s="7">
        <v>10.8042865866278</v>
      </c>
      <c r="DY319" s="7">
        <v>254.539230510376</v>
      </c>
      <c r="DZ319" s="7">
        <v>718.02513241520205</v>
      </c>
      <c r="EA319" s="7">
        <v>254.539230510376</v>
      </c>
      <c r="EB319" s="7">
        <v>1323.2159142795599</v>
      </c>
      <c r="EC319" s="7">
        <v>10185.9163578813</v>
      </c>
      <c r="ED319" s="7">
        <f t="shared" si="431"/>
        <v>1227.1035934359541</v>
      </c>
    </row>
    <row r="320" spans="1:134" x14ac:dyDescent="0.4">
      <c r="A320" s="28">
        <v>6</v>
      </c>
      <c r="B320" s="26">
        <v>1.0000000000000001E-5</v>
      </c>
      <c r="C320" s="28">
        <v>0.2</v>
      </c>
      <c r="D320" s="28">
        <v>30</v>
      </c>
      <c r="E320" s="26">
        <v>2.5000000000000001E-5</v>
      </c>
      <c r="F320" s="26">
        <f t="shared" si="405"/>
        <v>5.0000000000000004E-6</v>
      </c>
      <c r="G320" s="26">
        <f t="shared" si="406"/>
        <v>1</v>
      </c>
      <c r="H320" s="7">
        <v>0.162777353018459</v>
      </c>
      <c r="I320" s="7">
        <v>20967.675665585699</v>
      </c>
      <c r="J320" s="7">
        <v>165780.67944707401</v>
      </c>
      <c r="K320" s="7">
        <v>20967.675665585699</v>
      </c>
      <c r="L320" s="7">
        <v>651465.34785778704</v>
      </c>
      <c r="M320" s="7">
        <v>763943.72684109805</v>
      </c>
      <c r="N320" s="7">
        <f t="shared" si="407"/>
        <v>207716.03077824542</v>
      </c>
      <c r="P320" s="28">
        <v>6</v>
      </c>
      <c r="Q320" s="26">
        <v>3.0000000000000001E-5</v>
      </c>
      <c r="R320" s="28">
        <v>0.2</v>
      </c>
      <c r="S320" s="28">
        <v>30</v>
      </c>
      <c r="T320" s="26">
        <v>2.5000000000000001E-5</v>
      </c>
      <c r="U320" s="26">
        <f t="shared" si="408"/>
        <v>5.0000000000000004E-6</v>
      </c>
      <c r="V320" s="26">
        <f t="shared" si="409"/>
        <v>0.33333333333333337</v>
      </c>
      <c r="W320" s="7">
        <v>0.22588676486355899</v>
      </c>
      <c r="X320" s="7">
        <v>6989.2252213633501</v>
      </c>
      <c r="Y320" s="7">
        <v>55260.226463633997</v>
      </c>
      <c r="Z320" s="7">
        <v>6989.2252213633501</v>
      </c>
      <c r="AA320" s="7">
        <v>217155.11601730101</v>
      </c>
      <c r="AB320" s="7">
        <v>84882.636315677504</v>
      </c>
      <c r="AC320" s="7">
        <f t="shared" si="410"/>
        <v>69238.676906360692</v>
      </c>
      <c r="AE320" s="28">
        <v>6</v>
      </c>
      <c r="AF320" s="26">
        <v>5.0000000000000002E-5</v>
      </c>
      <c r="AG320" s="28">
        <v>0.2</v>
      </c>
      <c r="AH320" s="28">
        <v>30</v>
      </c>
      <c r="AI320" s="26">
        <v>2.5000000000000001E-5</v>
      </c>
      <c r="AJ320" s="26">
        <f t="shared" si="411"/>
        <v>5.0000000000000004E-6</v>
      </c>
      <c r="AK320" s="26">
        <f t="shared" si="412"/>
        <v>0.2</v>
      </c>
      <c r="AL320" s="7">
        <v>0.26856523631387103</v>
      </c>
      <c r="AM320" s="7">
        <v>4193.5351285970401</v>
      </c>
      <c r="AN320" s="7">
        <v>33156.135719653299</v>
      </c>
      <c r="AO320" s="7">
        <v>4193.5351285970401</v>
      </c>
      <c r="AP320" s="7">
        <v>130293.0701582</v>
      </c>
      <c r="AQ320" s="7">
        <v>30557.749073643899</v>
      </c>
      <c r="AR320" s="7">
        <f t="shared" si="413"/>
        <v>41543.205976847377</v>
      </c>
      <c r="AT320" s="28">
        <v>6</v>
      </c>
      <c r="AU320" s="26">
        <v>1.0000000000000001E-5</v>
      </c>
      <c r="AV320" s="28">
        <v>0.2</v>
      </c>
      <c r="AW320" s="28">
        <v>200</v>
      </c>
      <c r="AX320" s="26">
        <v>2.5000000000000001E-5</v>
      </c>
      <c r="AY320" s="26">
        <f t="shared" si="414"/>
        <v>5.0000000000000004E-6</v>
      </c>
      <c r="AZ320" s="26">
        <f t="shared" si="415"/>
        <v>1</v>
      </c>
      <c r="BA320" s="7">
        <v>0.16364489541010999</v>
      </c>
      <c r="BB320" s="7">
        <v>4345.3623253436699</v>
      </c>
      <c r="BC320" s="7">
        <v>165780.67944707401</v>
      </c>
      <c r="BD320" s="7">
        <v>4345.3623253436699</v>
      </c>
      <c r="BE320" s="7">
        <v>651465.34785778704</v>
      </c>
      <c r="BF320" s="7">
        <v>763943.72684109805</v>
      </c>
      <c r="BG320" s="7">
        <f t="shared" si="416"/>
        <v>174471.40409776138</v>
      </c>
      <c r="BI320" s="28">
        <v>6</v>
      </c>
      <c r="BJ320" s="26">
        <v>1.0000000000000001E-5</v>
      </c>
      <c r="BK320" s="28">
        <v>0.5</v>
      </c>
      <c r="BL320" s="28">
        <v>200</v>
      </c>
      <c r="BM320" s="26">
        <v>2.5000000000000001E-5</v>
      </c>
      <c r="BN320" s="26">
        <f t="shared" si="417"/>
        <v>1.2500000000000001E-5</v>
      </c>
      <c r="BO320" s="26">
        <f t="shared" si="418"/>
        <v>2.5</v>
      </c>
      <c r="BP320" s="7">
        <v>0.34402003494093703</v>
      </c>
      <c r="BQ320" s="7">
        <v>3764.12485338133</v>
      </c>
      <c r="BR320" s="7">
        <v>66312.271778829701</v>
      </c>
      <c r="BS320" s="7">
        <v>3764.12485338133</v>
      </c>
      <c r="BT320" s="7">
        <v>260586.139143115</v>
      </c>
      <c r="BU320" s="7">
        <v>763943.72684109805</v>
      </c>
      <c r="BV320" s="7">
        <f t="shared" si="419"/>
        <v>73840.52148559237</v>
      </c>
      <c r="BX320" s="28">
        <v>6</v>
      </c>
      <c r="BY320" s="26">
        <v>5.0000000000000002E-5</v>
      </c>
      <c r="BZ320" s="28">
        <v>0.5</v>
      </c>
      <c r="CA320" s="28">
        <v>200</v>
      </c>
      <c r="CB320" s="26">
        <v>2.5000000000000001E-5</v>
      </c>
      <c r="CC320" s="26">
        <f t="shared" si="420"/>
        <v>1.2500000000000001E-5</v>
      </c>
      <c r="CD320" s="26">
        <f t="shared" si="421"/>
        <v>0.5</v>
      </c>
      <c r="CE320" s="7">
        <v>0.49909636556725401</v>
      </c>
      <c r="CF320" s="7">
        <v>752.82497001808497</v>
      </c>
      <c r="CG320" s="7">
        <v>13262.454287861299</v>
      </c>
      <c r="CH320" s="7">
        <v>752.82497001808497</v>
      </c>
      <c r="CI320" s="7">
        <v>52117.228063280199</v>
      </c>
      <c r="CJ320" s="7">
        <v>30557.749073643899</v>
      </c>
      <c r="CK320" s="7">
        <f t="shared" si="422"/>
        <v>14768.104227897471</v>
      </c>
      <c r="CM320" s="28">
        <v>6</v>
      </c>
      <c r="CN320" s="26">
        <v>5.0000000000000002E-5</v>
      </c>
      <c r="CO320" s="28">
        <v>1</v>
      </c>
      <c r="CP320" s="28">
        <v>200</v>
      </c>
      <c r="CQ320" s="26">
        <v>2.5000000000000001E-5</v>
      </c>
      <c r="CR320" s="26">
        <f t="shared" si="423"/>
        <v>2.5000000000000001E-5</v>
      </c>
      <c r="CS320" s="26">
        <f t="shared" si="424"/>
        <v>1</v>
      </c>
      <c r="CT320" s="7">
        <v>0.81500239171738498</v>
      </c>
      <c r="CU320" s="7">
        <v>665.23311259709499</v>
      </c>
      <c r="CV320" s="7">
        <v>6631.2271439306596</v>
      </c>
      <c r="CW320" s="7">
        <v>665.23311259709499</v>
      </c>
      <c r="CX320" s="7">
        <v>26058.6140316401</v>
      </c>
      <c r="CY320" s="7">
        <v>30557.749073643899</v>
      </c>
      <c r="CZ320" s="7">
        <f t="shared" si="425"/>
        <v>7961.6933691248496</v>
      </c>
      <c r="DB320" s="28">
        <v>6</v>
      </c>
      <c r="DC320" s="26">
        <v>5.0000000000000002E-5</v>
      </c>
      <c r="DD320" s="28">
        <v>2</v>
      </c>
      <c r="DE320" s="28">
        <v>200</v>
      </c>
      <c r="DF320" s="26">
        <v>2.5000000000000001E-5</v>
      </c>
      <c r="DG320" s="26">
        <f t="shared" si="426"/>
        <v>5.0000000000000002E-5</v>
      </c>
      <c r="DH320" s="26">
        <f t="shared" si="427"/>
        <v>2</v>
      </c>
      <c r="DI320" s="7">
        <v>1.4186452130940399</v>
      </c>
      <c r="DJ320" s="7">
        <v>578.22973015081095</v>
      </c>
      <c r="DK320" s="7">
        <v>3315.6135719653298</v>
      </c>
      <c r="DL320" s="7">
        <v>578.22973015081095</v>
      </c>
      <c r="DM320" s="7">
        <v>13029.307015820101</v>
      </c>
      <c r="DN320" s="7">
        <v>30557.749073643899</v>
      </c>
      <c r="DO320" s="7">
        <f t="shared" si="428"/>
        <v>4472.0730322669515</v>
      </c>
      <c r="DQ320" s="28">
        <v>6</v>
      </c>
      <c r="DR320" s="26">
        <v>5.0000000000000002E-5</v>
      </c>
      <c r="DS320" s="28">
        <v>15</v>
      </c>
      <c r="DT320" s="28">
        <v>300</v>
      </c>
      <c r="DU320" s="26">
        <v>1.0000000000000001E-5</v>
      </c>
      <c r="DV320" s="26">
        <f t="shared" si="429"/>
        <v>1.5000000000000001E-4</v>
      </c>
      <c r="DW320" s="26">
        <f t="shared" si="430"/>
        <v>6</v>
      </c>
      <c r="DX320" s="7">
        <v>9.5996712149998</v>
      </c>
      <c r="DY320" s="7">
        <v>254.539230510376</v>
      </c>
      <c r="DZ320" s="7">
        <v>442.08180959537702</v>
      </c>
      <c r="EA320" s="7">
        <v>254.539230510376</v>
      </c>
      <c r="EB320" s="7">
        <v>1737.24093544267</v>
      </c>
      <c r="EC320" s="7">
        <v>10185.9163578813</v>
      </c>
      <c r="ED320" s="7">
        <f t="shared" si="431"/>
        <v>951.16027061612908</v>
      </c>
    </row>
    <row r="321" spans="1:134" x14ac:dyDescent="0.4">
      <c r="A321" s="28">
        <v>8</v>
      </c>
      <c r="B321" s="26">
        <v>1.0000000000000001E-5</v>
      </c>
      <c r="C321" s="28">
        <v>0.2</v>
      </c>
      <c r="D321" s="28">
        <v>30</v>
      </c>
      <c r="E321" s="26">
        <v>2.5000000000000001E-5</v>
      </c>
      <c r="F321" s="26">
        <f t="shared" si="405"/>
        <v>5.0000000000000004E-6</v>
      </c>
      <c r="G321" s="26">
        <f t="shared" si="406"/>
        <v>1</v>
      </c>
      <c r="H321" s="7">
        <v>0.15415497576170201</v>
      </c>
      <c r="I321" s="7">
        <v>20967.675665585699</v>
      </c>
      <c r="J321" s="7">
        <v>100396.196898707</v>
      </c>
      <c r="K321" s="7">
        <v>20967.675665585699</v>
      </c>
      <c r="L321" s="7">
        <v>821154.82400854595</v>
      </c>
      <c r="M321" s="7">
        <v>763943.72684109805</v>
      </c>
      <c r="N321" s="7">
        <f t="shared" si="407"/>
        <v>142331.54822987839</v>
      </c>
      <c r="P321" s="28">
        <v>8</v>
      </c>
      <c r="Q321" s="26">
        <v>3.0000000000000001E-5</v>
      </c>
      <c r="R321" s="28">
        <v>0.2</v>
      </c>
      <c r="S321" s="28">
        <v>30</v>
      </c>
      <c r="T321" s="26">
        <v>2.5000000000000001E-5</v>
      </c>
      <c r="U321" s="26">
        <f t="shared" si="408"/>
        <v>5.0000000000000004E-6</v>
      </c>
      <c r="V321" s="26">
        <f t="shared" si="409"/>
        <v>0.33333333333333337</v>
      </c>
      <c r="W321" s="7">
        <v>0.233577646850128</v>
      </c>
      <c r="X321" s="7">
        <v>6989.2252213633501</v>
      </c>
      <c r="Y321" s="7">
        <v>33465.398947511501</v>
      </c>
      <c r="Z321" s="7">
        <v>6989.2252213633501</v>
      </c>
      <c r="AA321" s="7">
        <v>273718.27480960399</v>
      </c>
      <c r="AB321" s="7">
        <v>84882.636315677504</v>
      </c>
      <c r="AC321" s="7">
        <f t="shared" si="410"/>
        <v>47443.849390238196</v>
      </c>
      <c r="AE321" s="28">
        <v>8</v>
      </c>
      <c r="AF321" s="26">
        <v>5.0000000000000002E-5</v>
      </c>
      <c r="AG321" s="28">
        <v>0.2</v>
      </c>
      <c r="AH321" s="28">
        <v>30</v>
      </c>
      <c r="AI321" s="26">
        <v>2.5000000000000001E-5</v>
      </c>
      <c r="AJ321" s="26">
        <f t="shared" si="411"/>
        <v>5.0000000000000004E-6</v>
      </c>
      <c r="AK321" s="26">
        <f t="shared" si="412"/>
        <v>0.2</v>
      </c>
      <c r="AL321" s="7">
        <v>0.29280987576793499</v>
      </c>
      <c r="AM321" s="7">
        <v>4193.5351285970401</v>
      </c>
      <c r="AN321" s="7">
        <v>20079.239209979802</v>
      </c>
      <c r="AO321" s="7">
        <v>4193.5351285970401</v>
      </c>
      <c r="AP321" s="7">
        <v>164230.96607182099</v>
      </c>
      <c r="AQ321" s="7">
        <v>30557.749073643899</v>
      </c>
      <c r="AR321" s="7">
        <f t="shared" si="413"/>
        <v>28466.30946717388</v>
      </c>
      <c r="AT321" s="28">
        <v>8</v>
      </c>
      <c r="AU321" s="26">
        <v>1.0000000000000001E-5</v>
      </c>
      <c r="AV321" s="28">
        <v>0.2</v>
      </c>
      <c r="AW321" s="28">
        <v>200</v>
      </c>
      <c r="AX321" s="26">
        <v>2.5000000000000001E-5</v>
      </c>
      <c r="AY321" s="26">
        <f t="shared" si="414"/>
        <v>5.0000000000000004E-6</v>
      </c>
      <c r="AZ321" s="26">
        <f t="shared" si="415"/>
        <v>1</v>
      </c>
      <c r="BA321" s="7">
        <v>0.15518684170224201</v>
      </c>
      <c r="BB321" s="7">
        <v>4345.3623253436699</v>
      </c>
      <c r="BC321" s="7">
        <v>100396.196898707</v>
      </c>
      <c r="BD321" s="7">
        <v>4345.3623253436699</v>
      </c>
      <c r="BE321" s="7">
        <v>821154.82400854595</v>
      </c>
      <c r="BF321" s="7">
        <v>763943.72684109805</v>
      </c>
      <c r="BG321" s="7">
        <f t="shared" si="416"/>
        <v>109086.92154939433</v>
      </c>
      <c r="BI321" s="28">
        <v>8</v>
      </c>
      <c r="BJ321" s="26">
        <v>1.0000000000000001E-5</v>
      </c>
      <c r="BK321" s="28">
        <v>0.5</v>
      </c>
      <c r="BL321" s="28">
        <v>200</v>
      </c>
      <c r="BM321" s="26">
        <v>2.5000000000000001E-5</v>
      </c>
      <c r="BN321" s="26">
        <f t="shared" si="417"/>
        <v>1.2500000000000001E-5</v>
      </c>
      <c r="BO321" s="26">
        <f t="shared" si="418"/>
        <v>2.5</v>
      </c>
      <c r="BP321" s="7">
        <v>0.31222552460200698</v>
      </c>
      <c r="BQ321" s="7">
        <v>3764.12485338133</v>
      </c>
      <c r="BR321" s="7">
        <v>40158.478759482699</v>
      </c>
      <c r="BS321" s="7">
        <v>3764.12485338133</v>
      </c>
      <c r="BT321" s="7">
        <v>328461.92960341799</v>
      </c>
      <c r="BU321" s="7">
        <v>763943.72684109805</v>
      </c>
      <c r="BV321" s="7">
        <f t="shared" si="419"/>
        <v>47686.728466245353</v>
      </c>
      <c r="BX321" s="28">
        <v>8</v>
      </c>
      <c r="BY321" s="26">
        <v>5.0000000000000002E-5</v>
      </c>
      <c r="BZ321" s="28">
        <v>0.5</v>
      </c>
      <c r="CA321" s="28">
        <v>200</v>
      </c>
      <c r="CB321" s="26">
        <v>2.5000000000000001E-5</v>
      </c>
      <c r="CC321" s="26">
        <f t="shared" si="420"/>
        <v>1.2500000000000001E-5</v>
      </c>
      <c r="CD321" s="26">
        <f t="shared" si="421"/>
        <v>0.5</v>
      </c>
      <c r="CE321" s="7">
        <v>0.49858863873458598</v>
      </c>
      <c r="CF321" s="7">
        <v>752.82497001808497</v>
      </c>
      <c r="CG321" s="7">
        <v>8031.6956839919103</v>
      </c>
      <c r="CH321" s="7">
        <v>752.82497001808497</v>
      </c>
      <c r="CI321" s="7">
        <v>65692.386428728598</v>
      </c>
      <c r="CJ321" s="7">
        <v>30557.749073643899</v>
      </c>
      <c r="CK321" s="7">
        <f t="shared" si="422"/>
        <v>9537.3456240280793</v>
      </c>
      <c r="CM321" s="28">
        <v>8</v>
      </c>
      <c r="CN321" s="26">
        <v>5.0000000000000002E-5</v>
      </c>
      <c r="CO321" s="28">
        <v>1</v>
      </c>
      <c r="CP321" s="28">
        <v>200</v>
      </c>
      <c r="CQ321" s="26">
        <v>2.5000000000000001E-5</v>
      </c>
      <c r="CR321" s="26">
        <f t="shared" si="423"/>
        <v>2.5000000000000001E-5</v>
      </c>
      <c r="CS321" s="26">
        <f t="shared" si="424"/>
        <v>1</v>
      </c>
      <c r="CT321" s="7">
        <v>0.77210106478310003</v>
      </c>
      <c r="CU321" s="7">
        <v>665.23311259709499</v>
      </c>
      <c r="CV321" s="7">
        <v>4015.8478419959501</v>
      </c>
      <c r="CW321" s="7">
        <v>665.23311259709499</v>
      </c>
      <c r="CX321" s="7">
        <v>32846.193214364299</v>
      </c>
      <c r="CY321" s="7">
        <v>30557.749073643899</v>
      </c>
      <c r="CZ321" s="7">
        <f t="shared" si="425"/>
        <v>5346.3140671901401</v>
      </c>
      <c r="DB321" s="28">
        <v>8</v>
      </c>
      <c r="DC321" s="26">
        <v>5.0000000000000002E-5</v>
      </c>
      <c r="DD321" s="28">
        <v>2</v>
      </c>
      <c r="DE321" s="28">
        <v>200</v>
      </c>
      <c r="DF321" s="26">
        <v>2.5000000000000001E-5</v>
      </c>
      <c r="DG321" s="26">
        <f t="shared" si="426"/>
        <v>5.0000000000000002E-5</v>
      </c>
      <c r="DH321" s="26">
        <f t="shared" si="427"/>
        <v>2</v>
      </c>
      <c r="DI321" s="7">
        <v>1.2974975923068699</v>
      </c>
      <c r="DJ321" s="7">
        <v>578.22973015081095</v>
      </c>
      <c r="DK321" s="7">
        <v>2007.9239209979801</v>
      </c>
      <c r="DL321" s="7">
        <v>578.22973015081095</v>
      </c>
      <c r="DM321" s="7">
        <v>16423.096607182099</v>
      </c>
      <c r="DN321" s="7">
        <v>30557.749073643899</v>
      </c>
      <c r="DO321" s="7">
        <f t="shared" si="428"/>
        <v>3164.3833812996022</v>
      </c>
      <c r="DQ321" s="28">
        <v>8</v>
      </c>
      <c r="DR321" s="26">
        <v>5.0000000000000002E-5</v>
      </c>
      <c r="DS321" s="28">
        <v>15</v>
      </c>
      <c r="DT321" s="28">
        <v>300</v>
      </c>
      <c r="DU321" s="26">
        <v>1.0000000000000001E-5</v>
      </c>
      <c r="DV321" s="26">
        <f t="shared" si="429"/>
        <v>1.5000000000000001E-4</v>
      </c>
      <c r="DW321" s="26">
        <f t="shared" si="430"/>
        <v>6</v>
      </c>
      <c r="DX321" s="7">
        <v>8.5534578367151894</v>
      </c>
      <c r="DY321" s="7">
        <v>254.539230510376</v>
      </c>
      <c r="DZ321" s="7">
        <v>267.723189466397</v>
      </c>
      <c r="EA321" s="7">
        <v>254.539230510376</v>
      </c>
      <c r="EB321" s="7">
        <v>2189.7462142909499</v>
      </c>
      <c r="EC321" s="7">
        <v>10185.9163578813</v>
      </c>
      <c r="ED321" s="7">
        <f t="shared" si="431"/>
        <v>776.801650487149</v>
      </c>
    </row>
    <row r="322" spans="1:134" x14ac:dyDescent="0.4">
      <c r="A322" s="28">
        <v>10</v>
      </c>
      <c r="B322" s="26">
        <v>1.0000000000000001E-5</v>
      </c>
      <c r="C322" s="28">
        <v>0.2</v>
      </c>
      <c r="D322" s="28">
        <v>30</v>
      </c>
      <c r="E322" s="26">
        <v>2.5000000000000001E-5</v>
      </c>
      <c r="F322" s="26">
        <f t="shared" si="405"/>
        <v>5.0000000000000004E-6</v>
      </c>
      <c r="G322" s="26">
        <f t="shared" si="406"/>
        <v>1</v>
      </c>
      <c r="H322" s="7">
        <v>0.146389318191638</v>
      </c>
      <c r="I322" s="7">
        <v>20967.675665585699</v>
      </c>
      <c r="J322" s="7">
        <v>53826.312121005001</v>
      </c>
      <c r="K322" s="7">
        <v>20967.675665585699</v>
      </c>
      <c r="L322" s="7">
        <v>1014751.21705289</v>
      </c>
      <c r="M322" s="7">
        <v>763943.72684109805</v>
      </c>
      <c r="N322" s="7">
        <f t="shared" si="407"/>
        <v>95761.663452176406</v>
      </c>
      <c r="P322" s="28">
        <v>10</v>
      </c>
      <c r="Q322" s="26">
        <v>3.0000000000000001E-5</v>
      </c>
      <c r="R322" s="28">
        <v>0.2</v>
      </c>
      <c r="S322" s="28">
        <v>30</v>
      </c>
      <c r="T322" s="26">
        <v>2.5000000000000001E-5</v>
      </c>
      <c r="U322" s="26">
        <f t="shared" si="408"/>
        <v>5.0000000000000004E-6</v>
      </c>
      <c r="V322" s="26">
        <f t="shared" si="409"/>
        <v>0.33333333333333337</v>
      </c>
      <c r="W322" s="7">
        <v>0.241172600857678</v>
      </c>
      <c r="X322" s="7">
        <v>6989.2252213633501</v>
      </c>
      <c r="Y322" s="7">
        <v>17942.1040216109</v>
      </c>
      <c r="Z322" s="7">
        <v>6989.2252213633501</v>
      </c>
      <c r="AA322" s="7">
        <v>338250.40599296999</v>
      </c>
      <c r="AB322" s="7">
        <v>84882.636315677504</v>
      </c>
      <c r="AC322" s="7">
        <f t="shared" si="410"/>
        <v>31920.554464337602</v>
      </c>
      <c r="AE322" s="28">
        <v>10</v>
      </c>
      <c r="AF322" s="26">
        <v>5.0000000000000002E-5</v>
      </c>
      <c r="AG322" s="28">
        <v>0.2</v>
      </c>
      <c r="AH322" s="28">
        <v>30</v>
      </c>
      <c r="AI322" s="26">
        <v>2.5000000000000001E-5</v>
      </c>
      <c r="AJ322" s="26">
        <f t="shared" si="411"/>
        <v>5.0000000000000004E-6</v>
      </c>
      <c r="AK322" s="26">
        <f t="shared" si="412"/>
        <v>0.2</v>
      </c>
      <c r="AL322" s="7">
        <v>0.31786324535814198</v>
      </c>
      <c r="AM322" s="7">
        <v>4193.5351285970401</v>
      </c>
      <c r="AN322" s="7">
        <v>10765.2622544394</v>
      </c>
      <c r="AO322" s="7">
        <v>4193.5351285970401</v>
      </c>
      <c r="AP322" s="7">
        <v>202950.24620916101</v>
      </c>
      <c r="AQ322" s="7">
        <v>30557.749073643899</v>
      </c>
      <c r="AR322" s="7">
        <f t="shared" si="413"/>
        <v>19152.332511633478</v>
      </c>
      <c r="AT322" s="28">
        <v>10</v>
      </c>
      <c r="AU322" s="26">
        <v>1.0000000000000001E-5</v>
      </c>
      <c r="AV322" s="28">
        <v>0.2</v>
      </c>
      <c r="AW322" s="28">
        <v>200</v>
      </c>
      <c r="AX322" s="26">
        <v>2.5000000000000001E-5</v>
      </c>
      <c r="AY322" s="26">
        <f t="shared" si="414"/>
        <v>5.0000000000000004E-6</v>
      </c>
      <c r="AZ322" s="26">
        <f t="shared" si="415"/>
        <v>1</v>
      </c>
      <c r="BA322" s="7">
        <v>0.14756622518300899</v>
      </c>
      <c r="BB322" s="7">
        <v>4345.3623253436699</v>
      </c>
      <c r="BC322" s="7">
        <v>53826.312121005001</v>
      </c>
      <c r="BD322" s="7">
        <v>4345.3623253436699</v>
      </c>
      <c r="BE322" s="7">
        <v>1014751.21705289</v>
      </c>
      <c r="BF322" s="7">
        <v>763943.72684109805</v>
      </c>
      <c r="BG322" s="7">
        <f t="shared" si="416"/>
        <v>62517.036771692336</v>
      </c>
      <c r="BI322" s="28">
        <v>10</v>
      </c>
      <c r="BJ322" s="26">
        <v>1.0000000000000001E-5</v>
      </c>
      <c r="BK322" s="28">
        <v>0.5</v>
      </c>
      <c r="BL322" s="28">
        <v>200</v>
      </c>
      <c r="BM322" s="26">
        <v>2.5000000000000001E-5</v>
      </c>
      <c r="BN322" s="26">
        <f t="shared" si="417"/>
        <v>1.2500000000000001E-5</v>
      </c>
      <c r="BO322" s="26">
        <f t="shared" si="418"/>
        <v>2.5</v>
      </c>
      <c r="BP322" s="7">
        <v>0.28393155170801598</v>
      </c>
      <c r="BQ322" s="7">
        <v>3764.12485338133</v>
      </c>
      <c r="BR322" s="7">
        <v>21530.524848402001</v>
      </c>
      <c r="BS322" s="7">
        <v>3764.12485338133</v>
      </c>
      <c r="BT322" s="7">
        <v>405900.48682115501</v>
      </c>
      <c r="BU322" s="7">
        <v>763943.72684109805</v>
      </c>
      <c r="BV322" s="7">
        <f t="shared" si="419"/>
        <v>29058.774555164662</v>
      </c>
      <c r="BX322" s="28">
        <v>10</v>
      </c>
      <c r="BY322" s="26">
        <v>5.0000000000000002E-5</v>
      </c>
      <c r="BZ322" s="28">
        <v>0.5</v>
      </c>
      <c r="CA322" s="28">
        <v>200</v>
      </c>
      <c r="CB322" s="26">
        <v>2.5000000000000001E-5</v>
      </c>
      <c r="CC322" s="26">
        <f t="shared" si="420"/>
        <v>1.2500000000000001E-5</v>
      </c>
      <c r="CD322" s="26">
        <f t="shared" si="421"/>
        <v>0.5</v>
      </c>
      <c r="CE322" s="7">
        <v>0.49839593791929498</v>
      </c>
      <c r="CF322" s="7">
        <v>752.82497001808497</v>
      </c>
      <c r="CG322" s="7">
        <v>4306.1049017757796</v>
      </c>
      <c r="CH322" s="7">
        <v>752.82497001808497</v>
      </c>
      <c r="CI322" s="7">
        <v>81180.098483664406</v>
      </c>
      <c r="CJ322" s="7">
        <v>30557.749073643899</v>
      </c>
      <c r="CK322" s="7">
        <f t="shared" si="422"/>
        <v>5811.7548418119495</v>
      </c>
      <c r="CM322" s="28">
        <v>10</v>
      </c>
      <c r="CN322" s="26">
        <v>5.0000000000000002E-5</v>
      </c>
      <c r="CO322" s="28">
        <v>1</v>
      </c>
      <c r="CP322" s="28">
        <v>200</v>
      </c>
      <c r="CQ322" s="26">
        <v>2.5000000000000001E-5</v>
      </c>
      <c r="CR322" s="26">
        <f t="shared" si="423"/>
        <v>2.5000000000000001E-5</v>
      </c>
      <c r="CS322" s="26">
        <f t="shared" si="424"/>
        <v>1</v>
      </c>
      <c r="CT322" s="7">
        <v>0.733458531815534</v>
      </c>
      <c r="CU322" s="7">
        <v>665.23311259709499</v>
      </c>
      <c r="CV322" s="7">
        <v>2153.0524508878898</v>
      </c>
      <c r="CW322" s="7">
        <v>665.23311259709499</v>
      </c>
      <c r="CX322" s="7">
        <v>40590.049241832203</v>
      </c>
      <c r="CY322" s="7">
        <v>30557.749073643899</v>
      </c>
      <c r="CZ322" s="7">
        <f t="shared" si="425"/>
        <v>3483.5186760820798</v>
      </c>
      <c r="DB322" s="28">
        <v>10</v>
      </c>
      <c r="DC322" s="26">
        <v>5.0000000000000002E-5</v>
      </c>
      <c r="DD322" s="28">
        <v>2</v>
      </c>
      <c r="DE322" s="28">
        <v>200</v>
      </c>
      <c r="DF322" s="26">
        <v>2.5000000000000001E-5</v>
      </c>
      <c r="DG322" s="26">
        <f t="shared" si="426"/>
        <v>5.0000000000000002E-5</v>
      </c>
      <c r="DH322" s="26">
        <f t="shared" si="427"/>
        <v>2</v>
      </c>
      <c r="DI322" s="7">
        <v>1.1894792917564001</v>
      </c>
      <c r="DJ322" s="7">
        <v>578.22973015081095</v>
      </c>
      <c r="DK322" s="7">
        <v>1076.5262254439399</v>
      </c>
      <c r="DL322" s="7">
        <v>578.22973015081095</v>
      </c>
      <c r="DM322" s="7">
        <v>20295.024620916101</v>
      </c>
      <c r="DN322" s="7">
        <v>30557.749073643899</v>
      </c>
      <c r="DO322" s="7">
        <f t="shared" si="428"/>
        <v>2232.985685745562</v>
      </c>
      <c r="DQ322" s="28">
        <v>10</v>
      </c>
      <c r="DR322" s="26">
        <v>5.0000000000000002E-5</v>
      </c>
      <c r="DS322" s="28">
        <v>15</v>
      </c>
      <c r="DT322" s="28">
        <v>300</v>
      </c>
      <c r="DU322" s="26">
        <v>1.0000000000000001E-5</v>
      </c>
      <c r="DV322" s="26">
        <f t="shared" si="429"/>
        <v>1.5000000000000001E-4</v>
      </c>
      <c r="DW322" s="26">
        <f t="shared" si="430"/>
        <v>6</v>
      </c>
      <c r="DX322" s="7">
        <v>7.6261181247825798</v>
      </c>
      <c r="DY322" s="7">
        <v>254.539230510376</v>
      </c>
      <c r="DZ322" s="7">
        <v>143.53683005919299</v>
      </c>
      <c r="EA322" s="7">
        <v>254.539230510376</v>
      </c>
      <c r="EB322" s="7">
        <v>2706.0032827888099</v>
      </c>
      <c r="EC322" s="7">
        <v>10185.9163578813</v>
      </c>
      <c r="ED322" s="7">
        <f t="shared" si="431"/>
        <v>652.615291079945</v>
      </c>
    </row>
    <row r="323" spans="1:134" x14ac:dyDescent="0.4">
      <c r="A323" s="28">
        <v>12</v>
      </c>
      <c r="B323" s="26">
        <v>1.0000000000000001E-5</v>
      </c>
      <c r="C323" s="28">
        <v>0.2</v>
      </c>
      <c r="D323" s="28">
        <v>30</v>
      </c>
      <c r="E323" s="26">
        <v>2.5000000000000001E-5</v>
      </c>
      <c r="F323" s="26">
        <f t="shared" si="405"/>
        <v>5.0000000000000004E-6</v>
      </c>
      <c r="G323" s="26">
        <f t="shared" si="406"/>
        <v>1</v>
      </c>
      <c r="H323" s="7">
        <v>0.140611789386721</v>
      </c>
      <c r="I323" s="7">
        <v>20967.675665585699</v>
      </c>
      <c r="J323" s="7">
        <v>18265.061724746</v>
      </c>
      <c r="K323" s="7">
        <v>20967.675665585699</v>
      </c>
      <c r="L323" s="7">
        <v>1222830.0672564299</v>
      </c>
      <c r="M323" s="7">
        <v>763943.72684109805</v>
      </c>
      <c r="N323" s="7">
        <f t="shared" si="407"/>
        <v>60200.413055917394</v>
      </c>
      <c r="P323" s="28">
        <v>12</v>
      </c>
      <c r="Q323" s="26">
        <v>3.0000000000000001E-5</v>
      </c>
      <c r="R323" s="28">
        <v>0.2</v>
      </c>
      <c r="S323" s="28">
        <v>30</v>
      </c>
      <c r="T323" s="26">
        <v>2.5000000000000001E-5</v>
      </c>
      <c r="U323" s="26">
        <f t="shared" si="408"/>
        <v>5.0000000000000004E-6</v>
      </c>
      <c r="V323" s="26">
        <f t="shared" si="409"/>
        <v>0.33333333333333337</v>
      </c>
      <c r="W323" s="7">
        <v>0.25001975137967097</v>
      </c>
      <c r="X323" s="7">
        <v>6989.2252213633501</v>
      </c>
      <c r="Y323" s="7">
        <v>6088.3538895246002</v>
      </c>
      <c r="Z323" s="7">
        <v>6989.2252213633501</v>
      </c>
      <c r="AA323" s="7">
        <v>407610.02322415198</v>
      </c>
      <c r="AB323" s="7">
        <v>84882.636315677504</v>
      </c>
      <c r="AC323" s="7">
        <f t="shared" si="410"/>
        <v>20066.8043322513</v>
      </c>
      <c r="AE323" s="28">
        <v>12</v>
      </c>
      <c r="AF323" s="26">
        <v>5.0000000000000002E-5</v>
      </c>
      <c r="AG323" s="28">
        <v>0.2</v>
      </c>
      <c r="AH323" s="28">
        <v>30</v>
      </c>
      <c r="AI323" s="26">
        <v>2.5000000000000001E-5</v>
      </c>
      <c r="AJ323" s="26">
        <f t="shared" si="411"/>
        <v>5.0000000000000004E-6</v>
      </c>
      <c r="AK323" s="26">
        <f t="shared" si="412"/>
        <v>0.2</v>
      </c>
      <c r="AL323" s="7">
        <v>0.34502245793430902</v>
      </c>
      <c r="AM323" s="7">
        <v>4193.5351285970401</v>
      </c>
      <c r="AN323" s="7">
        <v>3653.01217518762</v>
      </c>
      <c r="AO323" s="7">
        <v>4193.5351285970401</v>
      </c>
      <c r="AP323" s="7">
        <v>244566.02075291699</v>
      </c>
      <c r="AQ323" s="7">
        <v>30557.749073643899</v>
      </c>
      <c r="AR323" s="7">
        <f t="shared" si="413"/>
        <v>12040.0824323817</v>
      </c>
      <c r="AT323" s="28">
        <v>12</v>
      </c>
      <c r="AU323" s="26">
        <v>1.0000000000000001E-5</v>
      </c>
      <c r="AV323" s="28">
        <v>0.2</v>
      </c>
      <c r="AW323" s="28">
        <v>200</v>
      </c>
      <c r="AX323" s="26">
        <v>2.5000000000000001E-5</v>
      </c>
      <c r="AY323" s="26">
        <f t="shared" si="414"/>
        <v>5.0000000000000004E-6</v>
      </c>
      <c r="AZ323" s="26">
        <f t="shared" si="415"/>
        <v>1</v>
      </c>
      <c r="BA323" s="7">
        <v>0.14191968935108101</v>
      </c>
      <c r="BB323" s="7">
        <v>4345.3623253436699</v>
      </c>
      <c r="BC323" s="7">
        <v>18265.061724746</v>
      </c>
      <c r="BD323" s="7">
        <v>4345.3623253436699</v>
      </c>
      <c r="BE323" s="7">
        <v>1222830.0672564299</v>
      </c>
      <c r="BF323" s="7">
        <v>763943.72684109805</v>
      </c>
      <c r="BG323" s="7">
        <f t="shared" si="416"/>
        <v>26955.786375433341</v>
      </c>
      <c r="BI323" s="28">
        <v>12</v>
      </c>
      <c r="BJ323" s="26">
        <v>1.0000000000000001E-5</v>
      </c>
      <c r="BK323" s="28">
        <v>0.5</v>
      </c>
      <c r="BL323" s="28">
        <v>200</v>
      </c>
      <c r="BM323" s="26">
        <v>2.5000000000000001E-5</v>
      </c>
      <c r="BN323" s="26">
        <f t="shared" si="417"/>
        <v>1.2500000000000001E-5</v>
      </c>
      <c r="BO323" s="26">
        <f t="shared" si="418"/>
        <v>2.5</v>
      </c>
      <c r="BP323" s="7">
        <v>0.26157302482088801</v>
      </c>
      <c r="BQ323" s="7">
        <v>3764.12485338133</v>
      </c>
      <c r="BR323" s="7">
        <v>7306.0246898983996</v>
      </c>
      <c r="BS323" s="7">
        <v>3764.12485338133</v>
      </c>
      <c r="BT323" s="7">
        <v>489132.02690256998</v>
      </c>
      <c r="BU323" s="7">
        <v>763943.72684109805</v>
      </c>
      <c r="BV323" s="7">
        <f t="shared" si="419"/>
        <v>14834.27439666106</v>
      </c>
      <c r="BX323" s="28">
        <v>12</v>
      </c>
      <c r="BY323" s="26">
        <v>5.0000000000000002E-5</v>
      </c>
      <c r="BZ323" s="28">
        <v>0.5</v>
      </c>
      <c r="CA323" s="28">
        <v>200</v>
      </c>
      <c r="CB323" s="26">
        <v>2.5000000000000001E-5</v>
      </c>
      <c r="CC323" s="26">
        <f t="shared" si="420"/>
        <v>1.2500000000000001E-5</v>
      </c>
      <c r="CD323" s="26">
        <f t="shared" si="421"/>
        <v>0.5</v>
      </c>
      <c r="CE323" s="7">
        <v>0.50178767790200496</v>
      </c>
      <c r="CF323" s="7">
        <v>752.82497001808497</v>
      </c>
      <c r="CG323" s="7">
        <v>1461.2048700750499</v>
      </c>
      <c r="CH323" s="7">
        <v>752.82497001808497</v>
      </c>
      <c r="CI323" s="7">
        <v>97826.408301166695</v>
      </c>
      <c r="CJ323" s="7">
        <v>30557.749073643899</v>
      </c>
      <c r="CK323" s="7">
        <f t="shared" si="422"/>
        <v>2966.8548101112201</v>
      </c>
      <c r="CM323" s="28">
        <v>12</v>
      </c>
      <c r="CN323" s="26">
        <v>5.0000000000000002E-5</v>
      </c>
      <c r="CO323" s="28">
        <v>1</v>
      </c>
      <c r="CP323" s="28">
        <v>200</v>
      </c>
      <c r="CQ323" s="26">
        <v>2.5000000000000001E-5</v>
      </c>
      <c r="CR323" s="26">
        <f t="shared" si="423"/>
        <v>2.5000000000000001E-5</v>
      </c>
      <c r="CS323" s="26">
        <f t="shared" si="424"/>
        <v>1</v>
      </c>
      <c r="CT323" s="7">
        <v>0.704738581522658</v>
      </c>
      <c r="CU323" s="7">
        <v>665.23311259709499</v>
      </c>
      <c r="CV323" s="7">
        <v>730.60243503752497</v>
      </c>
      <c r="CW323" s="7">
        <v>665.23311259709499</v>
      </c>
      <c r="CX323" s="7">
        <v>48913.204150583399</v>
      </c>
      <c r="CY323" s="7">
        <v>30557.749073643899</v>
      </c>
      <c r="CZ323" s="7">
        <f t="shared" si="425"/>
        <v>2061.0686602317151</v>
      </c>
      <c r="DB323" s="28">
        <v>12</v>
      </c>
      <c r="DC323" s="26">
        <v>5.0000000000000002E-5</v>
      </c>
      <c r="DD323" s="28">
        <v>2</v>
      </c>
      <c r="DE323" s="28">
        <v>200</v>
      </c>
      <c r="DF323" s="26">
        <v>2.5000000000000001E-5</v>
      </c>
      <c r="DG323" s="26">
        <f t="shared" si="426"/>
        <v>5.0000000000000002E-5</v>
      </c>
      <c r="DH323" s="26">
        <f t="shared" si="427"/>
        <v>2</v>
      </c>
      <c r="DI323" s="7">
        <v>1.1045945170484599</v>
      </c>
      <c r="DJ323" s="7">
        <v>578.22973015081095</v>
      </c>
      <c r="DK323" s="7">
        <v>365.301217518763</v>
      </c>
      <c r="DL323" s="7">
        <v>578.22973015081095</v>
      </c>
      <c r="DM323" s="7">
        <v>24456.602075291699</v>
      </c>
      <c r="DN323" s="7">
        <v>30557.749073643899</v>
      </c>
      <c r="DO323" s="7">
        <f t="shared" si="428"/>
        <v>1521.7606778203849</v>
      </c>
      <c r="DQ323" s="28">
        <v>12</v>
      </c>
      <c r="DR323" s="26">
        <v>5.0000000000000002E-5</v>
      </c>
      <c r="DS323" s="28">
        <v>15</v>
      </c>
      <c r="DT323" s="28">
        <v>300</v>
      </c>
      <c r="DU323" s="26">
        <v>1.0000000000000001E-5</v>
      </c>
      <c r="DV323" s="26">
        <f t="shared" si="429"/>
        <v>1.5000000000000001E-4</v>
      </c>
      <c r="DW323" s="26">
        <f t="shared" si="430"/>
        <v>6</v>
      </c>
      <c r="DX323" s="7">
        <v>6.8864097301007696</v>
      </c>
      <c r="DY323" s="7">
        <v>254.539230510376</v>
      </c>
      <c r="DZ323" s="7">
        <v>48.7068290025016</v>
      </c>
      <c r="EA323" s="7">
        <v>254.539230510376</v>
      </c>
      <c r="EB323" s="7">
        <v>3260.8802767055599</v>
      </c>
      <c r="EC323" s="7">
        <v>10185.9163578813</v>
      </c>
      <c r="ED323" s="7">
        <f t="shared" si="431"/>
        <v>557.78529002325354</v>
      </c>
    </row>
    <row r="324" spans="1:134" x14ac:dyDescent="0.4">
      <c r="A324" s="28">
        <v>15</v>
      </c>
      <c r="B324" s="26">
        <v>1.0000000000000001E-5</v>
      </c>
      <c r="C324" s="28">
        <v>0.2</v>
      </c>
      <c r="D324" s="28">
        <v>30</v>
      </c>
      <c r="E324" s="26">
        <v>2.5000000000000001E-5</v>
      </c>
      <c r="F324" s="26">
        <f t="shared" si="405"/>
        <v>5.0000000000000004E-6</v>
      </c>
      <c r="G324" s="26">
        <f t="shared" si="406"/>
        <v>1</v>
      </c>
      <c r="H324" s="7">
        <v>0.13095853375554201</v>
      </c>
      <c r="I324" s="7">
        <v>12481.634129420599</v>
      </c>
      <c r="J324" s="7">
        <v>3828.3041509332402</v>
      </c>
      <c r="K324" s="7">
        <v>12481.634129420599</v>
      </c>
      <c r="L324" s="7">
        <v>1641861.5249040499</v>
      </c>
      <c r="M324" s="7">
        <v>763943.72684109805</v>
      </c>
      <c r="N324" s="7">
        <f t="shared" si="407"/>
        <v>28791.572409774439</v>
      </c>
      <c r="P324" s="28">
        <v>15</v>
      </c>
      <c r="Q324" s="26">
        <v>3.0000000000000001E-5</v>
      </c>
      <c r="R324" s="28">
        <v>0.2</v>
      </c>
      <c r="S324" s="28">
        <v>30</v>
      </c>
      <c r="T324" s="26">
        <v>2.5000000000000001E-5</v>
      </c>
      <c r="U324" s="26">
        <f t="shared" si="408"/>
        <v>5.0000000000000004E-6</v>
      </c>
      <c r="V324" s="26">
        <f t="shared" si="409"/>
        <v>0.33333333333333337</v>
      </c>
      <c r="W324" s="7">
        <v>0.25821086852386499</v>
      </c>
      <c r="X324" s="7">
        <v>4160.5447097236602</v>
      </c>
      <c r="Y324" s="7">
        <v>1276.1013836444099</v>
      </c>
      <c r="Z324" s="7">
        <v>4160.5447097236602</v>
      </c>
      <c r="AA324" s="7">
        <v>547287.17553344101</v>
      </c>
      <c r="AB324" s="7">
        <v>84882.636315677504</v>
      </c>
      <c r="AC324" s="7">
        <f t="shared" si="410"/>
        <v>9597.1908030917293</v>
      </c>
      <c r="AE324" s="28">
        <v>15</v>
      </c>
      <c r="AF324" s="26">
        <v>5.0000000000000002E-5</v>
      </c>
      <c r="AG324" s="28">
        <v>0.2</v>
      </c>
      <c r="AH324" s="28">
        <v>30</v>
      </c>
      <c r="AI324" s="26">
        <v>2.5000000000000001E-5</v>
      </c>
      <c r="AJ324" s="26">
        <f t="shared" si="411"/>
        <v>5.0000000000000004E-6</v>
      </c>
      <c r="AK324" s="26">
        <f t="shared" si="412"/>
        <v>0.2</v>
      </c>
      <c r="AL324" s="7">
        <v>0.37669733210483802</v>
      </c>
      <c r="AM324" s="7">
        <v>2496.32682512977</v>
      </c>
      <c r="AN324" s="7">
        <v>765.66083018664904</v>
      </c>
      <c r="AO324" s="7">
        <v>2496.32682512977</v>
      </c>
      <c r="AP324" s="7">
        <v>328372.31010722602</v>
      </c>
      <c r="AQ324" s="7">
        <v>30557.749073643899</v>
      </c>
      <c r="AR324" s="7">
        <f t="shared" si="413"/>
        <v>5758.314480446189</v>
      </c>
      <c r="AT324" s="28">
        <v>15</v>
      </c>
      <c r="AU324" s="26">
        <v>1.0000000000000001E-5</v>
      </c>
      <c r="AV324" s="28">
        <v>0.2</v>
      </c>
      <c r="AW324" s="28">
        <v>200</v>
      </c>
      <c r="AX324" s="26">
        <v>2.5000000000000001E-5</v>
      </c>
      <c r="AY324" s="26">
        <f t="shared" si="414"/>
        <v>5.0000000000000004E-6</v>
      </c>
      <c r="AZ324" s="26">
        <f t="shared" si="415"/>
        <v>1</v>
      </c>
      <c r="BA324" s="7">
        <v>0.13202307700336099</v>
      </c>
      <c r="BB324" s="7">
        <v>1941.00035424731</v>
      </c>
      <c r="BC324" s="7">
        <v>642.33504314082199</v>
      </c>
      <c r="BD324" s="7">
        <v>1941.00035424731</v>
      </c>
      <c r="BE324" s="7">
        <v>1641861.5249040499</v>
      </c>
      <c r="BF324" s="7">
        <v>763943.72684109805</v>
      </c>
      <c r="BG324" s="7">
        <f t="shared" si="416"/>
        <v>4524.3357516354426</v>
      </c>
      <c r="BI324" s="28">
        <v>15</v>
      </c>
      <c r="BJ324" s="26">
        <v>1.0000000000000001E-5</v>
      </c>
      <c r="BK324" s="28">
        <v>0.5</v>
      </c>
      <c r="BL324" s="28">
        <v>200</v>
      </c>
      <c r="BM324" s="26">
        <v>2.5000000000000001E-5</v>
      </c>
      <c r="BN324" s="26">
        <f t="shared" si="417"/>
        <v>1.2500000000000001E-5</v>
      </c>
      <c r="BO324" s="26">
        <f t="shared" si="418"/>
        <v>2.5</v>
      </c>
      <c r="BP324" s="7">
        <v>0.22762881108453101</v>
      </c>
      <c r="BQ324" s="7">
        <v>1921.9637593119501</v>
      </c>
      <c r="BR324" s="7">
        <v>622.78773017584695</v>
      </c>
      <c r="BS324" s="7">
        <v>1921.9637593119501</v>
      </c>
      <c r="BT324" s="7">
        <v>656744.60996161995</v>
      </c>
      <c r="BU324" s="7">
        <v>763943.72684109805</v>
      </c>
      <c r="BV324" s="7">
        <f t="shared" si="419"/>
        <v>4466.7152487997464</v>
      </c>
      <c r="BX324" s="28">
        <v>15</v>
      </c>
      <c r="BY324" s="26">
        <v>5.0000000000000002E-5</v>
      </c>
      <c r="BZ324" s="28">
        <v>0.5</v>
      </c>
      <c r="CA324" s="28">
        <v>200</v>
      </c>
      <c r="CB324" s="26">
        <v>2.5000000000000001E-5</v>
      </c>
      <c r="CC324" s="26">
        <f t="shared" si="420"/>
        <v>1.2500000000000001E-5</v>
      </c>
      <c r="CD324" s="26">
        <f t="shared" si="421"/>
        <v>0.5</v>
      </c>
      <c r="CE324" s="7">
        <v>0.49685426405837302</v>
      </c>
      <c r="CF324" s="7">
        <v>384.39275181655802</v>
      </c>
      <c r="CG324" s="7">
        <v>124.557546035169</v>
      </c>
      <c r="CH324" s="7">
        <v>384.39275181655802</v>
      </c>
      <c r="CI324" s="7">
        <v>131348.92404288999</v>
      </c>
      <c r="CJ324" s="7">
        <v>30557.749073643899</v>
      </c>
      <c r="CK324" s="7">
        <f t="shared" si="422"/>
        <v>893.34304966828495</v>
      </c>
      <c r="CM324" s="28">
        <v>15</v>
      </c>
      <c r="CN324" s="26">
        <v>5.0000000000000002E-5</v>
      </c>
      <c r="CO324" s="28">
        <v>1</v>
      </c>
      <c r="CP324" s="28">
        <v>200</v>
      </c>
      <c r="CQ324" s="26">
        <v>2.5000000000000001E-5</v>
      </c>
      <c r="CR324" s="26">
        <f t="shared" si="423"/>
        <v>2.5000000000000001E-5</v>
      </c>
      <c r="CS324" s="26">
        <f t="shared" si="424"/>
        <v>1</v>
      </c>
      <c r="CT324" s="7">
        <v>0.65629172557251803</v>
      </c>
      <c r="CU324" s="7">
        <v>378.32091509688701</v>
      </c>
      <c r="CV324" s="7">
        <v>118.54503217394399</v>
      </c>
      <c r="CW324" s="7">
        <v>378.32091509688701</v>
      </c>
      <c r="CX324" s="7">
        <v>65674.462021445201</v>
      </c>
      <c r="CY324" s="7">
        <v>30557.749073643899</v>
      </c>
      <c r="CZ324" s="7">
        <f t="shared" si="425"/>
        <v>875.18686236771805</v>
      </c>
      <c r="DB324" s="28">
        <v>15</v>
      </c>
      <c r="DC324" s="26">
        <v>5.0000000000000002E-5</v>
      </c>
      <c r="DD324" s="28">
        <v>2</v>
      </c>
      <c r="DE324" s="28">
        <v>200</v>
      </c>
      <c r="DF324" s="26">
        <v>2.5000000000000001E-5</v>
      </c>
      <c r="DG324" s="26">
        <f t="shared" si="426"/>
        <v>5.0000000000000002E-5</v>
      </c>
      <c r="DH324" s="26">
        <f t="shared" si="427"/>
        <v>2</v>
      </c>
      <c r="DI324" s="7">
        <v>0.97514822678939805</v>
      </c>
      <c r="DJ324" s="7">
        <v>367.08848561923799</v>
      </c>
      <c r="DK324" s="7">
        <v>108.10811969663401</v>
      </c>
      <c r="DL324" s="7">
        <v>367.08848561923799</v>
      </c>
      <c r="DM324" s="7">
        <v>32837.2310107226</v>
      </c>
      <c r="DN324" s="7">
        <v>30557.749073643899</v>
      </c>
      <c r="DO324" s="7">
        <f t="shared" si="428"/>
        <v>842.28509093511002</v>
      </c>
      <c r="DQ324" s="28">
        <v>15</v>
      </c>
      <c r="DR324" s="26">
        <v>5.0000000000000002E-5</v>
      </c>
      <c r="DS324" s="28">
        <v>15</v>
      </c>
      <c r="DT324" s="28">
        <v>300</v>
      </c>
      <c r="DU324" s="26">
        <v>1.0000000000000001E-5</v>
      </c>
      <c r="DV324" s="26">
        <f t="shared" si="429"/>
        <v>1.5000000000000001E-4</v>
      </c>
      <c r="DW324" s="26">
        <f t="shared" si="430"/>
        <v>6</v>
      </c>
      <c r="DX324" s="7">
        <v>5.78540012125928</v>
      </c>
      <c r="DY324" s="7">
        <v>202.84957985735099</v>
      </c>
      <c r="DZ324" s="7">
        <v>42.287816140325297</v>
      </c>
      <c r="EA324" s="7">
        <v>202.84957985735099</v>
      </c>
      <c r="EB324" s="7">
        <v>4378.2974680963498</v>
      </c>
      <c r="EC324" s="7">
        <v>10185.9163578813</v>
      </c>
      <c r="ED324" s="7">
        <f t="shared" si="431"/>
        <v>447.98697585502725</v>
      </c>
    </row>
    <row r="325" spans="1:134" x14ac:dyDescent="0.4">
      <c r="A325" s="28">
        <v>20</v>
      </c>
      <c r="B325" s="26">
        <v>1.0000000000000001E-5</v>
      </c>
      <c r="C325" s="28">
        <v>0.2</v>
      </c>
      <c r="D325" s="28">
        <v>30</v>
      </c>
      <c r="E325" s="26">
        <v>2.5000000000000001E-5</v>
      </c>
      <c r="F325" s="26">
        <f t="shared" si="405"/>
        <v>5.0000000000000004E-6</v>
      </c>
      <c r="G325" s="26">
        <f t="shared" si="406"/>
        <v>1</v>
      </c>
      <c r="H325" s="7">
        <v>0.119531944882575</v>
      </c>
      <c r="I325" s="7">
        <v>7857.7524727739301</v>
      </c>
      <c r="J325" s="7">
        <v>4475.4086280782203</v>
      </c>
      <c r="K325" s="7">
        <v>7857.7524727739301</v>
      </c>
      <c r="L325" s="7">
        <v>2551974.2921694499</v>
      </c>
      <c r="M325" s="7">
        <v>763943.72684109805</v>
      </c>
      <c r="N325" s="7">
        <f t="shared" si="407"/>
        <v>20190.91357362608</v>
      </c>
      <c r="P325" s="28">
        <v>20</v>
      </c>
      <c r="Q325" s="26">
        <v>3.0000000000000001E-5</v>
      </c>
      <c r="R325" s="28">
        <v>0.2</v>
      </c>
      <c r="S325" s="28">
        <v>30</v>
      </c>
      <c r="T325" s="26">
        <v>2.5000000000000001E-5</v>
      </c>
      <c r="U325" s="26">
        <f t="shared" si="408"/>
        <v>5.0000000000000004E-6</v>
      </c>
      <c r="V325" s="26">
        <f t="shared" si="409"/>
        <v>0.33333333333333337</v>
      </c>
      <c r="W325" s="7">
        <v>0.26265706702284303</v>
      </c>
      <c r="X325" s="7">
        <v>2619.2508242245099</v>
      </c>
      <c r="Y325" s="7">
        <v>1491.80287602607</v>
      </c>
      <c r="Z325" s="7">
        <v>2619.2508242245099</v>
      </c>
      <c r="AA325" s="7">
        <v>850658.09849467594</v>
      </c>
      <c r="AB325" s="7">
        <v>84882.636315677504</v>
      </c>
      <c r="AC325" s="7">
        <f t="shared" si="410"/>
        <v>6730.3045244750901</v>
      </c>
      <c r="AE325" s="28">
        <v>20</v>
      </c>
      <c r="AF325" s="26">
        <v>5.0000000000000002E-5</v>
      </c>
      <c r="AG325" s="28">
        <v>0.2</v>
      </c>
      <c r="AH325" s="28">
        <v>30</v>
      </c>
      <c r="AI325" s="26">
        <v>2.5000000000000001E-5</v>
      </c>
      <c r="AJ325" s="26">
        <f t="shared" si="411"/>
        <v>5.0000000000000004E-6</v>
      </c>
      <c r="AK325" s="26">
        <f t="shared" si="412"/>
        <v>0.2</v>
      </c>
      <c r="AL325" s="7">
        <v>0.39868554689582297</v>
      </c>
      <c r="AM325" s="7">
        <v>1571.5504942513201</v>
      </c>
      <c r="AN325" s="7">
        <v>895.08172561564299</v>
      </c>
      <c r="AO325" s="7">
        <v>1571.5504942513201</v>
      </c>
      <c r="AP325" s="7">
        <v>510394.86845111102</v>
      </c>
      <c r="AQ325" s="7">
        <v>30557.749073643899</v>
      </c>
      <c r="AR325" s="7">
        <f t="shared" si="413"/>
        <v>4038.182714118283</v>
      </c>
      <c r="AT325" s="28">
        <v>20</v>
      </c>
      <c r="AU325" s="26">
        <v>1.0000000000000001E-5</v>
      </c>
      <c r="AV325" s="28">
        <v>0.2</v>
      </c>
      <c r="AW325" s="28">
        <v>200</v>
      </c>
      <c r="AX325" s="26">
        <v>2.5000000000000001E-5</v>
      </c>
      <c r="AY325" s="26">
        <f t="shared" si="414"/>
        <v>5.0000000000000004E-6</v>
      </c>
      <c r="AZ325" s="26">
        <f t="shared" si="415"/>
        <v>1</v>
      </c>
      <c r="BA325" s="7">
        <v>0.120363079831976</v>
      </c>
      <c r="BB325" s="7">
        <v>1196.98361424428</v>
      </c>
      <c r="BC325" s="7">
        <v>694.07852984949898</v>
      </c>
      <c r="BD325" s="7">
        <v>1196.98361424428</v>
      </c>
      <c r="BE325" s="7">
        <v>2551974.2921694499</v>
      </c>
      <c r="BF325" s="7">
        <v>763943.72684109805</v>
      </c>
      <c r="BG325" s="7">
        <f t="shared" si="416"/>
        <v>3088.0457583380589</v>
      </c>
      <c r="BI325" s="28">
        <v>20</v>
      </c>
      <c r="BJ325" s="26">
        <v>1.0000000000000001E-5</v>
      </c>
      <c r="BK325" s="28">
        <v>0.5</v>
      </c>
      <c r="BL325" s="28">
        <v>200</v>
      </c>
      <c r="BM325" s="26">
        <v>2.5000000000000001E-5</v>
      </c>
      <c r="BN325" s="26">
        <f t="shared" si="417"/>
        <v>1.2500000000000001E-5</v>
      </c>
      <c r="BO325" s="26">
        <f t="shared" si="418"/>
        <v>2.5</v>
      </c>
      <c r="BP325" s="7">
        <v>0.18806232149962299</v>
      </c>
      <c r="BQ325" s="7">
        <v>1192.0586917390101</v>
      </c>
      <c r="BR325" s="7">
        <v>687.90288040570601</v>
      </c>
      <c r="BS325" s="7">
        <v>1192.0586917390101</v>
      </c>
      <c r="BT325" s="7">
        <v>1020789.71686778</v>
      </c>
      <c r="BU325" s="7">
        <v>763943.72684109805</v>
      </c>
      <c r="BV325" s="7">
        <f t="shared" si="419"/>
        <v>3072.0202638837263</v>
      </c>
      <c r="BX325" s="28">
        <v>20</v>
      </c>
      <c r="BY325" s="26">
        <v>5.0000000000000002E-5</v>
      </c>
      <c r="BZ325" s="28">
        <v>0.5</v>
      </c>
      <c r="CA325" s="28">
        <v>200</v>
      </c>
      <c r="CB325" s="26">
        <v>2.5000000000000001E-5</v>
      </c>
      <c r="CC325" s="26">
        <f t="shared" si="420"/>
        <v>1.2500000000000001E-5</v>
      </c>
      <c r="CD325" s="26">
        <f t="shared" si="421"/>
        <v>0.5</v>
      </c>
      <c r="CE325" s="7">
        <v>0.48599342747636898</v>
      </c>
      <c r="CF325" s="7">
        <v>238.41173833028401</v>
      </c>
      <c r="CG325" s="7">
        <v>137.580576081141</v>
      </c>
      <c r="CH325" s="7">
        <v>238.41173833028401</v>
      </c>
      <c r="CI325" s="7">
        <v>204157.947380445</v>
      </c>
      <c r="CJ325" s="7">
        <v>30557.749073643899</v>
      </c>
      <c r="CK325" s="7">
        <f t="shared" si="422"/>
        <v>614.40405274170905</v>
      </c>
      <c r="CM325" s="28">
        <v>20</v>
      </c>
      <c r="CN325" s="26">
        <v>5.0000000000000002E-5</v>
      </c>
      <c r="CO325" s="28">
        <v>1</v>
      </c>
      <c r="CP325" s="28">
        <v>200</v>
      </c>
      <c r="CQ325" s="26">
        <v>2.5000000000000001E-5</v>
      </c>
      <c r="CR325" s="26">
        <f t="shared" si="423"/>
        <v>2.5000000000000001E-5</v>
      </c>
      <c r="CS325" s="26">
        <f t="shared" si="424"/>
        <v>1</v>
      </c>
      <c r="CT325" s="7">
        <v>0.59885589217709001</v>
      </c>
      <c r="CU325" s="7">
        <v>236.794372688691</v>
      </c>
      <c r="CV325" s="7">
        <v>135.57018035757301</v>
      </c>
      <c r="CW325" s="7">
        <v>236.794372688691</v>
      </c>
      <c r="CX325" s="7">
        <v>102078.973690222</v>
      </c>
      <c r="CY325" s="7">
        <v>30557.749073643899</v>
      </c>
      <c r="CZ325" s="7">
        <f t="shared" si="425"/>
        <v>609.15892573495501</v>
      </c>
      <c r="DB325" s="28">
        <v>20</v>
      </c>
      <c r="DC325" s="26">
        <v>5.0000000000000002E-5</v>
      </c>
      <c r="DD325" s="28">
        <v>2</v>
      </c>
      <c r="DE325" s="28">
        <v>200</v>
      </c>
      <c r="DF325" s="26">
        <v>2.5000000000000001E-5</v>
      </c>
      <c r="DG325" s="26">
        <f t="shared" si="426"/>
        <v>5.0000000000000002E-5</v>
      </c>
      <c r="DH325" s="26">
        <f t="shared" si="427"/>
        <v>2</v>
      </c>
      <c r="DI325" s="7">
        <v>0.824578742458976</v>
      </c>
      <c r="DJ325" s="7">
        <v>233.64718966736299</v>
      </c>
      <c r="DK325" s="7">
        <v>131.72072797829401</v>
      </c>
      <c r="DL325" s="7">
        <v>233.64718966736299</v>
      </c>
      <c r="DM325" s="7">
        <v>51039.486845111103</v>
      </c>
      <c r="DN325" s="7">
        <v>30557.749073643899</v>
      </c>
      <c r="DO325" s="7">
        <f t="shared" si="428"/>
        <v>599.01510731302005</v>
      </c>
      <c r="DQ325" s="28">
        <v>20</v>
      </c>
      <c r="DR325" s="26">
        <v>5.0000000000000002E-5</v>
      </c>
      <c r="DS325" s="28">
        <v>15</v>
      </c>
      <c r="DT325" s="28">
        <v>300</v>
      </c>
      <c r="DU325" s="26">
        <v>1.0000000000000001E-5</v>
      </c>
      <c r="DV325" s="26">
        <f t="shared" si="429"/>
        <v>1.5000000000000001E-4</v>
      </c>
      <c r="DW325" s="26">
        <f t="shared" si="430"/>
        <v>6</v>
      </c>
      <c r="DX325" s="7">
        <v>4.4963427186982896</v>
      </c>
      <c r="DY325" s="7">
        <v>141.30482192536101</v>
      </c>
      <c r="DZ325" s="7">
        <v>71.560155029152398</v>
      </c>
      <c r="EA325" s="7">
        <v>141.30482192536101</v>
      </c>
      <c r="EB325" s="7">
        <v>6805.2649126814904</v>
      </c>
      <c r="EC325" s="7">
        <v>10185.9163578813</v>
      </c>
      <c r="ED325" s="7">
        <f t="shared" si="431"/>
        <v>354.16979887987441</v>
      </c>
    </row>
    <row r="326" spans="1:134" x14ac:dyDescent="0.4">
      <c r="A326" s="28">
        <v>25</v>
      </c>
      <c r="B326" s="26">
        <v>1.0000000000000001E-5</v>
      </c>
      <c r="C326" s="28">
        <v>0.2</v>
      </c>
      <c r="D326" s="28">
        <v>30</v>
      </c>
      <c r="E326" s="26">
        <v>2.5000000000000001E-5</v>
      </c>
      <c r="F326" s="26">
        <f t="shared" si="405"/>
        <v>5.0000000000000004E-6</v>
      </c>
      <c r="G326" s="26">
        <f t="shared" si="406"/>
        <v>1</v>
      </c>
      <c r="H326" s="7">
        <v>0.112218192247915</v>
      </c>
      <c r="I326" s="7">
        <v>5967.7070610572</v>
      </c>
      <c r="J326" s="7">
        <v>4769.5933204541298</v>
      </c>
      <c r="K326" s="7">
        <v>5967.7070610572</v>
      </c>
      <c r="L326" s="7">
        <v>3890230.9388607698</v>
      </c>
      <c r="M326" s="7">
        <v>763943.72684109805</v>
      </c>
      <c r="N326" s="7">
        <f t="shared" si="407"/>
        <v>16705.007442568531</v>
      </c>
      <c r="P326" s="28">
        <v>25</v>
      </c>
      <c r="Q326" s="26">
        <v>3.0000000000000001E-5</v>
      </c>
      <c r="R326" s="28">
        <v>0.2</v>
      </c>
      <c r="S326" s="28">
        <v>30</v>
      </c>
      <c r="T326" s="26">
        <v>2.5000000000000001E-5</v>
      </c>
      <c r="U326" s="26">
        <f t="shared" si="408"/>
        <v>5.0000000000000004E-6</v>
      </c>
      <c r="V326" s="26">
        <f t="shared" si="409"/>
        <v>0.33333333333333337</v>
      </c>
      <c r="W326" s="7">
        <v>0.26776707460928101</v>
      </c>
      <c r="X326" s="7">
        <v>1989.2356869965699</v>
      </c>
      <c r="Y326" s="7">
        <v>1589.86444015137</v>
      </c>
      <c r="Z326" s="7">
        <v>1989.2356869965699</v>
      </c>
      <c r="AA326" s="7">
        <v>1296743.6482743199</v>
      </c>
      <c r="AB326" s="7">
        <v>84882.636315677504</v>
      </c>
      <c r="AC326" s="7">
        <f t="shared" si="410"/>
        <v>5568.3358141445096</v>
      </c>
      <c r="AE326" s="28">
        <v>25</v>
      </c>
      <c r="AF326" s="26">
        <v>5.0000000000000002E-5</v>
      </c>
      <c r="AG326" s="28">
        <v>0.2</v>
      </c>
      <c r="AH326" s="28">
        <v>30</v>
      </c>
      <c r="AI326" s="26">
        <v>2.5000000000000001E-5</v>
      </c>
      <c r="AJ326" s="26">
        <f t="shared" si="411"/>
        <v>5.0000000000000004E-6</v>
      </c>
      <c r="AK326" s="26">
        <f t="shared" si="412"/>
        <v>0.2</v>
      </c>
      <c r="AL326" s="7">
        <v>0.41686585059438203</v>
      </c>
      <c r="AM326" s="7">
        <v>1193.54141200751</v>
      </c>
      <c r="AN326" s="7">
        <v>953.91866409082502</v>
      </c>
      <c r="AO326" s="7">
        <v>1193.54141200751</v>
      </c>
      <c r="AP326" s="7">
        <v>778046.205790887</v>
      </c>
      <c r="AQ326" s="7">
        <v>30557.749073643899</v>
      </c>
      <c r="AR326" s="7">
        <f t="shared" si="413"/>
        <v>3341.0014881058451</v>
      </c>
      <c r="AT326" s="28">
        <v>25</v>
      </c>
      <c r="AU326" s="26">
        <v>1.0000000000000001E-5</v>
      </c>
      <c r="AV326" s="28">
        <v>0.2</v>
      </c>
      <c r="AW326" s="28">
        <v>200</v>
      </c>
      <c r="AX326" s="26">
        <v>2.5000000000000001E-5</v>
      </c>
      <c r="AY326" s="26">
        <f t="shared" si="414"/>
        <v>5.0000000000000004E-6</v>
      </c>
      <c r="AZ326" s="26">
        <f t="shared" si="415"/>
        <v>1</v>
      </c>
      <c r="BA326" s="7">
        <v>0.112961687449896</v>
      </c>
      <c r="BB326" s="7">
        <v>904.92261526204402</v>
      </c>
      <c r="BC326" s="7">
        <v>729.47946385146201</v>
      </c>
      <c r="BD326" s="7">
        <v>904.92261526204402</v>
      </c>
      <c r="BE326" s="7">
        <v>3890230.9388607698</v>
      </c>
      <c r="BF326" s="7">
        <v>763943.72684109805</v>
      </c>
      <c r="BG326" s="7">
        <f t="shared" si="416"/>
        <v>2539.3246943755503</v>
      </c>
      <c r="BI326" s="28">
        <v>25</v>
      </c>
      <c r="BJ326" s="26">
        <v>1.0000000000000001E-5</v>
      </c>
      <c r="BK326" s="28">
        <v>0.5</v>
      </c>
      <c r="BL326" s="28">
        <v>200</v>
      </c>
      <c r="BM326" s="26">
        <v>2.5000000000000001E-5</v>
      </c>
      <c r="BN326" s="26">
        <f t="shared" si="417"/>
        <v>1.2500000000000001E-5</v>
      </c>
      <c r="BO326" s="26">
        <f t="shared" si="418"/>
        <v>2.5</v>
      </c>
      <c r="BP326" s="7">
        <v>0.16080126386917501</v>
      </c>
      <c r="BQ326" s="7">
        <v>902.31159397251201</v>
      </c>
      <c r="BR326" s="7">
        <v>725.70943403112403</v>
      </c>
      <c r="BS326" s="7">
        <v>902.31159397251201</v>
      </c>
      <c r="BT326" s="7">
        <v>1556092.3755443101</v>
      </c>
      <c r="BU326" s="7">
        <v>763943.72684109805</v>
      </c>
      <c r="BV326" s="7">
        <f t="shared" si="419"/>
        <v>2530.3326219761479</v>
      </c>
      <c r="BX326" s="28">
        <v>25</v>
      </c>
      <c r="BY326" s="26">
        <v>5.0000000000000002E-5</v>
      </c>
      <c r="BZ326" s="28">
        <v>0.5</v>
      </c>
      <c r="CA326" s="28">
        <v>200</v>
      </c>
      <c r="CB326" s="26">
        <v>2.5000000000000001E-5</v>
      </c>
      <c r="CC326" s="26">
        <f t="shared" si="420"/>
        <v>1.2500000000000001E-5</v>
      </c>
      <c r="CD326" s="26">
        <f t="shared" si="421"/>
        <v>0.5</v>
      </c>
      <c r="CE326" s="7">
        <v>0.482415855785224</v>
      </c>
      <c r="CF326" s="7">
        <v>180.46231878283399</v>
      </c>
      <c r="CG326" s="7">
        <v>145.14188680622499</v>
      </c>
      <c r="CH326" s="7">
        <v>180.46231878283399</v>
      </c>
      <c r="CI326" s="7">
        <v>311218.48231635499</v>
      </c>
      <c r="CJ326" s="7">
        <v>30557.749073643899</v>
      </c>
      <c r="CK326" s="7">
        <f t="shared" si="422"/>
        <v>506.06652437189302</v>
      </c>
      <c r="CM326" s="28">
        <v>25</v>
      </c>
      <c r="CN326" s="26">
        <v>5.0000000000000002E-5</v>
      </c>
      <c r="CO326" s="28">
        <v>1</v>
      </c>
      <c r="CP326" s="28">
        <v>200</v>
      </c>
      <c r="CQ326" s="26">
        <v>2.5000000000000001E-5</v>
      </c>
      <c r="CR326" s="26">
        <f t="shared" si="423"/>
        <v>2.5000000000000001E-5</v>
      </c>
      <c r="CS326" s="26">
        <f t="shared" si="424"/>
        <v>1</v>
      </c>
      <c r="CT326" s="7">
        <v>0.56216705487573404</v>
      </c>
      <c r="CU326" s="7">
        <v>179.60025764253999</v>
      </c>
      <c r="CV326" s="7">
        <v>143.90240734913101</v>
      </c>
      <c r="CW326" s="7">
        <v>179.60025764253999</v>
      </c>
      <c r="CX326" s="7">
        <v>155609.241158177</v>
      </c>
      <c r="CY326" s="7">
        <v>30557.749073643899</v>
      </c>
      <c r="CZ326" s="7">
        <f t="shared" si="425"/>
        <v>503.10292263421098</v>
      </c>
      <c r="DB326" s="28">
        <v>25</v>
      </c>
      <c r="DC326" s="26">
        <v>5.0000000000000002E-5</v>
      </c>
      <c r="DD326" s="28">
        <v>2</v>
      </c>
      <c r="DE326" s="28">
        <v>200</v>
      </c>
      <c r="DF326" s="26">
        <v>2.5000000000000001E-5</v>
      </c>
      <c r="DG326" s="26">
        <f t="shared" si="426"/>
        <v>5.0000000000000002E-5</v>
      </c>
      <c r="DH326" s="26">
        <f t="shared" si="427"/>
        <v>2</v>
      </c>
      <c r="DI326" s="7">
        <v>0.72166865375323797</v>
      </c>
      <c r="DJ326" s="7">
        <v>177.90643586546901</v>
      </c>
      <c r="DK326" s="7">
        <v>141.48598257191699</v>
      </c>
      <c r="DL326" s="7">
        <v>177.90643586546901</v>
      </c>
      <c r="DM326" s="7">
        <v>77804.620579088703</v>
      </c>
      <c r="DN326" s="7">
        <v>30557.749073643899</v>
      </c>
      <c r="DO326" s="7">
        <f t="shared" si="428"/>
        <v>497.29885430285503</v>
      </c>
      <c r="DQ326" s="28">
        <v>25</v>
      </c>
      <c r="DR326" s="26">
        <v>5.0000000000000002E-5</v>
      </c>
      <c r="DS326" s="28">
        <v>15</v>
      </c>
      <c r="DT326" s="28">
        <v>300</v>
      </c>
      <c r="DU326" s="26">
        <v>1.0000000000000001E-5</v>
      </c>
      <c r="DV326" s="26">
        <f t="shared" si="429"/>
        <v>1.5000000000000001E-4</v>
      </c>
      <c r="DW326" s="26">
        <f t="shared" si="430"/>
        <v>6</v>
      </c>
      <c r="DX326" s="7">
        <v>3.5921001458088599</v>
      </c>
      <c r="DY326" s="7">
        <v>110.42994925436599</v>
      </c>
      <c r="DZ326" s="7">
        <v>83.155364315094602</v>
      </c>
      <c r="EA326" s="7">
        <v>110.42994925436599</v>
      </c>
      <c r="EB326" s="7">
        <v>10373.949410545199</v>
      </c>
      <c r="EC326" s="7">
        <v>10185.9163578813</v>
      </c>
      <c r="ED326" s="7">
        <f t="shared" si="431"/>
        <v>304.01526282382656</v>
      </c>
    </row>
    <row r="327" spans="1:134" x14ac:dyDescent="0.4">
      <c r="A327" s="28">
        <v>30</v>
      </c>
      <c r="B327" s="26">
        <v>1.0000000000000001E-5</v>
      </c>
      <c r="C327" s="28">
        <v>0.2</v>
      </c>
      <c r="D327" s="28">
        <v>30</v>
      </c>
      <c r="E327" s="26">
        <v>2.5000000000000001E-5</v>
      </c>
      <c r="F327" s="26">
        <f t="shared" si="405"/>
        <v>5.0000000000000004E-6</v>
      </c>
      <c r="G327" s="26">
        <f t="shared" si="406"/>
        <v>1</v>
      </c>
      <c r="H327" s="7">
        <v>0.10784751409422499</v>
      </c>
      <c r="I327" s="7">
        <v>4807.3324198337996</v>
      </c>
      <c r="J327" s="7">
        <v>4988.6125859415297</v>
      </c>
      <c r="K327" s="7">
        <v>4807.3324198337996</v>
      </c>
      <c r="L327" s="7">
        <v>5893089.4851508904</v>
      </c>
      <c r="M327" s="7">
        <v>763943.72684109805</v>
      </c>
      <c r="N327" s="7">
        <f t="shared" si="407"/>
        <v>14603.277425609129</v>
      </c>
      <c r="P327" s="28">
        <v>30</v>
      </c>
      <c r="Q327" s="26">
        <v>3.0000000000000001E-5</v>
      </c>
      <c r="R327" s="28">
        <v>0.2</v>
      </c>
      <c r="S327" s="28">
        <v>30</v>
      </c>
      <c r="T327" s="26">
        <v>2.5000000000000001E-5</v>
      </c>
      <c r="U327" s="26">
        <f t="shared" si="408"/>
        <v>5.0000000000000004E-6</v>
      </c>
      <c r="V327" s="26">
        <f t="shared" si="409"/>
        <v>0.33333333333333337</v>
      </c>
      <c r="W327" s="7">
        <v>0.27403211121957299</v>
      </c>
      <c r="X327" s="7">
        <v>1602.4441399274999</v>
      </c>
      <c r="Y327" s="7">
        <v>1662.87086198051</v>
      </c>
      <c r="Z327" s="7">
        <v>1602.4441399274999</v>
      </c>
      <c r="AA327" s="7">
        <v>1964363.1651242101</v>
      </c>
      <c r="AB327" s="7">
        <v>84882.636315677504</v>
      </c>
      <c r="AC327" s="7">
        <f t="shared" si="410"/>
        <v>4867.7591418355096</v>
      </c>
      <c r="AE327" s="28">
        <v>30</v>
      </c>
      <c r="AF327" s="26">
        <v>5.0000000000000002E-5</v>
      </c>
      <c r="AG327" s="28">
        <v>0.2</v>
      </c>
      <c r="AH327" s="28">
        <v>30</v>
      </c>
      <c r="AI327" s="26">
        <v>2.5000000000000001E-5</v>
      </c>
      <c r="AJ327" s="26">
        <f t="shared" si="411"/>
        <v>5.0000000000000004E-6</v>
      </c>
      <c r="AK327" s="26">
        <f t="shared" si="412"/>
        <v>0.2</v>
      </c>
      <c r="AL327" s="7">
        <v>0.43415303376996101</v>
      </c>
      <c r="AM327" s="7">
        <v>961.46648381169098</v>
      </c>
      <c r="AN327" s="7">
        <v>997.72251718830603</v>
      </c>
      <c r="AO327" s="7">
        <v>961.46648381169098</v>
      </c>
      <c r="AP327" s="7">
        <v>1178617.9279219799</v>
      </c>
      <c r="AQ327" s="7">
        <v>30557.749073643899</v>
      </c>
      <c r="AR327" s="7">
        <f t="shared" si="413"/>
        <v>2920.655484811688</v>
      </c>
      <c r="AT327" s="28">
        <v>30</v>
      </c>
      <c r="AU327" s="26">
        <v>1.0000000000000001E-5</v>
      </c>
      <c r="AV327" s="28">
        <v>0.2</v>
      </c>
      <c r="AW327" s="28">
        <v>200</v>
      </c>
      <c r="AX327" s="26">
        <v>2.5000000000000001E-5</v>
      </c>
      <c r="AY327" s="26">
        <f t="shared" si="414"/>
        <v>5.0000000000000004E-6</v>
      </c>
      <c r="AZ327" s="26">
        <f t="shared" si="415"/>
        <v>1</v>
      </c>
      <c r="BA327" s="7">
        <v>0.108539652994135</v>
      </c>
      <c r="BB327" s="7">
        <v>727.37388968977803</v>
      </c>
      <c r="BC327" s="7">
        <v>758.42598130330396</v>
      </c>
      <c r="BD327" s="7">
        <v>727.37388968977803</v>
      </c>
      <c r="BE327" s="7">
        <v>5893089.4851508904</v>
      </c>
      <c r="BF327" s="7">
        <v>763943.72684109805</v>
      </c>
      <c r="BG327" s="7">
        <f t="shared" si="416"/>
        <v>2213.1737606828601</v>
      </c>
      <c r="BI327" s="28">
        <v>30</v>
      </c>
      <c r="BJ327" s="26">
        <v>1.0000000000000001E-5</v>
      </c>
      <c r="BK327" s="28">
        <v>0.5</v>
      </c>
      <c r="BL327" s="28">
        <v>200</v>
      </c>
      <c r="BM327" s="26">
        <v>2.5000000000000001E-5</v>
      </c>
      <c r="BN327" s="26">
        <f t="shared" si="417"/>
        <v>1.2500000000000001E-5</v>
      </c>
      <c r="BO327" s="26">
        <f t="shared" si="418"/>
        <v>2.5</v>
      </c>
      <c r="BP327" s="7">
        <v>0.142099000722576</v>
      </c>
      <c r="BQ327" s="7">
        <v>725.70064173773096</v>
      </c>
      <c r="BR327" s="7">
        <v>755.71672459466504</v>
      </c>
      <c r="BS327" s="7">
        <v>725.70064173773096</v>
      </c>
      <c r="BT327" s="7">
        <v>2357235.7940603602</v>
      </c>
      <c r="BU327" s="7">
        <v>763943.72684109805</v>
      </c>
      <c r="BV327" s="7">
        <f t="shared" si="419"/>
        <v>2207.118008070127</v>
      </c>
      <c r="BX327" s="28">
        <v>30</v>
      </c>
      <c r="BY327" s="26">
        <v>5.0000000000000002E-5</v>
      </c>
      <c r="BZ327" s="28">
        <v>0.5</v>
      </c>
      <c r="CA327" s="28">
        <v>200</v>
      </c>
      <c r="CB327" s="26">
        <v>2.5000000000000001E-5</v>
      </c>
      <c r="CC327" s="26">
        <f t="shared" si="420"/>
        <v>1.2500000000000001E-5</v>
      </c>
      <c r="CD327" s="26">
        <f t="shared" si="421"/>
        <v>0.5</v>
      </c>
      <c r="CE327" s="7">
        <v>0.484296673395536</v>
      </c>
      <c r="CF327" s="7">
        <v>145.140128338708</v>
      </c>
      <c r="CG327" s="7">
        <v>151.143344918933</v>
      </c>
      <c r="CH327" s="7">
        <v>145.140128338708</v>
      </c>
      <c r="CI327" s="7">
        <v>471447.17116879002</v>
      </c>
      <c r="CJ327" s="7">
        <v>30557.749073643899</v>
      </c>
      <c r="CK327" s="7">
        <f t="shared" si="422"/>
        <v>441.42360159634899</v>
      </c>
      <c r="CM327" s="28">
        <v>30</v>
      </c>
      <c r="CN327" s="26">
        <v>5.0000000000000002E-5</v>
      </c>
      <c r="CO327" s="28">
        <v>1</v>
      </c>
      <c r="CP327" s="28">
        <v>200</v>
      </c>
      <c r="CQ327" s="26">
        <v>2.5000000000000001E-5</v>
      </c>
      <c r="CR327" s="26">
        <f t="shared" si="423"/>
        <v>2.5000000000000001E-5</v>
      </c>
      <c r="CS327" s="26">
        <f t="shared" si="424"/>
        <v>1</v>
      </c>
      <c r="CT327" s="7">
        <v>0.54024228178015499</v>
      </c>
      <c r="CU327" s="7">
        <v>144.58638467526899</v>
      </c>
      <c r="CV327" s="7">
        <v>150.24883810203599</v>
      </c>
      <c r="CW327" s="7">
        <v>144.58638467526899</v>
      </c>
      <c r="CX327" s="7">
        <v>235723.58558439501</v>
      </c>
      <c r="CY327" s="7">
        <v>30557.749073643899</v>
      </c>
      <c r="CZ327" s="7">
        <f t="shared" si="425"/>
        <v>439.42160745257399</v>
      </c>
      <c r="DB327" s="28">
        <v>30</v>
      </c>
      <c r="DC327" s="26">
        <v>5.0000000000000002E-5</v>
      </c>
      <c r="DD327" s="28">
        <v>2</v>
      </c>
      <c r="DE327" s="28">
        <v>200</v>
      </c>
      <c r="DF327" s="26">
        <v>2.5000000000000001E-5</v>
      </c>
      <c r="DG327" s="26">
        <f t="shared" si="426"/>
        <v>5.0000000000000002E-5</v>
      </c>
      <c r="DH327" s="26">
        <f t="shared" si="427"/>
        <v>2</v>
      </c>
      <c r="DI327" s="7">
        <v>0.65213307671874399</v>
      </c>
      <c r="DJ327" s="7">
        <v>143.493651420682</v>
      </c>
      <c r="DK327" s="7">
        <v>148.49131311393799</v>
      </c>
      <c r="DL327" s="7">
        <v>143.493651420682</v>
      </c>
      <c r="DM327" s="7">
        <v>117861.792792198</v>
      </c>
      <c r="DN327" s="7">
        <v>30557.749073643899</v>
      </c>
      <c r="DO327" s="7">
        <f t="shared" si="428"/>
        <v>435.47861595530196</v>
      </c>
      <c r="DQ327" s="28">
        <v>30</v>
      </c>
      <c r="DR327" s="26">
        <v>5.0000000000000002E-5</v>
      </c>
      <c r="DS327" s="28">
        <v>15</v>
      </c>
      <c r="DT327" s="28">
        <v>300</v>
      </c>
      <c r="DU327" s="26">
        <v>1.0000000000000001E-5</v>
      </c>
      <c r="DV327" s="26">
        <f t="shared" si="429"/>
        <v>1.5000000000000001E-4</v>
      </c>
      <c r="DW327" s="26">
        <f t="shared" si="430"/>
        <v>6</v>
      </c>
      <c r="DX327" s="7">
        <v>2.95533106856668</v>
      </c>
      <c r="DY327" s="7">
        <v>90.265822408235607</v>
      </c>
      <c r="DZ327" s="7">
        <v>90.525422516156297</v>
      </c>
      <c r="EA327" s="7">
        <v>90.265822408235607</v>
      </c>
      <c r="EB327" s="7">
        <v>15714.905705626299</v>
      </c>
      <c r="EC327" s="7">
        <v>10185.9163578813</v>
      </c>
      <c r="ED327" s="7">
        <f t="shared" si="431"/>
        <v>271.05706733262753</v>
      </c>
    </row>
    <row r="328" spans="1:134" x14ac:dyDescent="0.4">
      <c r="A328" s="28">
        <v>35</v>
      </c>
      <c r="B328" s="26">
        <v>1.0000000000000001E-5</v>
      </c>
      <c r="C328" s="28">
        <v>0.2</v>
      </c>
      <c r="D328" s="28">
        <v>30</v>
      </c>
      <c r="E328" s="26">
        <v>2.5000000000000001E-5</v>
      </c>
      <c r="F328" s="26">
        <f t="shared" si="405"/>
        <v>5.0000000000000004E-6</v>
      </c>
      <c r="G328" s="26">
        <f t="shared" si="406"/>
        <v>1</v>
      </c>
      <c r="H328" s="7">
        <v>0.105534615665757</v>
      </c>
      <c r="I328" s="7">
        <v>3984.07853527202</v>
      </c>
      <c r="J328" s="7">
        <v>5168.7820727017497</v>
      </c>
      <c r="K328" s="7">
        <v>3984.07853527202</v>
      </c>
      <c r="L328" s="7">
        <v>8973470.5022608098</v>
      </c>
      <c r="M328" s="7">
        <v>763943.72684109805</v>
      </c>
      <c r="N328" s="7">
        <f t="shared" si="407"/>
        <v>13136.939143245789</v>
      </c>
      <c r="P328" s="28">
        <v>35</v>
      </c>
      <c r="Q328" s="26">
        <v>3.0000000000000001E-5</v>
      </c>
      <c r="R328" s="28">
        <v>0.2</v>
      </c>
      <c r="S328" s="28">
        <v>30</v>
      </c>
      <c r="T328" s="26">
        <v>2.5000000000000001E-5</v>
      </c>
      <c r="U328" s="26">
        <f t="shared" si="408"/>
        <v>5.0000000000000004E-6</v>
      </c>
      <c r="V328" s="26">
        <f t="shared" si="409"/>
        <v>0.33333333333333337</v>
      </c>
      <c r="W328" s="7">
        <v>0.28113952923952901</v>
      </c>
      <c r="X328" s="7">
        <v>1328.02617841029</v>
      </c>
      <c r="Y328" s="7">
        <v>1722.9273575672501</v>
      </c>
      <c r="Z328" s="7">
        <v>1328.02617841029</v>
      </c>
      <c r="AA328" s="7">
        <v>2991156.8397606201</v>
      </c>
      <c r="AB328" s="7">
        <v>84882.636315677504</v>
      </c>
      <c r="AC328" s="7">
        <f t="shared" si="410"/>
        <v>4378.9797143878295</v>
      </c>
      <c r="AE328" s="28">
        <v>35</v>
      </c>
      <c r="AF328" s="26">
        <v>5.0000000000000002E-5</v>
      </c>
      <c r="AG328" s="28">
        <v>0.2</v>
      </c>
      <c r="AH328" s="28">
        <v>30</v>
      </c>
      <c r="AI328" s="26">
        <v>2.5000000000000001E-5</v>
      </c>
      <c r="AJ328" s="26">
        <f t="shared" si="411"/>
        <v>5.0000000000000004E-6</v>
      </c>
      <c r="AK328" s="26">
        <f t="shared" si="412"/>
        <v>0.2</v>
      </c>
      <c r="AL328" s="7">
        <v>0.45095390181588102</v>
      </c>
      <c r="AM328" s="7">
        <v>796.81570693005597</v>
      </c>
      <c r="AN328" s="7">
        <v>1033.7564145403501</v>
      </c>
      <c r="AO328" s="7">
        <v>796.81570693005597</v>
      </c>
      <c r="AP328" s="7">
        <v>1794694.1518928199</v>
      </c>
      <c r="AQ328" s="7">
        <v>30557.749073643899</v>
      </c>
      <c r="AR328" s="7">
        <f t="shared" si="413"/>
        <v>2627.3878284004622</v>
      </c>
      <c r="AT328" s="28">
        <v>35</v>
      </c>
      <c r="AU328" s="26">
        <v>1.0000000000000001E-5</v>
      </c>
      <c r="AV328" s="28">
        <v>0.2</v>
      </c>
      <c r="AW328" s="28">
        <v>200</v>
      </c>
      <c r="AX328" s="26">
        <v>2.5000000000000001E-5</v>
      </c>
      <c r="AY328" s="26">
        <f t="shared" si="414"/>
        <v>5.0000000000000004E-6</v>
      </c>
      <c r="AZ328" s="26">
        <f t="shared" si="415"/>
        <v>1</v>
      </c>
      <c r="BA328" s="7">
        <v>0.106191028863086</v>
      </c>
      <c r="BB328" s="7">
        <v>602.00500937137394</v>
      </c>
      <c r="BC328" s="7">
        <v>783.15203621901901</v>
      </c>
      <c r="BD328" s="7">
        <v>602.00500937137394</v>
      </c>
      <c r="BE328" s="7">
        <v>8973470.5022608098</v>
      </c>
      <c r="BF328" s="7">
        <v>763943.72684109805</v>
      </c>
      <c r="BG328" s="7">
        <f t="shared" si="416"/>
        <v>1987.1620549617669</v>
      </c>
      <c r="BI328" s="28">
        <v>35</v>
      </c>
      <c r="BJ328" s="26">
        <v>1.0000000000000001E-5</v>
      </c>
      <c r="BK328" s="28">
        <v>0.5</v>
      </c>
      <c r="BL328" s="28">
        <v>200</v>
      </c>
      <c r="BM328" s="26">
        <v>2.5000000000000001E-5</v>
      </c>
      <c r="BN328" s="26">
        <f t="shared" si="417"/>
        <v>1.2500000000000001E-5</v>
      </c>
      <c r="BO328" s="26">
        <f t="shared" si="418"/>
        <v>2.5</v>
      </c>
      <c r="BP328" s="7">
        <v>0.12939232286698199</v>
      </c>
      <c r="BQ328" s="7">
        <v>600.83500597989303</v>
      </c>
      <c r="BR328" s="7">
        <v>781.06268252331097</v>
      </c>
      <c r="BS328" s="7">
        <v>600.83500597989303</v>
      </c>
      <c r="BT328" s="7">
        <v>3589388.20090432</v>
      </c>
      <c r="BU328" s="7">
        <v>763943.72684109805</v>
      </c>
      <c r="BV328" s="7">
        <f t="shared" si="419"/>
        <v>1982.732694483097</v>
      </c>
      <c r="BX328" s="28">
        <v>35</v>
      </c>
      <c r="BY328" s="26">
        <v>5.0000000000000002E-5</v>
      </c>
      <c r="BZ328" s="28">
        <v>0.5</v>
      </c>
      <c r="CA328" s="28">
        <v>200</v>
      </c>
      <c r="CB328" s="26">
        <v>2.5000000000000001E-5</v>
      </c>
      <c r="CC328" s="26">
        <f t="shared" si="420"/>
        <v>1.2500000000000001E-5</v>
      </c>
      <c r="CD328" s="26">
        <f t="shared" si="421"/>
        <v>0.5</v>
      </c>
      <c r="CE328" s="7">
        <v>0.48994860960068798</v>
      </c>
      <c r="CF328" s="7">
        <v>120.167001188906</v>
      </c>
      <c r="CG328" s="7">
        <v>156.21253650466201</v>
      </c>
      <c r="CH328" s="7">
        <v>120.167001188906</v>
      </c>
      <c r="CI328" s="7">
        <v>717877.66075713001</v>
      </c>
      <c r="CJ328" s="7">
        <v>30557.749073643899</v>
      </c>
      <c r="CK328" s="7">
        <f t="shared" si="422"/>
        <v>396.54653888247401</v>
      </c>
      <c r="CM328" s="28">
        <v>35</v>
      </c>
      <c r="CN328" s="26">
        <v>5.0000000000000002E-5</v>
      </c>
      <c r="CO328" s="28">
        <v>1</v>
      </c>
      <c r="CP328" s="28">
        <v>200</v>
      </c>
      <c r="CQ328" s="26">
        <v>2.5000000000000001E-5</v>
      </c>
      <c r="CR328" s="26">
        <f t="shared" si="423"/>
        <v>2.5000000000000001E-5</v>
      </c>
      <c r="CS328" s="26">
        <f t="shared" si="424"/>
        <v>1</v>
      </c>
      <c r="CT328" s="7">
        <v>0.52862775647018301</v>
      </c>
      <c r="CU328" s="7">
        <v>119.779274796552</v>
      </c>
      <c r="CV328" s="7">
        <v>155.521045898078</v>
      </c>
      <c r="CW328" s="7">
        <v>119.779274796552</v>
      </c>
      <c r="CX328" s="7">
        <v>358938.83037856501</v>
      </c>
      <c r="CY328" s="7">
        <v>30557.749073643899</v>
      </c>
      <c r="CZ328" s="7">
        <f t="shared" si="425"/>
        <v>395.07959549118198</v>
      </c>
      <c r="DB328" s="28">
        <v>35</v>
      </c>
      <c r="DC328" s="26">
        <v>5.0000000000000002E-5</v>
      </c>
      <c r="DD328" s="28">
        <v>2</v>
      </c>
      <c r="DE328" s="28">
        <v>200</v>
      </c>
      <c r="DF328" s="26">
        <v>2.5000000000000001E-5</v>
      </c>
      <c r="DG328" s="26">
        <f t="shared" si="426"/>
        <v>5.0000000000000002E-5</v>
      </c>
      <c r="DH328" s="26">
        <f t="shared" si="427"/>
        <v>2</v>
      </c>
      <c r="DI328" s="7">
        <v>0.60598579402780905</v>
      </c>
      <c r="DJ328" s="7">
        <v>119.01223137089301</v>
      </c>
      <c r="DK328" s="7">
        <v>154.156369850555</v>
      </c>
      <c r="DL328" s="7">
        <v>119.01223137089301</v>
      </c>
      <c r="DM328" s="7">
        <v>179469.41518928201</v>
      </c>
      <c r="DN328" s="7">
        <v>30557.749073643899</v>
      </c>
      <c r="DO328" s="7">
        <f t="shared" si="428"/>
        <v>392.18083259234101</v>
      </c>
      <c r="DQ328" s="28">
        <v>35</v>
      </c>
      <c r="DR328" s="26">
        <v>5.0000000000000002E-5</v>
      </c>
      <c r="DS328" s="28">
        <v>15</v>
      </c>
      <c r="DT328" s="28">
        <v>300</v>
      </c>
      <c r="DU328" s="26">
        <v>1.0000000000000001E-5</v>
      </c>
      <c r="DV328" s="26">
        <f t="shared" si="429"/>
        <v>1.5000000000000001E-4</v>
      </c>
      <c r="DW328" s="26">
        <f t="shared" si="430"/>
        <v>6</v>
      </c>
      <c r="DX328" s="7">
        <v>2.5063510081854798</v>
      </c>
      <c r="DY328" s="7">
        <v>75.5008244304708</v>
      </c>
      <c r="DZ328" s="7">
        <v>96.032312732024195</v>
      </c>
      <c r="EA328" s="7">
        <v>75.5008244304708</v>
      </c>
      <c r="EB328" s="7">
        <v>23929.255358571001</v>
      </c>
      <c r="EC328" s="7">
        <v>10185.9163578813</v>
      </c>
      <c r="ED328" s="7">
        <f t="shared" si="431"/>
        <v>247.0339615929658</v>
      </c>
    </row>
    <row r="329" spans="1:134" x14ac:dyDescent="0.4">
      <c r="A329" s="28">
        <v>40</v>
      </c>
      <c r="B329" s="26">
        <v>1.0000000000000001E-5</v>
      </c>
      <c r="C329" s="28">
        <v>0.2</v>
      </c>
      <c r="D329" s="28">
        <v>30</v>
      </c>
      <c r="E329" s="26">
        <v>2.5000000000000001E-5</v>
      </c>
      <c r="F329" s="26">
        <f t="shared" si="405"/>
        <v>5.0000000000000004E-6</v>
      </c>
      <c r="G329" s="26">
        <f t="shared" si="406"/>
        <v>1</v>
      </c>
      <c r="H329" s="7">
        <v>0.104667571426194</v>
      </c>
      <c r="I329" s="7">
        <v>3352.9677929484601</v>
      </c>
      <c r="J329" s="7">
        <v>5323.5334580216904</v>
      </c>
      <c r="K329" s="7">
        <v>3352.9677929484601</v>
      </c>
      <c r="L329" s="7">
        <v>13908939.478979601</v>
      </c>
      <c r="M329" s="7">
        <v>763943.72684109805</v>
      </c>
      <c r="N329" s="7">
        <f t="shared" si="407"/>
        <v>12029.469043918611</v>
      </c>
      <c r="P329" s="28">
        <v>40</v>
      </c>
      <c r="Q329" s="26">
        <v>3.0000000000000001E-5</v>
      </c>
      <c r="R329" s="28">
        <v>0.2</v>
      </c>
      <c r="S329" s="28">
        <v>30</v>
      </c>
      <c r="T329" s="26">
        <v>2.5000000000000001E-5</v>
      </c>
      <c r="U329" s="26">
        <f t="shared" si="408"/>
        <v>5.0000000000000004E-6</v>
      </c>
      <c r="V329" s="26">
        <f t="shared" si="409"/>
        <v>0.33333333333333337</v>
      </c>
      <c r="W329" s="7">
        <v>0.28878764642339799</v>
      </c>
      <c r="X329" s="7">
        <v>1117.6559309715101</v>
      </c>
      <c r="Y329" s="7">
        <v>1774.5111526738999</v>
      </c>
      <c r="Z329" s="7">
        <v>1117.6559309715101</v>
      </c>
      <c r="AA329" s="7">
        <v>4636313.1689486196</v>
      </c>
      <c r="AB329" s="7">
        <v>84882.636315677504</v>
      </c>
      <c r="AC329" s="7">
        <f t="shared" si="410"/>
        <v>4009.8230146169199</v>
      </c>
      <c r="AE329" s="28">
        <v>40</v>
      </c>
      <c r="AF329" s="26">
        <v>5.0000000000000002E-5</v>
      </c>
      <c r="AG329" s="28">
        <v>0.2</v>
      </c>
      <c r="AH329" s="28">
        <v>30</v>
      </c>
      <c r="AI329" s="26">
        <v>2.5000000000000001E-5</v>
      </c>
      <c r="AJ329" s="26">
        <f t="shared" si="411"/>
        <v>5.0000000000000004E-6</v>
      </c>
      <c r="AK329" s="26">
        <f t="shared" si="412"/>
        <v>0.2</v>
      </c>
      <c r="AL329" s="7">
        <v>0.467328833974128</v>
      </c>
      <c r="AM329" s="7">
        <v>670.59355848720395</v>
      </c>
      <c r="AN329" s="7">
        <v>1064.70669160434</v>
      </c>
      <c r="AO329" s="7">
        <v>670.59355848720395</v>
      </c>
      <c r="AP329" s="7">
        <v>2781787.9800138599</v>
      </c>
      <c r="AQ329" s="7">
        <v>30557.749073643899</v>
      </c>
      <c r="AR329" s="7">
        <f t="shared" si="413"/>
        <v>2405.8938085787481</v>
      </c>
      <c r="AT329" s="28">
        <v>40</v>
      </c>
      <c r="AU329" s="26">
        <v>1.0000000000000001E-5</v>
      </c>
      <c r="AV329" s="28">
        <v>0.2</v>
      </c>
      <c r="AW329" s="28">
        <v>200</v>
      </c>
      <c r="AX329" s="26">
        <v>2.5000000000000001E-5</v>
      </c>
      <c r="AY329" s="26">
        <f t="shared" si="414"/>
        <v>5.0000000000000004E-6</v>
      </c>
      <c r="AZ329" s="26">
        <f t="shared" si="415"/>
        <v>1</v>
      </c>
      <c r="BA329" s="7">
        <v>0.105296681411005</v>
      </c>
      <c r="BB329" s="7">
        <v>506.171357939058</v>
      </c>
      <c r="BC329" s="7">
        <v>804.808472591532</v>
      </c>
      <c r="BD329" s="7">
        <v>506.171357939058</v>
      </c>
      <c r="BE329" s="7">
        <v>13908939.478979601</v>
      </c>
      <c r="BF329" s="7">
        <v>763943.72684109805</v>
      </c>
      <c r="BG329" s="7">
        <f t="shared" si="416"/>
        <v>1817.1511884696479</v>
      </c>
      <c r="BI329" s="28">
        <v>40</v>
      </c>
      <c r="BJ329" s="26">
        <v>1.0000000000000001E-5</v>
      </c>
      <c r="BK329" s="28">
        <v>0.5</v>
      </c>
      <c r="BL329" s="28">
        <v>200</v>
      </c>
      <c r="BM329" s="26">
        <v>2.5000000000000001E-5</v>
      </c>
      <c r="BN329" s="26">
        <f t="shared" si="417"/>
        <v>1.2500000000000001E-5</v>
      </c>
      <c r="BO329" s="26">
        <f t="shared" si="418"/>
        <v>2.5</v>
      </c>
      <c r="BP329" s="7">
        <v>0.12094653190733599</v>
      </c>
      <c r="BQ329" s="7">
        <v>505.31296257696903</v>
      </c>
      <c r="BR329" s="7">
        <v>803.13685140779603</v>
      </c>
      <c r="BS329" s="7">
        <v>505.31296257696903</v>
      </c>
      <c r="BT329" s="7">
        <v>5563575.7915918296</v>
      </c>
      <c r="BU329" s="7">
        <v>763943.72684109805</v>
      </c>
      <c r="BV329" s="7">
        <f t="shared" si="419"/>
        <v>1813.7627765617342</v>
      </c>
      <c r="BX329" s="28">
        <v>40</v>
      </c>
      <c r="BY329" s="26">
        <v>5.0000000000000002E-5</v>
      </c>
      <c r="BZ329" s="28">
        <v>0.5</v>
      </c>
      <c r="CA329" s="28">
        <v>200</v>
      </c>
      <c r="CB329" s="26">
        <v>2.5000000000000001E-5</v>
      </c>
      <c r="CC329" s="26">
        <f t="shared" si="420"/>
        <v>1.2500000000000001E-5</v>
      </c>
      <c r="CD329" s="26">
        <f t="shared" si="421"/>
        <v>0.5</v>
      </c>
      <c r="CE329" s="7">
        <v>0.49816274676964101</v>
      </c>
      <c r="CF329" s="7">
        <v>101.06259250957299</v>
      </c>
      <c r="CG329" s="7">
        <v>160.627370281559</v>
      </c>
      <c r="CH329" s="7">
        <v>101.06259250957299</v>
      </c>
      <c r="CI329" s="7">
        <v>1112715.19200554</v>
      </c>
      <c r="CJ329" s="7">
        <v>30557.749073643899</v>
      </c>
      <c r="CK329" s="7">
        <f t="shared" si="422"/>
        <v>362.75255530070496</v>
      </c>
      <c r="CM329" s="28">
        <v>40</v>
      </c>
      <c r="CN329" s="26">
        <v>5.0000000000000002E-5</v>
      </c>
      <c r="CO329" s="28">
        <v>1</v>
      </c>
      <c r="CP329" s="28">
        <v>200</v>
      </c>
      <c r="CQ329" s="26">
        <v>2.5000000000000001E-5</v>
      </c>
      <c r="CR329" s="26">
        <f t="shared" si="423"/>
        <v>2.5000000000000001E-5</v>
      </c>
      <c r="CS329" s="26">
        <f t="shared" si="424"/>
        <v>1</v>
      </c>
      <c r="CT329" s="7">
        <v>0.52425410754792401</v>
      </c>
      <c r="CU329" s="7">
        <v>100.77787314708399</v>
      </c>
      <c r="CV329" s="7">
        <v>160.073267279547</v>
      </c>
      <c r="CW329" s="7">
        <v>100.77787314708399</v>
      </c>
      <c r="CX329" s="7">
        <v>556357.59600277198</v>
      </c>
      <c r="CY329" s="7">
        <v>30557.749073643899</v>
      </c>
      <c r="CZ329" s="7">
        <f t="shared" si="425"/>
        <v>361.62901357371499</v>
      </c>
      <c r="DB329" s="28">
        <v>40</v>
      </c>
      <c r="DC329" s="26">
        <v>5.0000000000000002E-5</v>
      </c>
      <c r="DD329" s="28">
        <v>2</v>
      </c>
      <c r="DE329" s="28">
        <v>200</v>
      </c>
      <c r="DF329" s="26">
        <v>2.5000000000000001E-5</v>
      </c>
      <c r="DG329" s="26">
        <f t="shared" si="426"/>
        <v>5.0000000000000002E-5</v>
      </c>
      <c r="DH329" s="26">
        <f t="shared" si="427"/>
        <v>2</v>
      </c>
      <c r="DI329" s="7">
        <v>0.57643666138849903</v>
      </c>
      <c r="DJ329" s="7">
        <v>100.213668542356</v>
      </c>
      <c r="DK329" s="7">
        <v>158.97655523681999</v>
      </c>
      <c r="DL329" s="7">
        <v>100.213668542356</v>
      </c>
      <c r="DM329" s="7">
        <v>278178.79800138599</v>
      </c>
      <c r="DN329" s="7">
        <v>30557.749073643899</v>
      </c>
      <c r="DO329" s="7">
        <f t="shared" si="428"/>
        <v>359.403892321532</v>
      </c>
      <c r="DQ329" s="28">
        <v>40</v>
      </c>
      <c r="DR329" s="26">
        <v>5.0000000000000002E-5</v>
      </c>
      <c r="DS329" s="28">
        <v>15</v>
      </c>
      <c r="DT329" s="28">
        <v>300</v>
      </c>
      <c r="DU329" s="26">
        <v>1.0000000000000001E-5</v>
      </c>
      <c r="DV329" s="26">
        <f t="shared" si="429"/>
        <v>1.5000000000000001E-4</v>
      </c>
      <c r="DW329" s="26">
        <f t="shared" si="430"/>
        <v>6</v>
      </c>
      <c r="DX329" s="7">
        <v>2.1913330771567501</v>
      </c>
      <c r="DY329" s="7">
        <v>63.957630951740299</v>
      </c>
      <c r="DZ329" s="7">
        <v>100.479958515748</v>
      </c>
      <c r="EA329" s="7">
        <v>63.957630951740299</v>
      </c>
      <c r="EB329" s="7">
        <v>37090.5064001848</v>
      </c>
      <c r="EC329" s="7">
        <v>10185.9163578813</v>
      </c>
      <c r="ED329" s="7">
        <f t="shared" si="431"/>
        <v>228.39522041922859</v>
      </c>
    </row>
    <row r="330" spans="1:134" x14ac:dyDescent="0.4">
      <c r="A330" s="28">
        <v>45</v>
      </c>
      <c r="B330" s="26">
        <v>1.0000000000000001E-5</v>
      </c>
      <c r="C330" s="28">
        <v>0.2</v>
      </c>
      <c r="D330" s="28">
        <v>30</v>
      </c>
      <c r="E330" s="26">
        <v>2.5000000000000001E-5</v>
      </c>
      <c r="F330" s="26">
        <f t="shared" si="405"/>
        <v>5.0000000000000004E-6</v>
      </c>
      <c r="G330" s="26">
        <f t="shared" si="406"/>
        <v>1</v>
      </c>
      <c r="H330" s="7">
        <v>0.104827461252744</v>
      </c>
      <c r="I330" s="7">
        <v>2844.9728255004802</v>
      </c>
      <c r="J330" s="7">
        <v>5459.8455675855203</v>
      </c>
      <c r="K330" s="7">
        <v>2844.9728255004802</v>
      </c>
      <c r="L330" s="7">
        <v>22314016.336053099</v>
      </c>
      <c r="M330" s="7">
        <v>763943.72684109805</v>
      </c>
      <c r="N330" s="7">
        <f t="shared" si="407"/>
        <v>11149.791218586481</v>
      </c>
      <c r="P330" s="28">
        <v>45</v>
      </c>
      <c r="Q330" s="26">
        <v>3.0000000000000001E-5</v>
      </c>
      <c r="R330" s="28">
        <v>0.2</v>
      </c>
      <c r="S330" s="28">
        <v>30</v>
      </c>
      <c r="T330" s="26">
        <v>2.5000000000000001E-5</v>
      </c>
      <c r="U330" s="26">
        <f t="shared" si="408"/>
        <v>5.0000000000000004E-6</v>
      </c>
      <c r="V330" s="26">
        <f t="shared" si="409"/>
        <v>0.33333333333333337</v>
      </c>
      <c r="W330" s="7">
        <v>0.29675336210146203</v>
      </c>
      <c r="X330" s="7">
        <v>948.32427515736799</v>
      </c>
      <c r="Y330" s="7">
        <v>1819.94852252851</v>
      </c>
      <c r="Z330" s="7">
        <v>948.32427515736799</v>
      </c>
      <c r="AA330" s="7">
        <v>7438005.4604388904</v>
      </c>
      <c r="AB330" s="7">
        <v>84882.636315677504</v>
      </c>
      <c r="AC330" s="7">
        <f t="shared" si="410"/>
        <v>3716.5970728432458</v>
      </c>
      <c r="AE330" s="28">
        <v>45</v>
      </c>
      <c r="AF330" s="26">
        <v>5.0000000000000002E-5</v>
      </c>
      <c r="AG330" s="28">
        <v>0.2</v>
      </c>
      <c r="AH330" s="28">
        <v>30</v>
      </c>
      <c r="AI330" s="26">
        <v>2.5000000000000001E-5</v>
      </c>
      <c r="AJ330" s="26">
        <f t="shared" si="411"/>
        <v>5.0000000000000004E-6</v>
      </c>
      <c r="AK330" s="26">
        <f t="shared" si="412"/>
        <v>0.2</v>
      </c>
      <c r="AL330" s="7">
        <v>0.483274149045052</v>
      </c>
      <c r="AM330" s="7">
        <v>568.99456501435202</v>
      </c>
      <c r="AN330" s="7">
        <v>1091.9691135170999</v>
      </c>
      <c r="AO330" s="7">
        <v>568.99456501435202</v>
      </c>
      <c r="AP330" s="7">
        <v>4462803.4040061999</v>
      </c>
      <c r="AQ330" s="7">
        <v>30557.749073643899</v>
      </c>
      <c r="AR330" s="7">
        <f t="shared" si="413"/>
        <v>2229.9582435458042</v>
      </c>
      <c r="AT330" s="28">
        <v>45</v>
      </c>
      <c r="AU330" s="26">
        <v>1.0000000000000001E-5</v>
      </c>
      <c r="AV330" s="28">
        <v>0.2</v>
      </c>
      <c r="AW330" s="28">
        <v>200</v>
      </c>
      <c r="AX330" s="26">
        <v>2.5000000000000001E-5</v>
      </c>
      <c r="AY330" s="26">
        <f t="shared" si="414"/>
        <v>5.0000000000000004E-6</v>
      </c>
      <c r="AZ330" s="26">
        <f t="shared" si="415"/>
        <v>1</v>
      </c>
      <c r="BA330" s="7">
        <v>0.105434430150877</v>
      </c>
      <c r="BB330" s="7">
        <v>429.182314820393</v>
      </c>
      <c r="BC330" s="7">
        <v>824.10906225483302</v>
      </c>
      <c r="BD330" s="7">
        <v>429.182314820393</v>
      </c>
      <c r="BE330" s="7">
        <v>22314016.336053099</v>
      </c>
      <c r="BF330" s="7">
        <v>763943.72684109805</v>
      </c>
      <c r="BG330" s="7">
        <f t="shared" si="416"/>
        <v>1682.4736918956191</v>
      </c>
      <c r="BI330" s="28">
        <v>45</v>
      </c>
      <c r="BJ330" s="26">
        <v>1.0000000000000001E-5</v>
      </c>
      <c r="BK330" s="28">
        <v>0.5</v>
      </c>
      <c r="BL330" s="28">
        <v>200</v>
      </c>
      <c r="BM330" s="26">
        <v>2.5000000000000001E-5</v>
      </c>
      <c r="BN330" s="26">
        <f t="shared" si="417"/>
        <v>1.2500000000000001E-5</v>
      </c>
      <c r="BO330" s="26">
        <f t="shared" si="418"/>
        <v>2.5</v>
      </c>
      <c r="BP330" s="7">
        <v>0.11558005547811501</v>
      </c>
      <c r="BQ330" s="7">
        <v>428.53449983983199</v>
      </c>
      <c r="BR330" s="7">
        <v>822.74419088845502</v>
      </c>
      <c r="BS330" s="7">
        <v>428.53449983983199</v>
      </c>
      <c r="BT330" s="7">
        <v>8925606.5344212595</v>
      </c>
      <c r="BU330" s="7">
        <v>763943.72684109805</v>
      </c>
      <c r="BV330" s="7">
        <f t="shared" si="419"/>
        <v>1679.8131905681191</v>
      </c>
      <c r="BX330" s="28">
        <v>45</v>
      </c>
      <c r="BY330" s="26">
        <v>5.0000000000000002E-5</v>
      </c>
      <c r="BZ330" s="28">
        <v>0.5</v>
      </c>
      <c r="CA330" s="28">
        <v>200</v>
      </c>
      <c r="CB330" s="26">
        <v>2.5000000000000001E-5</v>
      </c>
      <c r="CC330" s="26">
        <f t="shared" si="420"/>
        <v>1.2500000000000001E-5</v>
      </c>
      <c r="CD330" s="26">
        <f t="shared" si="421"/>
        <v>0.5</v>
      </c>
      <c r="CE330" s="7">
        <v>0.50810613399825</v>
      </c>
      <c r="CF330" s="7">
        <v>85.706899963102501</v>
      </c>
      <c r="CG330" s="7">
        <v>164.54883817769101</v>
      </c>
      <c r="CH330" s="7">
        <v>85.706899963102501</v>
      </c>
      <c r="CI330" s="7">
        <v>1785121.3616024801</v>
      </c>
      <c r="CJ330" s="7">
        <v>30557.749073643899</v>
      </c>
      <c r="CK330" s="7">
        <f t="shared" si="422"/>
        <v>335.96263810389598</v>
      </c>
      <c r="CM330" s="28">
        <v>45</v>
      </c>
      <c r="CN330" s="26">
        <v>5.0000000000000002E-5</v>
      </c>
      <c r="CO330" s="28">
        <v>1</v>
      </c>
      <c r="CP330" s="28">
        <v>200</v>
      </c>
      <c r="CQ330" s="26">
        <v>2.5000000000000001E-5</v>
      </c>
      <c r="CR330" s="26">
        <f t="shared" si="423"/>
        <v>2.5000000000000001E-5</v>
      </c>
      <c r="CS330" s="26">
        <f t="shared" si="424"/>
        <v>1</v>
      </c>
      <c r="CT330" s="7">
        <v>0.52502228071886203</v>
      </c>
      <c r="CU330" s="7">
        <v>85.491887514072303</v>
      </c>
      <c r="CV330" s="7">
        <v>164.095913900619</v>
      </c>
      <c r="CW330" s="7">
        <v>85.491887514072303</v>
      </c>
      <c r="CX330" s="7">
        <v>892560.68080124003</v>
      </c>
      <c r="CY330" s="7">
        <v>30557.749073643899</v>
      </c>
      <c r="CZ330" s="7">
        <f t="shared" si="425"/>
        <v>335.07968892876357</v>
      </c>
      <c r="DB330" s="28">
        <v>45</v>
      </c>
      <c r="DC330" s="26">
        <v>5.0000000000000002E-5</v>
      </c>
      <c r="DD330" s="28">
        <v>2</v>
      </c>
      <c r="DE330" s="28">
        <v>200</v>
      </c>
      <c r="DF330" s="26">
        <v>2.5000000000000001E-5</v>
      </c>
      <c r="DG330" s="26">
        <f t="shared" si="426"/>
        <v>5.0000000000000002E-5</v>
      </c>
      <c r="DH330" s="26">
        <f t="shared" si="427"/>
        <v>2</v>
      </c>
      <c r="DI330" s="7">
        <v>0.55885445949728496</v>
      </c>
      <c r="DJ330" s="7">
        <v>85.065299620820397</v>
      </c>
      <c r="DK330" s="7">
        <v>163.197611169178</v>
      </c>
      <c r="DL330" s="7">
        <v>85.065299620820397</v>
      </c>
      <c r="DM330" s="7">
        <v>446280.34040062001</v>
      </c>
      <c r="DN330" s="7">
        <v>30557.749073643899</v>
      </c>
      <c r="DO330" s="7">
        <f t="shared" si="428"/>
        <v>333.32821041081877</v>
      </c>
      <c r="DQ330" s="28">
        <v>45</v>
      </c>
      <c r="DR330" s="26">
        <v>5.0000000000000002E-5</v>
      </c>
      <c r="DS330" s="28">
        <v>15</v>
      </c>
      <c r="DT330" s="28">
        <v>300</v>
      </c>
      <c r="DU330" s="26">
        <v>1.0000000000000001E-5</v>
      </c>
      <c r="DV330" s="26">
        <f t="shared" si="429"/>
        <v>1.5000000000000001E-4</v>
      </c>
      <c r="DW330" s="26">
        <f t="shared" si="430"/>
        <v>6</v>
      </c>
      <c r="DX330" s="7">
        <v>1.97361022926638</v>
      </c>
      <c r="DY330" s="7">
        <v>54.539450656433999</v>
      </c>
      <c r="DZ330" s="7">
        <v>104.236562937325</v>
      </c>
      <c r="EA330" s="7">
        <v>54.539450656433999</v>
      </c>
      <c r="EB330" s="7">
        <v>59504.045386749298</v>
      </c>
      <c r="EC330" s="7">
        <v>10185.9163578813</v>
      </c>
      <c r="ED330" s="7">
        <f t="shared" si="431"/>
        <v>213.31546425019297</v>
      </c>
    </row>
    <row r="331" spans="1:134" x14ac:dyDescent="0.4">
      <c r="A331" s="28">
        <v>50</v>
      </c>
      <c r="B331" s="26">
        <v>1.0000000000000001E-5</v>
      </c>
      <c r="C331" s="28">
        <v>0.2</v>
      </c>
      <c r="D331" s="28">
        <v>30</v>
      </c>
      <c r="E331" s="26">
        <v>2.5000000000000001E-5</v>
      </c>
      <c r="F331" s="26">
        <f t="shared" si="405"/>
        <v>5.0000000000000004E-6</v>
      </c>
      <c r="G331" s="26">
        <f t="shared" si="406"/>
        <v>1</v>
      </c>
      <c r="H331" s="7">
        <v>0.105726897265465</v>
      </c>
      <c r="I331" s="7">
        <v>2422.0764785389101</v>
      </c>
      <c r="J331" s="7">
        <v>5581.9822447758097</v>
      </c>
      <c r="K331" s="7">
        <v>2422.0764785389101</v>
      </c>
      <c r="L331" s="7">
        <v>38032949.861855596</v>
      </c>
      <c r="M331" s="7">
        <v>763943.72684109805</v>
      </c>
      <c r="N331" s="7">
        <f t="shared" si="407"/>
        <v>10426.135201853631</v>
      </c>
      <c r="P331" s="28">
        <v>50</v>
      </c>
      <c r="Q331" s="26">
        <v>3.0000000000000001E-5</v>
      </c>
      <c r="R331" s="28">
        <v>0.2</v>
      </c>
      <c r="S331" s="28">
        <v>30</v>
      </c>
      <c r="T331" s="26">
        <v>2.5000000000000001E-5</v>
      </c>
      <c r="U331" s="26">
        <f t="shared" si="408"/>
        <v>5.0000000000000004E-6</v>
      </c>
      <c r="V331" s="26">
        <f t="shared" si="409"/>
        <v>0.33333333333333337</v>
      </c>
      <c r="W331" s="7">
        <v>0.30488346135987798</v>
      </c>
      <c r="X331" s="7">
        <v>807.35882617166396</v>
      </c>
      <c r="Y331" s="7">
        <v>1860.6607482586001</v>
      </c>
      <c r="Z331" s="7">
        <v>807.35882617166396</v>
      </c>
      <c r="AA331" s="7">
        <v>12677649.9784535</v>
      </c>
      <c r="AB331" s="7">
        <v>84882.636315677504</v>
      </c>
      <c r="AC331" s="7">
        <f t="shared" si="410"/>
        <v>3475.3784006019282</v>
      </c>
      <c r="AE331" s="28">
        <v>50</v>
      </c>
      <c r="AF331" s="26">
        <v>5.0000000000000002E-5</v>
      </c>
      <c r="AG331" s="28">
        <v>0.2</v>
      </c>
      <c r="AH331" s="28">
        <v>30</v>
      </c>
      <c r="AI331" s="26">
        <v>2.5000000000000001E-5</v>
      </c>
      <c r="AJ331" s="26">
        <f t="shared" si="411"/>
        <v>5.0000000000000004E-6</v>
      </c>
      <c r="AK331" s="26">
        <f t="shared" si="412"/>
        <v>0.2</v>
      </c>
      <c r="AL331" s="7">
        <v>0.49878329259696103</v>
      </c>
      <c r="AM331" s="7">
        <v>484.41529563550102</v>
      </c>
      <c r="AN331" s="7">
        <v>1116.3964489551599</v>
      </c>
      <c r="AO331" s="7">
        <v>484.41529563550102</v>
      </c>
      <c r="AP331" s="7">
        <v>7606590.1945190197</v>
      </c>
      <c r="AQ331" s="7">
        <v>30557.749073643899</v>
      </c>
      <c r="AR331" s="7">
        <f t="shared" si="413"/>
        <v>2085.227040226162</v>
      </c>
      <c r="AT331" s="28">
        <v>50</v>
      </c>
      <c r="AU331" s="26">
        <v>1.0000000000000001E-5</v>
      </c>
      <c r="AV331" s="28">
        <v>0.2</v>
      </c>
      <c r="AW331" s="28">
        <v>200</v>
      </c>
      <c r="AX331" s="26">
        <v>2.5000000000000001E-5</v>
      </c>
      <c r="AY331" s="26">
        <f t="shared" si="414"/>
        <v>5.0000000000000004E-6</v>
      </c>
      <c r="AZ331" s="26">
        <f t="shared" si="415"/>
        <v>1</v>
      </c>
      <c r="BA331" s="7">
        <v>0.106315170064978</v>
      </c>
      <c r="BB331" s="7">
        <v>365.18105956717</v>
      </c>
      <c r="BC331" s="7">
        <v>841.53641728653497</v>
      </c>
      <c r="BD331" s="7">
        <v>365.18105956717</v>
      </c>
      <c r="BE331" s="7">
        <v>38032949.861855596</v>
      </c>
      <c r="BF331" s="7">
        <v>763943.72684109805</v>
      </c>
      <c r="BG331" s="7">
        <f t="shared" si="416"/>
        <v>1571.898536420875</v>
      </c>
      <c r="BI331" s="28">
        <v>50</v>
      </c>
      <c r="BJ331" s="26">
        <v>1.0000000000000001E-5</v>
      </c>
      <c r="BK331" s="28">
        <v>0.5</v>
      </c>
      <c r="BL331" s="28">
        <v>200</v>
      </c>
      <c r="BM331" s="26">
        <v>2.5000000000000001E-5</v>
      </c>
      <c r="BN331" s="26">
        <f t="shared" si="417"/>
        <v>1.2500000000000001E-5</v>
      </c>
      <c r="BO331" s="26">
        <f t="shared" si="418"/>
        <v>2.5</v>
      </c>
      <c r="BP331" s="7">
        <v>0.11248043417456501</v>
      </c>
      <c r="BQ331" s="7">
        <v>364.68421056947602</v>
      </c>
      <c r="BR331" s="7">
        <v>840.41004328064798</v>
      </c>
      <c r="BS331" s="7">
        <v>364.68421056947602</v>
      </c>
      <c r="BT331" s="7">
        <v>15213179.944742201</v>
      </c>
      <c r="BU331" s="7">
        <v>763943.72684109805</v>
      </c>
      <c r="BV331" s="7">
        <f t="shared" si="419"/>
        <v>1569.7784644195999</v>
      </c>
      <c r="BX331" s="28">
        <v>50</v>
      </c>
      <c r="BY331" s="26">
        <v>5.0000000000000002E-5</v>
      </c>
      <c r="BZ331" s="28">
        <v>0.5</v>
      </c>
      <c r="CA331" s="28">
        <v>200</v>
      </c>
      <c r="CB331" s="26">
        <v>2.5000000000000001E-5</v>
      </c>
      <c r="CC331" s="26">
        <f t="shared" si="420"/>
        <v>1.2500000000000001E-5</v>
      </c>
      <c r="CD331" s="26">
        <f t="shared" si="421"/>
        <v>0.5</v>
      </c>
      <c r="CE331" s="7">
        <v>0.51921193878805105</v>
      </c>
      <c r="CF331" s="7">
        <v>72.936842109798505</v>
      </c>
      <c r="CG331" s="7">
        <v>168.08200865613</v>
      </c>
      <c r="CH331" s="7">
        <v>72.936842109798505</v>
      </c>
      <c r="CI331" s="7">
        <v>3042636.0778076099</v>
      </c>
      <c r="CJ331" s="7">
        <v>30557.749073643899</v>
      </c>
      <c r="CK331" s="7">
        <f t="shared" si="422"/>
        <v>313.95569287572698</v>
      </c>
      <c r="CM331" s="28">
        <v>50</v>
      </c>
      <c r="CN331" s="26">
        <v>5.0000000000000002E-5</v>
      </c>
      <c r="CO331" s="28">
        <v>1</v>
      </c>
      <c r="CP331" s="28">
        <v>200</v>
      </c>
      <c r="CQ331" s="26">
        <v>2.5000000000000001E-5</v>
      </c>
      <c r="CR331" s="26">
        <f t="shared" si="423"/>
        <v>2.5000000000000001E-5</v>
      </c>
      <c r="CS331" s="26">
        <f t="shared" si="424"/>
        <v>1</v>
      </c>
      <c r="CT331" s="7">
        <v>0.52949297575351295</v>
      </c>
      <c r="CU331" s="7">
        <v>72.771853396363895</v>
      </c>
      <c r="CV331" s="7">
        <v>167.707917393011</v>
      </c>
      <c r="CW331" s="7">
        <v>72.771853396363895</v>
      </c>
      <c r="CX331" s="7">
        <v>1521318.0389038101</v>
      </c>
      <c r="CY331" s="7">
        <v>30557.749073643899</v>
      </c>
      <c r="CZ331" s="7">
        <f t="shared" si="425"/>
        <v>313.25162418573882</v>
      </c>
      <c r="DB331" s="28">
        <v>50</v>
      </c>
      <c r="DC331" s="26">
        <v>5.0000000000000002E-5</v>
      </c>
      <c r="DD331" s="28">
        <v>2</v>
      </c>
      <c r="DE331" s="28">
        <v>200</v>
      </c>
      <c r="DF331" s="26">
        <v>2.5000000000000001E-5</v>
      </c>
      <c r="DG331" s="26">
        <f t="shared" si="426"/>
        <v>5.0000000000000002E-5</v>
      </c>
      <c r="DH331" s="26">
        <f t="shared" si="427"/>
        <v>2</v>
      </c>
      <c r="DI331" s="7">
        <v>0.55005496931674103</v>
      </c>
      <c r="DJ331" s="7">
        <v>72.444208829560395</v>
      </c>
      <c r="DK331" s="7">
        <v>166.964817403171</v>
      </c>
      <c r="DL331" s="7">
        <v>72.444208829560395</v>
      </c>
      <c r="DM331" s="7">
        <v>760659.01945190295</v>
      </c>
      <c r="DN331" s="7">
        <v>30557.749073643899</v>
      </c>
      <c r="DO331" s="7">
        <f t="shared" si="428"/>
        <v>311.85323506229179</v>
      </c>
      <c r="DQ331" s="28">
        <v>50</v>
      </c>
      <c r="DR331" s="26">
        <v>5.0000000000000002E-5</v>
      </c>
      <c r="DS331" s="28">
        <v>15</v>
      </c>
      <c r="DT331" s="28">
        <v>300</v>
      </c>
      <c r="DU331" s="26">
        <v>1.0000000000000001E-5</v>
      </c>
      <c r="DV331" s="26">
        <f t="shared" si="429"/>
        <v>1.5000000000000001E-4</v>
      </c>
      <c r="DW331" s="26">
        <f t="shared" si="430"/>
        <v>6</v>
      </c>
      <c r="DX331" s="7">
        <v>1.8279348794696999</v>
      </c>
      <c r="DY331" s="7">
        <v>46.620018473906597</v>
      </c>
      <c r="DZ331" s="7">
        <v>107.50242472112301</v>
      </c>
      <c r="EA331" s="7">
        <v>46.620018473906597</v>
      </c>
      <c r="EB331" s="7">
        <v>101421.202593587</v>
      </c>
      <c r="EC331" s="7">
        <v>10185.9163578813</v>
      </c>
      <c r="ED331" s="7">
        <f t="shared" si="431"/>
        <v>200.74246166893619</v>
      </c>
    </row>
    <row r="332" spans="1:134" x14ac:dyDescent="0.4">
      <c r="A332" s="28">
        <v>55.000000000000007</v>
      </c>
      <c r="B332" s="26">
        <v>1.0000000000000001E-5</v>
      </c>
      <c r="C332" s="28">
        <v>0.2</v>
      </c>
      <c r="D332" s="28">
        <v>30</v>
      </c>
      <c r="E332" s="26">
        <v>2.5000000000000001E-5</v>
      </c>
      <c r="F332" s="26">
        <f t="shared" si="405"/>
        <v>5.0000000000000004E-6</v>
      </c>
      <c r="G332" s="26">
        <f t="shared" si="406"/>
        <v>1</v>
      </c>
      <c r="H332" s="7">
        <v>0.107169028398653</v>
      </c>
      <c r="I332" s="7">
        <v>2061.2283400943002</v>
      </c>
      <c r="J332" s="7">
        <v>5692.8014386926097</v>
      </c>
      <c r="K332" s="7">
        <v>2061.2283400943002</v>
      </c>
      <c r="L332" s="7">
        <v>72349793.874809399</v>
      </c>
      <c r="M332" s="7">
        <v>763943.72684109805</v>
      </c>
      <c r="N332" s="7">
        <f t="shared" si="407"/>
        <v>9815.2581188812092</v>
      </c>
      <c r="P332" s="28">
        <v>55.000000000000007</v>
      </c>
      <c r="Q332" s="26">
        <v>3.0000000000000001E-5</v>
      </c>
      <c r="R332" s="28">
        <v>0.2</v>
      </c>
      <c r="S332" s="28">
        <v>30</v>
      </c>
      <c r="T332" s="26">
        <v>2.5000000000000001E-5</v>
      </c>
      <c r="U332" s="26">
        <f t="shared" si="408"/>
        <v>5.0000000000000004E-6</v>
      </c>
      <c r="V332" s="26">
        <f t="shared" si="409"/>
        <v>0.33333333333333337</v>
      </c>
      <c r="W332" s="7">
        <v>0.313078085345671</v>
      </c>
      <c r="X332" s="7">
        <v>687.07611335802699</v>
      </c>
      <c r="Y332" s="7">
        <v>1897.6004795642</v>
      </c>
      <c r="Z332" s="7">
        <v>687.07611335802699</v>
      </c>
      <c r="AA332" s="7">
        <v>24116597.9983452</v>
      </c>
      <c r="AB332" s="7">
        <v>84882.636315677504</v>
      </c>
      <c r="AC332" s="7">
        <f t="shared" si="410"/>
        <v>3271.7527062802537</v>
      </c>
      <c r="AE332" s="28">
        <v>55.000000000000007</v>
      </c>
      <c r="AF332" s="26">
        <v>5.0000000000000002E-5</v>
      </c>
      <c r="AG332" s="28">
        <v>0.2</v>
      </c>
      <c r="AH332" s="28">
        <v>30</v>
      </c>
      <c r="AI332" s="26">
        <v>2.5000000000000001E-5</v>
      </c>
      <c r="AJ332" s="26">
        <f t="shared" si="411"/>
        <v>5.0000000000000004E-6</v>
      </c>
      <c r="AK332" s="26">
        <f t="shared" si="412"/>
        <v>0.2</v>
      </c>
      <c r="AL332" s="7">
        <v>0.51386070721995902</v>
      </c>
      <c r="AM332" s="7">
        <v>412.24566795777702</v>
      </c>
      <c r="AN332" s="7">
        <v>1138.5602877385199</v>
      </c>
      <c r="AO332" s="7">
        <v>412.24566795777702</v>
      </c>
      <c r="AP332" s="7">
        <v>14469959.1382923</v>
      </c>
      <c r="AQ332" s="7">
        <v>30557.749073643899</v>
      </c>
      <c r="AR332" s="7">
        <f t="shared" si="413"/>
        <v>1963.0516236540739</v>
      </c>
      <c r="AT332" s="28">
        <v>55.000000000000007</v>
      </c>
      <c r="AU332" s="26">
        <v>1.0000000000000001E-5</v>
      </c>
      <c r="AV332" s="28">
        <v>0.2</v>
      </c>
      <c r="AW332" s="28">
        <v>200</v>
      </c>
      <c r="AX332" s="26">
        <v>2.5000000000000001E-5</v>
      </c>
      <c r="AY332" s="26">
        <f t="shared" si="414"/>
        <v>5.0000000000000004E-6</v>
      </c>
      <c r="AZ332" s="26">
        <f t="shared" si="415"/>
        <v>1</v>
      </c>
      <c r="BA332" s="7">
        <v>0.107741048465998</v>
      </c>
      <c r="BB332" s="7">
        <v>310.62949089263498</v>
      </c>
      <c r="BC332" s="7">
        <v>857.43494866405695</v>
      </c>
      <c r="BD332" s="7">
        <v>310.62949089263498</v>
      </c>
      <c r="BE332" s="7">
        <v>72349793.874809399</v>
      </c>
      <c r="BF332" s="7">
        <v>763943.72684109805</v>
      </c>
      <c r="BG332" s="7">
        <f t="shared" si="416"/>
        <v>1478.6939304493269</v>
      </c>
      <c r="BI332" s="28">
        <v>55.000000000000007</v>
      </c>
      <c r="BJ332" s="26">
        <v>1.0000000000000001E-5</v>
      </c>
      <c r="BK332" s="28">
        <v>0.5</v>
      </c>
      <c r="BL332" s="28">
        <v>200</v>
      </c>
      <c r="BM332" s="26">
        <v>2.5000000000000001E-5</v>
      </c>
      <c r="BN332" s="26">
        <f t="shared" si="417"/>
        <v>1.2500000000000001E-5</v>
      </c>
      <c r="BO332" s="26">
        <f t="shared" si="418"/>
        <v>2.5</v>
      </c>
      <c r="BP332" s="7">
        <v>0.111086673114336</v>
      </c>
      <c r="BQ332" s="7">
        <v>310.245574031601</v>
      </c>
      <c r="BR332" s="7">
        <v>856.50167124423206</v>
      </c>
      <c r="BS332" s="7">
        <v>310.245574031601</v>
      </c>
      <c r="BT332" s="7">
        <v>28939917.5499238</v>
      </c>
      <c r="BU332" s="7">
        <v>763943.72684109805</v>
      </c>
      <c r="BV332" s="7">
        <f t="shared" si="419"/>
        <v>1476.9928193074338</v>
      </c>
      <c r="BX332" s="28">
        <v>55.000000000000007</v>
      </c>
      <c r="BY332" s="26">
        <v>5.0000000000000002E-5</v>
      </c>
      <c r="BZ332" s="28">
        <v>0.5</v>
      </c>
      <c r="CA332" s="28">
        <v>200</v>
      </c>
      <c r="CB332" s="26">
        <v>2.5000000000000001E-5</v>
      </c>
      <c r="CC332" s="26">
        <f t="shared" si="420"/>
        <v>1.2500000000000001E-5</v>
      </c>
      <c r="CD332" s="26">
        <f t="shared" si="421"/>
        <v>0.5</v>
      </c>
      <c r="CE332" s="7">
        <v>0.53109987167753903</v>
      </c>
      <c r="CF332" s="7">
        <v>62.049114802860501</v>
      </c>
      <c r="CG332" s="7">
        <v>171.30033424884601</v>
      </c>
      <c r="CH332" s="7">
        <v>62.049114802860501</v>
      </c>
      <c r="CI332" s="7">
        <v>5787983.6553169098</v>
      </c>
      <c r="CJ332" s="7">
        <v>30557.749073643899</v>
      </c>
      <c r="CK332" s="7">
        <f t="shared" si="422"/>
        <v>295.39856385456704</v>
      </c>
      <c r="CM332" s="28">
        <v>55.000000000000007</v>
      </c>
      <c r="CN332" s="26">
        <v>5.0000000000000002E-5</v>
      </c>
      <c r="CO332" s="28">
        <v>1</v>
      </c>
      <c r="CP332" s="28">
        <v>200</v>
      </c>
      <c r="CQ332" s="26">
        <v>2.5000000000000001E-5</v>
      </c>
      <c r="CR332" s="26">
        <f t="shared" si="423"/>
        <v>2.5000000000000001E-5</v>
      </c>
      <c r="CS332" s="26">
        <f t="shared" si="424"/>
        <v>1</v>
      </c>
      <c r="CT332" s="7">
        <v>0.53668055409208104</v>
      </c>
      <c r="CU332" s="7">
        <v>61.921576216120698</v>
      </c>
      <c r="CV332" s="7">
        <v>170.99017320176</v>
      </c>
      <c r="CW332" s="7">
        <v>61.921576216120698</v>
      </c>
      <c r="CX332" s="7">
        <v>2893991.8276584502</v>
      </c>
      <c r="CY332" s="7">
        <v>30557.749073643899</v>
      </c>
      <c r="CZ332" s="7">
        <f t="shared" si="425"/>
        <v>294.83332563400137</v>
      </c>
      <c r="DB332" s="28">
        <v>55.000000000000007</v>
      </c>
      <c r="DC332" s="26">
        <v>5.0000000000000002E-5</v>
      </c>
      <c r="DD332" s="28">
        <v>2</v>
      </c>
      <c r="DE332" s="28">
        <v>200</v>
      </c>
      <c r="DF332" s="26">
        <v>2.5000000000000001E-5</v>
      </c>
      <c r="DG332" s="26">
        <f t="shared" si="426"/>
        <v>5.0000000000000002E-5</v>
      </c>
      <c r="DH332" s="26">
        <f t="shared" si="427"/>
        <v>2</v>
      </c>
      <c r="DI332" s="7">
        <v>0.54784186188357697</v>
      </c>
      <c r="DJ332" s="7">
        <v>61.6681127663864</v>
      </c>
      <c r="DK332" s="7">
        <v>170.373319720317</v>
      </c>
      <c r="DL332" s="7">
        <v>61.6681127663864</v>
      </c>
      <c r="DM332" s="7">
        <v>1446995.91382923</v>
      </c>
      <c r="DN332" s="7">
        <v>30557.749073643899</v>
      </c>
      <c r="DO332" s="7">
        <f t="shared" si="428"/>
        <v>293.7095452530898</v>
      </c>
      <c r="DQ332" s="28">
        <v>55.000000000000007</v>
      </c>
      <c r="DR332" s="26">
        <v>5.0000000000000002E-5</v>
      </c>
      <c r="DS332" s="28">
        <v>15</v>
      </c>
      <c r="DT332" s="28">
        <v>300</v>
      </c>
      <c r="DU332" s="26">
        <v>1.0000000000000001E-5</v>
      </c>
      <c r="DV332" s="26">
        <f t="shared" si="429"/>
        <v>1.5000000000000001E-4</v>
      </c>
      <c r="DW332" s="26">
        <f t="shared" si="430"/>
        <v>6</v>
      </c>
      <c r="DX332" s="7">
        <v>1.7368276545993599</v>
      </c>
      <c r="DY332" s="7">
        <v>39.809859656104699</v>
      </c>
      <c r="DZ332" s="7">
        <v>110.399385072318</v>
      </c>
      <c r="EA332" s="7">
        <v>39.809859656104699</v>
      </c>
      <c r="EB332" s="7">
        <v>192932.78851056399</v>
      </c>
      <c r="EC332" s="7">
        <v>10185.9163578813</v>
      </c>
      <c r="ED332" s="7">
        <f t="shared" si="431"/>
        <v>190.0191043845274</v>
      </c>
    </row>
    <row r="333" spans="1:134" x14ac:dyDescent="0.4">
      <c r="A333" s="28">
        <v>60</v>
      </c>
      <c r="B333" s="26">
        <v>1.0000000000000001E-5</v>
      </c>
      <c r="C333" s="28">
        <v>0.2</v>
      </c>
      <c r="D333" s="28">
        <v>30</v>
      </c>
      <c r="E333" s="26">
        <v>2.5000000000000001E-5</v>
      </c>
      <c r="F333" s="26">
        <f t="shared" si="405"/>
        <v>5.0000000000000004E-6</v>
      </c>
      <c r="G333" s="26">
        <f t="shared" si="406"/>
        <v>1</v>
      </c>
      <c r="H333" s="7">
        <v>0.10902288481313201</v>
      </c>
      <c r="I333" s="7">
        <v>1747.4582681561301</v>
      </c>
      <c r="J333" s="7">
        <v>5794.3371345962596</v>
      </c>
      <c r="K333" s="7">
        <v>1747.4582681561301</v>
      </c>
      <c r="L333" s="7">
        <v>173207643.02618799</v>
      </c>
      <c r="M333" s="7">
        <v>763943.72684109805</v>
      </c>
      <c r="N333" s="7">
        <f t="shared" si="407"/>
        <v>9289.2536709085198</v>
      </c>
      <c r="P333" s="28">
        <v>60</v>
      </c>
      <c r="Q333" s="26">
        <v>3.0000000000000001E-5</v>
      </c>
      <c r="R333" s="28">
        <v>0.2</v>
      </c>
      <c r="S333" s="28">
        <v>30</v>
      </c>
      <c r="T333" s="26">
        <v>2.5000000000000001E-5</v>
      </c>
      <c r="U333" s="26">
        <f t="shared" si="408"/>
        <v>5.0000000000000004E-6</v>
      </c>
      <c r="V333" s="26">
        <f t="shared" si="409"/>
        <v>0.33333333333333337</v>
      </c>
      <c r="W333" s="7">
        <v>0.32127914423551401</v>
      </c>
      <c r="X333" s="7">
        <v>582.48608937969198</v>
      </c>
      <c r="Y333" s="7">
        <v>1931.4457115320899</v>
      </c>
      <c r="Z333" s="7">
        <v>582.48608937969198</v>
      </c>
      <c r="AA333" s="7">
        <v>57735881.0752545</v>
      </c>
      <c r="AB333" s="7">
        <v>84882.636315677504</v>
      </c>
      <c r="AC333" s="7">
        <f t="shared" si="410"/>
        <v>3096.4178902914737</v>
      </c>
      <c r="AE333" s="28">
        <v>60</v>
      </c>
      <c r="AF333" s="26">
        <v>5.0000000000000002E-5</v>
      </c>
      <c r="AG333" s="28">
        <v>0.2</v>
      </c>
      <c r="AH333" s="28">
        <v>30</v>
      </c>
      <c r="AI333" s="26">
        <v>2.5000000000000001E-5</v>
      </c>
      <c r="AJ333" s="26">
        <f t="shared" si="411"/>
        <v>5.0000000000000004E-6</v>
      </c>
      <c r="AK333" s="26">
        <f t="shared" si="412"/>
        <v>0.2</v>
      </c>
      <c r="AL333" s="7">
        <v>0.52852578666296501</v>
      </c>
      <c r="AM333" s="7">
        <v>349.491653579706</v>
      </c>
      <c r="AN333" s="7">
        <v>1158.86742691925</v>
      </c>
      <c r="AO333" s="7">
        <v>349.491653579706</v>
      </c>
      <c r="AP333" s="7">
        <v>34641529.208382502</v>
      </c>
      <c r="AQ333" s="7">
        <v>30557.749073643899</v>
      </c>
      <c r="AR333" s="7">
        <f t="shared" si="413"/>
        <v>1857.8507340786621</v>
      </c>
      <c r="AT333" s="28">
        <v>60</v>
      </c>
      <c r="AU333" s="26">
        <v>1.0000000000000001E-5</v>
      </c>
      <c r="AV333" s="28">
        <v>0.2</v>
      </c>
      <c r="AW333" s="28">
        <v>200</v>
      </c>
      <c r="AX333" s="26">
        <v>2.5000000000000001E-5</v>
      </c>
      <c r="AY333" s="26">
        <f t="shared" si="414"/>
        <v>5.0000000000000004E-6</v>
      </c>
      <c r="AZ333" s="26">
        <f t="shared" si="415"/>
        <v>1</v>
      </c>
      <c r="BA333" s="7">
        <v>0.109580466397634</v>
      </c>
      <c r="BB333" s="7">
        <v>263.235986756096</v>
      </c>
      <c r="BC333" s="7">
        <v>872.060132412553</v>
      </c>
      <c r="BD333" s="7">
        <v>263.235986756096</v>
      </c>
      <c r="BE333" s="7">
        <v>173207643.02618799</v>
      </c>
      <c r="BF333" s="7">
        <v>763943.72684109805</v>
      </c>
      <c r="BG333" s="7">
        <f t="shared" si="416"/>
        <v>1398.5321059247451</v>
      </c>
      <c r="BI333" s="28">
        <v>60</v>
      </c>
      <c r="BJ333" s="26">
        <v>1.0000000000000001E-5</v>
      </c>
      <c r="BK333" s="28">
        <v>0.5</v>
      </c>
      <c r="BL333" s="28">
        <v>200</v>
      </c>
      <c r="BM333" s="26">
        <v>2.5000000000000001E-5</v>
      </c>
      <c r="BN333" s="26">
        <f t="shared" si="417"/>
        <v>1.2500000000000001E-5</v>
      </c>
      <c r="BO333" s="26">
        <f t="shared" si="418"/>
        <v>2.5</v>
      </c>
      <c r="BP333" s="7">
        <v>0.111019124823537</v>
      </c>
      <c r="BQ333" s="7">
        <v>262.93930247937197</v>
      </c>
      <c r="BR333" s="7">
        <v>871.287964463192</v>
      </c>
      <c r="BS333" s="7">
        <v>262.93930247937197</v>
      </c>
      <c r="BT333" s="7">
        <v>69283057.210475206</v>
      </c>
      <c r="BU333" s="7">
        <v>763943.72684109805</v>
      </c>
      <c r="BV333" s="7">
        <f t="shared" si="419"/>
        <v>1397.1665694219359</v>
      </c>
      <c r="BX333" s="28">
        <v>60</v>
      </c>
      <c r="BY333" s="26">
        <v>5.0000000000000002E-5</v>
      </c>
      <c r="BZ333" s="28">
        <v>0.5</v>
      </c>
      <c r="CA333" s="28">
        <v>200</v>
      </c>
      <c r="CB333" s="26">
        <v>2.5000000000000001E-5</v>
      </c>
      <c r="CC333" s="26">
        <f t="shared" si="420"/>
        <v>1.2500000000000001E-5</v>
      </c>
      <c r="CD333" s="26">
        <f t="shared" si="421"/>
        <v>0.5</v>
      </c>
      <c r="CE333" s="7">
        <v>0.54352769152743696</v>
      </c>
      <c r="CF333" s="7">
        <v>52.5878604929581</v>
      </c>
      <c r="CG333" s="7">
        <v>174.257592892638</v>
      </c>
      <c r="CH333" s="7">
        <v>52.5878604929581</v>
      </c>
      <c r="CI333" s="7">
        <v>13856611.683352999</v>
      </c>
      <c r="CJ333" s="7">
        <v>30557.749073643899</v>
      </c>
      <c r="CK333" s="7">
        <f t="shared" si="422"/>
        <v>279.4333138785542</v>
      </c>
      <c r="CM333" s="28">
        <v>60</v>
      </c>
      <c r="CN333" s="26">
        <v>5.0000000000000002E-5</v>
      </c>
      <c r="CO333" s="28">
        <v>1</v>
      </c>
      <c r="CP333" s="28">
        <v>200</v>
      </c>
      <c r="CQ333" s="26">
        <v>2.5000000000000001E-5</v>
      </c>
      <c r="CR333" s="26">
        <f t="shared" si="423"/>
        <v>2.5000000000000001E-5</v>
      </c>
      <c r="CS333" s="26">
        <f t="shared" si="424"/>
        <v>1</v>
      </c>
      <c r="CT333" s="7">
        <v>0.54592929487589203</v>
      </c>
      <c r="CU333" s="7">
        <v>52.489267736237203</v>
      </c>
      <c r="CV333" s="7">
        <v>174.00084097458901</v>
      </c>
      <c r="CW333" s="7">
        <v>52.489267736237203</v>
      </c>
      <c r="CX333" s="7">
        <v>6928305.8416764997</v>
      </c>
      <c r="CY333" s="7">
        <v>30557.749073643899</v>
      </c>
      <c r="CZ333" s="7">
        <f t="shared" si="425"/>
        <v>278.97937644706343</v>
      </c>
      <c r="DB333" s="28">
        <v>60</v>
      </c>
      <c r="DC333" s="26">
        <v>5.0000000000000002E-5</v>
      </c>
      <c r="DD333" s="28">
        <v>2</v>
      </c>
      <c r="DE333" s="28">
        <v>200</v>
      </c>
      <c r="DF333" s="26">
        <v>2.5000000000000001E-5</v>
      </c>
      <c r="DG333" s="26">
        <f t="shared" si="426"/>
        <v>5.0000000000000002E-5</v>
      </c>
      <c r="DH333" s="26">
        <f t="shared" si="427"/>
        <v>2</v>
      </c>
      <c r="DI333" s="7">
        <v>0.55073246097888595</v>
      </c>
      <c r="DJ333" s="7">
        <v>52.293206867341603</v>
      </c>
      <c r="DK333" s="7">
        <v>173.489713442035</v>
      </c>
      <c r="DL333" s="7">
        <v>52.293206867341603</v>
      </c>
      <c r="DM333" s="7">
        <v>3464152.9208382498</v>
      </c>
      <c r="DN333" s="7">
        <v>30557.749073643899</v>
      </c>
      <c r="DO333" s="7">
        <f t="shared" si="428"/>
        <v>278.07612717671822</v>
      </c>
      <c r="DQ333" s="28">
        <v>60</v>
      </c>
      <c r="DR333" s="26">
        <v>5.0000000000000002E-5</v>
      </c>
      <c r="DS333" s="28">
        <v>15</v>
      </c>
      <c r="DT333" s="28">
        <v>300</v>
      </c>
      <c r="DU333" s="26">
        <v>1.0000000000000001E-5</v>
      </c>
      <c r="DV333" s="26">
        <f t="shared" si="429"/>
        <v>1.5000000000000001E-4</v>
      </c>
      <c r="DW333" s="26">
        <f t="shared" si="430"/>
        <v>6</v>
      </c>
      <c r="DX333" s="7">
        <v>1.6884017740722299</v>
      </c>
      <c r="DY333" s="7">
        <v>33.851188115179603</v>
      </c>
      <c r="DZ333" s="7">
        <v>113.007558882322</v>
      </c>
      <c r="EA333" s="7">
        <v>33.851188115179603</v>
      </c>
      <c r="EB333" s="7">
        <v>461887.05611176701</v>
      </c>
      <c r="EC333" s="7">
        <v>10185.9163578813</v>
      </c>
      <c r="ED333" s="7">
        <f t="shared" si="431"/>
        <v>180.70993511268122</v>
      </c>
    </row>
    <row r="334" spans="1:134" x14ac:dyDescent="0.4">
      <c r="A334" s="28">
        <v>65</v>
      </c>
      <c r="B334" s="26">
        <v>1.0000000000000001E-5</v>
      </c>
      <c r="C334" s="28">
        <v>0.2</v>
      </c>
      <c r="D334" s="28">
        <v>30</v>
      </c>
      <c r="E334" s="26">
        <v>2.5000000000000001E-5</v>
      </c>
      <c r="F334" s="26">
        <f t="shared" si="405"/>
        <v>5.0000000000000004E-6</v>
      </c>
      <c r="G334" s="26">
        <f t="shared" si="406"/>
        <v>1</v>
      </c>
      <c r="H334" s="7">
        <v>0.111217624261759</v>
      </c>
      <c r="I334" s="7">
        <v>1470.52695643265</v>
      </c>
      <c r="J334" s="7">
        <v>5888.0994972997396</v>
      </c>
      <c r="K334" s="7">
        <v>1470.52695643265</v>
      </c>
      <c r="L334" s="7">
        <v>859463306.304919</v>
      </c>
      <c r="M334" s="7">
        <v>763943.72684109805</v>
      </c>
      <c r="N334" s="7">
        <f t="shared" si="407"/>
        <v>8829.1534101650395</v>
      </c>
      <c r="P334" s="28">
        <v>65</v>
      </c>
      <c r="Q334" s="26">
        <v>3.0000000000000001E-5</v>
      </c>
      <c r="R334" s="28">
        <v>0.2</v>
      </c>
      <c r="S334" s="28">
        <v>30</v>
      </c>
      <c r="T334" s="26">
        <v>2.5000000000000001E-5</v>
      </c>
      <c r="U334" s="26">
        <f t="shared" si="408"/>
        <v>5.0000000000000004E-6</v>
      </c>
      <c r="V334" s="26">
        <f t="shared" si="409"/>
        <v>0.33333333333333337</v>
      </c>
      <c r="W334" s="7">
        <v>0.32947220745033701</v>
      </c>
      <c r="X334" s="7">
        <v>490.175652139448</v>
      </c>
      <c r="Y334" s="7">
        <v>1962.6998324332501</v>
      </c>
      <c r="Z334" s="7">
        <v>490.175652139448</v>
      </c>
      <c r="AA334" s="7">
        <v>286487768.88169003</v>
      </c>
      <c r="AB334" s="7">
        <v>84882.636315677504</v>
      </c>
      <c r="AC334" s="7">
        <f t="shared" si="410"/>
        <v>2943.0511367121462</v>
      </c>
      <c r="AE334" s="28">
        <v>65</v>
      </c>
      <c r="AF334" s="26">
        <v>5.0000000000000002E-5</v>
      </c>
      <c r="AG334" s="28">
        <v>0.2</v>
      </c>
      <c r="AH334" s="28">
        <v>30</v>
      </c>
      <c r="AI334" s="26">
        <v>2.5000000000000001E-5</v>
      </c>
      <c r="AJ334" s="26">
        <f t="shared" si="411"/>
        <v>5.0000000000000004E-6</v>
      </c>
      <c r="AK334" s="26">
        <f t="shared" si="412"/>
        <v>0.2</v>
      </c>
      <c r="AL334" s="7">
        <v>0.54282357823308502</v>
      </c>
      <c r="AM334" s="7">
        <v>294.10539124333502</v>
      </c>
      <c r="AN334" s="7">
        <v>1177.6198994599499</v>
      </c>
      <c r="AO334" s="7">
        <v>294.10539124333502</v>
      </c>
      <c r="AP334" s="7">
        <v>171892662.28655201</v>
      </c>
      <c r="AQ334" s="7">
        <v>30557.749073643899</v>
      </c>
      <c r="AR334" s="7">
        <f t="shared" si="413"/>
        <v>1765.8306819466197</v>
      </c>
      <c r="AT334" s="28">
        <v>65</v>
      </c>
      <c r="AU334" s="26">
        <v>1.0000000000000001E-5</v>
      </c>
      <c r="AV334" s="28">
        <v>0.2</v>
      </c>
      <c r="AW334" s="28">
        <v>200</v>
      </c>
      <c r="AX334" s="26">
        <v>2.5000000000000001E-5</v>
      </c>
      <c r="AY334" s="26">
        <f t="shared" si="414"/>
        <v>5.0000000000000004E-6</v>
      </c>
      <c r="AZ334" s="26">
        <f t="shared" si="415"/>
        <v>1</v>
      </c>
      <c r="BA334" s="7">
        <v>0.111762163567436</v>
      </c>
      <c r="BB334" s="7">
        <v>221.436390808456</v>
      </c>
      <c r="BC334" s="7">
        <v>885.60719905590599</v>
      </c>
      <c r="BD334" s="7">
        <v>221.436390808456</v>
      </c>
      <c r="BE334" s="7">
        <v>859463306.304919</v>
      </c>
      <c r="BF334" s="7">
        <v>763943.72684109805</v>
      </c>
      <c r="BG334" s="7">
        <f t="shared" si="416"/>
        <v>1328.4799806728181</v>
      </c>
      <c r="BI334" s="28">
        <v>65</v>
      </c>
      <c r="BJ334" s="26">
        <v>1.0000000000000001E-5</v>
      </c>
      <c r="BK334" s="28">
        <v>0.5</v>
      </c>
      <c r="BL334" s="28">
        <v>200</v>
      </c>
      <c r="BM334" s="26">
        <v>2.5000000000000001E-5</v>
      </c>
      <c r="BN334" s="26">
        <f t="shared" si="417"/>
        <v>1.2500000000000001E-5</v>
      </c>
      <c r="BO334" s="26">
        <f t="shared" si="418"/>
        <v>2.5</v>
      </c>
      <c r="BP334" s="7">
        <v>0.112059995627357</v>
      </c>
      <c r="BQ334" s="7">
        <v>221.20879187134</v>
      </c>
      <c r="BR334" s="7">
        <v>884.97259280428204</v>
      </c>
      <c r="BS334" s="7">
        <v>221.20879187134</v>
      </c>
      <c r="BT334" s="7">
        <v>343785322.52196801</v>
      </c>
      <c r="BU334" s="7">
        <v>763943.72684109805</v>
      </c>
      <c r="BV334" s="7">
        <f t="shared" si="419"/>
        <v>1327.390176546962</v>
      </c>
      <c r="BX334" s="28">
        <v>65</v>
      </c>
      <c r="BY334" s="26">
        <v>5.0000000000000002E-5</v>
      </c>
      <c r="BZ334" s="28">
        <v>0.5</v>
      </c>
      <c r="CA334" s="28">
        <v>200</v>
      </c>
      <c r="CB334" s="26">
        <v>2.5000000000000001E-5</v>
      </c>
      <c r="CC334" s="26">
        <f t="shared" si="420"/>
        <v>1.2500000000000001E-5</v>
      </c>
      <c r="CD334" s="26">
        <f t="shared" si="421"/>
        <v>0.5</v>
      </c>
      <c r="CE334" s="7">
        <v>0.55638486975626</v>
      </c>
      <c r="CF334" s="7">
        <v>44.241758371824098</v>
      </c>
      <c r="CG334" s="7">
        <v>176.99451856085599</v>
      </c>
      <c r="CH334" s="7">
        <v>44.241758371824098</v>
      </c>
      <c r="CI334" s="7">
        <v>68757064.914620593</v>
      </c>
      <c r="CJ334" s="7">
        <v>30557.749073643899</v>
      </c>
      <c r="CK334" s="7">
        <f t="shared" si="422"/>
        <v>265.4780353045042</v>
      </c>
      <c r="CM334" s="28">
        <v>65</v>
      </c>
      <c r="CN334" s="26">
        <v>5.0000000000000002E-5</v>
      </c>
      <c r="CO334" s="28">
        <v>1</v>
      </c>
      <c r="CP334" s="28">
        <v>200</v>
      </c>
      <c r="CQ334" s="26">
        <v>2.5000000000000001E-5</v>
      </c>
      <c r="CR334" s="26">
        <f t="shared" si="423"/>
        <v>2.5000000000000001E-5</v>
      </c>
      <c r="CS334" s="26">
        <f t="shared" si="424"/>
        <v>1</v>
      </c>
      <c r="CT334" s="7">
        <v>0.55688440618496005</v>
      </c>
      <c r="CU334" s="7">
        <v>44.166101596649497</v>
      </c>
      <c r="CV334" s="7">
        <v>176.783417824277</v>
      </c>
      <c r="CW334" s="7">
        <v>44.166101596649497</v>
      </c>
      <c r="CX334" s="7">
        <v>34378532.457310297</v>
      </c>
      <c r="CY334" s="7">
        <v>30557.749073643899</v>
      </c>
      <c r="CZ334" s="7">
        <f t="shared" si="425"/>
        <v>265.11562101757602</v>
      </c>
      <c r="DB334" s="28">
        <v>65</v>
      </c>
      <c r="DC334" s="26">
        <v>5.0000000000000002E-5</v>
      </c>
      <c r="DD334" s="28">
        <v>2</v>
      </c>
      <c r="DE334" s="28">
        <v>200</v>
      </c>
      <c r="DF334" s="26">
        <v>2.5000000000000001E-5</v>
      </c>
      <c r="DG334" s="26">
        <f t="shared" si="426"/>
        <v>5.0000000000000002E-5</v>
      </c>
      <c r="DH334" s="26">
        <f t="shared" si="427"/>
        <v>2</v>
      </c>
      <c r="DI334" s="7">
        <v>0.55788345032472397</v>
      </c>
      <c r="DJ334" s="7">
        <v>44.0155689113517</v>
      </c>
      <c r="DK334" s="7">
        <v>176.36283833637401</v>
      </c>
      <c r="DL334" s="7">
        <v>44.0155689113517</v>
      </c>
      <c r="DM334" s="7">
        <v>17189266.2286552</v>
      </c>
      <c r="DN334" s="7">
        <v>30557.749073643899</v>
      </c>
      <c r="DO334" s="7">
        <f t="shared" si="428"/>
        <v>264.3939761590774</v>
      </c>
      <c r="DQ334" s="28">
        <v>65</v>
      </c>
      <c r="DR334" s="26">
        <v>5.0000000000000002E-5</v>
      </c>
      <c r="DS334" s="28">
        <v>15</v>
      </c>
      <c r="DT334" s="28">
        <v>300</v>
      </c>
      <c r="DU334" s="26">
        <v>1.0000000000000001E-5</v>
      </c>
      <c r="DV334" s="26">
        <f t="shared" si="429"/>
        <v>1.5000000000000001E-4</v>
      </c>
      <c r="DW334" s="26">
        <f t="shared" si="430"/>
        <v>6</v>
      </c>
      <c r="DX334" s="7">
        <v>1.6757332258187401</v>
      </c>
      <c r="DY334" s="7">
        <v>28.565057936355299</v>
      </c>
      <c r="DZ334" s="7">
        <v>115.382714159923</v>
      </c>
      <c r="EA334" s="7">
        <v>28.565057936355299</v>
      </c>
      <c r="EB334" s="7">
        <v>2291902.16382069</v>
      </c>
      <c r="EC334" s="7">
        <v>10185.9163578813</v>
      </c>
      <c r="ED334" s="7">
        <f t="shared" si="431"/>
        <v>172.51283003263359</v>
      </c>
    </row>
    <row r="335" spans="1:134" x14ac:dyDescent="0.4">
      <c r="A335" s="28">
        <v>70</v>
      </c>
      <c r="B335" s="26">
        <v>1.0000000000000001E-5</v>
      </c>
      <c r="C335" s="28">
        <v>0.2</v>
      </c>
      <c r="D335" s="28">
        <v>30</v>
      </c>
      <c r="E335" s="26">
        <v>2.5000000000000001E-5</v>
      </c>
      <c r="F335" s="26">
        <f t="shared" si="405"/>
        <v>5.0000000000000004E-6</v>
      </c>
      <c r="G335" s="26">
        <f t="shared" si="406"/>
        <v>1</v>
      </c>
      <c r="H335" s="7">
        <v>0.113825936821723</v>
      </c>
      <c r="I335" s="7">
        <v>1223.14114606982</v>
      </c>
      <c r="J335" s="7">
        <v>5975.2459753258199</v>
      </c>
      <c r="K335" s="7">
        <v>1223.14114606982</v>
      </c>
      <c r="L335" s="7" t="s">
        <v>94</v>
      </c>
      <c r="M335" s="7">
        <v>763943.72684109805</v>
      </c>
      <c r="N335" s="7">
        <f t="shared" si="407"/>
        <v>8421.5282674654591</v>
      </c>
      <c r="P335" s="28">
        <v>70</v>
      </c>
      <c r="Q335" s="26">
        <v>3.0000000000000001E-5</v>
      </c>
      <c r="R335" s="28">
        <v>0.2</v>
      </c>
      <c r="S335" s="28">
        <v>30</v>
      </c>
      <c r="T335" s="26">
        <v>2.5000000000000001E-5</v>
      </c>
      <c r="U335" s="26">
        <f t="shared" si="408"/>
        <v>5.0000000000000004E-6</v>
      </c>
      <c r="V335" s="26">
        <f t="shared" si="409"/>
        <v>0.33333333333333337</v>
      </c>
      <c r="W335" s="7">
        <v>0.33777467649981802</v>
      </c>
      <c r="X335" s="7">
        <v>407.71371535265399</v>
      </c>
      <c r="Y335" s="7">
        <v>1991.7486584419401</v>
      </c>
      <c r="Z335" s="7">
        <v>407.71371535265399</v>
      </c>
      <c r="AA335" s="7" t="s">
        <v>94</v>
      </c>
      <c r="AB335" s="7">
        <v>84882.636315677504</v>
      </c>
      <c r="AC335" s="7">
        <f t="shared" si="410"/>
        <v>2807.1760891472481</v>
      </c>
      <c r="AE335" s="28">
        <v>70</v>
      </c>
      <c r="AF335" s="26">
        <v>5.0000000000000002E-5</v>
      </c>
      <c r="AG335" s="28">
        <v>0.2</v>
      </c>
      <c r="AH335" s="28">
        <v>30</v>
      </c>
      <c r="AI335" s="26">
        <v>2.5000000000000001E-5</v>
      </c>
      <c r="AJ335" s="26">
        <f t="shared" si="411"/>
        <v>5.0000000000000004E-6</v>
      </c>
      <c r="AK335" s="26">
        <f t="shared" si="412"/>
        <v>0.2</v>
      </c>
      <c r="AL335" s="7">
        <v>0.55691832946800401</v>
      </c>
      <c r="AM335" s="7">
        <v>244.62822917813699</v>
      </c>
      <c r="AN335" s="7">
        <v>1195.0491950651599</v>
      </c>
      <c r="AO335" s="7">
        <v>244.62822917813699</v>
      </c>
      <c r="AP335" s="7" t="s">
        <v>94</v>
      </c>
      <c r="AQ335" s="7">
        <v>30557.749073643899</v>
      </c>
      <c r="AR335" s="7">
        <f t="shared" si="413"/>
        <v>1684.3056534214338</v>
      </c>
      <c r="AT335" s="28">
        <v>70</v>
      </c>
      <c r="AU335" s="26">
        <v>1.0000000000000001E-5</v>
      </c>
      <c r="AV335" s="28">
        <v>0.2</v>
      </c>
      <c r="AW335" s="28">
        <v>200</v>
      </c>
      <c r="AX335" s="26">
        <v>2.5000000000000001E-5</v>
      </c>
      <c r="AY335" s="26">
        <f t="shared" si="414"/>
        <v>5.0000000000000004E-6</v>
      </c>
      <c r="AZ335" s="26">
        <f t="shared" si="415"/>
        <v>1</v>
      </c>
      <c r="BA335" s="7">
        <v>0.114358539638129</v>
      </c>
      <c r="BB335" s="7">
        <v>184.11844341766201</v>
      </c>
      <c r="BC335" s="7">
        <v>898.22894938474894</v>
      </c>
      <c r="BD335" s="7">
        <v>184.11844341766201</v>
      </c>
      <c r="BE335" s="7" t="s">
        <v>94</v>
      </c>
      <c r="BF335" s="7">
        <v>763943.72684109805</v>
      </c>
      <c r="BG335" s="7">
        <f t="shared" si="416"/>
        <v>1266.465836220073</v>
      </c>
      <c r="BI335" s="28">
        <v>70</v>
      </c>
      <c r="BJ335" s="26">
        <v>1.0000000000000001E-5</v>
      </c>
      <c r="BK335" s="28">
        <v>0.5</v>
      </c>
      <c r="BL335" s="28">
        <v>200</v>
      </c>
      <c r="BM335" s="26">
        <v>2.5000000000000001E-5</v>
      </c>
      <c r="BN335" s="26">
        <f t="shared" si="417"/>
        <v>1.2500000000000001E-5</v>
      </c>
      <c r="BO335" s="26">
        <f t="shared" si="418"/>
        <v>2.5</v>
      </c>
      <c r="BP335" s="7">
        <v>0.11435860384561899</v>
      </c>
      <c r="BQ335" s="7">
        <v>183.946660682919</v>
      </c>
      <c r="BR335" s="7">
        <v>897.71395999315905</v>
      </c>
      <c r="BS335" s="7">
        <v>183.946660682919</v>
      </c>
      <c r="BT335" s="7" t="s">
        <v>94</v>
      </c>
      <c r="BU335" s="7">
        <v>763943.72684109805</v>
      </c>
      <c r="BV335" s="7">
        <f t="shared" si="419"/>
        <v>1265.6072813589969</v>
      </c>
      <c r="BX335" s="28">
        <v>70</v>
      </c>
      <c r="BY335" s="26">
        <v>5.0000000000000002E-5</v>
      </c>
      <c r="BZ335" s="28">
        <v>0.5</v>
      </c>
      <c r="CA335" s="28">
        <v>200</v>
      </c>
      <c r="CB335" s="26">
        <v>2.5000000000000001E-5</v>
      </c>
      <c r="CC335" s="26">
        <f t="shared" si="420"/>
        <v>1.2500000000000001E-5</v>
      </c>
      <c r="CD335" s="26">
        <f t="shared" si="421"/>
        <v>0.5</v>
      </c>
      <c r="CE335" s="7">
        <v>0.56990628190018899</v>
      </c>
      <c r="CF335" s="7">
        <v>36.7893321345583</v>
      </c>
      <c r="CG335" s="7">
        <v>179.542791998632</v>
      </c>
      <c r="CH335" s="7">
        <v>36.7893321345583</v>
      </c>
      <c r="CI335" s="7" t="s">
        <v>94</v>
      </c>
      <c r="CJ335" s="7">
        <v>30557.749073643899</v>
      </c>
      <c r="CK335" s="7">
        <f t="shared" si="422"/>
        <v>253.12145626774858</v>
      </c>
      <c r="CM335" s="28">
        <v>70</v>
      </c>
      <c r="CN335" s="26">
        <v>5.0000000000000002E-5</v>
      </c>
      <c r="CO335" s="28">
        <v>1</v>
      </c>
      <c r="CP335" s="28">
        <v>200</v>
      </c>
      <c r="CQ335" s="26">
        <v>2.5000000000000001E-5</v>
      </c>
      <c r="CR335" s="26">
        <f t="shared" si="423"/>
        <v>2.5000000000000001E-5</v>
      </c>
      <c r="CS335" s="26">
        <f t="shared" si="424"/>
        <v>1</v>
      </c>
      <c r="CT335" s="7">
        <v>0.56990893421964495</v>
      </c>
      <c r="CU335" s="7">
        <v>36.732214141098297</v>
      </c>
      <c r="CV335" s="7">
        <v>179.37142238436701</v>
      </c>
      <c r="CW335" s="7">
        <v>36.732214141098297</v>
      </c>
      <c r="CX335" s="7" t="s">
        <v>94</v>
      </c>
      <c r="CY335" s="7">
        <v>30557.749073643899</v>
      </c>
      <c r="CZ335" s="7">
        <f t="shared" si="425"/>
        <v>252.8358506665636</v>
      </c>
      <c r="DB335" s="28">
        <v>70</v>
      </c>
      <c r="DC335" s="26">
        <v>5.0000000000000002E-5</v>
      </c>
      <c r="DD335" s="28">
        <v>2</v>
      </c>
      <c r="DE335" s="28">
        <v>200</v>
      </c>
      <c r="DF335" s="26">
        <v>2.5000000000000001E-5</v>
      </c>
      <c r="DG335" s="26">
        <f t="shared" si="426"/>
        <v>5.0000000000000002E-5</v>
      </c>
      <c r="DH335" s="26">
        <f t="shared" si="427"/>
        <v>2</v>
      </c>
      <c r="DI335" s="7">
        <v>0.56991421885547699</v>
      </c>
      <c r="DJ335" s="7">
        <v>36.618511090650998</v>
      </c>
      <c r="DK335" s="7">
        <v>179.02977916857401</v>
      </c>
      <c r="DL335" s="7">
        <v>36.618511090650998</v>
      </c>
      <c r="DM335" s="7" t="s">
        <v>94</v>
      </c>
      <c r="DN335" s="7">
        <v>30557.749073643899</v>
      </c>
      <c r="DO335" s="7">
        <f t="shared" si="428"/>
        <v>252.266801349876</v>
      </c>
      <c r="DQ335" s="28">
        <v>70</v>
      </c>
      <c r="DR335" s="26">
        <v>5.0000000000000002E-5</v>
      </c>
      <c r="DS335" s="28">
        <v>15</v>
      </c>
      <c r="DT335" s="28">
        <v>300</v>
      </c>
      <c r="DU335" s="26">
        <v>1.0000000000000001E-5</v>
      </c>
      <c r="DV335" s="26">
        <f t="shared" si="429"/>
        <v>1.5000000000000001E-4</v>
      </c>
      <c r="DW335" s="26">
        <f t="shared" si="430"/>
        <v>6</v>
      </c>
      <c r="DX335" s="7">
        <v>1.7029891641799999</v>
      </c>
      <c r="DY335" s="7">
        <v>23.8224846510956</v>
      </c>
      <c r="DZ335" s="7">
        <v>117.565391453988</v>
      </c>
      <c r="EA335" s="7">
        <v>23.8224846510956</v>
      </c>
      <c r="EB335" s="7" t="s">
        <v>94</v>
      </c>
      <c r="EC335" s="7">
        <v>10185.9163578813</v>
      </c>
      <c r="ED335" s="7">
        <f t="shared" si="431"/>
        <v>165.2103607561792</v>
      </c>
    </row>
    <row r="336" spans="1:134" x14ac:dyDescent="0.4">
      <c r="B336" s="26"/>
      <c r="E336" s="26"/>
      <c r="F336" s="26"/>
      <c r="G336" s="26"/>
      <c r="Q336" s="26"/>
      <c r="T336" s="26"/>
      <c r="U336" s="26"/>
      <c r="V336" s="26"/>
      <c r="AF336" s="26"/>
      <c r="AI336" s="26"/>
      <c r="AJ336" s="26"/>
      <c r="AK336" s="26"/>
      <c r="AU336" s="26"/>
      <c r="AX336" s="26"/>
      <c r="AY336" s="26"/>
      <c r="AZ336" s="26"/>
      <c r="BJ336" s="26"/>
      <c r="BM336" s="26"/>
      <c r="BN336" s="26"/>
      <c r="BO336" s="26"/>
      <c r="BY336" s="26"/>
      <c r="CB336" s="26"/>
      <c r="CC336" s="26"/>
      <c r="CD336" s="26"/>
      <c r="CN336" s="26"/>
      <c r="CQ336" s="26"/>
      <c r="CR336" s="26"/>
      <c r="CS336" s="26"/>
      <c r="DC336" s="26"/>
      <c r="DF336" s="26"/>
      <c r="DG336" s="26"/>
      <c r="DH336" s="26"/>
      <c r="DR336" s="26"/>
      <c r="DU336" s="26"/>
      <c r="DV336" s="26"/>
      <c r="DW336" s="26"/>
    </row>
    <row r="337" spans="1:134" s="36" customFormat="1" ht="47.25" x14ac:dyDescent="0.4">
      <c r="A337" s="53" t="s">
        <v>69</v>
      </c>
      <c r="B337" s="54" t="s">
        <v>93</v>
      </c>
      <c r="C337" s="39" t="s">
        <v>73</v>
      </c>
      <c r="D337" s="39" t="s">
        <v>98</v>
      </c>
      <c r="E337" s="39" t="s">
        <v>97</v>
      </c>
      <c r="F337" s="39" t="s">
        <v>99</v>
      </c>
      <c r="G337" s="39" t="s">
        <v>96</v>
      </c>
      <c r="H337" s="37" t="s">
        <v>60</v>
      </c>
      <c r="I337" s="37" t="s">
        <v>100</v>
      </c>
      <c r="J337" s="37" t="s">
        <v>101</v>
      </c>
      <c r="K337" s="37" t="s">
        <v>102</v>
      </c>
      <c r="L337" s="37" t="s">
        <v>103</v>
      </c>
      <c r="M337" s="37" t="s">
        <v>65</v>
      </c>
      <c r="N337" s="37" t="s">
        <v>68</v>
      </c>
      <c r="O337" s="55"/>
      <c r="P337" s="53" t="s">
        <v>69</v>
      </c>
      <c r="Q337" s="54" t="s">
        <v>93</v>
      </c>
      <c r="R337" s="39" t="s">
        <v>73</v>
      </c>
      <c r="S337" s="39" t="s">
        <v>98</v>
      </c>
      <c r="T337" s="39" t="s">
        <v>97</v>
      </c>
      <c r="U337" s="39" t="s">
        <v>99</v>
      </c>
      <c r="V337" s="39" t="s">
        <v>96</v>
      </c>
      <c r="W337" s="37" t="s">
        <v>60</v>
      </c>
      <c r="X337" s="37" t="s">
        <v>100</v>
      </c>
      <c r="Y337" s="37" t="s">
        <v>101</v>
      </c>
      <c r="Z337" s="37" t="s">
        <v>102</v>
      </c>
      <c r="AA337" s="37" t="s">
        <v>103</v>
      </c>
      <c r="AB337" s="37" t="s">
        <v>65</v>
      </c>
      <c r="AC337" s="37" t="s">
        <v>68</v>
      </c>
      <c r="AD337" s="55"/>
      <c r="AE337" s="53" t="s">
        <v>69</v>
      </c>
      <c r="AF337" s="54" t="s">
        <v>93</v>
      </c>
      <c r="AG337" s="39" t="s">
        <v>73</v>
      </c>
      <c r="AH337" s="39" t="s">
        <v>98</v>
      </c>
      <c r="AI337" s="39" t="s">
        <v>97</v>
      </c>
      <c r="AJ337" s="39" t="s">
        <v>99</v>
      </c>
      <c r="AK337" s="39" t="s">
        <v>96</v>
      </c>
      <c r="AL337" s="37" t="s">
        <v>60</v>
      </c>
      <c r="AM337" s="37" t="s">
        <v>100</v>
      </c>
      <c r="AN337" s="37" t="s">
        <v>101</v>
      </c>
      <c r="AO337" s="37" t="s">
        <v>102</v>
      </c>
      <c r="AP337" s="37" t="s">
        <v>103</v>
      </c>
      <c r="AQ337" s="37" t="s">
        <v>65</v>
      </c>
      <c r="AR337" s="37" t="s">
        <v>68</v>
      </c>
      <c r="AS337" s="55"/>
      <c r="AT337" s="53" t="s">
        <v>69</v>
      </c>
      <c r="AU337" s="54" t="s">
        <v>93</v>
      </c>
      <c r="AV337" s="39" t="s">
        <v>73</v>
      </c>
      <c r="AW337" s="39" t="s">
        <v>98</v>
      </c>
      <c r="AX337" s="39" t="s">
        <v>97</v>
      </c>
      <c r="AY337" s="39" t="s">
        <v>99</v>
      </c>
      <c r="AZ337" s="39" t="s">
        <v>96</v>
      </c>
      <c r="BA337" s="37" t="s">
        <v>60</v>
      </c>
      <c r="BB337" s="37" t="s">
        <v>100</v>
      </c>
      <c r="BC337" s="37" t="s">
        <v>101</v>
      </c>
      <c r="BD337" s="37" t="s">
        <v>102</v>
      </c>
      <c r="BE337" s="37" t="s">
        <v>103</v>
      </c>
      <c r="BF337" s="37" t="s">
        <v>65</v>
      </c>
      <c r="BG337" s="37" t="s">
        <v>68</v>
      </c>
      <c r="BH337" s="55"/>
      <c r="BI337" s="53" t="s">
        <v>69</v>
      </c>
      <c r="BJ337" s="54" t="s">
        <v>93</v>
      </c>
      <c r="BK337" s="39" t="s">
        <v>73</v>
      </c>
      <c r="BL337" s="39" t="s">
        <v>98</v>
      </c>
      <c r="BM337" s="39" t="s">
        <v>97</v>
      </c>
      <c r="BN337" s="39" t="s">
        <v>99</v>
      </c>
      <c r="BO337" s="39" t="s">
        <v>96</v>
      </c>
      <c r="BP337" s="37" t="s">
        <v>60</v>
      </c>
      <c r="BQ337" s="37" t="s">
        <v>100</v>
      </c>
      <c r="BR337" s="37" t="s">
        <v>101</v>
      </c>
      <c r="BS337" s="37" t="s">
        <v>102</v>
      </c>
      <c r="BT337" s="37" t="s">
        <v>103</v>
      </c>
      <c r="BU337" s="37" t="s">
        <v>65</v>
      </c>
      <c r="BV337" s="37" t="s">
        <v>68</v>
      </c>
      <c r="BW337" s="55"/>
      <c r="BX337" s="53" t="s">
        <v>69</v>
      </c>
      <c r="BY337" s="54" t="s">
        <v>93</v>
      </c>
      <c r="BZ337" s="39" t="s">
        <v>73</v>
      </c>
      <c r="CA337" s="39" t="s">
        <v>98</v>
      </c>
      <c r="CB337" s="39" t="s">
        <v>97</v>
      </c>
      <c r="CC337" s="39" t="s">
        <v>99</v>
      </c>
      <c r="CD337" s="39" t="s">
        <v>96</v>
      </c>
      <c r="CE337" s="37" t="s">
        <v>60</v>
      </c>
      <c r="CF337" s="37" t="s">
        <v>100</v>
      </c>
      <c r="CG337" s="37" t="s">
        <v>101</v>
      </c>
      <c r="CH337" s="37" t="s">
        <v>102</v>
      </c>
      <c r="CI337" s="37" t="s">
        <v>103</v>
      </c>
      <c r="CJ337" s="37" t="s">
        <v>65</v>
      </c>
      <c r="CK337" s="37" t="s">
        <v>68</v>
      </c>
      <c r="CL337" s="55"/>
      <c r="CM337" s="53" t="s">
        <v>69</v>
      </c>
      <c r="CN337" s="54" t="s">
        <v>93</v>
      </c>
      <c r="CO337" s="39" t="s">
        <v>73</v>
      </c>
      <c r="CP337" s="39" t="s">
        <v>98</v>
      </c>
      <c r="CQ337" s="39" t="s">
        <v>97</v>
      </c>
      <c r="CR337" s="39" t="s">
        <v>99</v>
      </c>
      <c r="CS337" s="39" t="s">
        <v>96</v>
      </c>
      <c r="CT337" s="37" t="s">
        <v>60</v>
      </c>
      <c r="CU337" s="37" t="s">
        <v>100</v>
      </c>
      <c r="CV337" s="37" t="s">
        <v>101</v>
      </c>
      <c r="CW337" s="37" t="s">
        <v>102</v>
      </c>
      <c r="CX337" s="37" t="s">
        <v>103</v>
      </c>
      <c r="CY337" s="37" t="s">
        <v>65</v>
      </c>
      <c r="CZ337" s="37" t="s">
        <v>68</v>
      </c>
      <c r="DA337" s="55"/>
      <c r="DB337" s="53" t="s">
        <v>69</v>
      </c>
      <c r="DC337" s="54" t="s">
        <v>93</v>
      </c>
      <c r="DD337" s="39" t="s">
        <v>73</v>
      </c>
      <c r="DE337" s="39" t="s">
        <v>98</v>
      </c>
      <c r="DF337" s="39" t="s">
        <v>97</v>
      </c>
      <c r="DG337" s="39" t="s">
        <v>99</v>
      </c>
      <c r="DH337" s="39" t="s">
        <v>96</v>
      </c>
      <c r="DI337" s="37" t="s">
        <v>60</v>
      </c>
      <c r="DJ337" s="37" t="s">
        <v>100</v>
      </c>
      <c r="DK337" s="37" t="s">
        <v>101</v>
      </c>
      <c r="DL337" s="37" t="s">
        <v>102</v>
      </c>
      <c r="DM337" s="37" t="s">
        <v>103</v>
      </c>
      <c r="DN337" s="37" t="s">
        <v>65</v>
      </c>
      <c r="DO337" s="37" t="s">
        <v>68</v>
      </c>
      <c r="DP337" s="55"/>
      <c r="DQ337" s="53" t="s">
        <v>69</v>
      </c>
      <c r="DR337" s="54" t="s">
        <v>93</v>
      </c>
      <c r="DS337" s="39" t="s">
        <v>73</v>
      </c>
      <c r="DT337" s="39" t="s">
        <v>98</v>
      </c>
      <c r="DU337" s="39" t="s">
        <v>97</v>
      </c>
      <c r="DV337" s="39" t="s">
        <v>99</v>
      </c>
      <c r="DW337" s="39" t="s">
        <v>96</v>
      </c>
      <c r="DX337" s="37" t="s">
        <v>60</v>
      </c>
      <c r="DY337" s="37" t="s">
        <v>100</v>
      </c>
      <c r="DZ337" s="37" t="s">
        <v>101</v>
      </c>
      <c r="EA337" s="37" t="s">
        <v>102</v>
      </c>
      <c r="EB337" s="37" t="s">
        <v>103</v>
      </c>
      <c r="EC337" s="37" t="s">
        <v>65</v>
      </c>
      <c r="ED337" s="37" t="s">
        <v>68</v>
      </c>
    </row>
    <row r="338" spans="1:134" x14ac:dyDescent="0.4">
      <c r="A338" s="28">
        <v>1</v>
      </c>
      <c r="B338" s="26">
        <v>1.0000000000000001E-5</v>
      </c>
      <c r="C338" s="28">
        <v>0.2</v>
      </c>
      <c r="D338" s="28">
        <v>30</v>
      </c>
      <c r="E338" s="26">
        <v>5.0000000000000002E-5</v>
      </c>
      <c r="F338" s="26">
        <f t="shared" ref="F338:F356" si="432">C338*E338</f>
        <v>1.0000000000000001E-5</v>
      </c>
      <c r="G338" s="26">
        <f t="shared" ref="G338:G356" si="433">F338/(B338/2)</f>
        <v>2</v>
      </c>
      <c r="H338" s="7">
        <v>0.18487637144352501</v>
      </c>
      <c r="I338" s="7">
        <v>20967.675665585699</v>
      </c>
      <c r="J338" s="7">
        <v>750067.42850576504</v>
      </c>
      <c r="K338" s="7">
        <v>20967.675665585699</v>
      </c>
      <c r="L338" s="7">
        <v>246455.34799285</v>
      </c>
      <c r="M338" s="7">
        <v>1273239.54473516</v>
      </c>
      <c r="N338" s="7">
        <f t="shared" ref="N338:N356" si="434">I338+J338+K338</f>
        <v>792002.77983693639</v>
      </c>
      <c r="P338" s="28">
        <v>1</v>
      </c>
      <c r="Q338" s="26">
        <v>3.0000000000000001E-5</v>
      </c>
      <c r="R338" s="28">
        <v>0.2</v>
      </c>
      <c r="S338" s="28">
        <v>30</v>
      </c>
      <c r="T338" s="26">
        <v>5.0000000000000002E-5</v>
      </c>
      <c r="U338" s="26">
        <f t="shared" ref="U338:U356" si="435">R338*T338</f>
        <v>1.0000000000000001E-5</v>
      </c>
      <c r="V338" s="26">
        <f t="shared" ref="V338:V356" si="436">U338/(Q338/2)</f>
        <v>0.66666666666666674</v>
      </c>
      <c r="W338" s="7">
        <v>0.19802630611007099</v>
      </c>
      <c r="X338" s="7">
        <v>6989.2252213633501</v>
      </c>
      <c r="Y338" s="7">
        <v>250022.476149864</v>
      </c>
      <c r="Z338" s="7">
        <v>6989.2252213633501</v>
      </c>
      <c r="AA338" s="7">
        <v>82151.782666878105</v>
      </c>
      <c r="AB338" s="7">
        <v>141471.060526129</v>
      </c>
      <c r="AC338" s="7">
        <f t="shared" ref="AC338:AC356" si="437">X338+Y338+Z338</f>
        <v>264000.92659259069</v>
      </c>
      <c r="AE338" s="28">
        <v>1</v>
      </c>
      <c r="AF338" s="26">
        <v>5.0000000000000002E-5</v>
      </c>
      <c r="AG338" s="28">
        <v>0.2</v>
      </c>
      <c r="AH338" s="28">
        <v>30</v>
      </c>
      <c r="AI338" s="26">
        <v>5.0000000000000002E-5</v>
      </c>
      <c r="AJ338" s="26">
        <f t="shared" ref="AJ338:AJ356" si="438">AG338*AI338</f>
        <v>1.0000000000000001E-5</v>
      </c>
      <c r="AK338" s="26">
        <f t="shared" ref="AK338:AK356" si="439">AJ338/(AF338/2)</f>
        <v>0.4</v>
      </c>
      <c r="AL338" s="7">
        <v>0.20477353817485</v>
      </c>
      <c r="AM338" s="7">
        <v>4193.5351285970401</v>
      </c>
      <c r="AN338" s="7">
        <v>150013.48553139099</v>
      </c>
      <c r="AO338" s="7">
        <v>4193.5351285970401</v>
      </c>
      <c r="AP338" s="7">
        <v>49291.069622095303</v>
      </c>
      <c r="AQ338" s="7">
        <v>50929.581789406497</v>
      </c>
      <c r="AR338" s="7">
        <f t="shared" ref="AR338:AR356" si="440">AM338+AN338+AO338</f>
        <v>158400.5557885851</v>
      </c>
      <c r="AT338" s="28">
        <v>1</v>
      </c>
      <c r="AU338" s="26">
        <v>1.0000000000000001E-5</v>
      </c>
      <c r="AV338" s="28">
        <v>0.2</v>
      </c>
      <c r="AW338" s="28">
        <v>200</v>
      </c>
      <c r="AX338" s="26">
        <v>5.0000000000000002E-5</v>
      </c>
      <c r="AY338" s="26">
        <f t="shared" ref="AY338:AY356" si="441">AV338*AX338</f>
        <v>1.0000000000000001E-5</v>
      </c>
      <c r="AZ338" s="26">
        <f t="shared" ref="AZ338:AZ356" si="442">AY338/(AU338/2)</f>
        <v>2</v>
      </c>
      <c r="BA338" s="7">
        <v>0.185004208547565</v>
      </c>
      <c r="BB338" s="7">
        <v>4345.3623253436699</v>
      </c>
      <c r="BC338" s="7">
        <v>750067.42850576504</v>
      </c>
      <c r="BD338" s="7">
        <v>4345.3623253436699</v>
      </c>
      <c r="BE338" s="7">
        <v>246455.34799285</v>
      </c>
      <c r="BF338" s="7">
        <v>1273239.54473516</v>
      </c>
      <c r="BG338" s="7">
        <f t="shared" ref="BG338:BG356" si="443">BB338+BC338+BD338</f>
        <v>758758.15315645235</v>
      </c>
      <c r="BI338" s="28">
        <v>1</v>
      </c>
      <c r="BJ338" s="26">
        <v>1.0000000000000001E-5</v>
      </c>
      <c r="BK338" s="28">
        <v>0.5</v>
      </c>
      <c r="BL338" s="28">
        <v>200</v>
      </c>
      <c r="BM338" s="26">
        <v>5.0000000000000002E-5</v>
      </c>
      <c r="BN338" s="26">
        <f t="shared" ref="BN338:BN356" si="444">BK338*BM338</f>
        <v>2.5000000000000001E-5</v>
      </c>
      <c r="BO338" s="26">
        <f t="shared" ref="BO338:BO356" si="445">BN338/(BJ338/2)</f>
        <v>5</v>
      </c>
      <c r="BP338" s="7">
        <v>0.44528363083661998</v>
      </c>
      <c r="BQ338" s="7">
        <v>3764.12485338133</v>
      </c>
      <c r="BR338" s="7">
        <v>300026.97140230599</v>
      </c>
      <c r="BS338" s="7">
        <v>3764.12485338133</v>
      </c>
      <c r="BT338" s="7">
        <v>98582.139197140001</v>
      </c>
      <c r="BU338" s="7">
        <v>1273239.54473516</v>
      </c>
      <c r="BV338" s="7">
        <f t="shared" ref="BV338:BV356" si="446">BQ338+BR338+BS338</f>
        <v>307555.2211090686</v>
      </c>
      <c r="BX338" s="28">
        <v>1</v>
      </c>
      <c r="BY338" s="26">
        <v>5.0000000000000002E-5</v>
      </c>
      <c r="BZ338" s="28">
        <v>0.5</v>
      </c>
      <c r="CA338" s="28">
        <v>200</v>
      </c>
      <c r="CB338" s="26">
        <v>5.0000000000000002E-5</v>
      </c>
      <c r="CC338" s="26">
        <f t="shared" ref="CC338:CC356" si="447">BZ338*CB338</f>
        <v>2.5000000000000001E-5</v>
      </c>
      <c r="CD338" s="26">
        <f t="shared" ref="CD338:CD356" si="448">CC338/(BY338/2)</f>
        <v>1</v>
      </c>
      <c r="CE338" s="7">
        <v>0.48236153405903398</v>
      </c>
      <c r="CF338" s="7">
        <v>752.82497001808497</v>
      </c>
      <c r="CG338" s="7">
        <v>60005.394212556603</v>
      </c>
      <c r="CH338" s="7">
        <v>752.82497001808497</v>
      </c>
      <c r="CI338" s="7">
        <v>19716.427848838099</v>
      </c>
      <c r="CJ338" s="7">
        <v>50929.581789406497</v>
      </c>
      <c r="CK338" s="7">
        <f t="shared" ref="CK338:CK356" si="449">CF338+CG338+CH338</f>
        <v>61511.044152592767</v>
      </c>
      <c r="CM338" s="28">
        <v>1</v>
      </c>
      <c r="CN338" s="26">
        <v>5.0000000000000002E-5</v>
      </c>
      <c r="CO338" s="28">
        <v>1</v>
      </c>
      <c r="CP338" s="28">
        <v>200</v>
      </c>
      <c r="CQ338" s="26">
        <v>5.0000000000000002E-5</v>
      </c>
      <c r="CR338" s="26">
        <f t="shared" ref="CR338:CR356" si="450">CO338*CQ338</f>
        <v>5.0000000000000002E-5</v>
      </c>
      <c r="CS338" s="26">
        <f t="shared" ref="CS338:CS356" si="451">CR338/(CN338/2)</f>
        <v>2</v>
      </c>
      <c r="CT338" s="7">
        <v>0.92454739305755596</v>
      </c>
      <c r="CU338" s="7">
        <v>665.23311259709499</v>
      </c>
      <c r="CV338" s="7">
        <v>30002.697106278301</v>
      </c>
      <c r="CW338" s="7">
        <v>665.23311259709499</v>
      </c>
      <c r="CX338" s="7">
        <v>9858.2139244190694</v>
      </c>
      <c r="CY338" s="7">
        <v>50929.581789406497</v>
      </c>
      <c r="CZ338" s="7">
        <f t="shared" ref="CZ338:CZ356" si="452">CU338+CV338+CW338</f>
        <v>31333.163331472493</v>
      </c>
      <c r="DB338" s="28">
        <v>1</v>
      </c>
      <c r="DC338" s="26">
        <v>5.0000000000000002E-5</v>
      </c>
      <c r="DD338" s="28">
        <v>2</v>
      </c>
      <c r="DE338" s="28">
        <v>200</v>
      </c>
      <c r="DF338" s="26">
        <v>5.0000000000000002E-5</v>
      </c>
      <c r="DG338" s="26">
        <f t="shared" ref="DG338:DG356" si="453">DD338*DF338</f>
        <v>1E-4</v>
      </c>
      <c r="DH338" s="26">
        <f t="shared" ref="DH338:DH356" si="454">DG338/(DC338/2)</f>
        <v>4</v>
      </c>
      <c r="DI338" s="7">
        <v>1.7935731392194201</v>
      </c>
      <c r="DJ338" s="7">
        <v>578.22973015081095</v>
      </c>
      <c r="DK338" s="7">
        <v>15001.3485531391</v>
      </c>
      <c r="DL338" s="7">
        <v>578.22973015081095</v>
      </c>
      <c r="DM338" s="7">
        <v>4929.1069622095301</v>
      </c>
      <c r="DN338" s="7">
        <v>50929.581789406497</v>
      </c>
      <c r="DO338" s="7">
        <f t="shared" ref="DO338:DO356" si="455">DJ338+DK338+DL338</f>
        <v>16157.808013440723</v>
      </c>
      <c r="DQ338" s="28">
        <v>1</v>
      </c>
      <c r="DR338" s="26">
        <v>5.0000000000000002E-5</v>
      </c>
      <c r="DS338" s="28">
        <v>15</v>
      </c>
      <c r="DT338" s="28">
        <v>300</v>
      </c>
      <c r="DU338" s="26">
        <v>2.5000000000000001E-5</v>
      </c>
      <c r="DV338" s="26">
        <f t="shared" ref="DV338:DV356" si="456">DS338*DU338</f>
        <v>3.7500000000000001E-4</v>
      </c>
      <c r="DW338" s="26">
        <f t="shared" ref="DW338:DW356" si="457">DV338/(DR338/2)</f>
        <v>15</v>
      </c>
      <c r="DX338" s="7">
        <v>13.0458742870868</v>
      </c>
      <c r="DY338" s="7">
        <v>254.539230510376</v>
      </c>
      <c r="DZ338" s="7">
        <v>2000.1798070852201</v>
      </c>
      <c r="EA338" s="7">
        <v>254.539230510376</v>
      </c>
      <c r="EB338" s="7">
        <v>657.21426162793796</v>
      </c>
      <c r="EC338" s="7">
        <v>30557.749073643899</v>
      </c>
      <c r="ED338" s="7">
        <f t="shared" ref="ED338:ED356" si="458">DY338+DZ338+EA338</f>
        <v>2509.2582681059721</v>
      </c>
    </row>
    <row r="339" spans="1:134" x14ac:dyDescent="0.4">
      <c r="A339" s="28">
        <v>2</v>
      </c>
      <c r="B339" s="26">
        <v>1.0000000000000001E-5</v>
      </c>
      <c r="C339" s="28">
        <v>0.2</v>
      </c>
      <c r="D339" s="28">
        <v>30</v>
      </c>
      <c r="E339" s="26">
        <v>5.0000000000000002E-5</v>
      </c>
      <c r="F339" s="26">
        <f t="shared" si="432"/>
        <v>1.0000000000000001E-5</v>
      </c>
      <c r="G339" s="26">
        <f t="shared" si="433"/>
        <v>2</v>
      </c>
      <c r="H339" s="7">
        <v>0.17495961661392601</v>
      </c>
      <c r="I339" s="7">
        <v>20967.675665585699</v>
      </c>
      <c r="J339" s="7">
        <v>482013.76177816797</v>
      </c>
      <c r="K339" s="7">
        <v>20967.675665585699</v>
      </c>
      <c r="L339" s="7">
        <v>339325.67523914197</v>
      </c>
      <c r="M339" s="7">
        <v>1273239.54473516</v>
      </c>
      <c r="N339" s="7">
        <f t="shared" si="434"/>
        <v>523949.11310933932</v>
      </c>
      <c r="P339" s="28">
        <v>2</v>
      </c>
      <c r="Q339" s="26">
        <v>3.0000000000000001E-5</v>
      </c>
      <c r="R339" s="28">
        <v>0.2</v>
      </c>
      <c r="S339" s="28">
        <v>30</v>
      </c>
      <c r="T339" s="26">
        <v>5.0000000000000002E-5</v>
      </c>
      <c r="U339" s="26">
        <f t="shared" si="435"/>
        <v>1.0000000000000001E-5</v>
      </c>
      <c r="V339" s="26">
        <f t="shared" si="436"/>
        <v>0.66666666666666674</v>
      </c>
      <c r="W339" s="7">
        <v>0.19649144210145</v>
      </c>
      <c r="X339" s="7">
        <v>6989.2252213633501</v>
      </c>
      <c r="Y339" s="7">
        <v>160671.25390733199</v>
      </c>
      <c r="Z339" s="7">
        <v>6989.2252213633501</v>
      </c>
      <c r="AA339" s="7">
        <v>113108.558420806</v>
      </c>
      <c r="AB339" s="7">
        <v>141471.060526129</v>
      </c>
      <c r="AC339" s="7">
        <f t="shared" si="437"/>
        <v>174649.70435005872</v>
      </c>
      <c r="AE339" s="28">
        <v>2</v>
      </c>
      <c r="AF339" s="26">
        <v>5.0000000000000002E-5</v>
      </c>
      <c r="AG339" s="28">
        <v>0.2</v>
      </c>
      <c r="AH339" s="28">
        <v>30</v>
      </c>
      <c r="AI339" s="26">
        <v>5.0000000000000002E-5</v>
      </c>
      <c r="AJ339" s="26">
        <f t="shared" si="438"/>
        <v>1.0000000000000001E-5</v>
      </c>
      <c r="AK339" s="26">
        <f t="shared" si="439"/>
        <v>0.4</v>
      </c>
      <c r="AL339" s="7">
        <v>0.209288393087421</v>
      </c>
      <c r="AM339" s="7">
        <v>4193.5351285970401</v>
      </c>
      <c r="AN339" s="7">
        <v>96402.752185872101</v>
      </c>
      <c r="AO339" s="7">
        <v>4193.5351285970401</v>
      </c>
      <c r="AP339" s="7">
        <v>67865.135118168895</v>
      </c>
      <c r="AQ339" s="7">
        <v>50929.581789406497</v>
      </c>
      <c r="AR339" s="7">
        <f t="shared" si="440"/>
        <v>104789.82244306618</v>
      </c>
      <c r="AT339" s="28">
        <v>2</v>
      </c>
      <c r="AU339" s="26">
        <v>1.0000000000000001E-5</v>
      </c>
      <c r="AV339" s="28">
        <v>0.2</v>
      </c>
      <c r="AW339" s="28">
        <v>200</v>
      </c>
      <c r="AX339" s="26">
        <v>5.0000000000000002E-5</v>
      </c>
      <c r="AY339" s="26">
        <f t="shared" si="441"/>
        <v>1.0000000000000001E-5</v>
      </c>
      <c r="AZ339" s="26">
        <f t="shared" si="442"/>
        <v>2</v>
      </c>
      <c r="BA339" s="7">
        <v>0.17515019863407899</v>
      </c>
      <c r="BB339" s="7">
        <v>4345.3623253436699</v>
      </c>
      <c r="BC339" s="7">
        <v>482013.76177816797</v>
      </c>
      <c r="BD339" s="7">
        <v>4345.3623253436699</v>
      </c>
      <c r="BE339" s="7">
        <v>339325.67523914197</v>
      </c>
      <c r="BF339" s="7">
        <v>1273239.54473516</v>
      </c>
      <c r="BG339" s="7">
        <f t="shared" si="443"/>
        <v>490704.48642885528</v>
      </c>
      <c r="BI339" s="28">
        <v>2</v>
      </c>
      <c r="BJ339" s="26">
        <v>1.0000000000000001E-5</v>
      </c>
      <c r="BK339" s="28">
        <v>0.5</v>
      </c>
      <c r="BL339" s="28">
        <v>200</v>
      </c>
      <c r="BM339" s="26">
        <v>5.0000000000000002E-5</v>
      </c>
      <c r="BN339" s="26">
        <f t="shared" si="444"/>
        <v>2.5000000000000001E-5</v>
      </c>
      <c r="BO339" s="26">
        <f t="shared" si="445"/>
        <v>5</v>
      </c>
      <c r="BP339" s="7">
        <v>0.413333384162134</v>
      </c>
      <c r="BQ339" s="7">
        <v>3764.12485338133</v>
      </c>
      <c r="BR339" s="7">
        <v>192805.50471126701</v>
      </c>
      <c r="BS339" s="7">
        <v>3764.12485338133</v>
      </c>
      <c r="BT339" s="7">
        <v>135730.270095657</v>
      </c>
      <c r="BU339" s="7">
        <v>1273239.54473516</v>
      </c>
      <c r="BV339" s="7">
        <f t="shared" si="446"/>
        <v>200333.75441802968</v>
      </c>
      <c r="BX339" s="28">
        <v>2</v>
      </c>
      <c r="BY339" s="26">
        <v>5.0000000000000002E-5</v>
      </c>
      <c r="BZ339" s="28">
        <v>0.5</v>
      </c>
      <c r="CA339" s="28">
        <v>200</v>
      </c>
      <c r="CB339" s="26">
        <v>5.0000000000000002E-5</v>
      </c>
      <c r="CC339" s="26">
        <f t="shared" si="447"/>
        <v>2.5000000000000001E-5</v>
      </c>
      <c r="CD339" s="26">
        <f t="shared" si="448"/>
        <v>1</v>
      </c>
      <c r="CE339" s="7">
        <v>0.469206099544072</v>
      </c>
      <c r="CF339" s="7">
        <v>752.82497001808497</v>
      </c>
      <c r="CG339" s="7">
        <v>38561.1008743489</v>
      </c>
      <c r="CH339" s="7">
        <v>752.82497001808497</v>
      </c>
      <c r="CI339" s="7">
        <v>27146.0540472676</v>
      </c>
      <c r="CJ339" s="7">
        <v>50929.581789406497</v>
      </c>
      <c r="CK339" s="7">
        <f t="shared" si="449"/>
        <v>40066.750814385065</v>
      </c>
      <c r="CM339" s="28">
        <v>2</v>
      </c>
      <c r="CN339" s="26">
        <v>5.0000000000000002E-5</v>
      </c>
      <c r="CO339" s="28">
        <v>1</v>
      </c>
      <c r="CP339" s="28">
        <v>200</v>
      </c>
      <c r="CQ339" s="26">
        <v>5.0000000000000002E-5</v>
      </c>
      <c r="CR339" s="26">
        <f t="shared" si="450"/>
        <v>5.0000000000000002E-5</v>
      </c>
      <c r="CS339" s="26">
        <f t="shared" si="451"/>
        <v>2</v>
      </c>
      <c r="CT339" s="7">
        <v>0.875044706272467</v>
      </c>
      <c r="CU339" s="7">
        <v>665.23311259709499</v>
      </c>
      <c r="CV339" s="7">
        <v>19280.550437174399</v>
      </c>
      <c r="CW339" s="7">
        <v>665.23311259709499</v>
      </c>
      <c r="CX339" s="7">
        <v>13573.0270236338</v>
      </c>
      <c r="CY339" s="7">
        <v>50929.581789406497</v>
      </c>
      <c r="CZ339" s="7">
        <f t="shared" si="452"/>
        <v>20611.016662368591</v>
      </c>
      <c r="DB339" s="28">
        <v>2</v>
      </c>
      <c r="DC339" s="26">
        <v>5.0000000000000002E-5</v>
      </c>
      <c r="DD339" s="28">
        <v>2</v>
      </c>
      <c r="DE339" s="28">
        <v>200</v>
      </c>
      <c r="DF339" s="26">
        <v>5.0000000000000002E-5</v>
      </c>
      <c r="DG339" s="26">
        <f t="shared" si="453"/>
        <v>1E-4</v>
      </c>
      <c r="DH339" s="26">
        <f t="shared" si="454"/>
        <v>4</v>
      </c>
      <c r="DI339" s="7">
        <v>1.6703918476058199</v>
      </c>
      <c r="DJ339" s="7">
        <v>578.22973015081095</v>
      </c>
      <c r="DK339" s="7">
        <v>9640.2752185872196</v>
      </c>
      <c r="DL339" s="7">
        <v>578.22973015081095</v>
      </c>
      <c r="DM339" s="7">
        <v>6786.5135118168901</v>
      </c>
      <c r="DN339" s="7">
        <v>50929.581789406497</v>
      </c>
      <c r="DO339" s="7">
        <f t="shared" si="455"/>
        <v>10796.734678888843</v>
      </c>
      <c r="DQ339" s="28">
        <v>2</v>
      </c>
      <c r="DR339" s="26">
        <v>5.0000000000000002E-5</v>
      </c>
      <c r="DS339" s="28">
        <v>15</v>
      </c>
      <c r="DT339" s="28">
        <v>300</v>
      </c>
      <c r="DU339" s="26">
        <v>2.5000000000000001E-5</v>
      </c>
      <c r="DV339" s="26">
        <f t="shared" si="456"/>
        <v>3.7500000000000001E-4</v>
      </c>
      <c r="DW339" s="26">
        <f t="shared" si="457"/>
        <v>15</v>
      </c>
      <c r="DX339" s="7">
        <v>11.986080615092</v>
      </c>
      <c r="DY339" s="7">
        <v>254.539230510376</v>
      </c>
      <c r="DZ339" s="7">
        <v>1285.37002914496</v>
      </c>
      <c r="EA339" s="7">
        <v>254.539230510376</v>
      </c>
      <c r="EB339" s="7">
        <v>904.86846824225199</v>
      </c>
      <c r="EC339" s="7">
        <v>30557.749073643899</v>
      </c>
      <c r="ED339" s="7">
        <f t="shared" si="458"/>
        <v>1794.448490165712</v>
      </c>
    </row>
    <row r="340" spans="1:134" x14ac:dyDescent="0.4">
      <c r="A340" s="28">
        <v>4</v>
      </c>
      <c r="B340" s="26">
        <v>1.0000000000000001E-5</v>
      </c>
      <c r="C340" s="28">
        <v>0.2</v>
      </c>
      <c r="D340" s="28">
        <v>30</v>
      </c>
      <c r="E340" s="26">
        <v>5.0000000000000002E-5</v>
      </c>
      <c r="F340" s="26">
        <f t="shared" si="432"/>
        <v>1.0000000000000001E-5</v>
      </c>
      <c r="G340" s="26">
        <f t="shared" si="433"/>
        <v>2</v>
      </c>
      <c r="H340" s="7">
        <v>0.159311321284025</v>
      </c>
      <c r="I340" s="7">
        <v>20967.675665585699</v>
      </c>
      <c r="J340" s="7">
        <v>269259.42550450901</v>
      </c>
      <c r="K340" s="7">
        <v>20967.675665585699</v>
      </c>
      <c r="L340" s="7">
        <v>496205.96663466899</v>
      </c>
      <c r="M340" s="7">
        <v>1273239.54473516</v>
      </c>
      <c r="N340" s="7">
        <f t="shared" si="434"/>
        <v>311194.77683568036</v>
      </c>
      <c r="P340" s="28">
        <v>4</v>
      </c>
      <c r="Q340" s="26">
        <v>3.0000000000000001E-5</v>
      </c>
      <c r="R340" s="28">
        <v>0.2</v>
      </c>
      <c r="S340" s="28">
        <v>30</v>
      </c>
      <c r="T340" s="26">
        <v>5.0000000000000002E-5</v>
      </c>
      <c r="U340" s="26">
        <f t="shared" si="435"/>
        <v>1.0000000000000001E-5</v>
      </c>
      <c r="V340" s="26">
        <f t="shared" si="436"/>
        <v>0.66666666666666674</v>
      </c>
      <c r="W340" s="7">
        <v>0.193805362250592</v>
      </c>
      <c r="X340" s="7">
        <v>6989.2252213633501</v>
      </c>
      <c r="Y340" s="7">
        <v>89753.141816112096</v>
      </c>
      <c r="Z340" s="7">
        <v>6989.2252213633501</v>
      </c>
      <c r="AA340" s="7">
        <v>165401.98890513901</v>
      </c>
      <c r="AB340" s="7">
        <v>141471.060526129</v>
      </c>
      <c r="AC340" s="7">
        <f t="shared" si="437"/>
        <v>103731.59225883879</v>
      </c>
      <c r="AE340" s="28">
        <v>4</v>
      </c>
      <c r="AF340" s="26">
        <v>5.0000000000000002E-5</v>
      </c>
      <c r="AG340" s="28">
        <v>0.2</v>
      </c>
      <c r="AH340" s="28">
        <v>30</v>
      </c>
      <c r="AI340" s="26">
        <v>5.0000000000000002E-5</v>
      </c>
      <c r="AJ340" s="26">
        <f t="shared" si="438"/>
        <v>1.0000000000000001E-5</v>
      </c>
      <c r="AK340" s="26">
        <f t="shared" si="439"/>
        <v>0.4</v>
      </c>
      <c r="AL340" s="7">
        <v>0.21783311325160401</v>
      </c>
      <c r="AM340" s="7">
        <v>4193.5351285970401</v>
      </c>
      <c r="AN340" s="7">
        <v>53851.884931140201</v>
      </c>
      <c r="AO340" s="7">
        <v>4193.5351285970401</v>
      </c>
      <c r="AP340" s="7">
        <v>99241.193570966701</v>
      </c>
      <c r="AQ340" s="7">
        <v>50929.581789406497</v>
      </c>
      <c r="AR340" s="7">
        <f t="shared" si="440"/>
        <v>62238.955188334279</v>
      </c>
      <c r="AT340" s="28">
        <v>4</v>
      </c>
      <c r="AU340" s="26">
        <v>1.0000000000000001E-5</v>
      </c>
      <c r="AV340" s="28">
        <v>0.2</v>
      </c>
      <c r="AW340" s="28">
        <v>200</v>
      </c>
      <c r="AX340" s="26">
        <v>5.0000000000000002E-5</v>
      </c>
      <c r="AY340" s="26">
        <f t="shared" si="441"/>
        <v>1.0000000000000001E-5</v>
      </c>
      <c r="AZ340" s="26">
        <f t="shared" si="442"/>
        <v>2</v>
      </c>
      <c r="BA340" s="7">
        <v>0.15958875030238201</v>
      </c>
      <c r="BB340" s="7">
        <v>4345.3623253436699</v>
      </c>
      <c r="BC340" s="7">
        <v>269259.42550450901</v>
      </c>
      <c r="BD340" s="7">
        <v>4345.3623253436699</v>
      </c>
      <c r="BE340" s="7">
        <v>496205.96663466899</v>
      </c>
      <c r="BF340" s="7">
        <v>1273239.54473516</v>
      </c>
      <c r="BG340" s="7">
        <f t="shared" si="443"/>
        <v>277950.15015519632</v>
      </c>
      <c r="BI340" s="28">
        <v>4</v>
      </c>
      <c r="BJ340" s="26">
        <v>1.0000000000000001E-5</v>
      </c>
      <c r="BK340" s="28">
        <v>0.5</v>
      </c>
      <c r="BL340" s="28">
        <v>200</v>
      </c>
      <c r="BM340" s="26">
        <v>5.0000000000000002E-5</v>
      </c>
      <c r="BN340" s="26">
        <f t="shared" si="444"/>
        <v>2.5000000000000001E-5</v>
      </c>
      <c r="BO340" s="26">
        <f t="shared" si="445"/>
        <v>5</v>
      </c>
      <c r="BP340" s="7">
        <v>0.36465847447821897</v>
      </c>
      <c r="BQ340" s="7">
        <v>3764.12485338133</v>
      </c>
      <c r="BR340" s="7">
        <v>107703.770201803</v>
      </c>
      <c r="BS340" s="7">
        <v>3764.12485338133</v>
      </c>
      <c r="BT340" s="7">
        <v>198482.38665386799</v>
      </c>
      <c r="BU340" s="7">
        <v>1273239.54473516</v>
      </c>
      <c r="BV340" s="7">
        <f t="shared" si="446"/>
        <v>115232.01990856566</v>
      </c>
      <c r="BX340" s="28">
        <v>4</v>
      </c>
      <c r="BY340" s="26">
        <v>5.0000000000000002E-5</v>
      </c>
      <c r="BZ340" s="28">
        <v>0.5</v>
      </c>
      <c r="CA340" s="28">
        <v>200</v>
      </c>
      <c r="CB340" s="26">
        <v>5.0000000000000002E-5</v>
      </c>
      <c r="CC340" s="26">
        <f t="shared" si="447"/>
        <v>2.5000000000000001E-5</v>
      </c>
      <c r="CD340" s="26">
        <f t="shared" si="448"/>
        <v>1</v>
      </c>
      <c r="CE340" s="7">
        <v>0.44720354925551897</v>
      </c>
      <c r="CF340" s="7">
        <v>752.82497001808497</v>
      </c>
      <c r="CG340" s="7">
        <v>21540.753972456099</v>
      </c>
      <c r="CH340" s="7">
        <v>752.82497001808497</v>
      </c>
      <c r="CI340" s="7">
        <v>39696.477428386701</v>
      </c>
      <c r="CJ340" s="7">
        <v>50929.581789406497</v>
      </c>
      <c r="CK340" s="7">
        <f t="shared" si="449"/>
        <v>23046.403912492271</v>
      </c>
      <c r="CM340" s="28">
        <v>4</v>
      </c>
      <c r="CN340" s="26">
        <v>5.0000000000000002E-5</v>
      </c>
      <c r="CO340" s="28">
        <v>1</v>
      </c>
      <c r="CP340" s="28">
        <v>200</v>
      </c>
      <c r="CQ340" s="26">
        <v>5.0000000000000002E-5</v>
      </c>
      <c r="CR340" s="26">
        <f t="shared" si="450"/>
        <v>5.0000000000000002E-5</v>
      </c>
      <c r="CS340" s="26">
        <f t="shared" si="451"/>
        <v>2</v>
      </c>
      <c r="CT340" s="7">
        <v>0.79691539685536406</v>
      </c>
      <c r="CU340" s="7">
        <v>665.23311259709499</v>
      </c>
      <c r="CV340" s="7">
        <v>10770.376986228001</v>
      </c>
      <c r="CW340" s="7">
        <v>665.23311259709499</v>
      </c>
      <c r="CX340" s="7">
        <v>19848.2387141933</v>
      </c>
      <c r="CY340" s="7">
        <v>50929.581789406497</v>
      </c>
      <c r="CZ340" s="7">
        <f t="shared" si="452"/>
        <v>12100.843211422191</v>
      </c>
      <c r="DB340" s="28">
        <v>4</v>
      </c>
      <c r="DC340" s="26">
        <v>5.0000000000000002E-5</v>
      </c>
      <c r="DD340" s="28">
        <v>2</v>
      </c>
      <c r="DE340" s="28">
        <v>200</v>
      </c>
      <c r="DF340" s="26">
        <v>5.0000000000000002E-5</v>
      </c>
      <c r="DG340" s="26">
        <f t="shared" si="453"/>
        <v>1E-4</v>
      </c>
      <c r="DH340" s="26">
        <f t="shared" si="454"/>
        <v>4</v>
      </c>
      <c r="DI340" s="7">
        <v>1.48168378970568</v>
      </c>
      <c r="DJ340" s="7">
        <v>578.22973015081095</v>
      </c>
      <c r="DK340" s="7">
        <v>5385.1884931140203</v>
      </c>
      <c r="DL340" s="7">
        <v>578.22973015081095</v>
      </c>
      <c r="DM340" s="7">
        <v>9924.1193570966698</v>
      </c>
      <c r="DN340" s="7">
        <v>50929.581789406497</v>
      </c>
      <c r="DO340" s="7">
        <f t="shared" si="455"/>
        <v>6541.6479534156415</v>
      </c>
      <c r="DQ340" s="28">
        <v>4</v>
      </c>
      <c r="DR340" s="26">
        <v>5.0000000000000002E-5</v>
      </c>
      <c r="DS340" s="28">
        <v>15</v>
      </c>
      <c r="DT340" s="28">
        <v>300</v>
      </c>
      <c r="DU340" s="26">
        <v>2.5000000000000001E-5</v>
      </c>
      <c r="DV340" s="26">
        <f t="shared" si="456"/>
        <v>3.7500000000000001E-4</v>
      </c>
      <c r="DW340" s="26">
        <f t="shared" si="457"/>
        <v>15</v>
      </c>
      <c r="DX340" s="7">
        <v>10.3966749321823</v>
      </c>
      <c r="DY340" s="7">
        <v>254.539230510376</v>
      </c>
      <c r="DZ340" s="7">
        <v>718.02513241520205</v>
      </c>
      <c r="EA340" s="7">
        <v>254.539230510376</v>
      </c>
      <c r="EB340" s="7">
        <v>1323.2159142795599</v>
      </c>
      <c r="EC340" s="7">
        <v>30557.749073643899</v>
      </c>
      <c r="ED340" s="7">
        <f t="shared" si="458"/>
        <v>1227.1035934359541</v>
      </c>
    </row>
    <row r="341" spans="1:134" x14ac:dyDescent="0.4">
      <c r="A341" s="28">
        <v>6</v>
      </c>
      <c r="B341" s="26">
        <v>1.0000000000000001E-5</v>
      </c>
      <c r="C341" s="28">
        <v>0.2</v>
      </c>
      <c r="D341" s="28">
        <v>30</v>
      </c>
      <c r="E341" s="26">
        <v>5.0000000000000002E-5</v>
      </c>
      <c r="F341" s="26">
        <f t="shared" si="432"/>
        <v>1.0000000000000001E-5</v>
      </c>
      <c r="G341" s="26">
        <f t="shared" si="433"/>
        <v>2</v>
      </c>
      <c r="H341" s="7">
        <v>0.146347799519535</v>
      </c>
      <c r="I341" s="7">
        <v>20967.675665585699</v>
      </c>
      <c r="J341" s="7">
        <v>165780.67944707401</v>
      </c>
      <c r="K341" s="7">
        <v>20967.675665585699</v>
      </c>
      <c r="L341" s="7">
        <v>651465.34785778704</v>
      </c>
      <c r="M341" s="7">
        <v>1273239.54473516</v>
      </c>
      <c r="N341" s="7">
        <f t="shared" si="434"/>
        <v>207716.03077824542</v>
      </c>
      <c r="P341" s="28">
        <v>6</v>
      </c>
      <c r="Q341" s="26">
        <v>3.0000000000000001E-5</v>
      </c>
      <c r="R341" s="28">
        <v>0.2</v>
      </c>
      <c r="S341" s="28">
        <v>30</v>
      </c>
      <c r="T341" s="26">
        <v>5.0000000000000002E-5</v>
      </c>
      <c r="U341" s="26">
        <f t="shared" si="435"/>
        <v>1.0000000000000001E-5</v>
      </c>
      <c r="V341" s="26">
        <f t="shared" si="436"/>
        <v>0.66666666666666674</v>
      </c>
      <c r="W341" s="7">
        <v>0.19132973058825201</v>
      </c>
      <c r="X341" s="7">
        <v>6989.2252213633501</v>
      </c>
      <c r="Y341" s="7">
        <v>55260.226463633997</v>
      </c>
      <c r="Z341" s="7">
        <v>6989.2252213633501</v>
      </c>
      <c r="AA341" s="7">
        <v>217155.11601730101</v>
      </c>
      <c r="AB341" s="7">
        <v>141471.060526129</v>
      </c>
      <c r="AC341" s="7">
        <f t="shared" si="437"/>
        <v>69238.676906360692</v>
      </c>
      <c r="AE341" s="28">
        <v>6</v>
      </c>
      <c r="AF341" s="26">
        <v>5.0000000000000002E-5</v>
      </c>
      <c r="AG341" s="28">
        <v>0.2</v>
      </c>
      <c r="AH341" s="28">
        <v>30</v>
      </c>
      <c r="AI341" s="26">
        <v>5.0000000000000002E-5</v>
      </c>
      <c r="AJ341" s="26">
        <f t="shared" si="438"/>
        <v>1.0000000000000001E-5</v>
      </c>
      <c r="AK341" s="26">
        <f t="shared" si="439"/>
        <v>0.4</v>
      </c>
      <c r="AL341" s="7">
        <v>0.225886764491147</v>
      </c>
      <c r="AM341" s="7">
        <v>4193.5351285970401</v>
      </c>
      <c r="AN341" s="7">
        <v>33156.135719653299</v>
      </c>
      <c r="AO341" s="7">
        <v>4193.5351285970401</v>
      </c>
      <c r="AP341" s="7">
        <v>130293.0701582</v>
      </c>
      <c r="AQ341" s="7">
        <v>50929.581789406497</v>
      </c>
      <c r="AR341" s="7">
        <f t="shared" si="440"/>
        <v>41543.205976847377</v>
      </c>
      <c r="AT341" s="28">
        <v>6</v>
      </c>
      <c r="AU341" s="26">
        <v>1.0000000000000001E-5</v>
      </c>
      <c r="AV341" s="28">
        <v>0.2</v>
      </c>
      <c r="AW341" s="28">
        <v>200</v>
      </c>
      <c r="AX341" s="26">
        <v>5.0000000000000002E-5</v>
      </c>
      <c r="AY341" s="26">
        <f t="shared" si="441"/>
        <v>1.0000000000000001E-5</v>
      </c>
      <c r="AZ341" s="26">
        <f t="shared" si="442"/>
        <v>2</v>
      </c>
      <c r="BA341" s="7">
        <v>0.14668983959138701</v>
      </c>
      <c r="BB341" s="7">
        <v>4345.3623253436699</v>
      </c>
      <c r="BC341" s="7">
        <v>165780.67944707401</v>
      </c>
      <c r="BD341" s="7">
        <v>4345.3623253436699</v>
      </c>
      <c r="BE341" s="7">
        <v>651465.34785778704</v>
      </c>
      <c r="BF341" s="7">
        <v>1273239.54473516</v>
      </c>
      <c r="BG341" s="7">
        <f t="shared" si="443"/>
        <v>174471.40409776138</v>
      </c>
      <c r="BI341" s="28">
        <v>6</v>
      </c>
      <c r="BJ341" s="26">
        <v>1.0000000000000001E-5</v>
      </c>
      <c r="BK341" s="28">
        <v>0.5</v>
      </c>
      <c r="BL341" s="28">
        <v>200</v>
      </c>
      <c r="BM341" s="26">
        <v>5.0000000000000002E-5</v>
      </c>
      <c r="BN341" s="26">
        <f t="shared" si="444"/>
        <v>2.5000000000000001E-5</v>
      </c>
      <c r="BO341" s="26">
        <f t="shared" si="445"/>
        <v>5</v>
      </c>
      <c r="BP341" s="7">
        <v>0.32530770137100301</v>
      </c>
      <c r="BQ341" s="7">
        <v>3764.12485338133</v>
      </c>
      <c r="BR341" s="7">
        <v>66312.271778829701</v>
      </c>
      <c r="BS341" s="7">
        <v>3764.12485338133</v>
      </c>
      <c r="BT341" s="7">
        <v>260586.139143115</v>
      </c>
      <c r="BU341" s="7">
        <v>1273239.54473516</v>
      </c>
      <c r="BV341" s="7">
        <f t="shared" si="446"/>
        <v>73840.52148559237</v>
      </c>
      <c r="BX341" s="28">
        <v>6</v>
      </c>
      <c r="BY341" s="26">
        <v>5.0000000000000002E-5</v>
      </c>
      <c r="BZ341" s="28">
        <v>0.5</v>
      </c>
      <c r="CA341" s="28">
        <v>200</v>
      </c>
      <c r="CB341" s="26">
        <v>5.0000000000000002E-5</v>
      </c>
      <c r="CC341" s="26">
        <f t="shared" si="447"/>
        <v>2.5000000000000001E-5</v>
      </c>
      <c r="CD341" s="26">
        <f t="shared" si="448"/>
        <v>1</v>
      </c>
      <c r="CE341" s="7">
        <v>0.42810379130760301</v>
      </c>
      <c r="CF341" s="7">
        <v>752.82497001808497</v>
      </c>
      <c r="CG341" s="7">
        <v>13262.454287861299</v>
      </c>
      <c r="CH341" s="7">
        <v>752.82497001808497</v>
      </c>
      <c r="CI341" s="7">
        <v>52117.228063280199</v>
      </c>
      <c r="CJ341" s="7">
        <v>50929.581789406497</v>
      </c>
      <c r="CK341" s="7">
        <f t="shared" si="449"/>
        <v>14768.104227897471</v>
      </c>
      <c r="CM341" s="28">
        <v>6</v>
      </c>
      <c r="CN341" s="26">
        <v>5.0000000000000002E-5</v>
      </c>
      <c r="CO341" s="28">
        <v>1</v>
      </c>
      <c r="CP341" s="28">
        <v>200</v>
      </c>
      <c r="CQ341" s="26">
        <v>5.0000000000000002E-5</v>
      </c>
      <c r="CR341" s="26">
        <f t="shared" si="450"/>
        <v>5.0000000000000002E-5</v>
      </c>
      <c r="CS341" s="26">
        <f t="shared" si="451"/>
        <v>2</v>
      </c>
      <c r="CT341" s="7">
        <v>0.73218120187956304</v>
      </c>
      <c r="CU341" s="7">
        <v>665.23311259709499</v>
      </c>
      <c r="CV341" s="7">
        <v>6631.2271439306596</v>
      </c>
      <c r="CW341" s="7">
        <v>665.23311259709499</v>
      </c>
      <c r="CX341" s="7">
        <v>26058.6140316401</v>
      </c>
      <c r="CY341" s="7">
        <v>50929.581789406497</v>
      </c>
      <c r="CZ341" s="7">
        <f t="shared" si="452"/>
        <v>7961.6933691248496</v>
      </c>
      <c r="DB341" s="28">
        <v>6</v>
      </c>
      <c r="DC341" s="26">
        <v>5.0000000000000002E-5</v>
      </c>
      <c r="DD341" s="28">
        <v>2</v>
      </c>
      <c r="DE341" s="28">
        <v>200</v>
      </c>
      <c r="DF341" s="26">
        <v>5.0000000000000002E-5</v>
      </c>
      <c r="DG341" s="26">
        <f t="shared" si="453"/>
        <v>1E-4</v>
      </c>
      <c r="DH341" s="26">
        <f t="shared" si="454"/>
        <v>4</v>
      </c>
      <c r="DI341" s="7">
        <v>1.32855480534115</v>
      </c>
      <c r="DJ341" s="7">
        <v>578.22973015081095</v>
      </c>
      <c r="DK341" s="7">
        <v>3315.6135719653298</v>
      </c>
      <c r="DL341" s="7">
        <v>578.22973015081095</v>
      </c>
      <c r="DM341" s="7">
        <v>13029.307015820101</v>
      </c>
      <c r="DN341" s="7">
        <v>50929.581789406497</v>
      </c>
      <c r="DO341" s="7">
        <f t="shared" si="455"/>
        <v>4472.0730322669515</v>
      </c>
      <c r="DQ341" s="28">
        <v>6</v>
      </c>
      <c r="DR341" s="26">
        <v>5.0000000000000002E-5</v>
      </c>
      <c r="DS341" s="28">
        <v>15</v>
      </c>
      <c r="DT341" s="28">
        <v>300</v>
      </c>
      <c r="DU341" s="26">
        <v>2.5000000000000001E-5</v>
      </c>
      <c r="DV341" s="26">
        <f t="shared" si="456"/>
        <v>3.7500000000000001E-4</v>
      </c>
      <c r="DW341" s="26">
        <f t="shared" si="457"/>
        <v>15</v>
      </c>
      <c r="DX341" s="7">
        <v>9.12493273223226</v>
      </c>
      <c r="DY341" s="7">
        <v>254.539230510376</v>
      </c>
      <c r="DZ341" s="7">
        <v>442.08180959537702</v>
      </c>
      <c r="EA341" s="7">
        <v>254.539230510376</v>
      </c>
      <c r="EB341" s="7">
        <v>1737.24093544267</v>
      </c>
      <c r="EC341" s="7">
        <v>30557.749073643899</v>
      </c>
      <c r="ED341" s="7">
        <f t="shared" si="458"/>
        <v>951.16027061612908</v>
      </c>
    </row>
    <row r="342" spans="1:134" x14ac:dyDescent="0.4">
      <c r="A342" s="28">
        <v>8</v>
      </c>
      <c r="B342" s="26">
        <v>1.0000000000000001E-5</v>
      </c>
      <c r="C342" s="28">
        <v>0.2</v>
      </c>
      <c r="D342" s="28">
        <v>30</v>
      </c>
      <c r="E342" s="26">
        <v>5.0000000000000002E-5</v>
      </c>
      <c r="F342" s="26">
        <f t="shared" si="432"/>
        <v>1.0000000000000001E-5</v>
      </c>
      <c r="G342" s="26">
        <f t="shared" si="433"/>
        <v>2</v>
      </c>
      <c r="H342" s="7">
        <v>0.13490706545035899</v>
      </c>
      <c r="I342" s="7">
        <v>20967.675665585699</v>
      </c>
      <c r="J342" s="7">
        <v>100396.196898707</v>
      </c>
      <c r="K342" s="7">
        <v>20967.675665585699</v>
      </c>
      <c r="L342" s="7">
        <v>821154.82400854595</v>
      </c>
      <c r="M342" s="7">
        <v>1273239.54473516</v>
      </c>
      <c r="N342" s="7">
        <f t="shared" si="434"/>
        <v>142331.54822987839</v>
      </c>
      <c r="P342" s="28">
        <v>8</v>
      </c>
      <c r="Q342" s="26">
        <v>3.0000000000000001E-5</v>
      </c>
      <c r="R342" s="28">
        <v>0.2</v>
      </c>
      <c r="S342" s="28">
        <v>30</v>
      </c>
      <c r="T342" s="26">
        <v>5.0000000000000002E-5</v>
      </c>
      <c r="U342" s="26">
        <f t="shared" si="435"/>
        <v>1.0000000000000001E-5</v>
      </c>
      <c r="V342" s="26">
        <f t="shared" si="436"/>
        <v>0.66666666666666674</v>
      </c>
      <c r="W342" s="7">
        <v>0.188965430169313</v>
      </c>
      <c r="X342" s="7">
        <v>6989.2252213633501</v>
      </c>
      <c r="Y342" s="7">
        <v>33465.398947511501</v>
      </c>
      <c r="Z342" s="7">
        <v>6989.2252213633501</v>
      </c>
      <c r="AA342" s="7">
        <v>273718.27480960399</v>
      </c>
      <c r="AB342" s="7">
        <v>141471.060526129</v>
      </c>
      <c r="AC342" s="7">
        <f t="shared" si="437"/>
        <v>47443.849390238196</v>
      </c>
      <c r="AE342" s="28">
        <v>8</v>
      </c>
      <c r="AF342" s="26">
        <v>5.0000000000000002E-5</v>
      </c>
      <c r="AG342" s="28">
        <v>0.2</v>
      </c>
      <c r="AH342" s="28">
        <v>30</v>
      </c>
      <c r="AI342" s="26">
        <v>5.0000000000000002E-5</v>
      </c>
      <c r="AJ342" s="26">
        <f t="shared" si="438"/>
        <v>1.0000000000000001E-5</v>
      </c>
      <c r="AK342" s="26">
        <f t="shared" si="439"/>
        <v>0.4</v>
      </c>
      <c r="AL342" s="7">
        <v>0.23357764627062599</v>
      </c>
      <c r="AM342" s="7">
        <v>4193.5351285970401</v>
      </c>
      <c r="AN342" s="7">
        <v>20079.239209979802</v>
      </c>
      <c r="AO342" s="7">
        <v>4193.5351285970401</v>
      </c>
      <c r="AP342" s="7">
        <v>164230.96607182099</v>
      </c>
      <c r="AQ342" s="7">
        <v>50929.581789406497</v>
      </c>
      <c r="AR342" s="7">
        <f t="shared" si="440"/>
        <v>28466.30946717388</v>
      </c>
      <c r="AT342" s="28">
        <v>8</v>
      </c>
      <c r="AU342" s="26">
        <v>1.0000000000000001E-5</v>
      </c>
      <c r="AV342" s="28">
        <v>0.2</v>
      </c>
      <c r="AW342" s="28">
        <v>200</v>
      </c>
      <c r="AX342" s="26">
        <v>5.0000000000000002E-5</v>
      </c>
      <c r="AY342" s="26">
        <f t="shared" si="441"/>
        <v>1.0000000000000001E-5</v>
      </c>
      <c r="AZ342" s="26">
        <f t="shared" si="442"/>
        <v>2</v>
      </c>
      <c r="BA342" s="7">
        <v>0.13530217839663999</v>
      </c>
      <c r="BB342" s="7">
        <v>4345.3623253436699</v>
      </c>
      <c r="BC342" s="7">
        <v>100396.196898707</v>
      </c>
      <c r="BD342" s="7">
        <v>4345.3623253436699</v>
      </c>
      <c r="BE342" s="7">
        <v>821154.82400854595</v>
      </c>
      <c r="BF342" s="7">
        <v>1273239.54473516</v>
      </c>
      <c r="BG342" s="7">
        <f t="shared" si="443"/>
        <v>109086.92154939433</v>
      </c>
      <c r="BI342" s="28">
        <v>8</v>
      </c>
      <c r="BJ342" s="26">
        <v>1.0000000000000001E-5</v>
      </c>
      <c r="BK342" s="28">
        <v>0.5</v>
      </c>
      <c r="BL342" s="28">
        <v>200</v>
      </c>
      <c r="BM342" s="26">
        <v>5.0000000000000002E-5</v>
      </c>
      <c r="BN342" s="26">
        <f t="shared" si="444"/>
        <v>2.5000000000000001E-5</v>
      </c>
      <c r="BO342" s="26">
        <f t="shared" si="445"/>
        <v>5</v>
      </c>
      <c r="BP342" s="7">
        <v>0.29107697267003202</v>
      </c>
      <c r="BQ342" s="7">
        <v>3764.12485338133</v>
      </c>
      <c r="BR342" s="7">
        <v>40158.478759482699</v>
      </c>
      <c r="BS342" s="7">
        <v>3764.12485338133</v>
      </c>
      <c r="BT342" s="7">
        <v>328461.92960341799</v>
      </c>
      <c r="BU342" s="7">
        <v>1273239.54473516</v>
      </c>
      <c r="BV342" s="7">
        <f t="shared" si="446"/>
        <v>47686.728466245353</v>
      </c>
      <c r="BX342" s="28">
        <v>8</v>
      </c>
      <c r="BY342" s="26">
        <v>5.0000000000000002E-5</v>
      </c>
      <c r="BZ342" s="28">
        <v>0.5</v>
      </c>
      <c r="CA342" s="28">
        <v>200</v>
      </c>
      <c r="CB342" s="26">
        <v>5.0000000000000002E-5</v>
      </c>
      <c r="CC342" s="26">
        <f t="shared" si="447"/>
        <v>2.5000000000000001E-5</v>
      </c>
      <c r="CD342" s="26">
        <f t="shared" si="448"/>
        <v>1</v>
      </c>
      <c r="CE342" s="7">
        <v>0.41072564784485799</v>
      </c>
      <c r="CF342" s="7">
        <v>752.82497001808497</v>
      </c>
      <c r="CG342" s="7">
        <v>8031.6956839919103</v>
      </c>
      <c r="CH342" s="7">
        <v>752.82497001808497</v>
      </c>
      <c r="CI342" s="7">
        <v>65692.386428728598</v>
      </c>
      <c r="CJ342" s="7">
        <v>50929.581789406497</v>
      </c>
      <c r="CK342" s="7">
        <f t="shared" si="449"/>
        <v>9537.3456240280793</v>
      </c>
      <c r="CM342" s="28">
        <v>8</v>
      </c>
      <c r="CN342" s="26">
        <v>5.0000000000000002E-5</v>
      </c>
      <c r="CO342" s="28">
        <v>1</v>
      </c>
      <c r="CP342" s="28">
        <v>200</v>
      </c>
      <c r="CQ342" s="26">
        <v>5.0000000000000002E-5</v>
      </c>
      <c r="CR342" s="26">
        <f t="shared" si="450"/>
        <v>5.0000000000000002E-5</v>
      </c>
      <c r="CS342" s="26">
        <f t="shared" si="451"/>
        <v>2</v>
      </c>
      <c r="CT342" s="7">
        <v>0.675046033000542</v>
      </c>
      <c r="CU342" s="7">
        <v>665.23311259709499</v>
      </c>
      <c r="CV342" s="7">
        <v>4015.8478419959501</v>
      </c>
      <c r="CW342" s="7">
        <v>665.23311259709499</v>
      </c>
      <c r="CX342" s="7">
        <v>32846.193214364299</v>
      </c>
      <c r="CY342" s="7">
        <v>50929.581789406497</v>
      </c>
      <c r="CZ342" s="7">
        <f t="shared" si="452"/>
        <v>5346.3140671901401</v>
      </c>
      <c r="DB342" s="28">
        <v>8</v>
      </c>
      <c r="DC342" s="26">
        <v>5.0000000000000002E-5</v>
      </c>
      <c r="DD342" s="28">
        <v>2</v>
      </c>
      <c r="DE342" s="28">
        <v>200</v>
      </c>
      <c r="DF342" s="26">
        <v>5.0000000000000002E-5</v>
      </c>
      <c r="DG342" s="26">
        <f t="shared" si="453"/>
        <v>1E-4</v>
      </c>
      <c r="DH342" s="26">
        <f t="shared" si="454"/>
        <v>4</v>
      </c>
      <c r="DI342" s="7">
        <v>1.19506327861961</v>
      </c>
      <c r="DJ342" s="7">
        <v>578.22973015081095</v>
      </c>
      <c r="DK342" s="7">
        <v>2007.9239209979801</v>
      </c>
      <c r="DL342" s="7">
        <v>578.22973015081095</v>
      </c>
      <c r="DM342" s="7">
        <v>16423.096607182099</v>
      </c>
      <c r="DN342" s="7">
        <v>50929.581789406497</v>
      </c>
      <c r="DO342" s="7">
        <f t="shared" si="455"/>
        <v>3164.3833812996022</v>
      </c>
      <c r="DQ342" s="28">
        <v>8</v>
      </c>
      <c r="DR342" s="26">
        <v>5.0000000000000002E-5</v>
      </c>
      <c r="DS342" s="28">
        <v>15</v>
      </c>
      <c r="DT342" s="28">
        <v>300</v>
      </c>
      <c r="DU342" s="26">
        <v>2.5000000000000001E-5</v>
      </c>
      <c r="DV342" s="26">
        <f t="shared" si="456"/>
        <v>3.7500000000000001E-4</v>
      </c>
      <c r="DW342" s="26">
        <f t="shared" si="457"/>
        <v>15</v>
      </c>
      <c r="DX342" s="7">
        <v>8.0251485292751408</v>
      </c>
      <c r="DY342" s="7">
        <v>254.539230510376</v>
      </c>
      <c r="DZ342" s="7">
        <v>267.723189466397</v>
      </c>
      <c r="EA342" s="7">
        <v>254.539230510376</v>
      </c>
      <c r="EB342" s="7">
        <v>2189.7462142909499</v>
      </c>
      <c r="EC342" s="7">
        <v>30557.749073643899</v>
      </c>
      <c r="ED342" s="7">
        <f t="shared" si="458"/>
        <v>776.801650487149</v>
      </c>
    </row>
    <row r="343" spans="1:134" x14ac:dyDescent="0.4">
      <c r="A343" s="28">
        <v>10</v>
      </c>
      <c r="B343" s="26">
        <v>1.0000000000000001E-5</v>
      </c>
      <c r="C343" s="28">
        <v>0.2</v>
      </c>
      <c r="D343" s="28">
        <v>30</v>
      </c>
      <c r="E343" s="26">
        <v>5.0000000000000002E-5</v>
      </c>
      <c r="F343" s="26">
        <f t="shared" si="432"/>
        <v>1.0000000000000001E-5</v>
      </c>
      <c r="G343" s="26">
        <f t="shared" si="433"/>
        <v>2</v>
      </c>
      <c r="H343" s="7">
        <v>0.124684507885834</v>
      </c>
      <c r="I343" s="7">
        <v>20967.675665585699</v>
      </c>
      <c r="J343" s="7">
        <v>53826.312121005001</v>
      </c>
      <c r="K343" s="7">
        <v>20967.675665585699</v>
      </c>
      <c r="L343" s="7">
        <v>1014751.21705289</v>
      </c>
      <c r="M343" s="7">
        <v>1273239.54473516</v>
      </c>
      <c r="N343" s="7">
        <f t="shared" si="434"/>
        <v>95761.663452176406</v>
      </c>
      <c r="P343" s="28">
        <v>10</v>
      </c>
      <c r="Q343" s="26">
        <v>3.0000000000000001E-5</v>
      </c>
      <c r="R343" s="28">
        <v>0.2</v>
      </c>
      <c r="S343" s="28">
        <v>30</v>
      </c>
      <c r="T343" s="26">
        <v>5.0000000000000002E-5</v>
      </c>
      <c r="U343" s="26">
        <f t="shared" si="435"/>
        <v>1.0000000000000001E-5</v>
      </c>
      <c r="V343" s="26">
        <f t="shared" si="436"/>
        <v>0.66666666666666674</v>
      </c>
      <c r="W343" s="7">
        <v>0.18686504771677001</v>
      </c>
      <c r="X343" s="7">
        <v>6989.2252213633501</v>
      </c>
      <c r="Y343" s="7">
        <v>17942.1040216109</v>
      </c>
      <c r="Z343" s="7">
        <v>6989.2252213633501</v>
      </c>
      <c r="AA343" s="7">
        <v>338250.40599296999</v>
      </c>
      <c r="AB343" s="7">
        <v>141471.060526129</v>
      </c>
      <c r="AC343" s="7">
        <f t="shared" si="437"/>
        <v>31920.554464337602</v>
      </c>
      <c r="AE343" s="28">
        <v>10</v>
      </c>
      <c r="AF343" s="26">
        <v>5.0000000000000002E-5</v>
      </c>
      <c r="AG343" s="28">
        <v>0.2</v>
      </c>
      <c r="AH343" s="28">
        <v>30</v>
      </c>
      <c r="AI343" s="26">
        <v>5.0000000000000002E-5</v>
      </c>
      <c r="AJ343" s="26">
        <f t="shared" si="438"/>
        <v>1.0000000000000001E-5</v>
      </c>
      <c r="AK343" s="26">
        <f t="shared" si="439"/>
        <v>0.4</v>
      </c>
      <c r="AL343" s="7">
        <v>0.24117259990610099</v>
      </c>
      <c r="AM343" s="7">
        <v>4193.5351285970401</v>
      </c>
      <c r="AN343" s="7">
        <v>10765.2622544394</v>
      </c>
      <c r="AO343" s="7">
        <v>4193.5351285970401</v>
      </c>
      <c r="AP343" s="7">
        <v>202950.24620916101</v>
      </c>
      <c r="AQ343" s="7">
        <v>50929.581789406497</v>
      </c>
      <c r="AR343" s="7">
        <f t="shared" si="440"/>
        <v>19152.332511633478</v>
      </c>
      <c r="AT343" s="28">
        <v>10</v>
      </c>
      <c r="AU343" s="26">
        <v>1.0000000000000001E-5</v>
      </c>
      <c r="AV343" s="28">
        <v>0.2</v>
      </c>
      <c r="AW343" s="28">
        <v>200</v>
      </c>
      <c r="AX343" s="26">
        <v>5.0000000000000002E-5</v>
      </c>
      <c r="AY343" s="26">
        <f t="shared" si="441"/>
        <v>1.0000000000000001E-5</v>
      </c>
      <c r="AZ343" s="26">
        <f t="shared" si="442"/>
        <v>2</v>
      </c>
      <c r="BA343" s="7">
        <v>0.125125363215809</v>
      </c>
      <c r="BB343" s="7">
        <v>4345.3623253436699</v>
      </c>
      <c r="BC343" s="7">
        <v>53826.312121005001</v>
      </c>
      <c r="BD343" s="7">
        <v>4345.3623253436699</v>
      </c>
      <c r="BE343" s="7">
        <v>1014751.21705289</v>
      </c>
      <c r="BF343" s="7">
        <v>1273239.54473516</v>
      </c>
      <c r="BG343" s="7">
        <f t="shared" si="443"/>
        <v>62517.036771692336</v>
      </c>
      <c r="BI343" s="28">
        <v>10</v>
      </c>
      <c r="BJ343" s="26">
        <v>1.0000000000000001E-5</v>
      </c>
      <c r="BK343" s="28">
        <v>0.5</v>
      </c>
      <c r="BL343" s="28">
        <v>200</v>
      </c>
      <c r="BM343" s="26">
        <v>5.0000000000000002E-5</v>
      </c>
      <c r="BN343" s="26">
        <f t="shared" si="444"/>
        <v>2.5000000000000001E-5</v>
      </c>
      <c r="BO343" s="26">
        <f t="shared" si="445"/>
        <v>5</v>
      </c>
      <c r="BP343" s="7">
        <v>0.26071065379159197</v>
      </c>
      <c r="BQ343" s="7">
        <v>3764.12485338133</v>
      </c>
      <c r="BR343" s="7">
        <v>21530.524848402001</v>
      </c>
      <c r="BS343" s="7">
        <v>3764.12485338133</v>
      </c>
      <c r="BT343" s="7">
        <v>405900.48682115501</v>
      </c>
      <c r="BU343" s="7">
        <v>1273239.54473516</v>
      </c>
      <c r="BV343" s="7">
        <f t="shared" si="446"/>
        <v>29058.774555164662</v>
      </c>
      <c r="BX343" s="28">
        <v>10</v>
      </c>
      <c r="BY343" s="26">
        <v>5.0000000000000002E-5</v>
      </c>
      <c r="BZ343" s="28">
        <v>0.5</v>
      </c>
      <c r="CA343" s="28">
        <v>200</v>
      </c>
      <c r="CB343" s="26">
        <v>5.0000000000000002E-5</v>
      </c>
      <c r="CC343" s="26">
        <f t="shared" si="447"/>
        <v>2.5000000000000001E-5</v>
      </c>
      <c r="CD343" s="26">
        <f t="shared" si="448"/>
        <v>1</v>
      </c>
      <c r="CE343" s="7">
        <v>0.39502245916210699</v>
      </c>
      <c r="CF343" s="7">
        <v>752.82497001808497</v>
      </c>
      <c r="CG343" s="7">
        <v>4306.1049017757796</v>
      </c>
      <c r="CH343" s="7">
        <v>752.82497001808497</v>
      </c>
      <c r="CI343" s="7">
        <v>81180.098483664406</v>
      </c>
      <c r="CJ343" s="7">
        <v>50929.581789406497</v>
      </c>
      <c r="CK343" s="7">
        <f t="shared" si="449"/>
        <v>5811.7548418119495</v>
      </c>
      <c r="CM343" s="28">
        <v>10</v>
      </c>
      <c r="CN343" s="26">
        <v>5.0000000000000002E-5</v>
      </c>
      <c r="CO343" s="28">
        <v>1</v>
      </c>
      <c r="CP343" s="28">
        <v>200</v>
      </c>
      <c r="CQ343" s="26">
        <v>5.0000000000000002E-5</v>
      </c>
      <c r="CR343" s="26">
        <f t="shared" si="450"/>
        <v>5.0000000000000002E-5</v>
      </c>
      <c r="CS343" s="26">
        <f t="shared" si="451"/>
        <v>2</v>
      </c>
      <c r="CT343" s="7">
        <v>0.62399227480016695</v>
      </c>
      <c r="CU343" s="7">
        <v>665.23311259709499</v>
      </c>
      <c r="CV343" s="7">
        <v>2153.0524508878898</v>
      </c>
      <c r="CW343" s="7">
        <v>665.23311259709499</v>
      </c>
      <c r="CX343" s="7">
        <v>40590.049241832203</v>
      </c>
      <c r="CY343" s="7">
        <v>50929.581789406497</v>
      </c>
      <c r="CZ343" s="7">
        <f t="shared" si="452"/>
        <v>3483.5186760820798</v>
      </c>
      <c r="DB343" s="28">
        <v>10</v>
      </c>
      <c r="DC343" s="26">
        <v>5.0000000000000002E-5</v>
      </c>
      <c r="DD343" s="28">
        <v>2</v>
      </c>
      <c r="DE343" s="28">
        <v>200</v>
      </c>
      <c r="DF343" s="26">
        <v>5.0000000000000002E-5</v>
      </c>
      <c r="DG343" s="26">
        <f t="shared" si="453"/>
        <v>1E-4</v>
      </c>
      <c r="DH343" s="26">
        <f t="shared" si="454"/>
        <v>4</v>
      </c>
      <c r="DI343" s="7">
        <v>1.0765110555488</v>
      </c>
      <c r="DJ343" s="7">
        <v>578.22973015081095</v>
      </c>
      <c r="DK343" s="7">
        <v>1076.5262254439399</v>
      </c>
      <c r="DL343" s="7">
        <v>578.22973015081095</v>
      </c>
      <c r="DM343" s="7">
        <v>20295.024620916101</v>
      </c>
      <c r="DN343" s="7">
        <v>50929.581789406497</v>
      </c>
      <c r="DO343" s="7">
        <f t="shared" si="455"/>
        <v>2232.985685745562</v>
      </c>
      <c r="DQ343" s="28">
        <v>10</v>
      </c>
      <c r="DR343" s="26">
        <v>5.0000000000000002E-5</v>
      </c>
      <c r="DS343" s="28">
        <v>15</v>
      </c>
      <c r="DT343" s="28">
        <v>300</v>
      </c>
      <c r="DU343" s="26">
        <v>2.5000000000000001E-5</v>
      </c>
      <c r="DV343" s="26">
        <f t="shared" si="456"/>
        <v>3.7500000000000001E-4</v>
      </c>
      <c r="DW343" s="26">
        <f t="shared" si="457"/>
        <v>15</v>
      </c>
      <c r="DX343" s="7">
        <v>7.05250165864304</v>
      </c>
      <c r="DY343" s="7">
        <v>254.539230510376</v>
      </c>
      <c r="DZ343" s="7">
        <v>143.53683005919299</v>
      </c>
      <c r="EA343" s="7">
        <v>254.539230510376</v>
      </c>
      <c r="EB343" s="7">
        <v>2706.0032827888099</v>
      </c>
      <c r="EC343" s="7">
        <v>30557.749073643899</v>
      </c>
      <c r="ED343" s="7">
        <f t="shared" si="458"/>
        <v>652.615291079945</v>
      </c>
    </row>
    <row r="344" spans="1:134" x14ac:dyDescent="0.4">
      <c r="A344" s="28">
        <v>12</v>
      </c>
      <c r="B344" s="26">
        <v>1.0000000000000001E-5</v>
      </c>
      <c r="C344" s="28">
        <v>0.2</v>
      </c>
      <c r="D344" s="28">
        <v>30</v>
      </c>
      <c r="E344" s="26">
        <v>5.0000000000000002E-5</v>
      </c>
      <c r="F344" s="26">
        <f t="shared" si="432"/>
        <v>1.0000000000000001E-5</v>
      </c>
      <c r="G344" s="26">
        <f t="shared" si="433"/>
        <v>2</v>
      </c>
      <c r="H344" s="7">
        <v>0.116708803994841</v>
      </c>
      <c r="I344" s="7">
        <v>20967.675665585699</v>
      </c>
      <c r="J344" s="7">
        <v>18265.061724746</v>
      </c>
      <c r="K344" s="7">
        <v>20967.675665585699</v>
      </c>
      <c r="L344" s="7">
        <v>1222830.0672564299</v>
      </c>
      <c r="M344" s="7">
        <v>1273239.54473516</v>
      </c>
      <c r="N344" s="7">
        <f t="shared" si="434"/>
        <v>60200.413055917394</v>
      </c>
      <c r="P344" s="28">
        <v>12</v>
      </c>
      <c r="Q344" s="26">
        <v>3.0000000000000001E-5</v>
      </c>
      <c r="R344" s="28">
        <v>0.2</v>
      </c>
      <c r="S344" s="28">
        <v>30</v>
      </c>
      <c r="T344" s="26">
        <v>5.0000000000000002E-5</v>
      </c>
      <c r="U344" s="26">
        <f t="shared" si="435"/>
        <v>1.0000000000000001E-5</v>
      </c>
      <c r="V344" s="26">
        <f t="shared" si="436"/>
        <v>0.66666666666666674</v>
      </c>
      <c r="W344" s="7">
        <v>0.18630712238542399</v>
      </c>
      <c r="X344" s="7">
        <v>6989.2252213633501</v>
      </c>
      <c r="Y344" s="7">
        <v>6088.3538895246002</v>
      </c>
      <c r="Z344" s="7">
        <v>6989.2252213633501</v>
      </c>
      <c r="AA344" s="7">
        <v>407610.02322415198</v>
      </c>
      <c r="AB344" s="7">
        <v>141471.060526129</v>
      </c>
      <c r="AC344" s="7">
        <f t="shared" si="437"/>
        <v>20066.8043322513</v>
      </c>
      <c r="AE344" s="28">
        <v>12</v>
      </c>
      <c r="AF344" s="26">
        <v>5.0000000000000002E-5</v>
      </c>
      <c r="AG344" s="28">
        <v>0.2</v>
      </c>
      <c r="AH344" s="28">
        <v>30</v>
      </c>
      <c r="AI344" s="26">
        <v>5.0000000000000002E-5</v>
      </c>
      <c r="AJ344" s="26">
        <f t="shared" si="438"/>
        <v>1.0000000000000001E-5</v>
      </c>
      <c r="AK344" s="26">
        <f t="shared" si="439"/>
        <v>0.4</v>
      </c>
      <c r="AL344" s="7">
        <v>0.25001974941492</v>
      </c>
      <c r="AM344" s="7">
        <v>4193.5351285970401</v>
      </c>
      <c r="AN344" s="7">
        <v>3653.01217518762</v>
      </c>
      <c r="AO344" s="7">
        <v>4193.5351285970401</v>
      </c>
      <c r="AP344" s="7">
        <v>244566.02075291699</v>
      </c>
      <c r="AQ344" s="7">
        <v>50929.581789406497</v>
      </c>
      <c r="AR344" s="7">
        <f t="shared" si="440"/>
        <v>12040.0824323817</v>
      </c>
      <c r="AT344" s="28">
        <v>12</v>
      </c>
      <c r="AU344" s="26">
        <v>1.0000000000000001E-5</v>
      </c>
      <c r="AV344" s="28">
        <v>0.2</v>
      </c>
      <c r="AW344" s="28">
        <v>200</v>
      </c>
      <c r="AX344" s="26">
        <v>5.0000000000000002E-5</v>
      </c>
      <c r="AY344" s="26">
        <f t="shared" si="441"/>
        <v>1.0000000000000001E-5</v>
      </c>
      <c r="AZ344" s="26">
        <f t="shared" si="442"/>
        <v>2</v>
      </c>
      <c r="BA344" s="7">
        <v>0.11719023587562501</v>
      </c>
      <c r="BB344" s="7">
        <v>4345.3623253436699</v>
      </c>
      <c r="BC344" s="7">
        <v>18265.061724746</v>
      </c>
      <c r="BD344" s="7">
        <v>4345.3623253436699</v>
      </c>
      <c r="BE344" s="7">
        <v>1222830.0672564299</v>
      </c>
      <c r="BF344" s="7">
        <v>1273239.54473516</v>
      </c>
      <c r="BG344" s="7">
        <f t="shared" si="443"/>
        <v>26955.786375433341</v>
      </c>
      <c r="BI344" s="28">
        <v>12</v>
      </c>
      <c r="BJ344" s="26">
        <v>1.0000000000000001E-5</v>
      </c>
      <c r="BK344" s="28">
        <v>0.5</v>
      </c>
      <c r="BL344" s="28">
        <v>200</v>
      </c>
      <c r="BM344" s="26">
        <v>5.0000000000000002E-5</v>
      </c>
      <c r="BN344" s="26">
        <f t="shared" si="444"/>
        <v>2.5000000000000001E-5</v>
      </c>
      <c r="BO344" s="26">
        <f t="shared" si="445"/>
        <v>5</v>
      </c>
      <c r="BP344" s="7">
        <v>0.236531313836048</v>
      </c>
      <c r="BQ344" s="7">
        <v>3764.12485338133</v>
      </c>
      <c r="BR344" s="7">
        <v>7306.0246898983996</v>
      </c>
      <c r="BS344" s="7">
        <v>3764.12485338133</v>
      </c>
      <c r="BT344" s="7">
        <v>489132.02690256998</v>
      </c>
      <c r="BU344" s="7">
        <v>1273239.54473516</v>
      </c>
      <c r="BV344" s="7">
        <f t="shared" si="446"/>
        <v>14834.27439666106</v>
      </c>
      <c r="BX344" s="28">
        <v>12</v>
      </c>
      <c r="BY344" s="26">
        <v>5.0000000000000002E-5</v>
      </c>
      <c r="BZ344" s="28">
        <v>0.5</v>
      </c>
      <c r="CA344" s="28">
        <v>200</v>
      </c>
      <c r="CB344" s="26">
        <v>5.0000000000000002E-5</v>
      </c>
      <c r="CC344" s="26">
        <f t="shared" si="447"/>
        <v>2.5000000000000001E-5</v>
      </c>
      <c r="CD344" s="26">
        <f t="shared" si="448"/>
        <v>1</v>
      </c>
      <c r="CE344" s="7">
        <v>0.38394658607855697</v>
      </c>
      <c r="CF344" s="7">
        <v>752.82497001808497</v>
      </c>
      <c r="CG344" s="7">
        <v>1461.2048700750499</v>
      </c>
      <c r="CH344" s="7">
        <v>752.82497001808497</v>
      </c>
      <c r="CI344" s="7">
        <v>97826.408301166695</v>
      </c>
      <c r="CJ344" s="7">
        <v>50929.581789406497</v>
      </c>
      <c r="CK344" s="7">
        <f t="shared" si="449"/>
        <v>2966.8548101112201</v>
      </c>
      <c r="CM344" s="28">
        <v>12</v>
      </c>
      <c r="CN344" s="26">
        <v>5.0000000000000002E-5</v>
      </c>
      <c r="CO344" s="28">
        <v>1</v>
      </c>
      <c r="CP344" s="28">
        <v>200</v>
      </c>
      <c r="CQ344" s="26">
        <v>5.0000000000000002E-5</v>
      </c>
      <c r="CR344" s="26">
        <f t="shared" si="450"/>
        <v>5.0000000000000002E-5</v>
      </c>
      <c r="CS344" s="26">
        <f t="shared" si="451"/>
        <v>2</v>
      </c>
      <c r="CT344" s="7">
        <v>0.58416610880018105</v>
      </c>
      <c r="CU344" s="7">
        <v>665.23311259709499</v>
      </c>
      <c r="CV344" s="7">
        <v>730.60243503752497</v>
      </c>
      <c r="CW344" s="7">
        <v>665.23311259709499</v>
      </c>
      <c r="CX344" s="7">
        <v>48913.204150583399</v>
      </c>
      <c r="CY344" s="7">
        <v>50929.581789406497</v>
      </c>
      <c r="CZ344" s="7">
        <f t="shared" si="452"/>
        <v>2061.0686602317151</v>
      </c>
      <c r="DB344" s="28">
        <v>12</v>
      </c>
      <c r="DC344" s="26">
        <v>5.0000000000000002E-5</v>
      </c>
      <c r="DD344" s="28">
        <v>2</v>
      </c>
      <c r="DE344" s="28">
        <v>200</v>
      </c>
      <c r="DF344" s="26">
        <v>5.0000000000000002E-5</v>
      </c>
      <c r="DG344" s="26">
        <f t="shared" si="453"/>
        <v>1E-4</v>
      </c>
      <c r="DH344" s="26">
        <f t="shared" si="454"/>
        <v>4</v>
      </c>
      <c r="DI344" s="7">
        <v>0.982349506178123</v>
      </c>
      <c r="DJ344" s="7">
        <v>578.22973015081095</v>
      </c>
      <c r="DK344" s="7">
        <v>365.301217518763</v>
      </c>
      <c r="DL344" s="7">
        <v>578.22973015081095</v>
      </c>
      <c r="DM344" s="7">
        <v>24456.602075291699</v>
      </c>
      <c r="DN344" s="7">
        <v>50929.581789406497</v>
      </c>
      <c r="DO344" s="7">
        <f t="shared" si="455"/>
        <v>1521.7606778203849</v>
      </c>
      <c r="DQ344" s="28">
        <v>12</v>
      </c>
      <c r="DR344" s="26">
        <v>5.0000000000000002E-5</v>
      </c>
      <c r="DS344" s="28">
        <v>15</v>
      </c>
      <c r="DT344" s="28">
        <v>300</v>
      </c>
      <c r="DU344" s="26">
        <v>2.5000000000000001E-5</v>
      </c>
      <c r="DV344" s="26">
        <f t="shared" si="456"/>
        <v>3.7500000000000001E-4</v>
      </c>
      <c r="DW344" s="26">
        <f t="shared" si="457"/>
        <v>15</v>
      </c>
      <c r="DX344" s="7">
        <v>6.2731479134714698</v>
      </c>
      <c r="DY344" s="7">
        <v>254.539230510376</v>
      </c>
      <c r="DZ344" s="7">
        <v>48.7068290025016</v>
      </c>
      <c r="EA344" s="7">
        <v>254.539230510376</v>
      </c>
      <c r="EB344" s="7">
        <v>3260.8802767055599</v>
      </c>
      <c r="EC344" s="7">
        <v>30557.749073643899</v>
      </c>
      <c r="ED344" s="7">
        <f t="shared" si="458"/>
        <v>557.78529002325354</v>
      </c>
    </row>
    <row r="345" spans="1:134" x14ac:dyDescent="0.4">
      <c r="A345" s="28">
        <v>15</v>
      </c>
      <c r="B345" s="26">
        <v>1.0000000000000001E-5</v>
      </c>
      <c r="C345" s="28">
        <v>0.2</v>
      </c>
      <c r="D345" s="28">
        <v>30</v>
      </c>
      <c r="E345" s="26">
        <v>5.0000000000000002E-5</v>
      </c>
      <c r="F345" s="26">
        <f t="shared" si="432"/>
        <v>1.0000000000000001E-5</v>
      </c>
      <c r="G345" s="26">
        <f t="shared" si="433"/>
        <v>2</v>
      </c>
      <c r="H345" s="7">
        <v>0.10436992007137701</v>
      </c>
      <c r="I345" s="7">
        <v>12481.634129420599</v>
      </c>
      <c r="J345" s="7">
        <v>3828.3041509332402</v>
      </c>
      <c r="K345" s="7">
        <v>12481.634129420599</v>
      </c>
      <c r="L345" s="7">
        <v>1641861.5249040499</v>
      </c>
      <c r="M345" s="7">
        <v>1273239.54473516</v>
      </c>
      <c r="N345" s="7">
        <f t="shared" si="434"/>
        <v>28791.572409774439</v>
      </c>
      <c r="P345" s="28">
        <v>15</v>
      </c>
      <c r="Q345" s="26">
        <v>3.0000000000000001E-5</v>
      </c>
      <c r="R345" s="28">
        <v>0.2</v>
      </c>
      <c r="S345" s="28">
        <v>30</v>
      </c>
      <c r="T345" s="26">
        <v>5.0000000000000002E-5</v>
      </c>
      <c r="U345" s="26">
        <f t="shared" si="435"/>
        <v>1.0000000000000001E-5</v>
      </c>
      <c r="V345" s="26">
        <f t="shared" si="436"/>
        <v>0.66666666666666674</v>
      </c>
      <c r="W345" s="7">
        <v>0.18297272193420899</v>
      </c>
      <c r="X345" s="7">
        <v>4160.5447097236602</v>
      </c>
      <c r="Y345" s="7">
        <v>1276.1013836444099</v>
      </c>
      <c r="Z345" s="7">
        <v>4160.5447097236602</v>
      </c>
      <c r="AA345" s="7">
        <v>547287.17553344101</v>
      </c>
      <c r="AB345" s="7">
        <v>141471.060526129</v>
      </c>
      <c r="AC345" s="7">
        <f t="shared" si="437"/>
        <v>9597.1908030917293</v>
      </c>
      <c r="AE345" s="28">
        <v>15</v>
      </c>
      <c r="AF345" s="26">
        <v>5.0000000000000002E-5</v>
      </c>
      <c r="AG345" s="28">
        <v>0.2</v>
      </c>
      <c r="AH345" s="28">
        <v>30</v>
      </c>
      <c r="AI345" s="26">
        <v>5.0000000000000002E-5</v>
      </c>
      <c r="AJ345" s="26">
        <f t="shared" si="438"/>
        <v>1.0000000000000001E-5</v>
      </c>
      <c r="AK345" s="26">
        <f t="shared" si="439"/>
        <v>0.4</v>
      </c>
      <c r="AL345" s="7">
        <v>0.25821086759724698</v>
      </c>
      <c r="AM345" s="7">
        <v>2496.32682512977</v>
      </c>
      <c r="AN345" s="7">
        <v>765.66083018664904</v>
      </c>
      <c r="AO345" s="7">
        <v>2496.32682512977</v>
      </c>
      <c r="AP345" s="7">
        <v>328372.31010722602</v>
      </c>
      <c r="AQ345" s="7">
        <v>50929.581789406497</v>
      </c>
      <c r="AR345" s="7">
        <f t="shared" si="440"/>
        <v>5758.314480446189</v>
      </c>
      <c r="AT345" s="28">
        <v>15</v>
      </c>
      <c r="AU345" s="26">
        <v>1.0000000000000001E-5</v>
      </c>
      <c r="AV345" s="28">
        <v>0.2</v>
      </c>
      <c r="AW345" s="28">
        <v>200</v>
      </c>
      <c r="AX345" s="26">
        <v>5.0000000000000002E-5</v>
      </c>
      <c r="AY345" s="26">
        <f t="shared" si="441"/>
        <v>1.0000000000000001E-5</v>
      </c>
      <c r="AZ345" s="26">
        <f t="shared" si="442"/>
        <v>2</v>
      </c>
      <c r="BA345" s="7">
        <v>0.104756468530264</v>
      </c>
      <c r="BB345" s="7">
        <v>1941.00035424731</v>
      </c>
      <c r="BC345" s="7">
        <v>642.33504314082199</v>
      </c>
      <c r="BD345" s="7">
        <v>1941.00035424731</v>
      </c>
      <c r="BE345" s="7">
        <v>1641861.5249040499</v>
      </c>
      <c r="BF345" s="7">
        <v>1273239.54473516</v>
      </c>
      <c r="BG345" s="7">
        <f t="shared" si="443"/>
        <v>4524.3357516354426</v>
      </c>
      <c r="BI345" s="28">
        <v>15</v>
      </c>
      <c r="BJ345" s="26">
        <v>1.0000000000000001E-5</v>
      </c>
      <c r="BK345" s="28">
        <v>0.5</v>
      </c>
      <c r="BL345" s="28">
        <v>200</v>
      </c>
      <c r="BM345" s="26">
        <v>5.0000000000000002E-5</v>
      </c>
      <c r="BN345" s="26">
        <f t="shared" si="444"/>
        <v>2.5000000000000001E-5</v>
      </c>
      <c r="BO345" s="26">
        <f t="shared" si="445"/>
        <v>5</v>
      </c>
      <c r="BP345" s="7">
        <v>0.20036056139750599</v>
      </c>
      <c r="BQ345" s="7">
        <v>1921.9637593119501</v>
      </c>
      <c r="BR345" s="7">
        <v>622.78773017584695</v>
      </c>
      <c r="BS345" s="7">
        <v>1921.9637593119501</v>
      </c>
      <c r="BT345" s="7">
        <v>656744.60996161995</v>
      </c>
      <c r="BU345" s="7">
        <v>1273239.54473516</v>
      </c>
      <c r="BV345" s="7">
        <f t="shared" si="446"/>
        <v>4466.7152487997464</v>
      </c>
      <c r="BX345" s="28">
        <v>15</v>
      </c>
      <c r="BY345" s="26">
        <v>5.0000000000000002E-5</v>
      </c>
      <c r="BZ345" s="28">
        <v>0.5</v>
      </c>
      <c r="CA345" s="28">
        <v>200</v>
      </c>
      <c r="CB345" s="26">
        <v>5.0000000000000002E-5</v>
      </c>
      <c r="CC345" s="26">
        <f t="shared" si="447"/>
        <v>2.5000000000000001E-5</v>
      </c>
      <c r="CD345" s="26">
        <f t="shared" si="448"/>
        <v>1</v>
      </c>
      <c r="CE345" s="7">
        <v>0.36302176283934701</v>
      </c>
      <c r="CF345" s="7">
        <v>384.39275181655802</v>
      </c>
      <c r="CG345" s="7">
        <v>124.557546035169</v>
      </c>
      <c r="CH345" s="7">
        <v>384.39275181655802</v>
      </c>
      <c r="CI345" s="7">
        <v>131348.92404288999</v>
      </c>
      <c r="CJ345" s="7">
        <v>50929.581789406497</v>
      </c>
      <c r="CK345" s="7">
        <f t="shared" si="449"/>
        <v>893.34304966828495</v>
      </c>
      <c r="CM345" s="28">
        <v>15</v>
      </c>
      <c r="CN345" s="26">
        <v>5.0000000000000002E-5</v>
      </c>
      <c r="CO345" s="28">
        <v>1</v>
      </c>
      <c r="CP345" s="28">
        <v>200</v>
      </c>
      <c r="CQ345" s="26">
        <v>5.0000000000000002E-5</v>
      </c>
      <c r="CR345" s="26">
        <f t="shared" si="450"/>
        <v>5.0000000000000002E-5</v>
      </c>
      <c r="CS345" s="26">
        <f t="shared" si="451"/>
        <v>2</v>
      </c>
      <c r="CT345" s="7">
        <v>0.522396367648715</v>
      </c>
      <c r="CU345" s="7">
        <v>378.32091509688701</v>
      </c>
      <c r="CV345" s="7">
        <v>118.54503217394399</v>
      </c>
      <c r="CW345" s="7">
        <v>378.32091509688701</v>
      </c>
      <c r="CX345" s="7">
        <v>65674.462021445201</v>
      </c>
      <c r="CY345" s="7">
        <v>50929.581789406497</v>
      </c>
      <c r="CZ345" s="7">
        <f t="shared" si="452"/>
        <v>875.18686236771805</v>
      </c>
      <c r="DB345" s="28">
        <v>15</v>
      </c>
      <c r="DC345" s="26">
        <v>5.0000000000000002E-5</v>
      </c>
      <c r="DD345" s="28">
        <v>2</v>
      </c>
      <c r="DE345" s="28">
        <v>200</v>
      </c>
      <c r="DF345" s="26">
        <v>5.0000000000000002E-5</v>
      </c>
      <c r="DG345" s="26">
        <f t="shared" si="453"/>
        <v>1E-4</v>
      </c>
      <c r="DH345" s="26">
        <f t="shared" si="454"/>
        <v>4</v>
      </c>
      <c r="DI345" s="7">
        <v>0.84113884776805903</v>
      </c>
      <c r="DJ345" s="7">
        <v>367.08848561923799</v>
      </c>
      <c r="DK345" s="7">
        <v>108.10811969663401</v>
      </c>
      <c r="DL345" s="7">
        <v>367.08848561923799</v>
      </c>
      <c r="DM345" s="7">
        <v>32837.2310107226</v>
      </c>
      <c r="DN345" s="7">
        <v>50929.581789406497</v>
      </c>
      <c r="DO345" s="7">
        <f t="shared" si="455"/>
        <v>842.28509093511002</v>
      </c>
      <c r="DQ345" s="28">
        <v>15</v>
      </c>
      <c r="DR345" s="26">
        <v>5.0000000000000002E-5</v>
      </c>
      <c r="DS345" s="28">
        <v>15</v>
      </c>
      <c r="DT345" s="28">
        <v>300</v>
      </c>
      <c r="DU345" s="26">
        <v>2.5000000000000001E-5</v>
      </c>
      <c r="DV345" s="26">
        <f t="shared" si="456"/>
        <v>3.7500000000000001E-4</v>
      </c>
      <c r="DW345" s="26">
        <f t="shared" si="457"/>
        <v>15</v>
      </c>
      <c r="DX345" s="7">
        <v>5.1201155160430103</v>
      </c>
      <c r="DY345" s="7">
        <v>202.84957985735099</v>
      </c>
      <c r="DZ345" s="7">
        <v>42.287816140325297</v>
      </c>
      <c r="EA345" s="7">
        <v>202.84957985735099</v>
      </c>
      <c r="EB345" s="7">
        <v>4378.2974680963498</v>
      </c>
      <c r="EC345" s="7">
        <v>30557.749073643899</v>
      </c>
      <c r="ED345" s="7">
        <f t="shared" si="458"/>
        <v>447.98697585502725</v>
      </c>
    </row>
    <row r="346" spans="1:134" x14ac:dyDescent="0.4">
      <c r="A346" s="28">
        <v>20</v>
      </c>
      <c r="B346" s="26">
        <v>1.0000000000000001E-5</v>
      </c>
      <c r="C346" s="28">
        <v>0.2</v>
      </c>
      <c r="D346" s="28">
        <v>30</v>
      </c>
      <c r="E346" s="26">
        <v>5.0000000000000002E-5</v>
      </c>
      <c r="F346" s="26">
        <f t="shared" si="432"/>
        <v>1.0000000000000001E-5</v>
      </c>
      <c r="G346" s="26">
        <f t="shared" si="433"/>
        <v>2</v>
      </c>
      <c r="H346" s="7">
        <v>9.0006196323514906E-2</v>
      </c>
      <c r="I346" s="7">
        <v>7857.7524727739301</v>
      </c>
      <c r="J346" s="7">
        <v>4475.4086280782203</v>
      </c>
      <c r="K346" s="7">
        <v>7857.7524727739301</v>
      </c>
      <c r="L346" s="7">
        <v>2551974.2921694499</v>
      </c>
      <c r="M346" s="7">
        <v>1273239.54473516</v>
      </c>
      <c r="N346" s="7">
        <f t="shared" si="434"/>
        <v>20190.91357362608</v>
      </c>
      <c r="P346" s="28">
        <v>20</v>
      </c>
      <c r="Q346" s="26">
        <v>3.0000000000000001E-5</v>
      </c>
      <c r="R346" s="28">
        <v>0.2</v>
      </c>
      <c r="S346" s="28">
        <v>30</v>
      </c>
      <c r="T346" s="26">
        <v>5.0000000000000002E-5</v>
      </c>
      <c r="U346" s="26">
        <f t="shared" si="435"/>
        <v>1.0000000000000001E-5</v>
      </c>
      <c r="V346" s="26">
        <f t="shared" si="436"/>
        <v>0.66666666666666674</v>
      </c>
      <c r="W346" s="7">
        <v>0.17766876609186399</v>
      </c>
      <c r="X346" s="7">
        <v>2619.2508242245099</v>
      </c>
      <c r="Y346" s="7">
        <v>1491.80287602607</v>
      </c>
      <c r="Z346" s="7">
        <v>2619.2508242245099</v>
      </c>
      <c r="AA346" s="7">
        <v>850658.09849467594</v>
      </c>
      <c r="AB346" s="7">
        <v>141471.060526129</v>
      </c>
      <c r="AC346" s="7">
        <f t="shared" si="437"/>
        <v>6730.3045244750901</v>
      </c>
      <c r="AE346" s="28">
        <v>20</v>
      </c>
      <c r="AF346" s="26">
        <v>5.0000000000000002E-5</v>
      </c>
      <c r="AG346" s="28">
        <v>0.2</v>
      </c>
      <c r="AH346" s="28">
        <v>30</v>
      </c>
      <c r="AI346" s="26">
        <v>5.0000000000000002E-5</v>
      </c>
      <c r="AJ346" s="26">
        <f t="shared" si="438"/>
        <v>1.0000000000000001E-5</v>
      </c>
      <c r="AK346" s="26">
        <f t="shared" si="439"/>
        <v>0.4</v>
      </c>
      <c r="AL346" s="7">
        <v>0.26265706619684098</v>
      </c>
      <c r="AM346" s="7">
        <v>1571.5504942513201</v>
      </c>
      <c r="AN346" s="7">
        <v>895.08172561564299</v>
      </c>
      <c r="AO346" s="7">
        <v>1571.5504942513201</v>
      </c>
      <c r="AP346" s="7">
        <v>510394.86845111102</v>
      </c>
      <c r="AQ346" s="7">
        <v>50929.581789406497</v>
      </c>
      <c r="AR346" s="7">
        <f t="shared" si="440"/>
        <v>4038.182714118283</v>
      </c>
      <c r="AT346" s="28">
        <v>20</v>
      </c>
      <c r="AU346" s="26">
        <v>1.0000000000000001E-5</v>
      </c>
      <c r="AV346" s="28">
        <v>0.2</v>
      </c>
      <c r="AW346" s="28">
        <v>200</v>
      </c>
      <c r="AX346" s="26">
        <v>5.0000000000000002E-5</v>
      </c>
      <c r="AY346" s="26">
        <f t="shared" si="441"/>
        <v>1.0000000000000001E-5</v>
      </c>
      <c r="AZ346" s="26">
        <f t="shared" si="442"/>
        <v>2</v>
      </c>
      <c r="BA346" s="7">
        <v>9.0307216939486901E-2</v>
      </c>
      <c r="BB346" s="7">
        <v>1196.98361424428</v>
      </c>
      <c r="BC346" s="7">
        <v>694.07852984949898</v>
      </c>
      <c r="BD346" s="7">
        <v>1196.98361424428</v>
      </c>
      <c r="BE346" s="7">
        <v>2551974.2921694499</v>
      </c>
      <c r="BF346" s="7">
        <v>1273239.54473516</v>
      </c>
      <c r="BG346" s="7">
        <f t="shared" si="443"/>
        <v>3088.0457583380589</v>
      </c>
      <c r="BI346" s="28">
        <v>20</v>
      </c>
      <c r="BJ346" s="26">
        <v>1.0000000000000001E-5</v>
      </c>
      <c r="BK346" s="28">
        <v>0.5</v>
      </c>
      <c r="BL346" s="28">
        <v>200</v>
      </c>
      <c r="BM346" s="26">
        <v>5.0000000000000002E-5</v>
      </c>
      <c r="BN346" s="26">
        <f t="shared" si="444"/>
        <v>2.5000000000000001E-5</v>
      </c>
      <c r="BO346" s="26">
        <f t="shared" si="445"/>
        <v>5</v>
      </c>
      <c r="BP346" s="7">
        <v>0.15800595507239601</v>
      </c>
      <c r="BQ346" s="7">
        <v>1192.0586917390101</v>
      </c>
      <c r="BR346" s="7">
        <v>687.90288040570601</v>
      </c>
      <c r="BS346" s="7">
        <v>1192.0586917390101</v>
      </c>
      <c r="BT346" s="7">
        <v>1020789.71686778</v>
      </c>
      <c r="BU346" s="7">
        <v>1273239.54473516</v>
      </c>
      <c r="BV346" s="7">
        <f t="shared" si="446"/>
        <v>3072.0202638837263</v>
      </c>
      <c r="BX346" s="28">
        <v>20</v>
      </c>
      <c r="BY346" s="26">
        <v>5.0000000000000002E-5</v>
      </c>
      <c r="BZ346" s="28">
        <v>0.5</v>
      </c>
      <c r="CA346" s="28">
        <v>200</v>
      </c>
      <c r="CB346" s="26">
        <v>5.0000000000000002E-5</v>
      </c>
      <c r="CC346" s="26">
        <f t="shared" si="447"/>
        <v>2.5000000000000001E-5</v>
      </c>
      <c r="CD346" s="26">
        <f t="shared" si="448"/>
        <v>1</v>
      </c>
      <c r="CE346" s="7">
        <v>0.33762331174450499</v>
      </c>
      <c r="CF346" s="7">
        <v>238.41173833028401</v>
      </c>
      <c r="CG346" s="7">
        <v>137.580576081141</v>
      </c>
      <c r="CH346" s="7">
        <v>238.41173833028401</v>
      </c>
      <c r="CI346" s="7">
        <v>204157.947380445</v>
      </c>
      <c r="CJ346" s="7">
        <v>50929.581789406497</v>
      </c>
      <c r="CK346" s="7">
        <f t="shared" si="449"/>
        <v>614.40405274170905</v>
      </c>
      <c r="CM346" s="28">
        <v>20</v>
      </c>
      <c r="CN346" s="26">
        <v>5.0000000000000002E-5</v>
      </c>
      <c r="CO346" s="28">
        <v>1</v>
      </c>
      <c r="CP346" s="28">
        <v>200</v>
      </c>
      <c r="CQ346" s="26">
        <v>5.0000000000000002E-5</v>
      </c>
      <c r="CR346" s="26">
        <f t="shared" si="450"/>
        <v>5.0000000000000002E-5</v>
      </c>
      <c r="CS346" s="26">
        <f t="shared" si="451"/>
        <v>2</v>
      </c>
      <c r="CT346" s="7">
        <v>0.45046557313236602</v>
      </c>
      <c r="CU346" s="7">
        <v>236.794372688691</v>
      </c>
      <c r="CV346" s="7">
        <v>135.57018035757301</v>
      </c>
      <c r="CW346" s="7">
        <v>236.794372688691</v>
      </c>
      <c r="CX346" s="7">
        <v>102078.973690222</v>
      </c>
      <c r="CY346" s="7">
        <v>50929.581789406497</v>
      </c>
      <c r="CZ346" s="7">
        <f t="shared" si="452"/>
        <v>609.15892573495501</v>
      </c>
      <c r="DB346" s="28">
        <v>20</v>
      </c>
      <c r="DC346" s="26">
        <v>5.0000000000000002E-5</v>
      </c>
      <c r="DD346" s="28">
        <v>2</v>
      </c>
      <c r="DE346" s="28">
        <v>200</v>
      </c>
      <c r="DF346" s="26">
        <v>5.0000000000000002E-5</v>
      </c>
      <c r="DG346" s="26">
        <f t="shared" si="453"/>
        <v>1E-4</v>
      </c>
      <c r="DH346" s="26">
        <f t="shared" si="454"/>
        <v>4</v>
      </c>
      <c r="DI346" s="7">
        <v>0.67614933924834797</v>
      </c>
      <c r="DJ346" s="7">
        <v>233.64718966736299</v>
      </c>
      <c r="DK346" s="7">
        <v>131.72072797829401</v>
      </c>
      <c r="DL346" s="7">
        <v>233.64718966736299</v>
      </c>
      <c r="DM346" s="7">
        <v>51039.486845111103</v>
      </c>
      <c r="DN346" s="7">
        <v>50929.581789406497</v>
      </c>
      <c r="DO346" s="7">
        <f t="shared" si="455"/>
        <v>599.01510731302005</v>
      </c>
      <c r="DQ346" s="28">
        <v>20</v>
      </c>
      <c r="DR346" s="26">
        <v>5.0000000000000002E-5</v>
      </c>
      <c r="DS346" s="28">
        <v>15</v>
      </c>
      <c r="DT346" s="28">
        <v>300</v>
      </c>
      <c r="DU346" s="26">
        <v>2.5000000000000001E-5</v>
      </c>
      <c r="DV346" s="26">
        <f t="shared" si="456"/>
        <v>3.7500000000000001E-4</v>
      </c>
      <c r="DW346" s="26">
        <f t="shared" si="457"/>
        <v>15</v>
      </c>
      <c r="DX346" s="7">
        <v>3.7596651141637301</v>
      </c>
      <c r="DY346" s="7">
        <v>141.30482192536101</v>
      </c>
      <c r="DZ346" s="7">
        <v>71.560155029152398</v>
      </c>
      <c r="EA346" s="7">
        <v>141.30482192536101</v>
      </c>
      <c r="EB346" s="7">
        <v>6805.2649126814904</v>
      </c>
      <c r="EC346" s="7">
        <v>30557.749073643899</v>
      </c>
      <c r="ED346" s="7">
        <f t="shared" si="458"/>
        <v>354.16979887987441</v>
      </c>
    </row>
    <row r="347" spans="1:134" x14ac:dyDescent="0.4">
      <c r="A347" s="28">
        <v>25</v>
      </c>
      <c r="B347" s="26">
        <v>1.0000000000000001E-5</v>
      </c>
      <c r="C347" s="28">
        <v>0.2</v>
      </c>
      <c r="D347" s="28">
        <v>30</v>
      </c>
      <c r="E347" s="26">
        <v>5.0000000000000002E-5</v>
      </c>
      <c r="F347" s="26">
        <f t="shared" si="432"/>
        <v>1.0000000000000001E-5</v>
      </c>
      <c r="G347" s="26">
        <f t="shared" si="433"/>
        <v>2</v>
      </c>
      <c r="H347" s="7">
        <v>8.0297410347586001E-2</v>
      </c>
      <c r="I347" s="7">
        <v>5967.7070610572</v>
      </c>
      <c r="J347" s="7">
        <v>4769.5933204541298</v>
      </c>
      <c r="K347" s="7">
        <v>5967.7070610572</v>
      </c>
      <c r="L347" s="7">
        <v>3890230.9388607698</v>
      </c>
      <c r="M347" s="7">
        <v>1273239.54473516</v>
      </c>
      <c r="N347" s="7">
        <f t="shared" si="434"/>
        <v>16705.007442568531</v>
      </c>
      <c r="P347" s="28">
        <v>25</v>
      </c>
      <c r="Q347" s="26">
        <v>3.0000000000000001E-5</v>
      </c>
      <c r="R347" s="28">
        <v>0.2</v>
      </c>
      <c r="S347" s="28">
        <v>30</v>
      </c>
      <c r="T347" s="26">
        <v>5.0000000000000002E-5</v>
      </c>
      <c r="U347" s="26">
        <f t="shared" si="435"/>
        <v>1.0000000000000001E-5</v>
      </c>
      <c r="V347" s="26">
        <f t="shared" si="436"/>
        <v>0.66666666666666674</v>
      </c>
      <c r="W347" s="7">
        <v>0.175238315487632</v>
      </c>
      <c r="X347" s="7">
        <v>1989.2356869965699</v>
      </c>
      <c r="Y347" s="7">
        <v>1589.86444015137</v>
      </c>
      <c r="Z347" s="7">
        <v>1989.2356869965699</v>
      </c>
      <c r="AA347" s="7">
        <v>1296743.6482743199</v>
      </c>
      <c r="AB347" s="7">
        <v>141471.060526129</v>
      </c>
      <c r="AC347" s="7">
        <f t="shared" si="437"/>
        <v>5568.3358141445096</v>
      </c>
      <c r="AE347" s="28">
        <v>25</v>
      </c>
      <c r="AF347" s="26">
        <v>5.0000000000000002E-5</v>
      </c>
      <c r="AG347" s="28">
        <v>0.2</v>
      </c>
      <c r="AH347" s="28">
        <v>30</v>
      </c>
      <c r="AI347" s="26">
        <v>5.0000000000000002E-5</v>
      </c>
      <c r="AJ347" s="26">
        <f t="shared" si="438"/>
        <v>1.0000000000000001E-5</v>
      </c>
      <c r="AK347" s="26">
        <f t="shared" si="439"/>
        <v>0.4</v>
      </c>
      <c r="AL347" s="7">
        <v>0.26776707392041199</v>
      </c>
      <c r="AM347" s="7">
        <v>1193.54141200751</v>
      </c>
      <c r="AN347" s="7">
        <v>953.91866409082502</v>
      </c>
      <c r="AO347" s="7">
        <v>1193.54141200751</v>
      </c>
      <c r="AP347" s="7">
        <v>778046.205790887</v>
      </c>
      <c r="AQ347" s="7">
        <v>50929.581789406497</v>
      </c>
      <c r="AR347" s="7">
        <f t="shared" si="440"/>
        <v>3341.0014881058451</v>
      </c>
      <c r="AT347" s="28">
        <v>25</v>
      </c>
      <c r="AU347" s="26">
        <v>1.0000000000000001E-5</v>
      </c>
      <c r="AV347" s="28">
        <v>0.2</v>
      </c>
      <c r="AW347" s="28">
        <v>200</v>
      </c>
      <c r="AX347" s="26">
        <v>5.0000000000000002E-5</v>
      </c>
      <c r="AY347" s="26">
        <f t="shared" si="441"/>
        <v>1.0000000000000001E-5</v>
      </c>
      <c r="AZ347" s="26">
        <f t="shared" si="442"/>
        <v>2</v>
      </c>
      <c r="BA347" s="7">
        <v>8.0566410090162299E-2</v>
      </c>
      <c r="BB347" s="7">
        <v>904.92261526204402</v>
      </c>
      <c r="BC347" s="7">
        <v>729.47946385146201</v>
      </c>
      <c r="BD347" s="7">
        <v>904.92261526204402</v>
      </c>
      <c r="BE347" s="7">
        <v>3890230.9388607698</v>
      </c>
      <c r="BF347" s="7">
        <v>1273239.54473516</v>
      </c>
      <c r="BG347" s="7">
        <f t="shared" si="443"/>
        <v>2539.3246943755503</v>
      </c>
      <c r="BI347" s="28">
        <v>25</v>
      </c>
      <c r="BJ347" s="26">
        <v>1.0000000000000001E-5</v>
      </c>
      <c r="BK347" s="28">
        <v>0.5</v>
      </c>
      <c r="BL347" s="28">
        <v>200</v>
      </c>
      <c r="BM347" s="26">
        <v>5.0000000000000002E-5</v>
      </c>
      <c r="BN347" s="26">
        <f t="shared" si="444"/>
        <v>2.5000000000000001E-5</v>
      </c>
      <c r="BO347" s="26">
        <f t="shared" si="445"/>
        <v>5</v>
      </c>
      <c r="BP347" s="7">
        <v>0.12840568188818899</v>
      </c>
      <c r="BQ347" s="7">
        <v>902.31159397251201</v>
      </c>
      <c r="BR347" s="7">
        <v>725.70943403112403</v>
      </c>
      <c r="BS347" s="7">
        <v>902.31159397251201</v>
      </c>
      <c r="BT347" s="7">
        <v>1556092.3755443101</v>
      </c>
      <c r="BU347" s="7">
        <v>1273239.54473516</v>
      </c>
      <c r="BV347" s="7">
        <f t="shared" si="446"/>
        <v>2530.3326219761479</v>
      </c>
      <c r="BX347" s="28">
        <v>25</v>
      </c>
      <c r="BY347" s="26">
        <v>5.0000000000000002E-5</v>
      </c>
      <c r="BZ347" s="28">
        <v>0.5</v>
      </c>
      <c r="CA347" s="28">
        <v>200</v>
      </c>
      <c r="CB347" s="26">
        <v>5.0000000000000002E-5</v>
      </c>
      <c r="CC347" s="26">
        <f t="shared" si="447"/>
        <v>2.5000000000000001E-5</v>
      </c>
      <c r="CD347" s="26">
        <f t="shared" si="448"/>
        <v>1</v>
      </c>
      <c r="CE347" s="7">
        <v>0.32213855129651198</v>
      </c>
      <c r="CF347" s="7">
        <v>180.46231878283399</v>
      </c>
      <c r="CG347" s="7">
        <v>145.14188680622499</v>
      </c>
      <c r="CH347" s="7">
        <v>180.46231878283399</v>
      </c>
      <c r="CI347" s="7">
        <v>311218.48231635499</v>
      </c>
      <c r="CJ347" s="7">
        <v>50929.581789406497</v>
      </c>
      <c r="CK347" s="7">
        <f t="shared" si="449"/>
        <v>506.06652437189302</v>
      </c>
      <c r="CM347" s="28">
        <v>25</v>
      </c>
      <c r="CN347" s="26">
        <v>5.0000000000000002E-5</v>
      </c>
      <c r="CO347" s="28">
        <v>1</v>
      </c>
      <c r="CP347" s="28">
        <v>200</v>
      </c>
      <c r="CQ347" s="26">
        <v>5.0000000000000002E-5</v>
      </c>
      <c r="CR347" s="26">
        <f t="shared" si="450"/>
        <v>5.0000000000000002E-5</v>
      </c>
      <c r="CS347" s="26">
        <f t="shared" si="451"/>
        <v>2</v>
      </c>
      <c r="CT347" s="7">
        <v>0.40187740112027398</v>
      </c>
      <c r="CU347" s="7">
        <v>179.60025764253999</v>
      </c>
      <c r="CV347" s="7">
        <v>143.90240734913101</v>
      </c>
      <c r="CW347" s="7">
        <v>179.60025764253999</v>
      </c>
      <c r="CX347" s="7">
        <v>155609.241158177</v>
      </c>
      <c r="CY347" s="7">
        <v>50929.581789406497</v>
      </c>
      <c r="CZ347" s="7">
        <f t="shared" si="452"/>
        <v>503.10292263421098</v>
      </c>
      <c r="DB347" s="28">
        <v>25</v>
      </c>
      <c r="DC347" s="26">
        <v>5.0000000000000002E-5</v>
      </c>
      <c r="DD347" s="28">
        <v>2</v>
      </c>
      <c r="DE347" s="28">
        <v>200</v>
      </c>
      <c r="DF347" s="26">
        <v>5.0000000000000002E-5</v>
      </c>
      <c r="DG347" s="26">
        <f t="shared" si="453"/>
        <v>1E-4</v>
      </c>
      <c r="DH347" s="26">
        <f t="shared" si="454"/>
        <v>4</v>
      </c>
      <c r="DI347" s="7">
        <v>0.56135481034564505</v>
      </c>
      <c r="DJ347" s="7">
        <v>177.90643586546901</v>
      </c>
      <c r="DK347" s="7">
        <v>141.48598257191699</v>
      </c>
      <c r="DL347" s="7">
        <v>177.90643586546901</v>
      </c>
      <c r="DM347" s="7">
        <v>77804.620579088703</v>
      </c>
      <c r="DN347" s="7">
        <v>50929.581789406497</v>
      </c>
      <c r="DO347" s="7">
        <f t="shared" si="455"/>
        <v>497.29885430285503</v>
      </c>
      <c r="DQ347" s="28">
        <v>25</v>
      </c>
      <c r="DR347" s="26">
        <v>5.0000000000000002E-5</v>
      </c>
      <c r="DS347" s="28">
        <v>15</v>
      </c>
      <c r="DT347" s="28">
        <v>300</v>
      </c>
      <c r="DU347" s="26">
        <v>2.5000000000000001E-5</v>
      </c>
      <c r="DV347" s="26">
        <f t="shared" si="456"/>
        <v>3.7500000000000001E-4</v>
      </c>
      <c r="DW347" s="26">
        <f t="shared" si="457"/>
        <v>15</v>
      </c>
      <c r="DX347" s="7">
        <v>2.7959636796871101</v>
      </c>
      <c r="DY347" s="7">
        <v>110.42994925436599</v>
      </c>
      <c r="DZ347" s="7">
        <v>83.155364315094602</v>
      </c>
      <c r="EA347" s="7">
        <v>110.42994925436599</v>
      </c>
      <c r="EB347" s="7">
        <v>10373.949410545199</v>
      </c>
      <c r="EC347" s="7">
        <v>30557.749073643899</v>
      </c>
      <c r="ED347" s="7">
        <f t="shared" si="458"/>
        <v>304.01526282382656</v>
      </c>
    </row>
    <row r="348" spans="1:134" x14ac:dyDescent="0.4">
      <c r="A348" s="28">
        <v>30</v>
      </c>
      <c r="B348" s="26">
        <v>1.0000000000000001E-5</v>
      </c>
      <c r="C348" s="28">
        <v>0.2</v>
      </c>
      <c r="D348" s="28">
        <v>30</v>
      </c>
      <c r="E348" s="26">
        <v>5.0000000000000002E-5</v>
      </c>
      <c r="F348" s="26">
        <f t="shared" si="432"/>
        <v>1.0000000000000001E-5</v>
      </c>
      <c r="G348" s="26">
        <f t="shared" si="433"/>
        <v>2</v>
      </c>
      <c r="H348" s="7">
        <v>7.38525277416925E-2</v>
      </c>
      <c r="I348" s="7">
        <v>4807.3324198337996</v>
      </c>
      <c r="J348" s="7">
        <v>4988.6125859415297</v>
      </c>
      <c r="K348" s="7">
        <v>4807.3324198337996</v>
      </c>
      <c r="L348" s="7">
        <v>5893089.4851508904</v>
      </c>
      <c r="M348" s="7">
        <v>1273239.54473516</v>
      </c>
      <c r="N348" s="7">
        <f t="shared" si="434"/>
        <v>14603.277425609129</v>
      </c>
      <c r="P348" s="28">
        <v>30</v>
      </c>
      <c r="Q348" s="26">
        <v>3.0000000000000001E-5</v>
      </c>
      <c r="R348" s="28">
        <v>0.2</v>
      </c>
      <c r="S348" s="28">
        <v>30</v>
      </c>
      <c r="T348" s="26">
        <v>5.0000000000000002E-5</v>
      </c>
      <c r="U348" s="26">
        <f t="shared" si="435"/>
        <v>1.0000000000000001E-5</v>
      </c>
      <c r="V348" s="26">
        <f t="shared" si="436"/>
        <v>0.66666666666666674</v>
      </c>
      <c r="W348" s="7">
        <v>0.17507087232978299</v>
      </c>
      <c r="X348" s="7">
        <v>1602.4441399274999</v>
      </c>
      <c r="Y348" s="7">
        <v>1662.87086198051</v>
      </c>
      <c r="Z348" s="7">
        <v>1602.4441399274999</v>
      </c>
      <c r="AA348" s="7">
        <v>1964363.1651242101</v>
      </c>
      <c r="AB348" s="7">
        <v>141471.060526129</v>
      </c>
      <c r="AC348" s="7">
        <f t="shared" si="437"/>
        <v>4867.7591418355096</v>
      </c>
      <c r="AE348" s="28">
        <v>30</v>
      </c>
      <c r="AF348" s="26">
        <v>5.0000000000000002E-5</v>
      </c>
      <c r="AG348" s="28">
        <v>0.2</v>
      </c>
      <c r="AH348" s="28">
        <v>30</v>
      </c>
      <c r="AI348" s="26">
        <v>5.0000000000000002E-5</v>
      </c>
      <c r="AJ348" s="26">
        <f t="shared" si="438"/>
        <v>1.0000000000000001E-5</v>
      </c>
      <c r="AK348" s="26">
        <f t="shared" si="439"/>
        <v>0.4</v>
      </c>
      <c r="AL348" s="7">
        <v>0.27403211067268202</v>
      </c>
      <c r="AM348" s="7">
        <v>961.46648381169098</v>
      </c>
      <c r="AN348" s="7">
        <v>997.72251718830603</v>
      </c>
      <c r="AO348" s="7">
        <v>961.46648381169098</v>
      </c>
      <c r="AP348" s="7">
        <v>1178617.9279219799</v>
      </c>
      <c r="AQ348" s="7">
        <v>50929.581789406497</v>
      </c>
      <c r="AR348" s="7">
        <f t="shared" si="440"/>
        <v>2920.655484811688</v>
      </c>
      <c r="AT348" s="28">
        <v>30</v>
      </c>
      <c r="AU348" s="26">
        <v>1.0000000000000001E-5</v>
      </c>
      <c r="AV348" s="28">
        <v>0.2</v>
      </c>
      <c r="AW348" s="28">
        <v>200</v>
      </c>
      <c r="AX348" s="26">
        <v>5.0000000000000002E-5</v>
      </c>
      <c r="AY348" s="26">
        <f t="shared" si="441"/>
        <v>1.0000000000000001E-5</v>
      </c>
      <c r="AZ348" s="26">
        <f t="shared" si="442"/>
        <v>2</v>
      </c>
      <c r="BA348" s="7">
        <v>7.4102789716916403E-2</v>
      </c>
      <c r="BB348" s="7">
        <v>727.37388968977803</v>
      </c>
      <c r="BC348" s="7">
        <v>758.42598130330396</v>
      </c>
      <c r="BD348" s="7">
        <v>727.37388968977803</v>
      </c>
      <c r="BE348" s="7">
        <v>5893089.4851508904</v>
      </c>
      <c r="BF348" s="7">
        <v>1273239.54473516</v>
      </c>
      <c r="BG348" s="7">
        <f t="shared" si="443"/>
        <v>2213.1737606828601</v>
      </c>
      <c r="BI348" s="28">
        <v>30</v>
      </c>
      <c r="BJ348" s="26">
        <v>1.0000000000000001E-5</v>
      </c>
      <c r="BK348" s="28">
        <v>0.5</v>
      </c>
      <c r="BL348" s="28">
        <v>200</v>
      </c>
      <c r="BM348" s="26">
        <v>5.0000000000000002E-5</v>
      </c>
      <c r="BN348" s="26">
        <f t="shared" si="444"/>
        <v>2.5000000000000001E-5</v>
      </c>
      <c r="BO348" s="26">
        <f t="shared" si="445"/>
        <v>5</v>
      </c>
      <c r="BP348" s="7">
        <v>0.10766191932907999</v>
      </c>
      <c r="BQ348" s="7">
        <v>725.70064173773096</v>
      </c>
      <c r="BR348" s="7">
        <v>755.71672459466504</v>
      </c>
      <c r="BS348" s="7">
        <v>725.70064173773096</v>
      </c>
      <c r="BT348" s="7">
        <v>2357235.7940603602</v>
      </c>
      <c r="BU348" s="7">
        <v>1273239.54473516</v>
      </c>
      <c r="BV348" s="7">
        <f t="shared" si="446"/>
        <v>2207.118008070127</v>
      </c>
      <c r="BX348" s="28">
        <v>30</v>
      </c>
      <c r="BY348" s="26">
        <v>5.0000000000000002E-5</v>
      </c>
      <c r="BZ348" s="28">
        <v>0.5</v>
      </c>
      <c r="CA348" s="28">
        <v>200</v>
      </c>
      <c r="CB348" s="26">
        <v>5.0000000000000002E-5</v>
      </c>
      <c r="CC348" s="26">
        <f t="shared" si="447"/>
        <v>2.5000000000000001E-5</v>
      </c>
      <c r="CD348" s="26">
        <f t="shared" si="448"/>
        <v>1</v>
      </c>
      <c r="CE348" s="7">
        <v>0.31369002682057001</v>
      </c>
      <c r="CF348" s="7">
        <v>145.140128338708</v>
      </c>
      <c r="CG348" s="7">
        <v>151.143344918933</v>
      </c>
      <c r="CH348" s="7">
        <v>145.140128338708</v>
      </c>
      <c r="CI348" s="7">
        <v>471447.17116879002</v>
      </c>
      <c r="CJ348" s="7">
        <v>50929.581789406497</v>
      </c>
      <c r="CK348" s="7">
        <f t="shared" si="449"/>
        <v>441.42360159634899</v>
      </c>
      <c r="CM348" s="28">
        <v>30</v>
      </c>
      <c r="CN348" s="26">
        <v>5.0000000000000002E-5</v>
      </c>
      <c r="CO348" s="28">
        <v>1</v>
      </c>
      <c r="CP348" s="28">
        <v>200</v>
      </c>
      <c r="CQ348" s="26">
        <v>5.0000000000000002E-5</v>
      </c>
      <c r="CR348" s="26">
        <f t="shared" si="450"/>
        <v>5.0000000000000002E-5</v>
      </c>
      <c r="CS348" s="26">
        <f t="shared" si="451"/>
        <v>2</v>
      </c>
      <c r="CT348" s="7">
        <v>0.36962674754596098</v>
      </c>
      <c r="CU348" s="7">
        <v>144.58638467526899</v>
      </c>
      <c r="CV348" s="7">
        <v>150.24883810203599</v>
      </c>
      <c r="CW348" s="7">
        <v>144.58638467526899</v>
      </c>
      <c r="CX348" s="7">
        <v>235723.58558439501</v>
      </c>
      <c r="CY348" s="7">
        <v>50929.581789406497</v>
      </c>
      <c r="CZ348" s="7">
        <f t="shared" si="452"/>
        <v>439.42160745257399</v>
      </c>
      <c r="DB348" s="28">
        <v>30</v>
      </c>
      <c r="DC348" s="26">
        <v>5.0000000000000002E-5</v>
      </c>
      <c r="DD348" s="28">
        <v>2</v>
      </c>
      <c r="DE348" s="28">
        <v>200</v>
      </c>
      <c r="DF348" s="26">
        <v>5.0000000000000002E-5</v>
      </c>
      <c r="DG348" s="26">
        <f t="shared" si="453"/>
        <v>1E-4</v>
      </c>
      <c r="DH348" s="26">
        <f t="shared" si="454"/>
        <v>4</v>
      </c>
      <c r="DI348" s="7">
        <v>0.48150003588254098</v>
      </c>
      <c r="DJ348" s="7">
        <v>143.493651420682</v>
      </c>
      <c r="DK348" s="7">
        <v>148.49131311393799</v>
      </c>
      <c r="DL348" s="7">
        <v>143.493651420682</v>
      </c>
      <c r="DM348" s="7">
        <v>117861.792792198</v>
      </c>
      <c r="DN348" s="7">
        <v>50929.581789406497</v>
      </c>
      <c r="DO348" s="7">
        <f t="shared" si="455"/>
        <v>435.47861595530196</v>
      </c>
      <c r="DQ348" s="28">
        <v>30</v>
      </c>
      <c r="DR348" s="26">
        <v>5.0000000000000002E-5</v>
      </c>
      <c r="DS348" s="28">
        <v>15</v>
      </c>
      <c r="DT348" s="28">
        <v>300</v>
      </c>
      <c r="DU348" s="26">
        <v>2.5000000000000001E-5</v>
      </c>
      <c r="DV348" s="26">
        <f t="shared" si="456"/>
        <v>3.7500000000000001E-4</v>
      </c>
      <c r="DW348" s="26">
        <f t="shared" si="457"/>
        <v>15</v>
      </c>
      <c r="DX348" s="7">
        <v>2.1075041324037098</v>
      </c>
      <c r="DY348" s="7">
        <v>90.265822408235607</v>
      </c>
      <c r="DZ348" s="7">
        <v>90.525422516156297</v>
      </c>
      <c r="EA348" s="7">
        <v>90.265822408235607</v>
      </c>
      <c r="EB348" s="7">
        <v>15714.905705626299</v>
      </c>
      <c r="EC348" s="7">
        <v>30557.749073643899</v>
      </c>
      <c r="ED348" s="7">
        <f t="shared" si="458"/>
        <v>271.05706733262753</v>
      </c>
    </row>
    <row r="349" spans="1:134" x14ac:dyDescent="0.4">
      <c r="A349" s="28">
        <v>35</v>
      </c>
      <c r="B349" s="26">
        <v>1.0000000000000001E-5</v>
      </c>
      <c r="C349" s="28">
        <v>0.2</v>
      </c>
      <c r="D349" s="28">
        <v>30</v>
      </c>
      <c r="E349" s="26">
        <v>5.0000000000000002E-5</v>
      </c>
      <c r="F349" s="26">
        <f t="shared" si="432"/>
        <v>1.0000000000000001E-5</v>
      </c>
      <c r="G349" s="26">
        <f t="shared" si="433"/>
        <v>2</v>
      </c>
      <c r="H349" s="7">
        <v>6.9692615093256E-2</v>
      </c>
      <c r="I349" s="7">
        <v>3984.07853527202</v>
      </c>
      <c r="J349" s="7">
        <v>5168.7820727017497</v>
      </c>
      <c r="K349" s="7">
        <v>3984.07853527202</v>
      </c>
      <c r="L349" s="7">
        <v>8973470.5022608098</v>
      </c>
      <c r="M349" s="7">
        <v>1273239.54473516</v>
      </c>
      <c r="N349" s="7">
        <f t="shared" si="434"/>
        <v>13136.939143245789</v>
      </c>
      <c r="P349" s="28">
        <v>35</v>
      </c>
      <c r="Q349" s="26">
        <v>3.0000000000000001E-5</v>
      </c>
      <c r="R349" s="28">
        <v>0.2</v>
      </c>
      <c r="S349" s="28">
        <v>30</v>
      </c>
      <c r="T349" s="26">
        <v>5.0000000000000002E-5</v>
      </c>
      <c r="U349" s="26">
        <f t="shared" si="435"/>
        <v>1.0000000000000001E-5</v>
      </c>
      <c r="V349" s="26">
        <f t="shared" si="436"/>
        <v>0.66666666666666674</v>
      </c>
      <c r="W349" s="7">
        <v>0.17649027304331</v>
      </c>
      <c r="X349" s="7">
        <v>1328.02617841029</v>
      </c>
      <c r="Y349" s="7">
        <v>1722.9273575672501</v>
      </c>
      <c r="Z349" s="7">
        <v>1328.02617841029</v>
      </c>
      <c r="AA349" s="7">
        <v>2991156.8397606201</v>
      </c>
      <c r="AB349" s="7">
        <v>141471.060526129</v>
      </c>
      <c r="AC349" s="7">
        <f t="shared" si="437"/>
        <v>4378.9797143878295</v>
      </c>
      <c r="AE349" s="28">
        <v>35</v>
      </c>
      <c r="AF349" s="26">
        <v>5.0000000000000002E-5</v>
      </c>
      <c r="AG349" s="28">
        <v>0.2</v>
      </c>
      <c r="AH349" s="28">
        <v>30</v>
      </c>
      <c r="AI349" s="26">
        <v>5.0000000000000002E-5</v>
      </c>
      <c r="AJ349" s="26">
        <f t="shared" si="438"/>
        <v>1.0000000000000001E-5</v>
      </c>
      <c r="AK349" s="26">
        <f t="shared" si="439"/>
        <v>0.4</v>
      </c>
      <c r="AL349" s="7">
        <v>0.28113952882612298</v>
      </c>
      <c r="AM349" s="7">
        <v>796.81570693005597</v>
      </c>
      <c r="AN349" s="7">
        <v>1033.7564145403501</v>
      </c>
      <c r="AO349" s="7">
        <v>796.81570693005597</v>
      </c>
      <c r="AP349" s="7">
        <v>1794694.1518928199</v>
      </c>
      <c r="AQ349" s="7">
        <v>50929.581789406497</v>
      </c>
      <c r="AR349" s="7">
        <f t="shared" si="440"/>
        <v>2627.3878284004622</v>
      </c>
      <c r="AT349" s="28">
        <v>35</v>
      </c>
      <c r="AU349" s="26">
        <v>1.0000000000000001E-5</v>
      </c>
      <c r="AV349" s="28">
        <v>0.2</v>
      </c>
      <c r="AW349" s="28">
        <v>200</v>
      </c>
      <c r="AX349" s="26">
        <v>5.0000000000000002E-5</v>
      </c>
      <c r="AY349" s="26">
        <f t="shared" si="441"/>
        <v>1.0000000000000001E-5</v>
      </c>
      <c r="AZ349" s="26">
        <f t="shared" si="442"/>
        <v>2</v>
      </c>
      <c r="BA349" s="7">
        <v>6.9929855657412901E-2</v>
      </c>
      <c r="BB349" s="7">
        <v>602.00500937137394</v>
      </c>
      <c r="BC349" s="7">
        <v>783.15203621901901</v>
      </c>
      <c r="BD349" s="7">
        <v>602.00500937137394</v>
      </c>
      <c r="BE349" s="7">
        <v>8973470.5022608098</v>
      </c>
      <c r="BF349" s="7">
        <v>1273239.54473516</v>
      </c>
      <c r="BG349" s="7">
        <f t="shared" si="443"/>
        <v>1987.1620549617669</v>
      </c>
      <c r="BI349" s="28">
        <v>35</v>
      </c>
      <c r="BJ349" s="26">
        <v>1.0000000000000001E-5</v>
      </c>
      <c r="BK349" s="28">
        <v>0.5</v>
      </c>
      <c r="BL349" s="28">
        <v>200</v>
      </c>
      <c r="BM349" s="26">
        <v>5.0000000000000002E-5</v>
      </c>
      <c r="BN349" s="26">
        <f t="shared" si="444"/>
        <v>2.5000000000000001E-5</v>
      </c>
      <c r="BO349" s="26">
        <f t="shared" si="445"/>
        <v>5</v>
      </c>
      <c r="BP349" s="7">
        <v>9.3130981652050707E-2</v>
      </c>
      <c r="BQ349" s="7">
        <v>600.83500597989303</v>
      </c>
      <c r="BR349" s="7">
        <v>781.06268252331097</v>
      </c>
      <c r="BS349" s="7">
        <v>600.83500597989303</v>
      </c>
      <c r="BT349" s="7">
        <v>3589388.20090432</v>
      </c>
      <c r="BU349" s="7">
        <v>1273239.54473516</v>
      </c>
      <c r="BV349" s="7">
        <f t="shared" si="446"/>
        <v>1982.732694483097</v>
      </c>
      <c r="BX349" s="28">
        <v>35</v>
      </c>
      <c r="BY349" s="26">
        <v>5.0000000000000002E-5</v>
      </c>
      <c r="BZ349" s="28">
        <v>0.5</v>
      </c>
      <c r="CA349" s="28">
        <v>200</v>
      </c>
      <c r="CB349" s="26">
        <v>5.0000000000000002E-5</v>
      </c>
      <c r="CC349" s="26">
        <f t="shared" si="447"/>
        <v>2.5000000000000001E-5</v>
      </c>
      <c r="CD349" s="26">
        <f t="shared" si="448"/>
        <v>1</v>
      </c>
      <c r="CE349" s="7">
        <v>0.31013654347572001</v>
      </c>
      <c r="CF349" s="7">
        <v>120.167001188906</v>
      </c>
      <c r="CG349" s="7">
        <v>156.21253650466201</v>
      </c>
      <c r="CH349" s="7">
        <v>120.167001188906</v>
      </c>
      <c r="CI349" s="7">
        <v>717877.66075713001</v>
      </c>
      <c r="CJ349" s="7">
        <v>50929.581789406497</v>
      </c>
      <c r="CK349" s="7">
        <f t="shared" si="449"/>
        <v>396.54653888247401</v>
      </c>
      <c r="CM349" s="28">
        <v>35</v>
      </c>
      <c r="CN349" s="26">
        <v>5.0000000000000002E-5</v>
      </c>
      <c r="CO349" s="28">
        <v>1</v>
      </c>
      <c r="CP349" s="28">
        <v>200</v>
      </c>
      <c r="CQ349" s="26">
        <v>5.0000000000000002E-5</v>
      </c>
      <c r="CR349" s="26">
        <f t="shared" si="450"/>
        <v>5.0000000000000002E-5</v>
      </c>
      <c r="CS349" s="26">
        <f t="shared" si="451"/>
        <v>2</v>
      </c>
      <c r="CT349" s="7">
        <v>0.34880882242017702</v>
      </c>
      <c r="CU349" s="7">
        <v>119.779274796552</v>
      </c>
      <c r="CV349" s="7">
        <v>155.521045898078</v>
      </c>
      <c r="CW349" s="7">
        <v>119.779274796552</v>
      </c>
      <c r="CX349" s="7">
        <v>358938.83037856501</v>
      </c>
      <c r="CY349" s="7">
        <v>50929.581789406497</v>
      </c>
      <c r="CZ349" s="7">
        <f t="shared" si="452"/>
        <v>395.07959549118198</v>
      </c>
      <c r="DB349" s="28">
        <v>35</v>
      </c>
      <c r="DC349" s="26">
        <v>5.0000000000000002E-5</v>
      </c>
      <c r="DD349" s="28">
        <v>2</v>
      </c>
      <c r="DE349" s="28">
        <v>200</v>
      </c>
      <c r="DF349" s="26">
        <v>5.0000000000000002E-5</v>
      </c>
      <c r="DG349" s="26">
        <f t="shared" si="453"/>
        <v>1E-4</v>
      </c>
      <c r="DH349" s="26">
        <f t="shared" si="454"/>
        <v>4</v>
      </c>
      <c r="DI349" s="7">
        <v>0.426153287389547</v>
      </c>
      <c r="DJ349" s="7">
        <v>119.01223137089301</v>
      </c>
      <c r="DK349" s="7">
        <v>154.156369850555</v>
      </c>
      <c r="DL349" s="7">
        <v>119.01223137089301</v>
      </c>
      <c r="DM349" s="7">
        <v>179469.41518928201</v>
      </c>
      <c r="DN349" s="7">
        <v>50929.581789406497</v>
      </c>
      <c r="DO349" s="7">
        <f t="shared" si="455"/>
        <v>392.18083259234101</v>
      </c>
      <c r="DQ349" s="28">
        <v>35</v>
      </c>
      <c r="DR349" s="26">
        <v>5.0000000000000002E-5</v>
      </c>
      <c r="DS349" s="28">
        <v>15</v>
      </c>
      <c r="DT349" s="28">
        <v>300</v>
      </c>
      <c r="DU349" s="26">
        <v>2.5000000000000001E-5</v>
      </c>
      <c r="DV349" s="26">
        <f t="shared" si="456"/>
        <v>3.7500000000000001E-4</v>
      </c>
      <c r="DW349" s="26">
        <f t="shared" si="457"/>
        <v>15</v>
      </c>
      <c r="DX349" s="7">
        <v>1.6124313233204099</v>
      </c>
      <c r="DY349" s="7">
        <v>75.5008244304708</v>
      </c>
      <c r="DZ349" s="7">
        <v>96.032312732024195</v>
      </c>
      <c r="EA349" s="7">
        <v>75.5008244304708</v>
      </c>
      <c r="EB349" s="7">
        <v>23929.255358571001</v>
      </c>
      <c r="EC349" s="7">
        <v>30557.749073643899</v>
      </c>
      <c r="ED349" s="7">
        <f t="shared" si="458"/>
        <v>247.0339615929658</v>
      </c>
    </row>
    <row r="350" spans="1:134" x14ac:dyDescent="0.4">
      <c r="A350" s="28">
        <v>40</v>
      </c>
      <c r="B350" s="26">
        <v>1.0000000000000001E-5</v>
      </c>
      <c r="C350" s="28">
        <v>0.2</v>
      </c>
      <c r="D350" s="28">
        <v>30</v>
      </c>
      <c r="E350" s="26">
        <v>5.0000000000000002E-5</v>
      </c>
      <c r="F350" s="26">
        <f t="shared" si="432"/>
        <v>1.0000000000000001E-5</v>
      </c>
      <c r="G350" s="26">
        <f t="shared" si="433"/>
        <v>2</v>
      </c>
      <c r="H350" s="7">
        <v>6.7151007090141698E-2</v>
      </c>
      <c r="I350" s="7">
        <v>3352.9677929484601</v>
      </c>
      <c r="J350" s="7">
        <v>5323.5334580216904</v>
      </c>
      <c r="K350" s="7">
        <v>3352.9677929484601</v>
      </c>
      <c r="L350" s="7">
        <v>13908939.478979601</v>
      </c>
      <c r="M350" s="7">
        <v>1273239.54473516</v>
      </c>
      <c r="N350" s="7">
        <f t="shared" si="434"/>
        <v>12029.469043918611</v>
      </c>
      <c r="P350" s="28">
        <v>40</v>
      </c>
      <c r="Q350" s="26">
        <v>3.0000000000000001E-5</v>
      </c>
      <c r="R350" s="28">
        <v>0.2</v>
      </c>
      <c r="S350" s="28">
        <v>30</v>
      </c>
      <c r="T350" s="26">
        <v>5.0000000000000002E-5</v>
      </c>
      <c r="U350" s="26">
        <f t="shared" si="435"/>
        <v>1.0000000000000001E-5</v>
      </c>
      <c r="V350" s="26">
        <f t="shared" si="436"/>
        <v>0.66666666666666674</v>
      </c>
      <c r="W350" s="7">
        <v>0.179001699025302</v>
      </c>
      <c r="X350" s="7">
        <v>1117.6559309715101</v>
      </c>
      <c r="Y350" s="7">
        <v>1774.5111526738999</v>
      </c>
      <c r="Z350" s="7">
        <v>1117.6559309715101</v>
      </c>
      <c r="AA350" s="7">
        <v>4636313.1689486196</v>
      </c>
      <c r="AB350" s="7">
        <v>141471.060526129</v>
      </c>
      <c r="AC350" s="7">
        <f t="shared" si="437"/>
        <v>4009.8230146169199</v>
      </c>
      <c r="AE350" s="28">
        <v>40</v>
      </c>
      <c r="AF350" s="26">
        <v>5.0000000000000002E-5</v>
      </c>
      <c r="AG350" s="28">
        <v>0.2</v>
      </c>
      <c r="AH350" s="28">
        <v>30</v>
      </c>
      <c r="AI350" s="26">
        <v>5.0000000000000002E-5</v>
      </c>
      <c r="AJ350" s="26">
        <f t="shared" si="438"/>
        <v>1.0000000000000001E-5</v>
      </c>
      <c r="AK350" s="26">
        <f t="shared" si="439"/>
        <v>0.4</v>
      </c>
      <c r="AL350" s="7">
        <v>0.28878764612895202</v>
      </c>
      <c r="AM350" s="7">
        <v>670.59355848720395</v>
      </c>
      <c r="AN350" s="7">
        <v>1064.70669160434</v>
      </c>
      <c r="AO350" s="7">
        <v>670.59355848720395</v>
      </c>
      <c r="AP350" s="7">
        <v>2781787.9800138599</v>
      </c>
      <c r="AQ350" s="7">
        <v>50929.581789406497</v>
      </c>
      <c r="AR350" s="7">
        <f t="shared" si="440"/>
        <v>2405.8938085787481</v>
      </c>
      <c r="AT350" s="28">
        <v>40</v>
      </c>
      <c r="AU350" s="26">
        <v>1.0000000000000001E-5</v>
      </c>
      <c r="AV350" s="28">
        <v>0.2</v>
      </c>
      <c r="AW350" s="28">
        <v>200</v>
      </c>
      <c r="AX350" s="26">
        <v>5.0000000000000002E-5</v>
      </c>
      <c r="AY350" s="26">
        <f t="shared" si="441"/>
        <v>1.0000000000000001E-5</v>
      </c>
      <c r="AZ350" s="26">
        <f t="shared" si="442"/>
        <v>2</v>
      </c>
      <c r="BA350" s="7">
        <v>6.73783045886234E-2</v>
      </c>
      <c r="BB350" s="7">
        <v>506.171357939058</v>
      </c>
      <c r="BC350" s="7">
        <v>804.808472591532</v>
      </c>
      <c r="BD350" s="7">
        <v>506.171357939058</v>
      </c>
      <c r="BE350" s="7">
        <v>13908939.478979601</v>
      </c>
      <c r="BF350" s="7">
        <v>1273239.54473516</v>
      </c>
      <c r="BG350" s="7">
        <f t="shared" si="443"/>
        <v>1817.1511884696479</v>
      </c>
      <c r="BI350" s="28">
        <v>40</v>
      </c>
      <c r="BJ350" s="26">
        <v>1.0000000000000001E-5</v>
      </c>
      <c r="BK350" s="28">
        <v>0.5</v>
      </c>
      <c r="BL350" s="28">
        <v>200</v>
      </c>
      <c r="BM350" s="26">
        <v>5.0000000000000002E-5</v>
      </c>
      <c r="BN350" s="26">
        <f t="shared" si="444"/>
        <v>2.5000000000000001E-5</v>
      </c>
      <c r="BO350" s="26">
        <f t="shared" si="445"/>
        <v>5</v>
      </c>
      <c r="BP350" s="7">
        <v>8.3028020673295497E-2</v>
      </c>
      <c r="BQ350" s="7">
        <v>505.31296257696903</v>
      </c>
      <c r="BR350" s="7">
        <v>803.13685140779603</v>
      </c>
      <c r="BS350" s="7">
        <v>505.31296257696903</v>
      </c>
      <c r="BT350" s="7">
        <v>5563575.7915918296</v>
      </c>
      <c r="BU350" s="7">
        <v>1273239.54473516</v>
      </c>
      <c r="BV350" s="7">
        <f t="shared" si="446"/>
        <v>1813.7627765617342</v>
      </c>
      <c r="BX350" s="28">
        <v>40</v>
      </c>
      <c r="BY350" s="26">
        <v>5.0000000000000002E-5</v>
      </c>
      <c r="BZ350" s="28">
        <v>0.5</v>
      </c>
      <c r="CA350" s="28">
        <v>200</v>
      </c>
      <c r="CB350" s="26">
        <v>5.0000000000000002E-5</v>
      </c>
      <c r="CC350" s="26">
        <f t="shared" si="447"/>
        <v>2.5000000000000001E-5</v>
      </c>
      <c r="CD350" s="26">
        <f t="shared" si="448"/>
        <v>1</v>
      </c>
      <c r="CE350" s="7">
        <v>0.31000084510409198</v>
      </c>
      <c r="CF350" s="7">
        <v>101.06259250957299</v>
      </c>
      <c r="CG350" s="7">
        <v>160.627370281559</v>
      </c>
      <c r="CH350" s="7">
        <v>101.06259250957299</v>
      </c>
      <c r="CI350" s="7">
        <v>1112715.19200554</v>
      </c>
      <c r="CJ350" s="7">
        <v>50929.581789406497</v>
      </c>
      <c r="CK350" s="7">
        <f t="shared" si="449"/>
        <v>362.75255530070496</v>
      </c>
      <c r="CM350" s="28">
        <v>40</v>
      </c>
      <c r="CN350" s="26">
        <v>5.0000000000000002E-5</v>
      </c>
      <c r="CO350" s="28">
        <v>1</v>
      </c>
      <c r="CP350" s="28">
        <v>200</v>
      </c>
      <c r="CQ350" s="26">
        <v>5.0000000000000002E-5</v>
      </c>
      <c r="CR350" s="26">
        <f t="shared" si="450"/>
        <v>5.0000000000000002E-5</v>
      </c>
      <c r="CS350" s="26">
        <f t="shared" si="451"/>
        <v>2</v>
      </c>
      <c r="CT350" s="7">
        <v>0.33608669889307602</v>
      </c>
      <c r="CU350" s="7">
        <v>100.77787314708399</v>
      </c>
      <c r="CV350" s="7">
        <v>160.073267279547</v>
      </c>
      <c r="CW350" s="7">
        <v>100.77787314708399</v>
      </c>
      <c r="CX350" s="7">
        <v>556357.59600277198</v>
      </c>
      <c r="CY350" s="7">
        <v>50929.581789406497</v>
      </c>
      <c r="CZ350" s="7">
        <f t="shared" si="452"/>
        <v>361.62901357371499</v>
      </c>
      <c r="DB350" s="28">
        <v>40</v>
      </c>
      <c r="DC350" s="26">
        <v>5.0000000000000002E-5</v>
      </c>
      <c r="DD350" s="28">
        <v>2</v>
      </c>
      <c r="DE350" s="28">
        <v>200</v>
      </c>
      <c r="DF350" s="26">
        <v>5.0000000000000002E-5</v>
      </c>
      <c r="DG350" s="26">
        <f t="shared" si="453"/>
        <v>1E-4</v>
      </c>
      <c r="DH350" s="26">
        <f t="shared" si="454"/>
        <v>4</v>
      </c>
      <c r="DI350" s="7">
        <v>0.38825834567352402</v>
      </c>
      <c r="DJ350" s="7">
        <v>100.213668542356</v>
      </c>
      <c r="DK350" s="7">
        <v>158.97655523681999</v>
      </c>
      <c r="DL350" s="7">
        <v>100.213668542356</v>
      </c>
      <c r="DM350" s="7">
        <v>278178.79800138599</v>
      </c>
      <c r="DN350" s="7">
        <v>50929.581789406497</v>
      </c>
      <c r="DO350" s="7">
        <f t="shared" si="455"/>
        <v>359.403892321532</v>
      </c>
      <c r="DQ350" s="28">
        <v>40</v>
      </c>
      <c r="DR350" s="26">
        <v>5.0000000000000002E-5</v>
      </c>
      <c r="DS350" s="28">
        <v>15</v>
      </c>
      <c r="DT350" s="28">
        <v>300</v>
      </c>
      <c r="DU350" s="26">
        <v>2.5000000000000001E-5</v>
      </c>
      <c r="DV350" s="26">
        <f t="shared" si="456"/>
        <v>3.7500000000000001E-4</v>
      </c>
      <c r="DW350" s="26">
        <f t="shared" si="457"/>
        <v>15</v>
      </c>
      <c r="DX350" s="7">
        <v>1.25559597278988</v>
      </c>
      <c r="DY350" s="7">
        <v>63.957630951740299</v>
      </c>
      <c r="DZ350" s="7">
        <v>100.479958515748</v>
      </c>
      <c r="EA350" s="7">
        <v>63.957630951740299</v>
      </c>
      <c r="EB350" s="7">
        <v>37090.5064001848</v>
      </c>
      <c r="EC350" s="7">
        <v>30557.749073643899</v>
      </c>
      <c r="ED350" s="7">
        <f t="shared" si="458"/>
        <v>228.39522041922859</v>
      </c>
    </row>
    <row r="351" spans="1:134" x14ac:dyDescent="0.4">
      <c r="A351" s="28">
        <v>45</v>
      </c>
      <c r="B351" s="26">
        <v>1.0000000000000001E-5</v>
      </c>
      <c r="C351" s="28">
        <v>0.2</v>
      </c>
      <c r="D351" s="28">
        <v>30</v>
      </c>
      <c r="E351" s="26">
        <v>5.0000000000000002E-5</v>
      </c>
      <c r="F351" s="26">
        <f t="shared" si="432"/>
        <v>1.0000000000000001E-5</v>
      </c>
      <c r="G351" s="26">
        <f t="shared" si="433"/>
        <v>2</v>
      </c>
      <c r="H351" s="7">
        <v>6.5772931827847297E-2</v>
      </c>
      <c r="I351" s="7">
        <v>2844.9728255004802</v>
      </c>
      <c r="J351" s="7">
        <v>5459.8455675855203</v>
      </c>
      <c r="K351" s="7">
        <v>2844.9728255004802</v>
      </c>
      <c r="L351" s="7">
        <v>22314016.336053099</v>
      </c>
      <c r="M351" s="7">
        <v>1273239.54473516</v>
      </c>
      <c r="N351" s="7">
        <f t="shared" si="434"/>
        <v>11149.791218586481</v>
      </c>
      <c r="P351" s="28">
        <v>45</v>
      </c>
      <c r="Q351" s="26">
        <v>3.0000000000000001E-5</v>
      </c>
      <c r="R351" s="28">
        <v>0.2</v>
      </c>
      <c r="S351" s="28">
        <v>30</v>
      </c>
      <c r="T351" s="26">
        <v>5.0000000000000002E-5</v>
      </c>
      <c r="U351" s="26">
        <f t="shared" si="435"/>
        <v>1.0000000000000001E-5</v>
      </c>
      <c r="V351" s="26">
        <f t="shared" si="436"/>
        <v>0.66666666666666674</v>
      </c>
      <c r="W351" s="7">
        <v>0.18226138532373401</v>
      </c>
      <c r="X351" s="7">
        <v>948.32427515736799</v>
      </c>
      <c r="Y351" s="7">
        <v>1819.94852252851</v>
      </c>
      <c r="Z351" s="7">
        <v>948.32427515736799</v>
      </c>
      <c r="AA351" s="7">
        <v>7438005.4604388904</v>
      </c>
      <c r="AB351" s="7">
        <v>141471.060526129</v>
      </c>
      <c r="AC351" s="7">
        <f t="shared" si="437"/>
        <v>3716.5970728432458</v>
      </c>
      <c r="AE351" s="28">
        <v>45</v>
      </c>
      <c r="AF351" s="26">
        <v>5.0000000000000002E-5</v>
      </c>
      <c r="AG351" s="28">
        <v>0.2</v>
      </c>
      <c r="AH351" s="28">
        <v>30</v>
      </c>
      <c r="AI351" s="26">
        <v>5.0000000000000002E-5</v>
      </c>
      <c r="AJ351" s="26">
        <f t="shared" si="438"/>
        <v>1.0000000000000001E-5</v>
      </c>
      <c r="AK351" s="26">
        <f t="shared" si="439"/>
        <v>0.4</v>
      </c>
      <c r="AL351" s="7">
        <v>0.29675336190830698</v>
      </c>
      <c r="AM351" s="7">
        <v>568.99456501435202</v>
      </c>
      <c r="AN351" s="7">
        <v>1091.9691135170999</v>
      </c>
      <c r="AO351" s="7">
        <v>568.99456501435202</v>
      </c>
      <c r="AP351" s="7">
        <v>4462803.4040061999</v>
      </c>
      <c r="AQ351" s="7">
        <v>50929.581789406497</v>
      </c>
      <c r="AR351" s="7">
        <f t="shared" si="440"/>
        <v>2229.9582435458042</v>
      </c>
      <c r="AT351" s="28">
        <v>45</v>
      </c>
      <c r="AU351" s="26">
        <v>1.0000000000000001E-5</v>
      </c>
      <c r="AV351" s="28">
        <v>0.2</v>
      </c>
      <c r="AW351" s="28">
        <v>200</v>
      </c>
      <c r="AX351" s="26">
        <v>5.0000000000000002E-5</v>
      </c>
      <c r="AY351" s="26">
        <f t="shared" si="441"/>
        <v>1.0000000000000001E-5</v>
      </c>
      <c r="AZ351" s="26">
        <f t="shared" si="442"/>
        <v>2</v>
      </c>
      <c r="BA351" s="7">
        <v>6.5992172142351604E-2</v>
      </c>
      <c r="BB351" s="7">
        <v>429.182314820393</v>
      </c>
      <c r="BC351" s="7">
        <v>824.10906225483302</v>
      </c>
      <c r="BD351" s="7">
        <v>429.182314820393</v>
      </c>
      <c r="BE351" s="7">
        <v>22314016.336053099</v>
      </c>
      <c r="BF351" s="7">
        <v>1273239.54473516</v>
      </c>
      <c r="BG351" s="7">
        <f t="shared" si="443"/>
        <v>1682.4736918956191</v>
      </c>
      <c r="BI351" s="28">
        <v>45</v>
      </c>
      <c r="BJ351" s="26">
        <v>1.0000000000000001E-5</v>
      </c>
      <c r="BK351" s="28">
        <v>0.5</v>
      </c>
      <c r="BL351" s="28">
        <v>200</v>
      </c>
      <c r="BM351" s="26">
        <v>5.0000000000000002E-5</v>
      </c>
      <c r="BN351" s="26">
        <f t="shared" si="444"/>
        <v>2.5000000000000001E-5</v>
      </c>
      <c r="BO351" s="26">
        <f t="shared" si="445"/>
        <v>5</v>
      </c>
      <c r="BP351" s="7">
        <v>7.61376876832002E-2</v>
      </c>
      <c r="BQ351" s="7">
        <v>428.53449983983199</v>
      </c>
      <c r="BR351" s="7">
        <v>822.74419088845502</v>
      </c>
      <c r="BS351" s="7">
        <v>428.53449983983199</v>
      </c>
      <c r="BT351" s="7">
        <v>8925606.5344212595</v>
      </c>
      <c r="BU351" s="7">
        <v>1273239.54473516</v>
      </c>
      <c r="BV351" s="7">
        <f t="shared" si="446"/>
        <v>1679.8131905681191</v>
      </c>
      <c r="BX351" s="28">
        <v>45</v>
      </c>
      <c r="BY351" s="26">
        <v>5.0000000000000002E-5</v>
      </c>
      <c r="BZ351" s="28">
        <v>0.5</v>
      </c>
      <c r="CA351" s="28">
        <v>200</v>
      </c>
      <c r="CB351" s="26">
        <v>5.0000000000000002E-5</v>
      </c>
      <c r="CC351" s="26">
        <f t="shared" si="447"/>
        <v>2.5000000000000001E-5</v>
      </c>
      <c r="CD351" s="26">
        <f t="shared" si="448"/>
        <v>1</v>
      </c>
      <c r="CE351" s="7">
        <v>0.312273232725085</v>
      </c>
      <c r="CF351" s="7">
        <v>85.706899963102501</v>
      </c>
      <c r="CG351" s="7">
        <v>164.54883817769101</v>
      </c>
      <c r="CH351" s="7">
        <v>85.706899963102501</v>
      </c>
      <c r="CI351" s="7">
        <v>1785121.3616024801</v>
      </c>
      <c r="CJ351" s="7">
        <v>50929.581789406497</v>
      </c>
      <c r="CK351" s="7">
        <f t="shared" si="449"/>
        <v>335.96263810389598</v>
      </c>
      <c r="CM351" s="28">
        <v>45</v>
      </c>
      <c r="CN351" s="26">
        <v>5.0000000000000002E-5</v>
      </c>
      <c r="CO351" s="28">
        <v>1</v>
      </c>
      <c r="CP351" s="28">
        <v>200</v>
      </c>
      <c r="CQ351" s="26">
        <v>5.0000000000000002E-5</v>
      </c>
      <c r="CR351" s="26">
        <f t="shared" si="450"/>
        <v>5.0000000000000002E-5</v>
      </c>
      <c r="CS351" s="26">
        <f t="shared" si="451"/>
        <v>2</v>
      </c>
      <c r="CT351" s="7">
        <v>0.32918487362849302</v>
      </c>
      <c r="CU351" s="7">
        <v>85.491887514072303</v>
      </c>
      <c r="CV351" s="7">
        <v>164.095913900619</v>
      </c>
      <c r="CW351" s="7">
        <v>85.491887514072303</v>
      </c>
      <c r="CX351" s="7">
        <v>892560.68080124003</v>
      </c>
      <c r="CY351" s="7">
        <v>50929.581789406497</v>
      </c>
      <c r="CZ351" s="7">
        <f t="shared" si="452"/>
        <v>335.07968892876357</v>
      </c>
      <c r="DB351" s="28">
        <v>45</v>
      </c>
      <c r="DC351" s="26">
        <v>5.0000000000000002E-5</v>
      </c>
      <c r="DD351" s="28">
        <v>2</v>
      </c>
      <c r="DE351" s="28">
        <v>200</v>
      </c>
      <c r="DF351" s="26">
        <v>5.0000000000000002E-5</v>
      </c>
      <c r="DG351" s="26">
        <f t="shared" si="453"/>
        <v>1E-4</v>
      </c>
      <c r="DH351" s="26">
        <f t="shared" si="454"/>
        <v>4</v>
      </c>
      <c r="DI351" s="7">
        <v>0.36300811388927601</v>
      </c>
      <c r="DJ351" s="7">
        <v>85.065299620820397</v>
      </c>
      <c r="DK351" s="7">
        <v>163.197611169178</v>
      </c>
      <c r="DL351" s="7">
        <v>85.065299620820397</v>
      </c>
      <c r="DM351" s="7">
        <v>446280.34040062001</v>
      </c>
      <c r="DN351" s="7">
        <v>50929.581789406497</v>
      </c>
      <c r="DO351" s="7">
        <f t="shared" si="455"/>
        <v>333.32821041081877</v>
      </c>
      <c r="DQ351" s="28">
        <v>45</v>
      </c>
      <c r="DR351" s="26">
        <v>5.0000000000000002E-5</v>
      </c>
      <c r="DS351" s="28">
        <v>15</v>
      </c>
      <c r="DT351" s="28">
        <v>300</v>
      </c>
      <c r="DU351" s="26">
        <v>2.5000000000000001E-5</v>
      </c>
      <c r="DV351" s="26">
        <f t="shared" si="456"/>
        <v>3.7500000000000001E-4</v>
      </c>
      <c r="DW351" s="26">
        <f t="shared" si="457"/>
        <v>15</v>
      </c>
      <c r="DX351" s="7">
        <v>0.99945202488533502</v>
      </c>
      <c r="DY351" s="7">
        <v>54.539450656433999</v>
      </c>
      <c r="DZ351" s="7">
        <v>104.236562937325</v>
      </c>
      <c r="EA351" s="7">
        <v>54.539450656433999</v>
      </c>
      <c r="EB351" s="7">
        <v>59504.045386749298</v>
      </c>
      <c r="EC351" s="7">
        <v>30557.749073643899</v>
      </c>
      <c r="ED351" s="7">
        <f t="shared" si="458"/>
        <v>213.31546425019297</v>
      </c>
    </row>
    <row r="352" spans="1:134" x14ac:dyDescent="0.4">
      <c r="A352" s="28">
        <v>50</v>
      </c>
      <c r="B352" s="26">
        <v>1.0000000000000001E-5</v>
      </c>
      <c r="C352" s="28">
        <v>0.2</v>
      </c>
      <c r="D352" s="28">
        <v>30</v>
      </c>
      <c r="E352" s="26">
        <v>5.0000000000000002E-5</v>
      </c>
      <c r="F352" s="26">
        <f t="shared" si="432"/>
        <v>1.0000000000000001E-5</v>
      </c>
      <c r="G352" s="26">
        <f t="shared" si="433"/>
        <v>2</v>
      </c>
      <c r="H352" s="7">
        <v>6.5245913665298694E-2</v>
      </c>
      <c r="I352" s="7">
        <v>2422.0764785389101</v>
      </c>
      <c r="J352" s="7">
        <v>5581.9822447758097</v>
      </c>
      <c r="K352" s="7">
        <v>2422.0764785389101</v>
      </c>
      <c r="L352" s="7">
        <v>38032949.861855596</v>
      </c>
      <c r="M352" s="7">
        <v>1273239.54473516</v>
      </c>
      <c r="N352" s="7">
        <f t="shared" si="434"/>
        <v>10426.135201853631</v>
      </c>
      <c r="P352" s="28">
        <v>50</v>
      </c>
      <c r="Q352" s="26">
        <v>3.0000000000000001E-5</v>
      </c>
      <c r="R352" s="28">
        <v>0.2</v>
      </c>
      <c r="S352" s="28">
        <v>30</v>
      </c>
      <c r="T352" s="26">
        <v>5.0000000000000002E-5</v>
      </c>
      <c r="U352" s="26">
        <f t="shared" si="435"/>
        <v>1.0000000000000001E-5</v>
      </c>
      <c r="V352" s="26">
        <f t="shared" si="436"/>
        <v>0.66666666666666674</v>
      </c>
      <c r="W352" s="7">
        <v>0.18603393829211701</v>
      </c>
      <c r="X352" s="7">
        <v>807.35882617166396</v>
      </c>
      <c r="Y352" s="7">
        <v>1860.6607482586001</v>
      </c>
      <c r="Z352" s="7">
        <v>807.35882617166396</v>
      </c>
      <c r="AA352" s="7">
        <v>12677649.9784535</v>
      </c>
      <c r="AB352" s="7">
        <v>141471.060526129</v>
      </c>
      <c r="AC352" s="7">
        <f t="shared" si="437"/>
        <v>3475.3784006019282</v>
      </c>
      <c r="AE352" s="28">
        <v>50</v>
      </c>
      <c r="AF352" s="26">
        <v>5.0000000000000002E-5</v>
      </c>
      <c r="AG352" s="28">
        <v>0.2</v>
      </c>
      <c r="AH352" s="28">
        <v>30</v>
      </c>
      <c r="AI352" s="26">
        <v>5.0000000000000002E-5</v>
      </c>
      <c r="AJ352" s="26">
        <f t="shared" si="438"/>
        <v>1.0000000000000001E-5</v>
      </c>
      <c r="AK352" s="26">
        <f t="shared" si="439"/>
        <v>0.4</v>
      </c>
      <c r="AL352" s="7">
        <v>0.304883461248178</v>
      </c>
      <c r="AM352" s="7">
        <v>484.41529563550102</v>
      </c>
      <c r="AN352" s="7">
        <v>1116.3964489551599</v>
      </c>
      <c r="AO352" s="7">
        <v>484.41529563550102</v>
      </c>
      <c r="AP352" s="7">
        <v>7606590.1945190197</v>
      </c>
      <c r="AQ352" s="7">
        <v>50929.581789406497</v>
      </c>
      <c r="AR352" s="7">
        <f t="shared" si="440"/>
        <v>2085.227040226162</v>
      </c>
      <c r="AT352" s="28">
        <v>50</v>
      </c>
      <c r="AU352" s="26">
        <v>1.0000000000000001E-5</v>
      </c>
      <c r="AV352" s="28">
        <v>0.2</v>
      </c>
      <c r="AW352" s="28">
        <v>200</v>
      </c>
      <c r="AX352" s="26">
        <v>5.0000000000000002E-5</v>
      </c>
      <c r="AY352" s="26">
        <f t="shared" si="441"/>
        <v>1.0000000000000001E-5</v>
      </c>
      <c r="AZ352" s="26">
        <f t="shared" si="442"/>
        <v>2</v>
      </c>
      <c r="BA352" s="7">
        <v>6.5458354910852098E-2</v>
      </c>
      <c r="BB352" s="7">
        <v>365.18105956717</v>
      </c>
      <c r="BC352" s="7">
        <v>841.53641728653497</v>
      </c>
      <c r="BD352" s="7">
        <v>365.18105956717</v>
      </c>
      <c r="BE352" s="7">
        <v>38032949.861855596</v>
      </c>
      <c r="BF352" s="7">
        <v>1273239.54473516</v>
      </c>
      <c r="BG352" s="7">
        <f t="shared" si="443"/>
        <v>1571.898536420875</v>
      </c>
      <c r="BI352" s="28">
        <v>50</v>
      </c>
      <c r="BJ352" s="26">
        <v>1.0000000000000001E-5</v>
      </c>
      <c r="BK352" s="28">
        <v>0.5</v>
      </c>
      <c r="BL352" s="28">
        <v>200</v>
      </c>
      <c r="BM352" s="26">
        <v>5.0000000000000002E-5</v>
      </c>
      <c r="BN352" s="26">
        <f t="shared" si="444"/>
        <v>2.5000000000000001E-5</v>
      </c>
      <c r="BO352" s="26">
        <f t="shared" si="445"/>
        <v>5</v>
      </c>
      <c r="BP352" s="7">
        <v>7.1623528391921806E-2</v>
      </c>
      <c r="BQ352" s="7">
        <v>364.68421056947602</v>
      </c>
      <c r="BR352" s="7">
        <v>840.41004328064798</v>
      </c>
      <c r="BS352" s="7">
        <v>364.68421056947602</v>
      </c>
      <c r="BT352" s="7">
        <v>15213179.944742201</v>
      </c>
      <c r="BU352" s="7">
        <v>1273239.54473516</v>
      </c>
      <c r="BV352" s="7">
        <f t="shared" si="446"/>
        <v>1569.7784644195999</v>
      </c>
      <c r="BX352" s="28">
        <v>50</v>
      </c>
      <c r="BY352" s="26">
        <v>5.0000000000000002E-5</v>
      </c>
      <c r="BZ352" s="28">
        <v>0.5</v>
      </c>
      <c r="CA352" s="28">
        <v>200</v>
      </c>
      <c r="CB352" s="26">
        <v>5.0000000000000002E-5</v>
      </c>
      <c r="CC352" s="26">
        <f t="shared" si="447"/>
        <v>2.5000000000000001E-5</v>
      </c>
      <c r="CD352" s="26">
        <f t="shared" si="448"/>
        <v>1</v>
      </c>
      <c r="CE352" s="7">
        <v>0.31626278537528801</v>
      </c>
      <c r="CF352" s="7">
        <v>72.936842109798505</v>
      </c>
      <c r="CG352" s="7">
        <v>168.08200865613</v>
      </c>
      <c r="CH352" s="7">
        <v>72.936842109798505</v>
      </c>
      <c r="CI352" s="7">
        <v>3042636.0778076099</v>
      </c>
      <c r="CJ352" s="7">
        <v>50929.581789406497</v>
      </c>
      <c r="CK352" s="7">
        <f t="shared" si="449"/>
        <v>313.95569287572698</v>
      </c>
      <c r="CM352" s="28">
        <v>50</v>
      </c>
      <c r="CN352" s="26">
        <v>5.0000000000000002E-5</v>
      </c>
      <c r="CO352" s="28">
        <v>1</v>
      </c>
      <c r="CP352" s="28">
        <v>200</v>
      </c>
      <c r="CQ352" s="26">
        <v>5.0000000000000002E-5</v>
      </c>
      <c r="CR352" s="26">
        <f t="shared" si="450"/>
        <v>5.0000000000000002E-5</v>
      </c>
      <c r="CS352" s="26">
        <f t="shared" si="451"/>
        <v>2</v>
      </c>
      <c r="CT352" s="7">
        <v>0.32654009769305198</v>
      </c>
      <c r="CU352" s="7">
        <v>72.771853396363895</v>
      </c>
      <c r="CV352" s="7">
        <v>167.707917393011</v>
      </c>
      <c r="CW352" s="7">
        <v>72.771853396363895</v>
      </c>
      <c r="CX352" s="7">
        <v>1521318.0389038101</v>
      </c>
      <c r="CY352" s="7">
        <v>50929.581789406497</v>
      </c>
      <c r="CZ352" s="7">
        <f t="shared" si="452"/>
        <v>313.25162418573882</v>
      </c>
      <c r="DB352" s="28">
        <v>50</v>
      </c>
      <c r="DC352" s="26">
        <v>5.0000000000000002E-5</v>
      </c>
      <c r="DD352" s="28">
        <v>2</v>
      </c>
      <c r="DE352" s="28">
        <v>200</v>
      </c>
      <c r="DF352" s="26">
        <v>5.0000000000000002E-5</v>
      </c>
      <c r="DG352" s="26">
        <f t="shared" si="453"/>
        <v>1E-4</v>
      </c>
      <c r="DH352" s="26">
        <f t="shared" si="454"/>
        <v>4</v>
      </c>
      <c r="DI352" s="7">
        <v>0.347094693220523</v>
      </c>
      <c r="DJ352" s="7">
        <v>72.444208829560395</v>
      </c>
      <c r="DK352" s="7">
        <v>166.964817403171</v>
      </c>
      <c r="DL352" s="7">
        <v>72.444208829560395</v>
      </c>
      <c r="DM352" s="7">
        <v>760659.01945190295</v>
      </c>
      <c r="DN352" s="7">
        <v>50929.581789406497</v>
      </c>
      <c r="DO352" s="7">
        <f t="shared" si="455"/>
        <v>311.85323506229179</v>
      </c>
      <c r="DQ352" s="28">
        <v>50</v>
      </c>
      <c r="DR352" s="26">
        <v>5.0000000000000002E-5</v>
      </c>
      <c r="DS352" s="28">
        <v>15</v>
      </c>
      <c r="DT352" s="28">
        <v>300</v>
      </c>
      <c r="DU352" s="26">
        <v>2.5000000000000001E-5</v>
      </c>
      <c r="DV352" s="26">
        <f t="shared" si="456"/>
        <v>3.7500000000000001E-4</v>
      </c>
      <c r="DW352" s="26">
        <f t="shared" si="457"/>
        <v>15</v>
      </c>
      <c r="DX352" s="7">
        <v>0.818132539735551</v>
      </c>
      <c r="DY352" s="7">
        <v>46.620018473906597</v>
      </c>
      <c r="DZ352" s="7">
        <v>107.50242472112301</v>
      </c>
      <c r="EA352" s="7">
        <v>46.620018473906597</v>
      </c>
      <c r="EB352" s="7">
        <v>101421.202593587</v>
      </c>
      <c r="EC352" s="7">
        <v>30557.749073643899</v>
      </c>
      <c r="ED352" s="7">
        <f t="shared" si="458"/>
        <v>200.74246166893619</v>
      </c>
    </row>
    <row r="353" spans="1:134" x14ac:dyDescent="0.4">
      <c r="A353" s="28">
        <v>55.000000000000007</v>
      </c>
      <c r="B353" s="26">
        <v>1.0000000000000001E-5</v>
      </c>
      <c r="C353" s="28">
        <v>0.2</v>
      </c>
      <c r="D353" s="28">
        <v>30</v>
      </c>
      <c r="E353" s="26">
        <v>5.0000000000000002E-5</v>
      </c>
      <c r="F353" s="26">
        <f t="shared" si="432"/>
        <v>1.0000000000000001E-5</v>
      </c>
      <c r="G353" s="26">
        <f t="shared" si="433"/>
        <v>2</v>
      </c>
      <c r="H353" s="7">
        <v>6.5354723166043696E-2</v>
      </c>
      <c r="I353" s="7">
        <v>2061.2283400943002</v>
      </c>
      <c r="J353" s="7">
        <v>5692.8014386926097</v>
      </c>
      <c r="K353" s="7">
        <v>2061.2283400943002</v>
      </c>
      <c r="L353" s="7">
        <v>72349793.874809399</v>
      </c>
      <c r="M353" s="7">
        <v>1273239.54473516</v>
      </c>
      <c r="N353" s="7">
        <f t="shared" si="434"/>
        <v>9815.2581188812092</v>
      </c>
      <c r="P353" s="28">
        <v>55.000000000000007</v>
      </c>
      <c r="Q353" s="26">
        <v>3.0000000000000001E-5</v>
      </c>
      <c r="R353" s="28">
        <v>0.2</v>
      </c>
      <c r="S353" s="28">
        <v>30</v>
      </c>
      <c r="T353" s="26">
        <v>5.0000000000000002E-5</v>
      </c>
      <c r="U353" s="26">
        <f t="shared" si="435"/>
        <v>1.0000000000000001E-5</v>
      </c>
      <c r="V353" s="26">
        <f t="shared" si="436"/>
        <v>0.66666666666666674</v>
      </c>
      <c r="W353" s="7">
        <v>0.19016032493121099</v>
      </c>
      <c r="X353" s="7">
        <v>687.07611335802699</v>
      </c>
      <c r="Y353" s="7">
        <v>1897.6004795642</v>
      </c>
      <c r="Z353" s="7">
        <v>687.07611335802699</v>
      </c>
      <c r="AA353" s="7">
        <v>24116597.9983452</v>
      </c>
      <c r="AB353" s="7">
        <v>141471.060526129</v>
      </c>
      <c r="AC353" s="7">
        <f t="shared" si="437"/>
        <v>3271.7527062802537</v>
      </c>
      <c r="AE353" s="28">
        <v>55.000000000000007</v>
      </c>
      <c r="AF353" s="26">
        <v>5.0000000000000002E-5</v>
      </c>
      <c r="AG353" s="28">
        <v>0.2</v>
      </c>
      <c r="AH353" s="28">
        <v>30</v>
      </c>
      <c r="AI353" s="26">
        <v>5.0000000000000002E-5</v>
      </c>
      <c r="AJ353" s="26">
        <f t="shared" si="438"/>
        <v>1.0000000000000001E-5</v>
      </c>
      <c r="AK353" s="26">
        <f t="shared" si="439"/>
        <v>0.4</v>
      </c>
      <c r="AL353" s="7">
        <v>0.313078085293717</v>
      </c>
      <c r="AM353" s="7">
        <v>412.24566795777702</v>
      </c>
      <c r="AN353" s="7">
        <v>1138.5602877385199</v>
      </c>
      <c r="AO353" s="7">
        <v>412.24566795777702</v>
      </c>
      <c r="AP353" s="7">
        <v>14469959.1382923</v>
      </c>
      <c r="AQ353" s="7">
        <v>50929.581789406497</v>
      </c>
      <c r="AR353" s="7">
        <f t="shared" si="440"/>
        <v>1963.0516236540739</v>
      </c>
      <c r="AT353" s="28">
        <v>55.000000000000007</v>
      </c>
      <c r="AU353" s="26">
        <v>1.0000000000000001E-5</v>
      </c>
      <c r="AV353" s="28">
        <v>0.2</v>
      </c>
      <c r="AW353" s="28">
        <v>200</v>
      </c>
      <c r="AX353" s="26">
        <v>5.0000000000000002E-5</v>
      </c>
      <c r="AY353" s="26">
        <f t="shared" si="441"/>
        <v>1.0000000000000001E-5</v>
      </c>
      <c r="AZ353" s="26">
        <f t="shared" si="442"/>
        <v>2</v>
      </c>
      <c r="BA353" s="7">
        <v>6.5561257391459404E-2</v>
      </c>
      <c r="BB353" s="7">
        <v>310.62949089263498</v>
      </c>
      <c r="BC353" s="7">
        <v>857.43494866405695</v>
      </c>
      <c r="BD353" s="7">
        <v>310.62949089263498</v>
      </c>
      <c r="BE353" s="7">
        <v>72349793.874809399</v>
      </c>
      <c r="BF353" s="7">
        <v>1273239.54473516</v>
      </c>
      <c r="BG353" s="7">
        <f t="shared" si="443"/>
        <v>1478.6939304493269</v>
      </c>
      <c r="BI353" s="28">
        <v>55.000000000000007</v>
      </c>
      <c r="BJ353" s="26">
        <v>1.0000000000000001E-5</v>
      </c>
      <c r="BK353" s="28">
        <v>0.5</v>
      </c>
      <c r="BL353" s="28">
        <v>200</v>
      </c>
      <c r="BM353" s="26">
        <v>5.0000000000000002E-5</v>
      </c>
      <c r="BN353" s="26">
        <f t="shared" si="444"/>
        <v>2.5000000000000001E-5</v>
      </c>
      <c r="BO353" s="26">
        <f t="shared" si="445"/>
        <v>5</v>
      </c>
      <c r="BP353" s="7">
        <v>6.8906806962397399E-2</v>
      </c>
      <c r="BQ353" s="7">
        <v>310.245574031601</v>
      </c>
      <c r="BR353" s="7">
        <v>856.50167124423206</v>
      </c>
      <c r="BS353" s="7">
        <v>310.245574031601</v>
      </c>
      <c r="BT353" s="7">
        <v>28939917.5499238</v>
      </c>
      <c r="BU353" s="7">
        <v>1273239.54473516</v>
      </c>
      <c r="BV353" s="7">
        <f t="shared" si="446"/>
        <v>1476.9928193074338</v>
      </c>
      <c r="BX353" s="28">
        <v>55.000000000000007</v>
      </c>
      <c r="BY353" s="26">
        <v>5.0000000000000002E-5</v>
      </c>
      <c r="BZ353" s="28">
        <v>0.5</v>
      </c>
      <c r="CA353" s="28">
        <v>200</v>
      </c>
      <c r="CB353" s="26">
        <v>5.0000000000000002E-5</v>
      </c>
      <c r="CC353" s="26">
        <f t="shared" si="447"/>
        <v>2.5000000000000001E-5</v>
      </c>
      <c r="CD353" s="26">
        <f t="shared" si="448"/>
        <v>1</v>
      </c>
      <c r="CE353" s="7">
        <v>0.32149812060386002</v>
      </c>
      <c r="CF353" s="7">
        <v>62.049114802860501</v>
      </c>
      <c r="CG353" s="7">
        <v>171.30033424884601</v>
      </c>
      <c r="CH353" s="7">
        <v>62.049114802860501</v>
      </c>
      <c r="CI353" s="7">
        <v>5787983.6553169098</v>
      </c>
      <c r="CJ353" s="7">
        <v>50929.581789406497</v>
      </c>
      <c r="CK353" s="7">
        <f t="shared" si="449"/>
        <v>295.39856385456704</v>
      </c>
      <c r="CM353" s="28">
        <v>55.000000000000007</v>
      </c>
      <c r="CN353" s="26">
        <v>5.0000000000000002E-5</v>
      </c>
      <c r="CO353" s="28">
        <v>1</v>
      </c>
      <c r="CP353" s="28">
        <v>200</v>
      </c>
      <c r="CQ353" s="26">
        <v>5.0000000000000002E-5</v>
      </c>
      <c r="CR353" s="26">
        <f t="shared" si="450"/>
        <v>5.0000000000000002E-5</v>
      </c>
      <c r="CS353" s="26">
        <f t="shared" si="451"/>
        <v>2</v>
      </c>
      <c r="CT353" s="7">
        <v>0.32707571400553498</v>
      </c>
      <c r="CU353" s="7">
        <v>61.921576216120698</v>
      </c>
      <c r="CV353" s="7">
        <v>170.99017320176</v>
      </c>
      <c r="CW353" s="7">
        <v>61.921576216120698</v>
      </c>
      <c r="CX353" s="7">
        <v>2893991.8276584502</v>
      </c>
      <c r="CY353" s="7">
        <v>50929.581789406497</v>
      </c>
      <c r="CZ353" s="7">
        <f t="shared" si="452"/>
        <v>294.83332563400137</v>
      </c>
      <c r="DB353" s="28">
        <v>55.000000000000007</v>
      </c>
      <c r="DC353" s="26">
        <v>5.0000000000000002E-5</v>
      </c>
      <c r="DD353" s="28">
        <v>2</v>
      </c>
      <c r="DE353" s="28">
        <v>200</v>
      </c>
      <c r="DF353" s="26">
        <v>5.0000000000000002E-5</v>
      </c>
      <c r="DG353" s="26">
        <f t="shared" si="453"/>
        <v>1E-4</v>
      </c>
      <c r="DH353" s="26">
        <f t="shared" si="454"/>
        <v>4</v>
      </c>
      <c r="DI353" s="7">
        <v>0.33823088015805802</v>
      </c>
      <c r="DJ353" s="7">
        <v>61.6681127663864</v>
      </c>
      <c r="DK353" s="7">
        <v>170.373319720317</v>
      </c>
      <c r="DL353" s="7">
        <v>61.6681127663864</v>
      </c>
      <c r="DM353" s="7">
        <v>1446995.91382923</v>
      </c>
      <c r="DN353" s="7">
        <v>50929.581789406497</v>
      </c>
      <c r="DO353" s="7">
        <f t="shared" si="455"/>
        <v>293.7095452530898</v>
      </c>
      <c r="DQ353" s="28">
        <v>55.000000000000007</v>
      </c>
      <c r="DR353" s="26">
        <v>5.0000000000000002E-5</v>
      </c>
      <c r="DS353" s="28">
        <v>15</v>
      </c>
      <c r="DT353" s="28">
        <v>300</v>
      </c>
      <c r="DU353" s="26">
        <v>2.5000000000000001E-5</v>
      </c>
      <c r="DV353" s="26">
        <f t="shared" si="456"/>
        <v>3.7500000000000001E-4</v>
      </c>
      <c r="DW353" s="26">
        <f t="shared" si="457"/>
        <v>15</v>
      </c>
      <c r="DX353" s="7">
        <v>0.69370272187816595</v>
      </c>
      <c r="DY353" s="7">
        <v>39.809859656104699</v>
      </c>
      <c r="DZ353" s="7">
        <v>110.399385072318</v>
      </c>
      <c r="EA353" s="7">
        <v>39.809859656104699</v>
      </c>
      <c r="EB353" s="7">
        <v>192932.78851056399</v>
      </c>
      <c r="EC353" s="7">
        <v>30557.749073643899</v>
      </c>
      <c r="ED353" s="7">
        <f t="shared" si="458"/>
        <v>190.0191043845274</v>
      </c>
    </row>
    <row r="354" spans="1:134" x14ac:dyDescent="0.4">
      <c r="A354" s="28">
        <v>60</v>
      </c>
      <c r="B354" s="26">
        <v>1.0000000000000001E-5</v>
      </c>
      <c r="C354" s="28">
        <v>0.2</v>
      </c>
      <c r="D354" s="28">
        <v>30</v>
      </c>
      <c r="E354" s="26">
        <v>5.0000000000000002E-5</v>
      </c>
      <c r="F354" s="26">
        <f t="shared" si="432"/>
        <v>1.0000000000000001E-5</v>
      </c>
      <c r="G354" s="26">
        <f t="shared" si="433"/>
        <v>2</v>
      </c>
      <c r="H354" s="7">
        <v>6.5954455791139899E-2</v>
      </c>
      <c r="I354" s="7">
        <v>1747.4582681561301</v>
      </c>
      <c r="J354" s="7">
        <v>5794.3371345962596</v>
      </c>
      <c r="K354" s="7">
        <v>1747.4582681561301</v>
      </c>
      <c r="L354" s="7">
        <v>173207643.02618799</v>
      </c>
      <c r="M354" s="7">
        <v>1273239.54473516</v>
      </c>
      <c r="N354" s="7">
        <f t="shared" si="434"/>
        <v>9289.2536709085198</v>
      </c>
      <c r="P354" s="28">
        <v>60</v>
      </c>
      <c r="Q354" s="26">
        <v>3.0000000000000001E-5</v>
      </c>
      <c r="R354" s="28">
        <v>0.2</v>
      </c>
      <c r="S354" s="28">
        <v>30</v>
      </c>
      <c r="T354" s="26">
        <v>5.0000000000000002E-5</v>
      </c>
      <c r="U354" s="26">
        <f t="shared" si="435"/>
        <v>1.0000000000000001E-5</v>
      </c>
      <c r="V354" s="26">
        <f t="shared" si="436"/>
        <v>0.66666666666666674</v>
      </c>
      <c r="W354" s="7">
        <v>0.19453811168410701</v>
      </c>
      <c r="X354" s="7">
        <v>582.48608937969198</v>
      </c>
      <c r="Y354" s="7">
        <v>1931.4457115320899</v>
      </c>
      <c r="Z354" s="7">
        <v>582.48608937969198</v>
      </c>
      <c r="AA354" s="7">
        <v>57735881.0752545</v>
      </c>
      <c r="AB354" s="7">
        <v>141471.060526129</v>
      </c>
      <c r="AC354" s="7">
        <f t="shared" si="437"/>
        <v>3096.4178902914737</v>
      </c>
      <c r="AE354" s="28">
        <v>60</v>
      </c>
      <c r="AF354" s="26">
        <v>5.0000000000000002E-5</v>
      </c>
      <c r="AG354" s="28">
        <v>0.2</v>
      </c>
      <c r="AH354" s="28">
        <v>30</v>
      </c>
      <c r="AI354" s="26">
        <v>5.0000000000000002E-5</v>
      </c>
      <c r="AJ354" s="26">
        <f t="shared" si="438"/>
        <v>1.0000000000000001E-5</v>
      </c>
      <c r="AK354" s="26">
        <f t="shared" si="439"/>
        <v>0.4</v>
      </c>
      <c r="AL354" s="7">
        <v>0.32127914422021803</v>
      </c>
      <c r="AM354" s="7">
        <v>349.491653579706</v>
      </c>
      <c r="AN354" s="7">
        <v>1158.86742691925</v>
      </c>
      <c r="AO354" s="7">
        <v>349.491653579706</v>
      </c>
      <c r="AP354" s="7">
        <v>34641529.208382502</v>
      </c>
      <c r="AQ354" s="7">
        <v>50929.581789406497</v>
      </c>
      <c r="AR354" s="7">
        <f t="shared" si="440"/>
        <v>1857.8507340786621</v>
      </c>
      <c r="AT354" s="28">
        <v>60</v>
      </c>
      <c r="AU354" s="26">
        <v>1.0000000000000001E-5</v>
      </c>
      <c r="AV354" s="28">
        <v>0.2</v>
      </c>
      <c r="AW354" s="28">
        <v>200</v>
      </c>
      <c r="AX354" s="26">
        <v>5.0000000000000002E-5</v>
      </c>
      <c r="AY354" s="26">
        <f t="shared" si="441"/>
        <v>1.0000000000000001E-5</v>
      </c>
      <c r="AZ354" s="26">
        <f t="shared" si="442"/>
        <v>2</v>
      </c>
      <c r="BA354" s="7">
        <v>6.6155745176907796E-2</v>
      </c>
      <c r="BB354" s="7">
        <v>263.235986756096</v>
      </c>
      <c r="BC354" s="7">
        <v>872.060132412553</v>
      </c>
      <c r="BD354" s="7">
        <v>263.235986756096</v>
      </c>
      <c r="BE354" s="7">
        <v>173207643.02618799</v>
      </c>
      <c r="BF354" s="7">
        <v>1273239.54473516</v>
      </c>
      <c r="BG354" s="7">
        <f t="shared" si="443"/>
        <v>1398.5321059247451</v>
      </c>
      <c r="BI354" s="28">
        <v>60</v>
      </c>
      <c r="BJ354" s="26">
        <v>1.0000000000000001E-5</v>
      </c>
      <c r="BK354" s="28">
        <v>0.5</v>
      </c>
      <c r="BL354" s="28">
        <v>200</v>
      </c>
      <c r="BM354" s="26">
        <v>5.0000000000000002E-5</v>
      </c>
      <c r="BN354" s="26">
        <f t="shared" si="444"/>
        <v>2.5000000000000001E-5</v>
      </c>
      <c r="BO354" s="26">
        <f t="shared" si="445"/>
        <v>5</v>
      </c>
      <c r="BP354" s="7">
        <v>6.7594341554253201E-2</v>
      </c>
      <c r="BQ354" s="7">
        <v>262.93930247937197</v>
      </c>
      <c r="BR354" s="7">
        <v>871.287964463192</v>
      </c>
      <c r="BS354" s="7">
        <v>262.93930247937197</v>
      </c>
      <c r="BT354" s="7">
        <v>69283057.210475206</v>
      </c>
      <c r="BU354" s="7">
        <v>1273239.54473516</v>
      </c>
      <c r="BV354" s="7">
        <f t="shared" si="446"/>
        <v>1397.1665694219359</v>
      </c>
      <c r="BX354" s="28">
        <v>60</v>
      </c>
      <c r="BY354" s="26">
        <v>5.0000000000000002E-5</v>
      </c>
      <c r="BZ354" s="28">
        <v>0.5</v>
      </c>
      <c r="CA354" s="28">
        <v>200</v>
      </c>
      <c r="CB354" s="26">
        <v>5.0000000000000002E-5</v>
      </c>
      <c r="CC354" s="26">
        <f t="shared" si="447"/>
        <v>2.5000000000000001E-5</v>
      </c>
      <c r="CD354" s="26">
        <f t="shared" si="448"/>
        <v>1</v>
      </c>
      <c r="CE354" s="7">
        <v>0.32766783071952099</v>
      </c>
      <c r="CF354" s="7">
        <v>52.5878604929581</v>
      </c>
      <c r="CG354" s="7">
        <v>174.257592892638</v>
      </c>
      <c r="CH354" s="7">
        <v>52.5878604929581</v>
      </c>
      <c r="CI354" s="7">
        <v>13856611.683352999</v>
      </c>
      <c r="CJ354" s="7">
        <v>50929.581789406497</v>
      </c>
      <c r="CK354" s="7">
        <f t="shared" si="449"/>
        <v>279.4333138785542</v>
      </c>
      <c r="CM354" s="28">
        <v>60</v>
      </c>
      <c r="CN354" s="26">
        <v>5.0000000000000002E-5</v>
      </c>
      <c r="CO354" s="28">
        <v>1</v>
      </c>
      <c r="CP354" s="28">
        <v>200</v>
      </c>
      <c r="CQ354" s="26">
        <v>5.0000000000000002E-5</v>
      </c>
      <c r="CR354" s="26">
        <f t="shared" si="450"/>
        <v>5.0000000000000002E-5</v>
      </c>
      <c r="CS354" s="26">
        <f t="shared" si="451"/>
        <v>2</v>
      </c>
      <c r="CT354" s="7">
        <v>0.33006687868366003</v>
      </c>
      <c r="CU354" s="7">
        <v>52.489267736237203</v>
      </c>
      <c r="CV354" s="7">
        <v>174.00084097458901</v>
      </c>
      <c r="CW354" s="7">
        <v>52.489267736237203</v>
      </c>
      <c r="CX354" s="7">
        <v>6928305.8416764997</v>
      </c>
      <c r="CY354" s="7">
        <v>50929.581789406497</v>
      </c>
      <c r="CZ354" s="7">
        <f t="shared" si="452"/>
        <v>278.97937644706343</v>
      </c>
      <c r="DB354" s="28">
        <v>60</v>
      </c>
      <c r="DC354" s="26">
        <v>5.0000000000000002E-5</v>
      </c>
      <c r="DD354" s="28">
        <v>2</v>
      </c>
      <c r="DE354" s="28">
        <v>200</v>
      </c>
      <c r="DF354" s="26">
        <v>5.0000000000000002E-5</v>
      </c>
      <c r="DG354" s="26">
        <f t="shared" si="453"/>
        <v>1E-4</v>
      </c>
      <c r="DH354" s="26">
        <f t="shared" si="454"/>
        <v>4</v>
      </c>
      <c r="DI354" s="7">
        <v>0.33486495991944798</v>
      </c>
      <c r="DJ354" s="7">
        <v>52.293206867341603</v>
      </c>
      <c r="DK354" s="7">
        <v>173.489713442035</v>
      </c>
      <c r="DL354" s="7">
        <v>52.293206867341603</v>
      </c>
      <c r="DM354" s="7">
        <v>3464152.9208382498</v>
      </c>
      <c r="DN354" s="7">
        <v>50929.581789406497</v>
      </c>
      <c r="DO354" s="7">
        <f t="shared" si="455"/>
        <v>278.07612717671822</v>
      </c>
      <c r="DQ354" s="28">
        <v>60</v>
      </c>
      <c r="DR354" s="26">
        <v>5.0000000000000002E-5</v>
      </c>
      <c r="DS354" s="28">
        <v>15</v>
      </c>
      <c r="DT354" s="28">
        <v>300</v>
      </c>
      <c r="DU354" s="26">
        <v>2.5000000000000001E-5</v>
      </c>
      <c r="DV354" s="26">
        <f t="shared" si="456"/>
        <v>3.7500000000000001E-4</v>
      </c>
      <c r="DW354" s="26">
        <f t="shared" si="457"/>
        <v>15</v>
      </c>
      <c r="DX354" s="7">
        <v>0.61392970120713897</v>
      </c>
      <c r="DY354" s="7">
        <v>33.851188115179603</v>
      </c>
      <c r="DZ354" s="7">
        <v>113.007558882322</v>
      </c>
      <c r="EA354" s="7">
        <v>33.851188115179603</v>
      </c>
      <c r="EB354" s="7">
        <v>461887.05611176701</v>
      </c>
      <c r="EC354" s="7">
        <v>30557.749073643899</v>
      </c>
      <c r="ED354" s="7">
        <f t="shared" si="458"/>
        <v>180.70993511268122</v>
      </c>
    </row>
    <row r="355" spans="1:134" x14ac:dyDescent="0.4">
      <c r="A355" s="28">
        <v>65</v>
      </c>
      <c r="B355" s="26">
        <v>1.0000000000000001E-5</v>
      </c>
      <c r="C355" s="28">
        <v>0.2</v>
      </c>
      <c r="D355" s="28">
        <v>30</v>
      </c>
      <c r="E355" s="26">
        <v>5.0000000000000002E-5</v>
      </c>
      <c r="F355" s="26">
        <f t="shared" si="432"/>
        <v>1.0000000000000001E-5</v>
      </c>
      <c r="G355" s="26">
        <f t="shared" si="433"/>
        <v>2</v>
      </c>
      <c r="H355" s="7">
        <v>6.6963413456976706E-2</v>
      </c>
      <c r="I355" s="7">
        <v>1470.52695643265</v>
      </c>
      <c r="J355" s="7">
        <v>5888.0994972997396</v>
      </c>
      <c r="K355" s="7">
        <v>1470.52695643265</v>
      </c>
      <c r="L355" s="7">
        <v>859463306.304919</v>
      </c>
      <c r="M355" s="7">
        <v>1273239.54473516</v>
      </c>
      <c r="N355" s="7">
        <f t="shared" si="434"/>
        <v>8829.1534101650395</v>
      </c>
      <c r="P355" s="28">
        <v>65</v>
      </c>
      <c r="Q355" s="26">
        <v>3.0000000000000001E-5</v>
      </c>
      <c r="R355" s="28">
        <v>0.2</v>
      </c>
      <c r="S355" s="28">
        <v>30</v>
      </c>
      <c r="T355" s="26">
        <v>5.0000000000000002E-5</v>
      </c>
      <c r="U355" s="26">
        <f t="shared" si="435"/>
        <v>1.0000000000000001E-5</v>
      </c>
      <c r="V355" s="26">
        <f t="shared" si="436"/>
        <v>0.66666666666666674</v>
      </c>
      <c r="W355" s="7">
        <v>0.199118611287561</v>
      </c>
      <c r="X355" s="7">
        <v>490.175652139448</v>
      </c>
      <c r="Y355" s="7">
        <v>1962.6998324332501</v>
      </c>
      <c r="Z355" s="7">
        <v>490.175652139448</v>
      </c>
      <c r="AA355" s="7">
        <v>286487768.88169003</v>
      </c>
      <c r="AB355" s="7">
        <v>141471.060526129</v>
      </c>
      <c r="AC355" s="7">
        <f t="shared" si="437"/>
        <v>2943.0511367121462</v>
      </c>
      <c r="AE355" s="28">
        <v>65</v>
      </c>
      <c r="AF355" s="26">
        <v>5.0000000000000002E-5</v>
      </c>
      <c r="AG355" s="28">
        <v>0.2</v>
      </c>
      <c r="AH355" s="28">
        <v>30</v>
      </c>
      <c r="AI355" s="26">
        <v>5.0000000000000002E-5</v>
      </c>
      <c r="AJ355" s="26">
        <f t="shared" si="438"/>
        <v>1.0000000000000001E-5</v>
      </c>
      <c r="AK355" s="26">
        <f t="shared" si="439"/>
        <v>0.4</v>
      </c>
      <c r="AL355" s="7">
        <v>0.32947220744948802</v>
      </c>
      <c r="AM355" s="7">
        <v>294.10539124333502</v>
      </c>
      <c r="AN355" s="7">
        <v>1177.6198994599499</v>
      </c>
      <c r="AO355" s="7">
        <v>294.10539124333502</v>
      </c>
      <c r="AP355" s="7">
        <v>171892662.28655201</v>
      </c>
      <c r="AQ355" s="7">
        <v>50929.581789406497</v>
      </c>
      <c r="AR355" s="7">
        <f t="shared" si="440"/>
        <v>1765.8306819466197</v>
      </c>
      <c r="AT355" s="28">
        <v>65</v>
      </c>
      <c r="AU355" s="26">
        <v>1.0000000000000001E-5</v>
      </c>
      <c r="AV355" s="28">
        <v>0.2</v>
      </c>
      <c r="AW355" s="28">
        <v>200</v>
      </c>
      <c r="AX355" s="26">
        <v>5.0000000000000002E-5</v>
      </c>
      <c r="AY355" s="26">
        <f t="shared" si="441"/>
        <v>1.0000000000000001E-5</v>
      </c>
      <c r="AZ355" s="26">
        <f t="shared" si="442"/>
        <v>2</v>
      </c>
      <c r="BA355" s="7">
        <v>6.7159967468992901E-2</v>
      </c>
      <c r="BB355" s="7">
        <v>221.436390808456</v>
      </c>
      <c r="BC355" s="7">
        <v>885.60719905590599</v>
      </c>
      <c r="BD355" s="7">
        <v>221.436390808456</v>
      </c>
      <c r="BE355" s="7">
        <v>859463306.304919</v>
      </c>
      <c r="BF355" s="7">
        <v>1273239.54473516</v>
      </c>
      <c r="BG355" s="7">
        <f t="shared" si="443"/>
        <v>1328.4799806728181</v>
      </c>
      <c r="BI355" s="28">
        <v>65</v>
      </c>
      <c r="BJ355" s="26">
        <v>1.0000000000000001E-5</v>
      </c>
      <c r="BK355" s="28">
        <v>0.5</v>
      </c>
      <c r="BL355" s="28">
        <v>200</v>
      </c>
      <c r="BM355" s="26">
        <v>5.0000000000000002E-5</v>
      </c>
      <c r="BN355" s="26">
        <f t="shared" si="444"/>
        <v>2.5000000000000001E-5</v>
      </c>
      <c r="BO355" s="26">
        <f t="shared" si="445"/>
        <v>5</v>
      </c>
      <c r="BP355" s="7">
        <v>6.7457748664639994E-2</v>
      </c>
      <c r="BQ355" s="7">
        <v>221.20879187134</v>
      </c>
      <c r="BR355" s="7">
        <v>884.97259280428204</v>
      </c>
      <c r="BS355" s="7">
        <v>221.20879187134</v>
      </c>
      <c r="BT355" s="7">
        <v>343785322.52196801</v>
      </c>
      <c r="BU355" s="7">
        <v>1273239.54473516</v>
      </c>
      <c r="BV355" s="7">
        <f t="shared" si="446"/>
        <v>1327.390176546962</v>
      </c>
      <c r="BX355" s="28">
        <v>65</v>
      </c>
      <c r="BY355" s="26">
        <v>5.0000000000000002E-5</v>
      </c>
      <c r="BZ355" s="28">
        <v>0.5</v>
      </c>
      <c r="CA355" s="28">
        <v>200</v>
      </c>
      <c r="CB355" s="26">
        <v>5.0000000000000002E-5</v>
      </c>
      <c r="CC355" s="26">
        <f t="shared" si="447"/>
        <v>2.5000000000000001E-5</v>
      </c>
      <c r="CD355" s="26">
        <f t="shared" si="448"/>
        <v>1</v>
      </c>
      <c r="CE355" s="7">
        <v>0.33460744748779297</v>
      </c>
      <c r="CF355" s="7">
        <v>44.241758371824098</v>
      </c>
      <c r="CG355" s="7">
        <v>176.99451856085599</v>
      </c>
      <c r="CH355" s="7">
        <v>44.241758371824098</v>
      </c>
      <c r="CI355" s="7">
        <v>68757064.914620593</v>
      </c>
      <c r="CJ355" s="7">
        <v>50929.581789406497</v>
      </c>
      <c r="CK355" s="7">
        <f t="shared" si="449"/>
        <v>265.4780353045042</v>
      </c>
      <c r="CM355" s="28">
        <v>65</v>
      </c>
      <c r="CN355" s="26">
        <v>5.0000000000000002E-5</v>
      </c>
      <c r="CO355" s="28">
        <v>1</v>
      </c>
      <c r="CP355" s="28">
        <v>200</v>
      </c>
      <c r="CQ355" s="26">
        <v>5.0000000000000002E-5</v>
      </c>
      <c r="CR355" s="26">
        <f t="shared" si="450"/>
        <v>5.0000000000000002E-5</v>
      </c>
      <c r="CS355" s="26">
        <f t="shared" si="451"/>
        <v>2</v>
      </c>
      <c r="CT355" s="7">
        <v>0.335104887420067</v>
      </c>
      <c r="CU355" s="7">
        <v>44.166101596649497</v>
      </c>
      <c r="CV355" s="7">
        <v>176.783417824277</v>
      </c>
      <c r="CW355" s="7">
        <v>44.166101596649497</v>
      </c>
      <c r="CX355" s="7">
        <v>34378532.457310297</v>
      </c>
      <c r="CY355" s="7">
        <v>50929.581789406497</v>
      </c>
      <c r="CZ355" s="7">
        <f t="shared" si="452"/>
        <v>265.11562101757602</v>
      </c>
      <c r="DB355" s="28">
        <v>65</v>
      </c>
      <c r="DC355" s="26">
        <v>5.0000000000000002E-5</v>
      </c>
      <c r="DD355" s="28">
        <v>2</v>
      </c>
      <c r="DE355" s="28">
        <v>200</v>
      </c>
      <c r="DF355" s="26">
        <v>5.0000000000000002E-5</v>
      </c>
      <c r="DG355" s="26">
        <f t="shared" si="453"/>
        <v>1E-4</v>
      </c>
      <c r="DH355" s="26">
        <f t="shared" si="454"/>
        <v>4</v>
      </c>
      <c r="DI355" s="7">
        <v>0.33609975689378901</v>
      </c>
      <c r="DJ355" s="7">
        <v>44.0155689113517</v>
      </c>
      <c r="DK355" s="7">
        <v>176.36283833637401</v>
      </c>
      <c r="DL355" s="7">
        <v>44.0155689113517</v>
      </c>
      <c r="DM355" s="7">
        <v>17189266.2286552</v>
      </c>
      <c r="DN355" s="7">
        <v>50929.581789406497</v>
      </c>
      <c r="DO355" s="7">
        <f t="shared" si="455"/>
        <v>264.3939761590774</v>
      </c>
      <c r="DQ355" s="28">
        <v>65</v>
      </c>
      <c r="DR355" s="26">
        <v>5.0000000000000002E-5</v>
      </c>
      <c r="DS355" s="28">
        <v>15</v>
      </c>
      <c r="DT355" s="28">
        <v>300</v>
      </c>
      <c r="DU355" s="26">
        <v>2.5000000000000001E-5</v>
      </c>
      <c r="DV355" s="26">
        <f t="shared" si="456"/>
        <v>3.7500000000000001E-4</v>
      </c>
      <c r="DW355" s="26">
        <f t="shared" si="457"/>
        <v>15</v>
      </c>
      <c r="DX355" s="7">
        <v>0.57161944713799995</v>
      </c>
      <c r="DY355" s="7">
        <v>28.565057936355299</v>
      </c>
      <c r="DZ355" s="7">
        <v>115.382714159923</v>
      </c>
      <c r="EA355" s="7">
        <v>28.565057936355299</v>
      </c>
      <c r="EB355" s="7">
        <v>2291902.16382069</v>
      </c>
      <c r="EC355" s="7">
        <v>30557.749073643899</v>
      </c>
      <c r="ED355" s="7">
        <f t="shared" si="458"/>
        <v>172.51283003263359</v>
      </c>
    </row>
    <row r="356" spans="1:134" x14ac:dyDescent="0.4">
      <c r="A356" s="28">
        <v>70</v>
      </c>
      <c r="B356" s="26">
        <v>1.0000000000000001E-5</v>
      </c>
      <c r="C356" s="28">
        <v>0.2</v>
      </c>
      <c r="D356" s="28">
        <v>30</v>
      </c>
      <c r="E356" s="26">
        <v>5.0000000000000002E-5</v>
      </c>
      <c r="F356" s="26">
        <f t="shared" si="432"/>
        <v>1.0000000000000001E-5</v>
      </c>
      <c r="G356" s="26">
        <f t="shared" si="433"/>
        <v>2</v>
      </c>
      <c r="H356" s="7">
        <v>6.84456404699159E-2</v>
      </c>
      <c r="I356" s="7">
        <v>1223.14114606982</v>
      </c>
      <c r="J356" s="7">
        <v>5975.2459753258199</v>
      </c>
      <c r="K356" s="7">
        <v>1223.14114606982</v>
      </c>
      <c r="L356" s="7" t="s">
        <v>94</v>
      </c>
      <c r="M356" s="7">
        <v>1273239.54473516</v>
      </c>
      <c r="N356" s="7">
        <f t="shared" si="434"/>
        <v>8421.5282674654591</v>
      </c>
      <c r="P356" s="28">
        <v>70</v>
      </c>
      <c r="Q356" s="26">
        <v>3.0000000000000001E-5</v>
      </c>
      <c r="R356" s="28">
        <v>0.2</v>
      </c>
      <c r="S356" s="28">
        <v>30</v>
      </c>
      <c r="T356" s="26">
        <v>5.0000000000000002E-5</v>
      </c>
      <c r="U356" s="26">
        <f t="shared" si="435"/>
        <v>1.0000000000000001E-5</v>
      </c>
      <c r="V356" s="26">
        <f t="shared" si="436"/>
        <v>0.66666666666666674</v>
      </c>
      <c r="W356" s="7">
        <v>0.20399211344517601</v>
      </c>
      <c r="X356" s="7">
        <v>407.71371535265399</v>
      </c>
      <c r="Y356" s="7">
        <v>1991.7486584419401</v>
      </c>
      <c r="Z356" s="7">
        <v>407.71371535265399</v>
      </c>
      <c r="AA356" s="7" t="s">
        <v>94</v>
      </c>
      <c r="AB356" s="7">
        <v>141471.060526129</v>
      </c>
      <c r="AC356" s="7">
        <f t="shared" si="437"/>
        <v>2807.1760891472481</v>
      </c>
      <c r="AE356" s="28">
        <v>70</v>
      </c>
      <c r="AF356" s="26">
        <v>5.0000000000000002E-5</v>
      </c>
      <c r="AG356" s="28">
        <v>0.2</v>
      </c>
      <c r="AH356" s="28">
        <v>30</v>
      </c>
      <c r="AI356" s="26">
        <v>5.0000000000000002E-5</v>
      </c>
      <c r="AJ356" s="26">
        <f t="shared" si="438"/>
        <v>1.0000000000000001E-5</v>
      </c>
      <c r="AK356" s="26">
        <f t="shared" si="439"/>
        <v>0.4</v>
      </c>
      <c r="AL356" s="7">
        <v>0.33777467650003601</v>
      </c>
      <c r="AM356" s="7">
        <v>244.62822917813699</v>
      </c>
      <c r="AN356" s="7">
        <v>1195.0491950651599</v>
      </c>
      <c r="AO356" s="7">
        <v>244.62822917813699</v>
      </c>
      <c r="AP356" s="7" t="s">
        <v>94</v>
      </c>
      <c r="AQ356" s="7">
        <v>50929.581789406497</v>
      </c>
      <c r="AR356" s="7">
        <f t="shared" si="440"/>
        <v>1684.3056534214338</v>
      </c>
      <c r="AT356" s="28">
        <v>70</v>
      </c>
      <c r="AU356" s="26">
        <v>1.0000000000000001E-5</v>
      </c>
      <c r="AV356" s="28">
        <v>0.2</v>
      </c>
      <c r="AW356" s="28">
        <v>200</v>
      </c>
      <c r="AX356" s="26">
        <v>5.0000000000000002E-5</v>
      </c>
      <c r="AY356" s="26">
        <f t="shared" si="441"/>
        <v>1.0000000000000001E-5</v>
      </c>
      <c r="AZ356" s="26">
        <f t="shared" si="442"/>
        <v>2</v>
      </c>
      <c r="BA356" s="7">
        <v>6.8637862503112601E-2</v>
      </c>
      <c r="BB356" s="7">
        <v>184.11844341766201</v>
      </c>
      <c r="BC356" s="7">
        <v>898.22894938474894</v>
      </c>
      <c r="BD356" s="7">
        <v>184.11844341766201</v>
      </c>
      <c r="BE356" s="7" t="s">
        <v>94</v>
      </c>
      <c r="BF356" s="7">
        <v>1273239.54473516</v>
      </c>
      <c r="BG356" s="7">
        <f t="shared" si="443"/>
        <v>1266.465836220073</v>
      </c>
      <c r="BI356" s="28">
        <v>70</v>
      </c>
      <c r="BJ356" s="26">
        <v>1.0000000000000001E-5</v>
      </c>
      <c r="BK356" s="28">
        <v>0.5</v>
      </c>
      <c r="BL356" s="28">
        <v>200</v>
      </c>
      <c r="BM356" s="26">
        <v>5.0000000000000002E-5</v>
      </c>
      <c r="BN356" s="26">
        <f t="shared" si="444"/>
        <v>2.5000000000000001E-5</v>
      </c>
      <c r="BO356" s="26">
        <f t="shared" si="445"/>
        <v>5</v>
      </c>
      <c r="BP356" s="7">
        <v>6.8637885633126602E-2</v>
      </c>
      <c r="BQ356" s="7">
        <v>183.946660682919</v>
      </c>
      <c r="BR356" s="7">
        <v>897.71395999315905</v>
      </c>
      <c r="BS356" s="7">
        <v>183.946660682919</v>
      </c>
      <c r="BT356" s="7" t="s">
        <v>94</v>
      </c>
      <c r="BU356" s="7">
        <v>1273239.54473516</v>
      </c>
      <c r="BV356" s="7">
        <f t="shared" si="446"/>
        <v>1265.6072813589969</v>
      </c>
      <c r="BX356" s="28">
        <v>70</v>
      </c>
      <c r="BY356" s="26">
        <v>5.0000000000000002E-5</v>
      </c>
      <c r="BZ356" s="28">
        <v>0.5</v>
      </c>
      <c r="CA356" s="28">
        <v>200</v>
      </c>
      <c r="CB356" s="26">
        <v>5.0000000000000002E-5</v>
      </c>
      <c r="CC356" s="26">
        <f t="shared" si="447"/>
        <v>2.5000000000000001E-5</v>
      </c>
      <c r="CD356" s="26">
        <f t="shared" si="448"/>
        <v>1</v>
      </c>
      <c r="CE356" s="7">
        <v>0.34250885494917599</v>
      </c>
      <c r="CF356" s="7">
        <v>36.7893321345583</v>
      </c>
      <c r="CG356" s="7">
        <v>179.542791998632</v>
      </c>
      <c r="CH356" s="7">
        <v>36.7893321345583</v>
      </c>
      <c r="CI356" s="7" t="s">
        <v>94</v>
      </c>
      <c r="CJ356" s="7">
        <v>50929.581789406497</v>
      </c>
      <c r="CK356" s="7">
        <f t="shared" si="449"/>
        <v>253.12145626774858</v>
      </c>
      <c r="CM356" s="28">
        <v>70</v>
      </c>
      <c r="CN356" s="26">
        <v>5.0000000000000002E-5</v>
      </c>
      <c r="CO356" s="28">
        <v>1</v>
      </c>
      <c r="CP356" s="28">
        <v>200</v>
      </c>
      <c r="CQ356" s="26">
        <v>5.0000000000000002E-5</v>
      </c>
      <c r="CR356" s="26">
        <f t="shared" si="450"/>
        <v>5.0000000000000002E-5</v>
      </c>
      <c r="CS356" s="26">
        <f t="shared" si="451"/>
        <v>2</v>
      </c>
      <c r="CT356" s="7">
        <v>0.34250981294087102</v>
      </c>
      <c r="CU356" s="7">
        <v>36.732214141098297</v>
      </c>
      <c r="CV356" s="7">
        <v>179.37142238436701</v>
      </c>
      <c r="CW356" s="7">
        <v>36.732214141098297</v>
      </c>
      <c r="CX356" s="7" t="s">
        <v>94</v>
      </c>
      <c r="CY356" s="7">
        <v>50929.581789406497</v>
      </c>
      <c r="CZ356" s="7">
        <f t="shared" si="452"/>
        <v>252.8358506665636</v>
      </c>
      <c r="DB356" s="28">
        <v>70</v>
      </c>
      <c r="DC356" s="26">
        <v>5.0000000000000002E-5</v>
      </c>
      <c r="DD356" s="28">
        <v>2</v>
      </c>
      <c r="DE356" s="28">
        <v>200</v>
      </c>
      <c r="DF356" s="26">
        <v>5.0000000000000002E-5</v>
      </c>
      <c r="DG356" s="26">
        <f t="shared" si="453"/>
        <v>1E-4</v>
      </c>
      <c r="DH356" s="26">
        <f t="shared" si="454"/>
        <v>4</v>
      </c>
      <c r="DI356" s="7">
        <v>0.342511721688739</v>
      </c>
      <c r="DJ356" s="7">
        <v>36.618511090650998</v>
      </c>
      <c r="DK356" s="7">
        <v>179.02977916857401</v>
      </c>
      <c r="DL356" s="7">
        <v>36.618511090650998</v>
      </c>
      <c r="DM356" s="7" t="s">
        <v>94</v>
      </c>
      <c r="DN356" s="7">
        <v>50929.581789406497</v>
      </c>
      <c r="DO356" s="7">
        <f t="shared" si="455"/>
        <v>252.266801349876</v>
      </c>
      <c r="DQ356" s="28">
        <v>70</v>
      </c>
      <c r="DR356" s="26">
        <v>5.0000000000000002E-5</v>
      </c>
      <c r="DS356" s="28">
        <v>15</v>
      </c>
      <c r="DT356" s="28">
        <v>300</v>
      </c>
      <c r="DU356" s="26">
        <v>2.5000000000000001E-5</v>
      </c>
      <c r="DV356" s="26">
        <f t="shared" si="456"/>
        <v>3.7500000000000001E-4</v>
      </c>
      <c r="DW356" s="26">
        <f t="shared" si="457"/>
        <v>15</v>
      </c>
      <c r="DX356" s="7">
        <v>0.57072384890945704</v>
      </c>
      <c r="DY356" s="7">
        <v>23.8224846510956</v>
      </c>
      <c r="DZ356" s="7">
        <v>117.565391453988</v>
      </c>
      <c r="EA356" s="7">
        <v>23.8224846510956</v>
      </c>
      <c r="EB356" s="7" t="s">
        <v>94</v>
      </c>
      <c r="EC356" s="7">
        <v>30557.749073643899</v>
      </c>
      <c r="ED356" s="7">
        <f t="shared" si="458"/>
        <v>165.2103607561792</v>
      </c>
    </row>
    <row r="357" spans="1:134" x14ac:dyDescent="0.4">
      <c r="B357" s="26"/>
      <c r="E357" s="26"/>
      <c r="F357" s="26"/>
      <c r="G357" s="26"/>
      <c r="Q357" s="26"/>
      <c r="T357" s="26"/>
      <c r="U357" s="26"/>
      <c r="V357" s="26"/>
      <c r="AF357" s="26"/>
      <c r="AI357" s="26"/>
      <c r="AJ357" s="26"/>
      <c r="AK357" s="26"/>
      <c r="AU357" s="26"/>
      <c r="AX357" s="26"/>
      <c r="AY357" s="26"/>
      <c r="AZ357" s="26"/>
      <c r="BJ357" s="26"/>
      <c r="BM357" s="26"/>
      <c r="BN357" s="26"/>
      <c r="BO357" s="26"/>
      <c r="BY357" s="26"/>
      <c r="CB357" s="26"/>
      <c r="CC357" s="26"/>
      <c r="CD357" s="26"/>
      <c r="CN357" s="26"/>
      <c r="CQ357" s="26"/>
      <c r="CR357" s="26"/>
      <c r="CS357" s="26"/>
      <c r="DC357" s="26"/>
      <c r="DF357" s="26"/>
      <c r="DG357" s="26"/>
      <c r="DH357" s="26"/>
      <c r="DR357" s="26"/>
      <c r="DU357" s="26"/>
      <c r="DV357" s="26"/>
      <c r="DW357" s="26"/>
    </row>
    <row r="358" spans="1:134" s="36" customFormat="1" ht="47.25" x14ac:dyDescent="0.4">
      <c r="A358" s="53" t="s">
        <v>69</v>
      </c>
      <c r="B358" s="54" t="s">
        <v>93</v>
      </c>
      <c r="C358" s="39" t="s">
        <v>73</v>
      </c>
      <c r="D358" s="39" t="s">
        <v>98</v>
      </c>
      <c r="E358" s="39" t="s">
        <v>97</v>
      </c>
      <c r="F358" s="39" t="s">
        <v>99</v>
      </c>
      <c r="G358" s="39" t="s">
        <v>96</v>
      </c>
      <c r="H358" s="37" t="s">
        <v>60</v>
      </c>
      <c r="I358" s="37" t="s">
        <v>100</v>
      </c>
      <c r="J358" s="37" t="s">
        <v>101</v>
      </c>
      <c r="K358" s="37" t="s">
        <v>102</v>
      </c>
      <c r="L358" s="37" t="s">
        <v>103</v>
      </c>
      <c r="M358" s="37" t="s">
        <v>65</v>
      </c>
      <c r="N358" s="37" t="s">
        <v>68</v>
      </c>
      <c r="O358" s="55"/>
      <c r="P358" s="53" t="s">
        <v>69</v>
      </c>
      <c r="Q358" s="54" t="s">
        <v>93</v>
      </c>
      <c r="R358" s="39" t="s">
        <v>73</v>
      </c>
      <c r="S358" s="39" t="s">
        <v>98</v>
      </c>
      <c r="T358" s="39" t="s">
        <v>97</v>
      </c>
      <c r="U358" s="39" t="s">
        <v>99</v>
      </c>
      <c r="V358" s="39" t="s">
        <v>96</v>
      </c>
      <c r="W358" s="37" t="s">
        <v>60</v>
      </c>
      <c r="X358" s="37" t="s">
        <v>100</v>
      </c>
      <c r="Y358" s="37" t="s">
        <v>101</v>
      </c>
      <c r="Z358" s="37" t="s">
        <v>102</v>
      </c>
      <c r="AA358" s="37" t="s">
        <v>103</v>
      </c>
      <c r="AB358" s="37" t="s">
        <v>65</v>
      </c>
      <c r="AC358" s="37" t="s">
        <v>68</v>
      </c>
      <c r="AD358" s="55"/>
      <c r="AE358" s="53" t="s">
        <v>69</v>
      </c>
      <c r="AF358" s="54" t="s">
        <v>93</v>
      </c>
      <c r="AG358" s="39" t="s">
        <v>73</v>
      </c>
      <c r="AH358" s="39" t="s">
        <v>98</v>
      </c>
      <c r="AI358" s="39" t="s">
        <v>97</v>
      </c>
      <c r="AJ358" s="39" t="s">
        <v>99</v>
      </c>
      <c r="AK358" s="39" t="s">
        <v>96</v>
      </c>
      <c r="AL358" s="37" t="s">
        <v>60</v>
      </c>
      <c r="AM358" s="37" t="s">
        <v>100</v>
      </c>
      <c r="AN358" s="37" t="s">
        <v>101</v>
      </c>
      <c r="AO358" s="37" t="s">
        <v>102</v>
      </c>
      <c r="AP358" s="37" t="s">
        <v>103</v>
      </c>
      <c r="AQ358" s="37" t="s">
        <v>65</v>
      </c>
      <c r="AR358" s="37" t="s">
        <v>68</v>
      </c>
      <c r="AS358" s="55"/>
      <c r="AT358" s="53" t="s">
        <v>69</v>
      </c>
      <c r="AU358" s="54" t="s">
        <v>93</v>
      </c>
      <c r="AV358" s="39" t="s">
        <v>73</v>
      </c>
      <c r="AW358" s="39" t="s">
        <v>98</v>
      </c>
      <c r="AX358" s="39" t="s">
        <v>97</v>
      </c>
      <c r="AY358" s="39" t="s">
        <v>99</v>
      </c>
      <c r="AZ358" s="39" t="s">
        <v>96</v>
      </c>
      <c r="BA358" s="37" t="s">
        <v>60</v>
      </c>
      <c r="BB358" s="37" t="s">
        <v>100</v>
      </c>
      <c r="BC358" s="37" t="s">
        <v>101</v>
      </c>
      <c r="BD358" s="37" t="s">
        <v>102</v>
      </c>
      <c r="BE358" s="37" t="s">
        <v>103</v>
      </c>
      <c r="BF358" s="37" t="s">
        <v>65</v>
      </c>
      <c r="BG358" s="37" t="s">
        <v>68</v>
      </c>
      <c r="BH358" s="55"/>
      <c r="BI358" s="53" t="s">
        <v>69</v>
      </c>
      <c r="BJ358" s="54" t="s">
        <v>93</v>
      </c>
      <c r="BK358" s="39" t="s">
        <v>73</v>
      </c>
      <c r="BL358" s="39" t="s">
        <v>98</v>
      </c>
      <c r="BM358" s="39" t="s">
        <v>97</v>
      </c>
      <c r="BN358" s="39" t="s">
        <v>99</v>
      </c>
      <c r="BO358" s="39" t="s">
        <v>96</v>
      </c>
      <c r="BP358" s="37" t="s">
        <v>60</v>
      </c>
      <c r="BQ358" s="37" t="s">
        <v>100</v>
      </c>
      <c r="BR358" s="37" t="s">
        <v>101</v>
      </c>
      <c r="BS358" s="37" t="s">
        <v>102</v>
      </c>
      <c r="BT358" s="37" t="s">
        <v>103</v>
      </c>
      <c r="BU358" s="37" t="s">
        <v>65</v>
      </c>
      <c r="BV358" s="37" t="s">
        <v>68</v>
      </c>
      <c r="BW358" s="55"/>
      <c r="BX358" s="53" t="s">
        <v>69</v>
      </c>
      <c r="BY358" s="54" t="s">
        <v>93</v>
      </c>
      <c r="BZ358" s="39" t="s">
        <v>73</v>
      </c>
      <c r="CA358" s="39" t="s">
        <v>98</v>
      </c>
      <c r="CB358" s="39" t="s">
        <v>97</v>
      </c>
      <c r="CC358" s="39" t="s">
        <v>99</v>
      </c>
      <c r="CD358" s="39" t="s">
        <v>96</v>
      </c>
      <c r="CE358" s="37" t="s">
        <v>60</v>
      </c>
      <c r="CF358" s="37" t="s">
        <v>100</v>
      </c>
      <c r="CG358" s="37" t="s">
        <v>101</v>
      </c>
      <c r="CH358" s="37" t="s">
        <v>102</v>
      </c>
      <c r="CI358" s="37" t="s">
        <v>103</v>
      </c>
      <c r="CJ358" s="37" t="s">
        <v>65</v>
      </c>
      <c r="CK358" s="37" t="s">
        <v>68</v>
      </c>
      <c r="CL358" s="55"/>
      <c r="CM358" s="53" t="s">
        <v>69</v>
      </c>
      <c r="CN358" s="54" t="s">
        <v>93</v>
      </c>
      <c r="CO358" s="39" t="s">
        <v>73</v>
      </c>
      <c r="CP358" s="39" t="s">
        <v>98</v>
      </c>
      <c r="CQ358" s="39" t="s">
        <v>97</v>
      </c>
      <c r="CR358" s="39" t="s">
        <v>99</v>
      </c>
      <c r="CS358" s="39" t="s">
        <v>96</v>
      </c>
      <c r="CT358" s="37" t="s">
        <v>60</v>
      </c>
      <c r="CU358" s="37" t="s">
        <v>100</v>
      </c>
      <c r="CV358" s="37" t="s">
        <v>101</v>
      </c>
      <c r="CW358" s="37" t="s">
        <v>102</v>
      </c>
      <c r="CX358" s="37" t="s">
        <v>103</v>
      </c>
      <c r="CY358" s="37" t="s">
        <v>65</v>
      </c>
      <c r="CZ358" s="37" t="s">
        <v>68</v>
      </c>
      <c r="DA358" s="55"/>
      <c r="DB358" s="53" t="s">
        <v>69</v>
      </c>
      <c r="DC358" s="54" t="s">
        <v>93</v>
      </c>
      <c r="DD358" s="39" t="s">
        <v>73</v>
      </c>
      <c r="DE358" s="39" t="s">
        <v>98</v>
      </c>
      <c r="DF358" s="39" t="s">
        <v>97</v>
      </c>
      <c r="DG358" s="39" t="s">
        <v>99</v>
      </c>
      <c r="DH358" s="39" t="s">
        <v>96</v>
      </c>
      <c r="DI358" s="37" t="s">
        <v>60</v>
      </c>
      <c r="DJ358" s="37" t="s">
        <v>100</v>
      </c>
      <c r="DK358" s="37" t="s">
        <v>101</v>
      </c>
      <c r="DL358" s="37" t="s">
        <v>102</v>
      </c>
      <c r="DM358" s="37" t="s">
        <v>103</v>
      </c>
      <c r="DN358" s="37" t="s">
        <v>65</v>
      </c>
      <c r="DO358" s="37" t="s">
        <v>68</v>
      </c>
      <c r="DP358" s="55"/>
      <c r="DQ358" s="53" t="s">
        <v>69</v>
      </c>
      <c r="DR358" s="54" t="s">
        <v>93</v>
      </c>
      <c r="DS358" s="39" t="s">
        <v>73</v>
      </c>
      <c r="DT358" s="39" t="s">
        <v>98</v>
      </c>
      <c r="DU358" s="39" t="s">
        <v>97</v>
      </c>
      <c r="DV358" s="39" t="s">
        <v>99</v>
      </c>
      <c r="DW358" s="39" t="s">
        <v>96</v>
      </c>
      <c r="DX358" s="37" t="s">
        <v>60</v>
      </c>
      <c r="DY358" s="37" t="s">
        <v>100</v>
      </c>
      <c r="DZ358" s="37" t="s">
        <v>101</v>
      </c>
      <c r="EA358" s="37" t="s">
        <v>102</v>
      </c>
      <c r="EB358" s="37" t="s">
        <v>103</v>
      </c>
      <c r="EC358" s="37" t="s">
        <v>65</v>
      </c>
      <c r="ED358" s="37" t="s">
        <v>68</v>
      </c>
    </row>
    <row r="359" spans="1:134" x14ac:dyDescent="0.4">
      <c r="A359" s="28">
        <v>1</v>
      </c>
      <c r="B359" s="26">
        <v>1.0000000000000001E-5</v>
      </c>
      <c r="C359" s="28">
        <v>0.2</v>
      </c>
      <c r="D359" s="28">
        <v>30</v>
      </c>
      <c r="E359" s="26">
        <v>7.4999999999999993E-5</v>
      </c>
      <c r="F359" s="26">
        <f t="shared" ref="F359:F377" si="459">C359*E359</f>
        <v>1.4999999999999999E-5</v>
      </c>
      <c r="G359" s="26">
        <f t="shared" ref="G359:G377" si="460">F359/(B359/2)</f>
        <v>2.9999999999999996</v>
      </c>
      <c r="H359" s="7">
        <v>0.18088589822947701</v>
      </c>
      <c r="I359" s="7">
        <v>20967.675665585699</v>
      </c>
      <c r="J359" s="7">
        <v>750067.42850576504</v>
      </c>
      <c r="K359" s="7">
        <v>20967.675665585699</v>
      </c>
      <c r="L359" s="7">
        <v>246455.34799285</v>
      </c>
      <c r="M359" s="7">
        <v>2037183.27157626</v>
      </c>
      <c r="N359" s="7">
        <f t="shared" ref="N359:N377" si="461">I359+J359+K359</f>
        <v>792002.77983693639</v>
      </c>
      <c r="P359" s="28">
        <v>1</v>
      </c>
      <c r="Q359" s="26">
        <v>3.0000000000000001E-5</v>
      </c>
      <c r="R359" s="28">
        <v>0.2</v>
      </c>
      <c r="S359" s="28">
        <v>30</v>
      </c>
      <c r="T359" s="26">
        <v>7.4999999999999993E-5</v>
      </c>
      <c r="U359" s="26">
        <f t="shared" ref="U359:U377" si="462">R359*T359</f>
        <v>1.4999999999999999E-5</v>
      </c>
      <c r="V359" s="26">
        <f t="shared" ref="V359:V377" si="463">U359/(Q359/2)</f>
        <v>0.99999999999999989</v>
      </c>
      <c r="W359" s="7">
        <v>0.19190096652052299</v>
      </c>
      <c r="X359" s="7">
        <v>6989.2252213633501</v>
      </c>
      <c r="Y359" s="7">
        <v>250022.476149864</v>
      </c>
      <c r="Z359" s="7">
        <v>6989.2252213633501</v>
      </c>
      <c r="AA359" s="7">
        <v>82151.782666878105</v>
      </c>
      <c r="AB359" s="7">
        <v>226353.69684180699</v>
      </c>
      <c r="AC359" s="7">
        <f t="shared" ref="AC359:AC377" si="464">X359+Y359+Z359</f>
        <v>264000.92659259069</v>
      </c>
      <c r="AE359" s="28">
        <v>1</v>
      </c>
      <c r="AF359" s="26">
        <v>5.0000000000000002E-5</v>
      </c>
      <c r="AG359" s="28">
        <v>0.2</v>
      </c>
      <c r="AH359" s="28">
        <v>30</v>
      </c>
      <c r="AI359" s="26">
        <v>7.4999999999999993E-5</v>
      </c>
      <c r="AJ359" s="26">
        <f t="shared" ref="AJ359:AJ377" si="465">AG359*AI359</f>
        <v>1.4999999999999999E-5</v>
      </c>
      <c r="AK359" s="26">
        <f t="shared" ref="AK359:AK377" si="466">AJ359/(AF359/2)</f>
        <v>0.59999999999999987</v>
      </c>
      <c r="AL359" s="7">
        <v>0.19857271804235899</v>
      </c>
      <c r="AM359" s="7">
        <v>4193.5351285970401</v>
      </c>
      <c r="AN359" s="7">
        <v>150013.48553139099</v>
      </c>
      <c r="AO359" s="7">
        <v>4193.5351285970401</v>
      </c>
      <c r="AP359" s="7">
        <v>49291.069622095303</v>
      </c>
      <c r="AQ359" s="7">
        <v>81487.330863050403</v>
      </c>
      <c r="AR359" s="7">
        <f t="shared" ref="AR359:AR377" si="467">AM359+AN359+AO359</f>
        <v>158400.5557885851</v>
      </c>
      <c r="AT359" s="28">
        <v>1</v>
      </c>
      <c r="AU359" s="26">
        <v>1.0000000000000001E-5</v>
      </c>
      <c r="AV359" s="28">
        <v>0.2</v>
      </c>
      <c r="AW359" s="28">
        <v>200</v>
      </c>
      <c r="AX359" s="26">
        <v>7.4999999999999993E-5</v>
      </c>
      <c r="AY359" s="26">
        <f t="shared" ref="AY359:AY377" si="468">AV359*AX359</f>
        <v>1.4999999999999999E-5</v>
      </c>
      <c r="AZ359" s="26">
        <f t="shared" ref="AZ359:AZ377" si="469">AY359/(AU359/2)</f>
        <v>2.9999999999999996</v>
      </c>
      <c r="BA359" s="7">
        <v>0.18094587395598899</v>
      </c>
      <c r="BB359" s="7">
        <v>4345.3623253436699</v>
      </c>
      <c r="BC359" s="7">
        <v>750067.42850576504</v>
      </c>
      <c r="BD359" s="7">
        <v>4345.3623253436699</v>
      </c>
      <c r="BE359" s="7">
        <v>246455.34799285</v>
      </c>
      <c r="BF359" s="7">
        <v>2037183.27157626</v>
      </c>
      <c r="BG359" s="7">
        <f t="shared" ref="BG359:BG377" si="470">BB359+BC359+BD359</f>
        <v>758758.15315645235</v>
      </c>
      <c r="BI359" s="28">
        <v>1</v>
      </c>
      <c r="BJ359" s="26">
        <v>1.0000000000000001E-5</v>
      </c>
      <c r="BK359" s="28">
        <v>0.5</v>
      </c>
      <c r="BL359" s="28">
        <v>200</v>
      </c>
      <c r="BM359" s="26">
        <v>7.4999999999999993E-5</v>
      </c>
      <c r="BN359" s="26">
        <f t="shared" ref="BN359:BN377" si="471">BK359*BM359</f>
        <v>3.7499999999999997E-5</v>
      </c>
      <c r="BO359" s="26">
        <f t="shared" ref="BO359:BO377" si="472">BN359/(BJ359/2)</f>
        <v>7.4999999999999991</v>
      </c>
      <c r="BP359" s="7">
        <v>0.440099753952716</v>
      </c>
      <c r="BQ359" s="7">
        <v>3764.12485338133</v>
      </c>
      <c r="BR359" s="7">
        <v>300026.97140230599</v>
      </c>
      <c r="BS359" s="7">
        <v>3764.12485338133</v>
      </c>
      <c r="BT359" s="7">
        <v>98582.139197140001</v>
      </c>
      <c r="BU359" s="7">
        <v>2037183.27157626</v>
      </c>
      <c r="BV359" s="7">
        <f t="shared" ref="BV359:BV377" si="473">BQ359+BR359+BS359</f>
        <v>307555.2211090686</v>
      </c>
      <c r="BX359" s="28">
        <v>1</v>
      </c>
      <c r="BY359" s="26">
        <v>5.0000000000000002E-5</v>
      </c>
      <c r="BZ359" s="28">
        <v>0.5</v>
      </c>
      <c r="CA359" s="28">
        <v>200</v>
      </c>
      <c r="CB359" s="26">
        <v>7.4999999999999993E-5</v>
      </c>
      <c r="CC359" s="26">
        <f t="shared" ref="CC359:CC377" si="474">BZ359*CB359</f>
        <v>3.7499999999999997E-5</v>
      </c>
      <c r="CD359" s="26">
        <f t="shared" ref="CD359:CD377" si="475">CC359/(BY359/2)</f>
        <v>1.4999999999999998</v>
      </c>
      <c r="CE359" s="7">
        <v>0.468219661446448</v>
      </c>
      <c r="CF359" s="7">
        <v>752.82497001808497</v>
      </c>
      <c r="CG359" s="7">
        <v>60005.394212556603</v>
      </c>
      <c r="CH359" s="7">
        <v>752.82497001808497</v>
      </c>
      <c r="CI359" s="7">
        <v>19716.427848838099</v>
      </c>
      <c r="CJ359" s="7">
        <v>81487.330863050403</v>
      </c>
      <c r="CK359" s="7">
        <f t="shared" ref="CK359:CK377" si="476">CF359+CG359+CH359</f>
        <v>61511.044152592767</v>
      </c>
      <c r="CM359" s="28">
        <v>1</v>
      </c>
      <c r="CN359" s="26">
        <v>5.0000000000000002E-5</v>
      </c>
      <c r="CO359" s="28">
        <v>1</v>
      </c>
      <c r="CP359" s="28">
        <v>200</v>
      </c>
      <c r="CQ359" s="26">
        <v>7.4999999999999993E-5</v>
      </c>
      <c r="CR359" s="26">
        <f t="shared" ref="CR359:CR377" si="477">CO359*CQ359</f>
        <v>7.4999999999999993E-5</v>
      </c>
      <c r="CS359" s="26">
        <f t="shared" ref="CS359:CS377" si="478">CR359/(CN359/2)</f>
        <v>2.9999999999999996</v>
      </c>
      <c r="CT359" s="7">
        <v>0.90450733488756196</v>
      </c>
      <c r="CU359" s="7">
        <v>665.23311259709499</v>
      </c>
      <c r="CV359" s="7">
        <v>30002.697106278301</v>
      </c>
      <c r="CW359" s="7">
        <v>665.23311259709499</v>
      </c>
      <c r="CX359" s="7">
        <v>9858.2139244190694</v>
      </c>
      <c r="CY359" s="7">
        <v>81487.330863050403</v>
      </c>
      <c r="CZ359" s="7">
        <f t="shared" ref="CZ359:CZ377" si="479">CU359+CV359+CW359</f>
        <v>31333.163331472493</v>
      </c>
      <c r="DB359" s="28">
        <v>1</v>
      </c>
      <c r="DC359" s="26">
        <v>5.0000000000000002E-5</v>
      </c>
      <c r="DD359" s="28">
        <v>2</v>
      </c>
      <c r="DE359" s="28">
        <v>200</v>
      </c>
      <c r="DF359" s="26">
        <v>7.4999999999999993E-5</v>
      </c>
      <c r="DG359" s="26">
        <f t="shared" ref="DG359:DG377" si="480">DD359*DF359</f>
        <v>1.4999999999999999E-4</v>
      </c>
      <c r="DH359" s="26">
        <f t="shared" ref="DH359:DH377" si="481">DG359/(DC359/2)</f>
        <v>5.9999999999999991</v>
      </c>
      <c r="DI359" s="7">
        <v>1.7690401936709099</v>
      </c>
      <c r="DJ359" s="7">
        <v>578.22973015081095</v>
      </c>
      <c r="DK359" s="7">
        <v>15001.3485531391</v>
      </c>
      <c r="DL359" s="7">
        <v>578.22973015081095</v>
      </c>
      <c r="DM359" s="7">
        <v>4929.1069622095301</v>
      </c>
      <c r="DN359" s="7">
        <v>81487.330863050403</v>
      </c>
      <c r="DO359" s="7">
        <f t="shared" ref="DO359:DO377" si="482">DJ359+DK359+DL359</f>
        <v>16157.808013440723</v>
      </c>
      <c r="DQ359" s="28">
        <v>1</v>
      </c>
      <c r="DR359" s="26">
        <v>5.0000000000000002E-5</v>
      </c>
      <c r="DS359" s="28">
        <v>15</v>
      </c>
      <c r="DT359" s="28">
        <v>300</v>
      </c>
      <c r="DU359" s="26">
        <v>5.0000000000000002E-5</v>
      </c>
      <c r="DV359" s="26">
        <f t="shared" ref="DV359:DV377" si="483">DS359*DU359</f>
        <v>7.5000000000000002E-4</v>
      </c>
      <c r="DW359" s="26">
        <f t="shared" ref="DW359:DW377" si="484">DV359/(DR359/2)</f>
        <v>30</v>
      </c>
      <c r="DX359" s="7">
        <v>12.9938049598503</v>
      </c>
      <c r="DY359" s="7">
        <v>254.539230510376</v>
      </c>
      <c r="DZ359" s="7">
        <v>2000.1798070852201</v>
      </c>
      <c r="EA359" s="7">
        <v>254.539230510376</v>
      </c>
      <c r="EB359" s="7">
        <v>657.21426162793796</v>
      </c>
      <c r="EC359" s="7">
        <v>50929.581789406497</v>
      </c>
      <c r="ED359" s="7">
        <f t="shared" ref="ED359:ED377" si="485">DY359+DZ359+EA359</f>
        <v>2509.2582681059721</v>
      </c>
    </row>
    <row r="360" spans="1:134" x14ac:dyDescent="0.4">
      <c r="A360" s="28">
        <v>2</v>
      </c>
      <c r="B360" s="26">
        <v>1.0000000000000001E-5</v>
      </c>
      <c r="C360" s="28">
        <v>0.2</v>
      </c>
      <c r="D360" s="28">
        <v>30</v>
      </c>
      <c r="E360" s="26">
        <v>7.4999999999999993E-5</v>
      </c>
      <c r="F360" s="26">
        <f t="shared" si="459"/>
        <v>1.4999999999999999E-5</v>
      </c>
      <c r="G360" s="26">
        <f t="shared" si="460"/>
        <v>2.9999999999999996</v>
      </c>
      <c r="H360" s="7">
        <v>0.169174340484674</v>
      </c>
      <c r="I360" s="7">
        <v>20967.675665585699</v>
      </c>
      <c r="J360" s="7">
        <v>482013.76177816797</v>
      </c>
      <c r="K360" s="7">
        <v>20967.675665585699</v>
      </c>
      <c r="L360" s="7">
        <v>339325.67523914197</v>
      </c>
      <c r="M360" s="7">
        <v>2037183.27157626</v>
      </c>
      <c r="N360" s="7">
        <f t="shared" si="461"/>
        <v>523949.11310933932</v>
      </c>
      <c r="P360" s="28">
        <v>2</v>
      </c>
      <c r="Q360" s="26">
        <v>3.0000000000000001E-5</v>
      </c>
      <c r="R360" s="28">
        <v>0.2</v>
      </c>
      <c r="S360" s="28">
        <v>30</v>
      </c>
      <c r="T360" s="26">
        <v>7.4999999999999993E-5</v>
      </c>
      <c r="U360" s="26">
        <f t="shared" si="462"/>
        <v>1.4999999999999999E-5</v>
      </c>
      <c r="V360" s="26">
        <f t="shared" si="463"/>
        <v>0.99999999999999989</v>
      </c>
      <c r="W360" s="7">
        <v>0.18595327739940001</v>
      </c>
      <c r="X360" s="7">
        <v>6989.2252213633501</v>
      </c>
      <c r="Y360" s="7">
        <v>160671.25390733199</v>
      </c>
      <c r="Z360" s="7">
        <v>6989.2252213633501</v>
      </c>
      <c r="AA360" s="7">
        <v>113108.558420806</v>
      </c>
      <c r="AB360" s="7">
        <v>226353.69684180699</v>
      </c>
      <c r="AC360" s="7">
        <f t="shared" si="464"/>
        <v>174649.70435005872</v>
      </c>
      <c r="AE360" s="28">
        <v>2</v>
      </c>
      <c r="AF360" s="26">
        <v>5.0000000000000002E-5</v>
      </c>
      <c r="AG360" s="28">
        <v>0.2</v>
      </c>
      <c r="AH360" s="28">
        <v>30</v>
      </c>
      <c r="AI360" s="26">
        <v>7.4999999999999993E-5</v>
      </c>
      <c r="AJ360" s="26">
        <f t="shared" si="465"/>
        <v>1.4999999999999999E-5</v>
      </c>
      <c r="AK360" s="26">
        <f t="shared" si="466"/>
        <v>0.59999999999999987</v>
      </c>
      <c r="AL360" s="7">
        <v>0.197479055016341</v>
      </c>
      <c r="AM360" s="7">
        <v>4193.5351285970401</v>
      </c>
      <c r="AN360" s="7">
        <v>96402.752185872101</v>
      </c>
      <c r="AO360" s="7">
        <v>4193.5351285970401</v>
      </c>
      <c r="AP360" s="7">
        <v>67865.135118168895</v>
      </c>
      <c r="AQ360" s="7">
        <v>81487.330863050403</v>
      </c>
      <c r="AR360" s="7">
        <f t="shared" si="467"/>
        <v>104789.82244306618</v>
      </c>
      <c r="AT360" s="28">
        <v>2</v>
      </c>
      <c r="AU360" s="26">
        <v>1.0000000000000001E-5</v>
      </c>
      <c r="AV360" s="28">
        <v>0.2</v>
      </c>
      <c r="AW360" s="28">
        <v>200</v>
      </c>
      <c r="AX360" s="26">
        <v>7.4999999999999993E-5</v>
      </c>
      <c r="AY360" s="26">
        <f t="shared" si="468"/>
        <v>1.4999999999999999E-5</v>
      </c>
      <c r="AZ360" s="26">
        <f t="shared" si="469"/>
        <v>2.9999999999999996</v>
      </c>
      <c r="BA360" s="7">
        <v>0.16925900581272799</v>
      </c>
      <c r="BB360" s="7">
        <v>4345.3623253436699</v>
      </c>
      <c r="BC360" s="7">
        <v>482013.76177816797</v>
      </c>
      <c r="BD360" s="7">
        <v>4345.3623253436699</v>
      </c>
      <c r="BE360" s="7">
        <v>339325.67523914197</v>
      </c>
      <c r="BF360" s="7">
        <v>2037183.27157626</v>
      </c>
      <c r="BG360" s="7">
        <f t="shared" si="470"/>
        <v>490704.48642885528</v>
      </c>
      <c r="BI360" s="28">
        <v>2</v>
      </c>
      <c r="BJ360" s="26">
        <v>1.0000000000000001E-5</v>
      </c>
      <c r="BK360" s="28">
        <v>0.5</v>
      </c>
      <c r="BL360" s="28">
        <v>200</v>
      </c>
      <c r="BM360" s="26">
        <v>7.4999999999999993E-5</v>
      </c>
      <c r="BN360" s="26">
        <f t="shared" si="471"/>
        <v>3.7499999999999997E-5</v>
      </c>
      <c r="BO360" s="26">
        <f t="shared" si="472"/>
        <v>7.4999999999999991</v>
      </c>
      <c r="BP360" s="7">
        <v>0.40637694360069498</v>
      </c>
      <c r="BQ360" s="7">
        <v>3764.12485338133</v>
      </c>
      <c r="BR360" s="7">
        <v>192805.50471126701</v>
      </c>
      <c r="BS360" s="7">
        <v>3764.12485338133</v>
      </c>
      <c r="BT360" s="7">
        <v>135730.270095657</v>
      </c>
      <c r="BU360" s="7">
        <v>2037183.27157626</v>
      </c>
      <c r="BV360" s="7">
        <f t="shared" si="473"/>
        <v>200333.75441802968</v>
      </c>
      <c r="BX360" s="28">
        <v>2</v>
      </c>
      <c r="BY360" s="26">
        <v>5.0000000000000002E-5</v>
      </c>
      <c r="BZ360" s="28">
        <v>0.5</v>
      </c>
      <c r="CA360" s="28">
        <v>200</v>
      </c>
      <c r="CB360" s="26">
        <v>7.4999999999999993E-5</v>
      </c>
      <c r="CC360" s="26">
        <f t="shared" si="474"/>
        <v>3.7499999999999997E-5</v>
      </c>
      <c r="CD360" s="26">
        <f t="shared" si="475"/>
        <v>1.4999999999999998</v>
      </c>
      <c r="CE360" s="7">
        <v>0.446530150129265</v>
      </c>
      <c r="CF360" s="7">
        <v>752.82497001808497</v>
      </c>
      <c r="CG360" s="7">
        <v>38561.1008743489</v>
      </c>
      <c r="CH360" s="7">
        <v>752.82497001808497</v>
      </c>
      <c r="CI360" s="7">
        <v>27146.0540472676</v>
      </c>
      <c r="CJ360" s="7">
        <v>81487.330863050403</v>
      </c>
      <c r="CK360" s="7">
        <f t="shared" si="476"/>
        <v>40066.750814385065</v>
      </c>
      <c r="CM360" s="28">
        <v>2</v>
      </c>
      <c r="CN360" s="26">
        <v>5.0000000000000002E-5</v>
      </c>
      <c r="CO360" s="28">
        <v>1</v>
      </c>
      <c r="CP360" s="28">
        <v>200</v>
      </c>
      <c r="CQ360" s="26">
        <v>7.4999999999999993E-5</v>
      </c>
      <c r="CR360" s="26">
        <f t="shared" si="477"/>
        <v>7.4999999999999993E-5</v>
      </c>
      <c r="CS360" s="26">
        <f t="shared" si="478"/>
        <v>2.9999999999999996</v>
      </c>
      <c r="CT360" s="7">
        <v>0.845981558445145</v>
      </c>
      <c r="CU360" s="7">
        <v>665.23311259709499</v>
      </c>
      <c r="CV360" s="7">
        <v>19280.550437174399</v>
      </c>
      <c r="CW360" s="7">
        <v>665.23311259709499</v>
      </c>
      <c r="CX360" s="7">
        <v>13573.0270236338</v>
      </c>
      <c r="CY360" s="7">
        <v>81487.330863050403</v>
      </c>
      <c r="CZ360" s="7">
        <f t="shared" si="479"/>
        <v>20611.016662368591</v>
      </c>
      <c r="DB360" s="28">
        <v>2</v>
      </c>
      <c r="DC360" s="26">
        <v>5.0000000000000002E-5</v>
      </c>
      <c r="DD360" s="28">
        <v>2</v>
      </c>
      <c r="DE360" s="28">
        <v>200</v>
      </c>
      <c r="DF360" s="26">
        <v>7.4999999999999993E-5</v>
      </c>
      <c r="DG360" s="26">
        <f t="shared" si="480"/>
        <v>1.4999999999999999E-4</v>
      </c>
      <c r="DH360" s="26">
        <f t="shared" si="481"/>
        <v>5.9999999999999991</v>
      </c>
      <c r="DI360" s="7">
        <v>1.6370123665313401</v>
      </c>
      <c r="DJ360" s="7">
        <v>578.22973015081095</v>
      </c>
      <c r="DK360" s="7">
        <v>9640.2752185872196</v>
      </c>
      <c r="DL360" s="7">
        <v>578.22973015081095</v>
      </c>
      <c r="DM360" s="7">
        <v>6786.5135118168901</v>
      </c>
      <c r="DN360" s="7">
        <v>81487.330863050403</v>
      </c>
      <c r="DO360" s="7">
        <f t="shared" si="482"/>
        <v>10796.734678888843</v>
      </c>
      <c r="DQ360" s="28">
        <v>2</v>
      </c>
      <c r="DR360" s="26">
        <v>5.0000000000000002E-5</v>
      </c>
      <c r="DS360" s="28">
        <v>15</v>
      </c>
      <c r="DT360" s="28">
        <v>300</v>
      </c>
      <c r="DU360" s="26">
        <v>5.0000000000000002E-5</v>
      </c>
      <c r="DV360" s="26">
        <f t="shared" si="483"/>
        <v>7.5000000000000002E-4</v>
      </c>
      <c r="DW360" s="26">
        <f t="shared" si="484"/>
        <v>30</v>
      </c>
      <c r="DX360" s="7">
        <v>11.9192744119282</v>
      </c>
      <c r="DY360" s="7">
        <v>254.539230510376</v>
      </c>
      <c r="DZ360" s="7">
        <v>1285.37002914496</v>
      </c>
      <c r="EA360" s="7">
        <v>254.539230510376</v>
      </c>
      <c r="EB360" s="7">
        <v>904.86846824225199</v>
      </c>
      <c r="EC360" s="7">
        <v>50929.581789406497</v>
      </c>
      <c r="ED360" s="7">
        <f t="shared" si="485"/>
        <v>1794.448490165712</v>
      </c>
    </row>
    <row r="361" spans="1:134" x14ac:dyDescent="0.4">
      <c r="A361" s="28">
        <v>4</v>
      </c>
      <c r="B361" s="26">
        <v>1.0000000000000001E-5</v>
      </c>
      <c r="C361" s="28">
        <v>0.2</v>
      </c>
      <c r="D361" s="28">
        <v>30</v>
      </c>
      <c r="E361" s="26">
        <v>7.4999999999999993E-5</v>
      </c>
      <c r="F361" s="26">
        <f t="shared" si="459"/>
        <v>1.4999999999999999E-5</v>
      </c>
      <c r="G361" s="26">
        <f t="shared" si="460"/>
        <v>2.9999999999999996</v>
      </c>
      <c r="H361" s="7">
        <v>0.15109973046478001</v>
      </c>
      <c r="I361" s="7">
        <v>20967.675665585699</v>
      </c>
      <c r="J361" s="7">
        <v>269259.42550450901</v>
      </c>
      <c r="K361" s="7">
        <v>20967.675665585699</v>
      </c>
      <c r="L361" s="7">
        <v>496205.96663466899</v>
      </c>
      <c r="M361" s="7">
        <v>2037183.27157626</v>
      </c>
      <c r="N361" s="7">
        <f t="shared" si="461"/>
        <v>311194.77683568036</v>
      </c>
      <c r="P361" s="28">
        <v>4</v>
      </c>
      <c r="Q361" s="26">
        <v>3.0000000000000001E-5</v>
      </c>
      <c r="R361" s="28">
        <v>0.2</v>
      </c>
      <c r="S361" s="28">
        <v>30</v>
      </c>
      <c r="T361" s="26">
        <v>7.4999999999999993E-5</v>
      </c>
      <c r="U361" s="26">
        <f t="shared" si="462"/>
        <v>1.4999999999999999E-5</v>
      </c>
      <c r="V361" s="26">
        <f t="shared" si="463"/>
        <v>0.99999999999999989</v>
      </c>
      <c r="W361" s="7">
        <v>0.176090442562465</v>
      </c>
      <c r="X361" s="7">
        <v>6989.2252213633501</v>
      </c>
      <c r="Y361" s="7">
        <v>89753.141816112096</v>
      </c>
      <c r="Z361" s="7">
        <v>6989.2252213633501</v>
      </c>
      <c r="AA361" s="7">
        <v>165401.98890513901</v>
      </c>
      <c r="AB361" s="7">
        <v>226353.69684180699</v>
      </c>
      <c r="AC361" s="7">
        <f t="shared" si="464"/>
        <v>103731.59225883879</v>
      </c>
      <c r="AE361" s="28">
        <v>4</v>
      </c>
      <c r="AF361" s="26">
        <v>5.0000000000000002E-5</v>
      </c>
      <c r="AG361" s="28">
        <v>0.2</v>
      </c>
      <c r="AH361" s="28">
        <v>30</v>
      </c>
      <c r="AI361" s="26">
        <v>7.4999999999999993E-5</v>
      </c>
      <c r="AJ361" s="26">
        <f t="shared" si="465"/>
        <v>1.4999999999999999E-5</v>
      </c>
      <c r="AK361" s="26">
        <f t="shared" si="466"/>
        <v>0.59999999999999987</v>
      </c>
      <c r="AL361" s="7">
        <v>0.19555610371459001</v>
      </c>
      <c r="AM361" s="7">
        <v>4193.5351285970401</v>
      </c>
      <c r="AN361" s="7">
        <v>53851.884931140201</v>
      </c>
      <c r="AO361" s="7">
        <v>4193.5351285970401</v>
      </c>
      <c r="AP361" s="7">
        <v>99241.193570966701</v>
      </c>
      <c r="AQ361" s="7">
        <v>81487.330863050403</v>
      </c>
      <c r="AR361" s="7">
        <f t="shared" si="467"/>
        <v>62238.955188334279</v>
      </c>
      <c r="AT361" s="28">
        <v>4</v>
      </c>
      <c r="AU361" s="26">
        <v>1.0000000000000001E-5</v>
      </c>
      <c r="AV361" s="28">
        <v>0.2</v>
      </c>
      <c r="AW361" s="28">
        <v>200</v>
      </c>
      <c r="AX361" s="26">
        <v>7.4999999999999993E-5</v>
      </c>
      <c r="AY361" s="26">
        <f t="shared" si="468"/>
        <v>1.4999999999999999E-5</v>
      </c>
      <c r="AZ361" s="26">
        <f t="shared" si="469"/>
        <v>2.9999999999999996</v>
      </c>
      <c r="BA361" s="7">
        <v>0.15121704439115699</v>
      </c>
      <c r="BB361" s="7">
        <v>4345.3623253436699</v>
      </c>
      <c r="BC361" s="7">
        <v>269259.42550450901</v>
      </c>
      <c r="BD361" s="7">
        <v>4345.3623253436699</v>
      </c>
      <c r="BE361" s="7">
        <v>496205.96663466899</v>
      </c>
      <c r="BF361" s="7">
        <v>2037183.27157626</v>
      </c>
      <c r="BG361" s="7">
        <f t="shared" si="470"/>
        <v>277950.15015519632</v>
      </c>
      <c r="BI361" s="28">
        <v>4</v>
      </c>
      <c r="BJ361" s="26">
        <v>1.0000000000000001E-5</v>
      </c>
      <c r="BK361" s="28">
        <v>0.5</v>
      </c>
      <c r="BL361" s="28">
        <v>200</v>
      </c>
      <c r="BM361" s="26">
        <v>7.4999999999999993E-5</v>
      </c>
      <c r="BN361" s="26">
        <f t="shared" si="471"/>
        <v>3.7499999999999997E-5</v>
      </c>
      <c r="BO361" s="26">
        <f t="shared" si="472"/>
        <v>7.4999999999999991</v>
      </c>
      <c r="BP361" s="7">
        <v>0.35542995948212902</v>
      </c>
      <c r="BQ361" s="7">
        <v>3764.12485338133</v>
      </c>
      <c r="BR361" s="7">
        <v>107703.770201803</v>
      </c>
      <c r="BS361" s="7">
        <v>3764.12485338133</v>
      </c>
      <c r="BT361" s="7">
        <v>198482.38665386799</v>
      </c>
      <c r="BU361" s="7">
        <v>2037183.27157626</v>
      </c>
      <c r="BV361" s="7">
        <f t="shared" si="473"/>
        <v>115232.01990856566</v>
      </c>
      <c r="BX361" s="28">
        <v>4</v>
      </c>
      <c r="BY361" s="26">
        <v>5.0000000000000002E-5</v>
      </c>
      <c r="BZ361" s="28">
        <v>0.5</v>
      </c>
      <c r="CA361" s="28">
        <v>200</v>
      </c>
      <c r="CB361" s="26">
        <v>7.4999999999999993E-5</v>
      </c>
      <c r="CC361" s="26">
        <f t="shared" si="474"/>
        <v>3.7499999999999997E-5</v>
      </c>
      <c r="CD361" s="26">
        <f t="shared" si="475"/>
        <v>1.4999999999999998</v>
      </c>
      <c r="CE361" s="7">
        <v>0.41177028087989997</v>
      </c>
      <c r="CF361" s="7">
        <v>752.82497001808497</v>
      </c>
      <c r="CG361" s="7">
        <v>21540.753972456099</v>
      </c>
      <c r="CH361" s="7">
        <v>752.82497001808497</v>
      </c>
      <c r="CI361" s="7">
        <v>39696.477428386701</v>
      </c>
      <c r="CJ361" s="7">
        <v>81487.330863050403</v>
      </c>
      <c r="CK361" s="7">
        <f t="shared" si="476"/>
        <v>23046.403912492271</v>
      </c>
      <c r="CM361" s="28">
        <v>4</v>
      </c>
      <c r="CN361" s="26">
        <v>5.0000000000000002E-5</v>
      </c>
      <c r="CO361" s="28">
        <v>1</v>
      </c>
      <c r="CP361" s="28">
        <v>200</v>
      </c>
      <c r="CQ361" s="26">
        <v>7.4999999999999993E-5</v>
      </c>
      <c r="CR361" s="26">
        <f t="shared" si="477"/>
        <v>7.4999999999999993E-5</v>
      </c>
      <c r="CS361" s="26">
        <f t="shared" si="478"/>
        <v>2.9999999999999996</v>
      </c>
      <c r="CT361" s="7">
        <v>0.75565083060295501</v>
      </c>
      <c r="CU361" s="7">
        <v>665.23311259709499</v>
      </c>
      <c r="CV361" s="7">
        <v>10770.376986228001</v>
      </c>
      <c r="CW361" s="7">
        <v>665.23311259709499</v>
      </c>
      <c r="CX361" s="7">
        <v>19848.2387141933</v>
      </c>
      <c r="CY361" s="7">
        <v>81487.330863050403</v>
      </c>
      <c r="CZ361" s="7">
        <f t="shared" si="479"/>
        <v>12100.843211422191</v>
      </c>
      <c r="DB361" s="28">
        <v>4</v>
      </c>
      <c r="DC361" s="26">
        <v>5.0000000000000002E-5</v>
      </c>
      <c r="DD361" s="28">
        <v>2</v>
      </c>
      <c r="DE361" s="28">
        <v>200</v>
      </c>
      <c r="DF361" s="26">
        <v>7.4999999999999993E-5</v>
      </c>
      <c r="DG361" s="26">
        <f t="shared" si="480"/>
        <v>1.4999999999999999E-4</v>
      </c>
      <c r="DH361" s="26">
        <f t="shared" si="481"/>
        <v>5.9999999999999991</v>
      </c>
      <c r="DI361" s="7">
        <v>1.43688037495343</v>
      </c>
      <c r="DJ361" s="7">
        <v>578.22973015081095</v>
      </c>
      <c r="DK361" s="7">
        <v>5385.1884931140203</v>
      </c>
      <c r="DL361" s="7">
        <v>578.22973015081095</v>
      </c>
      <c r="DM361" s="7">
        <v>9924.1193570966698</v>
      </c>
      <c r="DN361" s="7">
        <v>81487.330863050403</v>
      </c>
      <c r="DO361" s="7">
        <f t="shared" si="482"/>
        <v>6541.6479534156415</v>
      </c>
      <c r="DQ361" s="28">
        <v>4</v>
      </c>
      <c r="DR361" s="26">
        <v>5.0000000000000002E-5</v>
      </c>
      <c r="DS361" s="28">
        <v>15</v>
      </c>
      <c r="DT361" s="28">
        <v>300</v>
      </c>
      <c r="DU361" s="26">
        <v>5.0000000000000002E-5</v>
      </c>
      <c r="DV361" s="26">
        <f t="shared" si="483"/>
        <v>7.5000000000000002E-4</v>
      </c>
      <c r="DW361" s="26">
        <f t="shared" si="484"/>
        <v>30</v>
      </c>
      <c r="DX361" s="7">
        <v>10.3112709457469</v>
      </c>
      <c r="DY361" s="7">
        <v>254.539230510376</v>
      </c>
      <c r="DZ361" s="7">
        <v>718.02513241520205</v>
      </c>
      <c r="EA361" s="7">
        <v>254.539230510376</v>
      </c>
      <c r="EB361" s="7">
        <v>1323.2159142795599</v>
      </c>
      <c r="EC361" s="7">
        <v>50929.581789406497</v>
      </c>
      <c r="ED361" s="7">
        <f t="shared" si="485"/>
        <v>1227.1035934359541</v>
      </c>
    </row>
    <row r="362" spans="1:134" x14ac:dyDescent="0.4">
      <c r="A362" s="28">
        <v>6</v>
      </c>
      <c r="B362" s="26">
        <v>1.0000000000000001E-5</v>
      </c>
      <c r="C362" s="28">
        <v>0.2</v>
      </c>
      <c r="D362" s="28">
        <v>30</v>
      </c>
      <c r="E362" s="26">
        <v>7.4999999999999993E-5</v>
      </c>
      <c r="F362" s="26">
        <f t="shared" si="459"/>
        <v>1.4999999999999999E-5</v>
      </c>
      <c r="G362" s="26">
        <f t="shared" si="460"/>
        <v>2.9999999999999996</v>
      </c>
      <c r="H362" s="7">
        <v>0.13635901842696699</v>
      </c>
      <c r="I362" s="7">
        <v>20967.675665585699</v>
      </c>
      <c r="J362" s="7">
        <v>165780.67944707401</v>
      </c>
      <c r="K362" s="7">
        <v>20967.675665585699</v>
      </c>
      <c r="L362" s="7">
        <v>651465.34785778704</v>
      </c>
      <c r="M362" s="7">
        <v>2037183.27157626</v>
      </c>
      <c r="N362" s="7">
        <f t="shared" si="461"/>
        <v>207716.03077824542</v>
      </c>
      <c r="P362" s="28">
        <v>6</v>
      </c>
      <c r="Q362" s="26">
        <v>3.0000000000000001E-5</v>
      </c>
      <c r="R362" s="28">
        <v>0.2</v>
      </c>
      <c r="S362" s="28">
        <v>30</v>
      </c>
      <c r="T362" s="26">
        <v>7.4999999999999993E-5</v>
      </c>
      <c r="U362" s="26">
        <f t="shared" si="462"/>
        <v>1.4999999999999999E-5</v>
      </c>
      <c r="V362" s="26">
        <f t="shared" si="463"/>
        <v>0.99999999999999989</v>
      </c>
      <c r="W362" s="7">
        <v>0.167593750546944</v>
      </c>
      <c r="X362" s="7">
        <v>6989.2252213633501</v>
      </c>
      <c r="Y362" s="7">
        <v>55260.226463633997</v>
      </c>
      <c r="Z362" s="7">
        <v>6989.2252213633501</v>
      </c>
      <c r="AA362" s="7">
        <v>217155.11601730101</v>
      </c>
      <c r="AB362" s="7">
        <v>226353.69684180699</v>
      </c>
      <c r="AC362" s="7">
        <f t="shared" si="464"/>
        <v>69238.676906360692</v>
      </c>
      <c r="AE362" s="28">
        <v>6</v>
      </c>
      <c r="AF362" s="26">
        <v>5.0000000000000002E-5</v>
      </c>
      <c r="AG362" s="28">
        <v>0.2</v>
      </c>
      <c r="AH362" s="28">
        <v>30</v>
      </c>
      <c r="AI362" s="26">
        <v>7.4999999999999993E-5</v>
      </c>
      <c r="AJ362" s="26">
        <f t="shared" si="465"/>
        <v>1.4999999999999999E-5</v>
      </c>
      <c r="AK362" s="26">
        <f t="shared" si="466"/>
        <v>0.59999999999999987</v>
      </c>
      <c r="AL362" s="7">
        <v>0.193752775462255</v>
      </c>
      <c r="AM362" s="7">
        <v>4193.5351285970401</v>
      </c>
      <c r="AN362" s="7">
        <v>33156.135719653299</v>
      </c>
      <c r="AO362" s="7">
        <v>4193.5351285970401</v>
      </c>
      <c r="AP362" s="7">
        <v>130293.0701582</v>
      </c>
      <c r="AQ362" s="7">
        <v>81487.330863050403</v>
      </c>
      <c r="AR362" s="7">
        <f t="shared" si="467"/>
        <v>41543.205976847377</v>
      </c>
      <c r="AT362" s="28">
        <v>6</v>
      </c>
      <c r="AU362" s="26">
        <v>1.0000000000000001E-5</v>
      </c>
      <c r="AV362" s="28">
        <v>0.2</v>
      </c>
      <c r="AW362" s="28">
        <v>200</v>
      </c>
      <c r="AX362" s="26">
        <v>7.4999999999999993E-5</v>
      </c>
      <c r="AY362" s="26">
        <f t="shared" si="468"/>
        <v>1.4999999999999999E-5</v>
      </c>
      <c r="AZ362" s="26">
        <f t="shared" si="469"/>
        <v>2.9999999999999996</v>
      </c>
      <c r="BA362" s="7">
        <v>0.136499904196521</v>
      </c>
      <c r="BB362" s="7">
        <v>4345.3623253436699</v>
      </c>
      <c r="BC362" s="7">
        <v>165780.67944707401</v>
      </c>
      <c r="BD362" s="7">
        <v>4345.3623253436699</v>
      </c>
      <c r="BE362" s="7">
        <v>651465.34785778704</v>
      </c>
      <c r="BF362" s="7">
        <v>2037183.27157626</v>
      </c>
      <c r="BG362" s="7">
        <f t="shared" si="470"/>
        <v>174471.40409776138</v>
      </c>
      <c r="BI362" s="28">
        <v>6</v>
      </c>
      <c r="BJ362" s="26">
        <v>1.0000000000000001E-5</v>
      </c>
      <c r="BK362" s="28">
        <v>0.5</v>
      </c>
      <c r="BL362" s="28">
        <v>200</v>
      </c>
      <c r="BM362" s="26">
        <v>7.4999999999999993E-5</v>
      </c>
      <c r="BN362" s="26">
        <f t="shared" si="471"/>
        <v>3.7499999999999997E-5</v>
      </c>
      <c r="BO362" s="26">
        <f t="shared" si="472"/>
        <v>7.4999999999999991</v>
      </c>
      <c r="BP362" s="7">
        <v>0.31446974137071698</v>
      </c>
      <c r="BQ362" s="7">
        <v>3764.12485338133</v>
      </c>
      <c r="BR362" s="7">
        <v>66312.271778829701</v>
      </c>
      <c r="BS362" s="7">
        <v>3764.12485338133</v>
      </c>
      <c r="BT362" s="7">
        <v>260586.139143115</v>
      </c>
      <c r="BU362" s="7">
        <v>2037183.27157626</v>
      </c>
      <c r="BV362" s="7">
        <f t="shared" si="473"/>
        <v>73840.52148559237</v>
      </c>
      <c r="BX362" s="28">
        <v>6</v>
      </c>
      <c r="BY362" s="26">
        <v>5.0000000000000002E-5</v>
      </c>
      <c r="BZ362" s="28">
        <v>0.5</v>
      </c>
      <c r="CA362" s="28">
        <v>200</v>
      </c>
      <c r="CB362" s="26">
        <v>7.4999999999999993E-5</v>
      </c>
      <c r="CC362" s="26">
        <f t="shared" si="474"/>
        <v>3.7499999999999997E-5</v>
      </c>
      <c r="CD362" s="26">
        <f t="shared" si="475"/>
        <v>1.4999999999999998</v>
      </c>
      <c r="CE362" s="7">
        <v>0.38264057162778398</v>
      </c>
      <c r="CF362" s="7">
        <v>752.82497001808497</v>
      </c>
      <c r="CG362" s="7">
        <v>13262.454287861299</v>
      </c>
      <c r="CH362" s="7">
        <v>752.82497001808497</v>
      </c>
      <c r="CI362" s="7">
        <v>52117.228063280199</v>
      </c>
      <c r="CJ362" s="7">
        <v>81487.330863050403</v>
      </c>
      <c r="CK362" s="7">
        <f t="shared" si="476"/>
        <v>14768.104227897471</v>
      </c>
      <c r="CM362" s="28">
        <v>6</v>
      </c>
      <c r="CN362" s="26">
        <v>5.0000000000000002E-5</v>
      </c>
      <c r="CO362" s="28">
        <v>1</v>
      </c>
      <c r="CP362" s="28">
        <v>200</v>
      </c>
      <c r="CQ362" s="26">
        <v>7.4999999999999993E-5</v>
      </c>
      <c r="CR362" s="26">
        <f t="shared" si="477"/>
        <v>7.4999999999999993E-5</v>
      </c>
      <c r="CS362" s="26">
        <f t="shared" si="478"/>
        <v>2.9999999999999996</v>
      </c>
      <c r="CT362" s="7">
        <v>0.68197782189473799</v>
      </c>
      <c r="CU362" s="7">
        <v>665.23311259709499</v>
      </c>
      <c r="CV362" s="7">
        <v>6631.2271439306596</v>
      </c>
      <c r="CW362" s="7">
        <v>665.23311259709499</v>
      </c>
      <c r="CX362" s="7">
        <v>26058.6140316401</v>
      </c>
      <c r="CY362" s="7">
        <v>81487.330863050403</v>
      </c>
      <c r="CZ362" s="7">
        <f t="shared" si="479"/>
        <v>7961.6933691248496</v>
      </c>
      <c r="DB362" s="28">
        <v>6</v>
      </c>
      <c r="DC362" s="26">
        <v>5.0000000000000002E-5</v>
      </c>
      <c r="DD362" s="28">
        <v>2</v>
      </c>
      <c r="DE362" s="28">
        <v>200</v>
      </c>
      <c r="DF362" s="26">
        <v>7.4999999999999993E-5</v>
      </c>
      <c r="DG362" s="26">
        <f t="shared" si="480"/>
        <v>1.4999999999999999E-4</v>
      </c>
      <c r="DH362" s="26">
        <f t="shared" si="481"/>
        <v>5.9999999999999991</v>
      </c>
      <c r="DI362" s="7">
        <v>1.2756232473778299</v>
      </c>
      <c r="DJ362" s="7">
        <v>578.22973015081095</v>
      </c>
      <c r="DK362" s="7">
        <v>3315.6135719653298</v>
      </c>
      <c r="DL362" s="7">
        <v>578.22973015081095</v>
      </c>
      <c r="DM362" s="7">
        <v>13029.307015820101</v>
      </c>
      <c r="DN362" s="7">
        <v>81487.330863050403</v>
      </c>
      <c r="DO362" s="7">
        <f t="shared" si="482"/>
        <v>4472.0730322669515</v>
      </c>
      <c r="DQ362" s="28">
        <v>6</v>
      </c>
      <c r="DR362" s="26">
        <v>5.0000000000000002E-5</v>
      </c>
      <c r="DS362" s="28">
        <v>15</v>
      </c>
      <c r="DT362" s="28">
        <v>300</v>
      </c>
      <c r="DU362" s="26">
        <v>5.0000000000000002E-5</v>
      </c>
      <c r="DV362" s="26">
        <f t="shared" si="483"/>
        <v>7.5000000000000002E-4</v>
      </c>
      <c r="DW362" s="26">
        <f t="shared" si="484"/>
        <v>30</v>
      </c>
      <c r="DX362" s="7">
        <v>9.0264713622122397</v>
      </c>
      <c r="DY362" s="7">
        <v>254.539230510376</v>
      </c>
      <c r="DZ362" s="7">
        <v>442.08180959537702</v>
      </c>
      <c r="EA362" s="7">
        <v>254.539230510376</v>
      </c>
      <c r="EB362" s="7">
        <v>1737.24093544267</v>
      </c>
      <c r="EC362" s="7">
        <v>50929.581789406497</v>
      </c>
      <c r="ED362" s="7">
        <f t="shared" si="485"/>
        <v>951.16027061612908</v>
      </c>
    </row>
    <row r="363" spans="1:134" x14ac:dyDescent="0.4">
      <c r="A363" s="28">
        <v>8</v>
      </c>
      <c r="B363" s="26">
        <v>1.0000000000000001E-5</v>
      </c>
      <c r="C363" s="28">
        <v>0.2</v>
      </c>
      <c r="D363" s="28">
        <v>30</v>
      </c>
      <c r="E363" s="26">
        <v>7.4999999999999993E-5</v>
      </c>
      <c r="F363" s="26">
        <f t="shared" si="459"/>
        <v>1.4999999999999999E-5</v>
      </c>
      <c r="G363" s="26">
        <f t="shared" si="460"/>
        <v>2.9999999999999996</v>
      </c>
      <c r="H363" s="7">
        <v>0.12347102301179499</v>
      </c>
      <c r="I363" s="7">
        <v>20967.675665585699</v>
      </c>
      <c r="J363" s="7">
        <v>100396.196898707</v>
      </c>
      <c r="K363" s="7">
        <v>20967.675665585699</v>
      </c>
      <c r="L363" s="7">
        <v>821154.82400854595</v>
      </c>
      <c r="M363" s="7">
        <v>2037183.27157626</v>
      </c>
      <c r="N363" s="7">
        <f t="shared" si="461"/>
        <v>142331.54822987839</v>
      </c>
      <c r="P363" s="28">
        <v>8</v>
      </c>
      <c r="Q363" s="26">
        <v>3.0000000000000001E-5</v>
      </c>
      <c r="R363" s="28">
        <v>0.2</v>
      </c>
      <c r="S363" s="28">
        <v>30</v>
      </c>
      <c r="T363" s="26">
        <v>7.4999999999999993E-5</v>
      </c>
      <c r="U363" s="26">
        <f t="shared" si="462"/>
        <v>1.4999999999999999E-5</v>
      </c>
      <c r="V363" s="26">
        <f t="shared" si="463"/>
        <v>0.99999999999999989</v>
      </c>
      <c r="W363" s="7">
        <v>0.15990367969622801</v>
      </c>
      <c r="X363" s="7">
        <v>6989.2252213633501</v>
      </c>
      <c r="Y363" s="7">
        <v>33465.398947511501</v>
      </c>
      <c r="Z363" s="7">
        <v>6989.2252213633501</v>
      </c>
      <c r="AA363" s="7">
        <v>273718.27480960399</v>
      </c>
      <c r="AB363" s="7">
        <v>226353.69684180699</v>
      </c>
      <c r="AC363" s="7">
        <f t="shared" si="464"/>
        <v>47443.849390238196</v>
      </c>
      <c r="AE363" s="28">
        <v>8</v>
      </c>
      <c r="AF363" s="26">
        <v>5.0000000000000002E-5</v>
      </c>
      <c r="AG363" s="28">
        <v>0.2</v>
      </c>
      <c r="AH363" s="28">
        <v>30</v>
      </c>
      <c r="AI363" s="26">
        <v>7.4999999999999993E-5</v>
      </c>
      <c r="AJ363" s="26">
        <f t="shared" si="465"/>
        <v>1.4999999999999999E-5</v>
      </c>
      <c r="AK363" s="26">
        <f t="shared" si="466"/>
        <v>0.59999999999999987</v>
      </c>
      <c r="AL363" s="7">
        <v>0.19200245350235501</v>
      </c>
      <c r="AM363" s="7">
        <v>4193.5351285970401</v>
      </c>
      <c r="AN363" s="7">
        <v>20079.239209979802</v>
      </c>
      <c r="AO363" s="7">
        <v>4193.5351285970401</v>
      </c>
      <c r="AP363" s="7">
        <v>164230.96607182099</v>
      </c>
      <c r="AQ363" s="7">
        <v>81487.330863050403</v>
      </c>
      <c r="AR363" s="7">
        <f t="shared" si="467"/>
        <v>28466.30946717388</v>
      </c>
      <c r="AT363" s="28">
        <v>8</v>
      </c>
      <c r="AU363" s="26">
        <v>1.0000000000000001E-5</v>
      </c>
      <c r="AV363" s="28">
        <v>0.2</v>
      </c>
      <c r="AW363" s="28">
        <v>200</v>
      </c>
      <c r="AX363" s="26">
        <v>7.4999999999999993E-5</v>
      </c>
      <c r="AY363" s="26">
        <f t="shared" si="468"/>
        <v>1.4999999999999999E-5</v>
      </c>
      <c r="AZ363" s="26">
        <f t="shared" si="469"/>
        <v>2.9999999999999996</v>
      </c>
      <c r="BA363" s="7">
        <v>0.123630953450781</v>
      </c>
      <c r="BB363" s="7">
        <v>4345.3623253436699</v>
      </c>
      <c r="BC363" s="7">
        <v>100396.196898707</v>
      </c>
      <c r="BD363" s="7">
        <v>4345.3623253436699</v>
      </c>
      <c r="BE363" s="7">
        <v>821154.82400854595</v>
      </c>
      <c r="BF363" s="7">
        <v>2037183.27157626</v>
      </c>
      <c r="BG363" s="7">
        <f t="shared" si="470"/>
        <v>109086.92154939433</v>
      </c>
      <c r="BI363" s="28">
        <v>8</v>
      </c>
      <c r="BJ363" s="26">
        <v>1.0000000000000001E-5</v>
      </c>
      <c r="BK363" s="28">
        <v>0.5</v>
      </c>
      <c r="BL363" s="28">
        <v>200</v>
      </c>
      <c r="BM363" s="26">
        <v>7.4999999999999993E-5</v>
      </c>
      <c r="BN363" s="26">
        <f t="shared" si="471"/>
        <v>3.7499999999999997E-5</v>
      </c>
      <c r="BO363" s="26">
        <f t="shared" si="472"/>
        <v>7.4999999999999991</v>
      </c>
      <c r="BP363" s="7">
        <v>0.27895154261678601</v>
      </c>
      <c r="BQ363" s="7">
        <v>3764.12485338133</v>
      </c>
      <c r="BR363" s="7">
        <v>40158.478759482699</v>
      </c>
      <c r="BS363" s="7">
        <v>3764.12485338133</v>
      </c>
      <c r="BT363" s="7">
        <v>328461.92960341799</v>
      </c>
      <c r="BU363" s="7">
        <v>2037183.27157626</v>
      </c>
      <c r="BV363" s="7">
        <f t="shared" si="473"/>
        <v>47686.728466245353</v>
      </c>
      <c r="BX363" s="28">
        <v>8</v>
      </c>
      <c r="BY363" s="26">
        <v>5.0000000000000002E-5</v>
      </c>
      <c r="BZ363" s="28">
        <v>0.5</v>
      </c>
      <c r="CA363" s="28">
        <v>200</v>
      </c>
      <c r="CB363" s="26">
        <v>7.4999999999999993E-5</v>
      </c>
      <c r="CC363" s="26">
        <f t="shared" si="474"/>
        <v>3.7499999999999997E-5</v>
      </c>
      <c r="CD363" s="26">
        <f t="shared" si="475"/>
        <v>1.4999999999999998</v>
      </c>
      <c r="CE363" s="7">
        <v>0.356748794894444</v>
      </c>
      <c r="CF363" s="7">
        <v>752.82497001808497</v>
      </c>
      <c r="CG363" s="7">
        <v>8031.6956839919103</v>
      </c>
      <c r="CH363" s="7">
        <v>752.82497001808497</v>
      </c>
      <c r="CI363" s="7">
        <v>65692.386428728598</v>
      </c>
      <c r="CJ363" s="7">
        <v>81487.330863050403</v>
      </c>
      <c r="CK363" s="7">
        <f t="shared" si="476"/>
        <v>9537.3456240280793</v>
      </c>
      <c r="CM363" s="28">
        <v>8</v>
      </c>
      <c r="CN363" s="26">
        <v>5.0000000000000002E-5</v>
      </c>
      <c r="CO363" s="28">
        <v>1</v>
      </c>
      <c r="CP363" s="28">
        <v>200</v>
      </c>
      <c r="CQ363" s="26">
        <v>7.4999999999999993E-5</v>
      </c>
      <c r="CR363" s="26">
        <f t="shared" si="477"/>
        <v>7.4999999999999993E-5</v>
      </c>
      <c r="CS363" s="26">
        <f t="shared" si="478"/>
        <v>2.9999999999999996</v>
      </c>
      <c r="CT363" s="7">
        <v>0.61756252626822405</v>
      </c>
      <c r="CU363" s="7">
        <v>665.23311259709499</v>
      </c>
      <c r="CV363" s="7">
        <v>4015.8478419959501</v>
      </c>
      <c r="CW363" s="7">
        <v>665.23311259709499</v>
      </c>
      <c r="CX363" s="7">
        <v>32846.193214364299</v>
      </c>
      <c r="CY363" s="7">
        <v>81487.330863050403</v>
      </c>
      <c r="CZ363" s="7">
        <f t="shared" si="479"/>
        <v>5346.3140671901401</v>
      </c>
      <c r="DB363" s="28">
        <v>8</v>
      </c>
      <c r="DC363" s="26">
        <v>5.0000000000000002E-5</v>
      </c>
      <c r="DD363" s="28">
        <v>2</v>
      </c>
      <c r="DE363" s="28">
        <v>200</v>
      </c>
      <c r="DF363" s="26">
        <v>7.4999999999999993E-5</v>
      </c>
      <c r="DG363" s="26">
        <f t="shared" si="480"/>
        <v>1.4999999999999999E-4</v>
      </c>
      <c r="DH363" s="26">
        <f t="shared" si="481"/>
        <v>5.9999999999999991</v>
      </c>
      <c r="DI363" s="7">
        <v>1.1356148911798301</v>
      </c>
      <c r="DJ363" s="7">
        <v>578.22973015081095</v>
      </c>
      <c r="DK363" s="7">
        <v>2007.9239209979801</v>
      </c>
      <c r="DL363" s="7">
        <v>578.22973015081095</v>
      </c>
      <c r="DM363" s="7">
        <v>16423.096607182099</v>
      </c>
      <c r="DN363" s="7">
        <v>81487.330863050403</v>
      </c>
      <c r="DO363" s="7">
        <f t="shared" si="482"/>
        <v>3164.3833812996022</v>
      </c>
      <c r="DQ363" s="28">
        <v>8</v>
      </c>
      <c r="DR363" s="26">
        <v>5.0000000000000002E-5</v>
      </c>
      <c r="DS363" s="28">
        <v>15</v>
      </c>
      <c r="DT363" s="28">
        <v>300</v>
      </c>
      <c r="DU363" s="26">
        <v>5.0000000000000002E-5</v>
      </c>
      <c r="DV363" s="26">
        <f t="shared" si="483"/>
        <v>7.5000000000000002E-4</v>
      </c>
      <c r="DW363" s="26">
        <f t="shared" si="484"/>
        <v>30</v>
      </c>
      <c r="DX363" s="7">
        <v>7.9162878550429197</v>
      </c>
      <c r="DY363" s="7">
        <v>254.539230510376</v>
      </c>
      <c r="DZ363" s="7">
        <v>267.723189466397</v>
      </c>
      <c r="EA363" s="7">
        <v>254.539230510376</v>
      </c>
      <c r="EB363" s="7">
        <v>2189.7462142909499</v>
      </c>
      <c r="EC363" s="7">
        <v>50929.581789406497</v>
      </c>
      <c r="ED363" s="7">
        <f t="shared" si="485"/>
        <v>776.801650487149</v>
      </c>
    </row>
    <row r="364" spans="1:134" x14ac:dyDescent="0.4">
      <c r="A364" s="28">
        <v>10</v>
      </c>
      <c r="B364" s="26">
        <v>1.0000000000000001E-5</v>
      </c>
      <c r="C364" s="28">
        <v>0.2</v>
      </c>
      <c r="D364" s="28">
        <v>30</v>
      </c>
      <c r="E364" s="26">
        <v>7.4999999999999993E-5</v>
      </c>
      <c r="F364" s="26">
        <f t="shared" si="459"/>
        <v>1.4999999999999999E-5</v>
      </c>
      <c r="G364" s="26">
        <f t="shared" si="460"/>
        <v>2.9999999999999996</v>
      </c>
      <c r="H364" s="7">
        <v>0.112008280317541</v>
      </c>
      <c r="I364" s="7">
        <v>20967.675665585699</v>
      </c>
      <c r="J364" s="7">
        <v>53826.312121005001</v>
      </c>
      <c r="K364" s="7">
        <v>20967.675665585699</v>
      </c>
      <c r="L364" s="7">
        <v>1014751.21705289</v>
      </c>
      <c r="M364" s="7">
        <v>2037183.27157626</v>
      </c>
      <c r="N364" s="7">
        <f t="shared" si="461"/>
        <v>95761.663452176406</v>
      </c>
      <c r="P364" s="28">
        <v>10</v>
      </c>
      <c r="Q364" s="26">
        <v>3.0000000000000001E-5</v>
      </c>
      <c r="R364" s="28">
        <v>0.2</v>
      </c>
      <c r="S364" s="28">
        <v>30</v>
      </c>
      <c r="T364" s="26">
        <v>7.4999999999999993E-5</v>
      </c>
      <c r="U364" s="26">
        <f t="shared" si="462"/>
        <v>1.4999999999999999E-5</v>
      </c>
      <c r="V364" s="26">
        <f t="shared" si="463"/>
        <v>0.99999999999999989</v>
      </c>
      <c r="W364" s="7">
        <v>0.15296358635463</v>
      </c>
      <c r="X364" s="7">
        <v>6989.2252213633501</v>
      </c>
      <c r="Y364" s="7">
        <v>17942.1040216109</v>
      </c>
      <c r="Z364" s="7">
        <v>6989.2252213633501</v>
      </c>
      <c r="AA364" s="7">
        <v>338250.40599296999</v>
      </c>
      <c r="AB364" s="7">
        <v>226353.69684180699</v>
      </c>
      <c r="AC364" s="7">
        <f t="shared" si="464"/>
        <v>31920.554464337602</v>
      </c>
      <c r="AE364" s="28">
        <v>10</v>
      </c>
      <c r="AF364" s="26">
        <v>5.0000000000000002E-5</v>
      </c>
      <c r="AG364" s="28">
        <v>0.2</v>
      </c>
      <c r="AH364" s="28">
        <v>30</v>
      </c>
      <c r="AI364" s="26">
        <v>7.4999999999999993E-5</v>
      </c>
      <c r="AJ364" s="26">
        <f t="shared" si="465"/>
        <v>1.4999999999999999E-5</v>
      </c>
      <c r="AK364" s="26">
        <f t="shared" si="466"/>
        <v>0.59999999999999987</v>
      </c>
      <c r="AL364" s="7">
        <v>0.19047342896744901</v>
      </c>
      <c r="AM364" s="7">
        <v>4193.5351285970401</v>
      </c>
      <c r="AN364" s="7">
        <v>10765.2622544394</v>
      </c>
      <c r="AO364" s="7">
        <v>4193.5351285970401</v>
      </c>
      <c r="AP364" s="7">
        <v>202950.24620916101</v>
      </c>
      <c r="AQ364" s="7">
        <v>81487.330863050403</v>
      </c>
      <c r="AR364" s="7">
        <f t="shared" si="467"/>
        <v>19152.332511633478</v>
      </c>
      <c r="AT364" s="28">
        <v>10</v>
      </c>
      <c r="AU364" s="26">
        <v>1.0000000000000001E-5</v>
      </c>
      <c r="AV364" s="28">
        <v>0.2</v>
      </c>
      <c r="AW364" s="28">
        <v>200</v>
      </c>
      <c r="AX364" s="26">
        <v>7.4999999999999993E-5</v>
      </c>
      <c r="AY364" s="26">
        <f t="shared" si="468"/>
        <v>1.4999999999999999E-5</v>
      </c>
      <c r="AZ364" s="26">
        <f t="shared" si="469"/>
        <v>2.9999999999999996</v>
      </c>
      <c r="BA364" s="7">
        <v>0.112184445148103</v>
      </c>
      <c r="BB364" s="7">
        <v>4345.3623253436699</v>
      </c>
      <c r="BC364" s="7">
        <v>53826.312121005001</v>
      </c>
      <c r="BD364" s="7">
        <v>4345.3623253436699</v>
      </c>
      <c r="BE364" s="7">
        <v>1014751.21705289</v>
      </c>
      <c r="BF364" s="7">
        <v>2037183.27157626</v>
      </c>
      <c r="BG364" s="7">
        <f t="shared" si="470"/>
        <v>62517.036771692336</v>
      </c>
      <c r="BI364" s="28">
        <v>10</v>
      </c>
      <c r="BJ364" s="26">
        <v>1.0000000000000001E-5</v>
      </c>
      <c r="BK364" s="28">
        <v>0.5</v>
      </c>
      <c r="BL364" s="28">
        <v>200</v>
      </c>
      <c r="BM364" s="26">
        <v>7.4999999999999993E-5</v>
      </c>
      <c r="BN364" s="26">
        <f t="shared" si="471"/>
        <v>3.7499999999999997E-5</v>
      </c>
      <c r="BO364" s="26">
        <f t="shared" si="472"/>
        <v>7.4999999999999991</v>
      </c>
      <c r="BP364" s="7">
        <v>0.24749473539608199</v>
      </c>
      <c r="BQ364" s="7">
        <v>3764.12485338133</v>
      </c>
      <c r="BR364" s="7">
        <v>21530.524848402001</v>
      </c>
      <c r="BS364" s="7">
        <v>3764.12485338133</v>
      </c>
      <c r="BT364" s="7">
        <v>405900.48682115501</v>
      </c>
      <c r="BU364" s="7">
        <v>2037183.27157626</v>
      </c>
      <c r="BV364" s="7">
        <f t="shared" si="473"/>
        <v>29058.774555164662</v>
      </c>
      <c r="BX364" s="28">
        <v>10</v>
      </c>
      <c r="BY364" s="26">
        <v>5.0000000000000002E-5</v>
      </c>
      <c r="BZ364" s="28">
        <v>0.5</v>
      </c>
      <c r="CA364" s="28">
        <v>200</v>
      </c>
      <c r="CB364" s="26">
        <v>7.4999999999999993E-5</v>
      </c>
      <c r="CC364" s="26">
        <f t="shared" si="474"/>
        <v>3.7499999999999997E-5</v>
      </c>
      <c r="CD364" s="26">
        <f t="shared" si="475"/>
        <v>1.4999999999999998</v>
      </c>
      <c r="CE364" s="7">
        <v>0.333537923506107</v>
      </c>
      <c r="CF364" s="7">
        <v>752.82497001808497</v>
      </c>
      <c r="CG364" s="7">
        <v>4306.1049017757796</v>
      </c>
      <c r="CH364" s="7">
        <v>752.82497001808497</v>
      </c>
      <c r="CI364" s="7">
        <v>81180.098483664406</v>
      </c>
      <c r="CJ364" s="7">
        <v>81487.330863050403</v>
      </c>
      <c r="CK364" s="7">
        <f t="shared" si="476"/>
        <v>5811.7548418119495</v>
      </c>
      <c r="CM364" s="28">
        <v>10</v>
      </c>
      <c r="CN364" s="26">
        <v>5.0000000000000002E-5</v>
      </c>
      <c r="CO364" s="28">
        <v>1</v>
      </c>
      <c r="CP364" s="28">
        <v>200</v>
      </c>
      <c r="CQ364" s="26">
        <v>7.4999999999999993E-5</v>
      </c>
      <c r="CR364" s="26">
        <f t="shared" si="477"/>
        <v>7.4999999999999993E-5</v>
      </c>
      <c r="CS364" s="26">
        <f t="shared" si="478"/>
        <v>2.9999999999999996</v>
      </c>
      <c r="CT364" s="7">
        <v>0.56026985009167596</v>
      </c>
      <c r="CU364" s="7">
        <v>665.23311259709499</v>
      </c>
      <c r="CV364" s="7">
        <v>2153.0524508878898</v>
      </c>
      <c r="CW364" s="7">
        <v>665.23311259709499</v>
      </c>
      <c r="CX364" s="7">
        <v>40590.049241832203</v>
      </c>
      <c r="CY364" s="7">
        <v>81487.330863050403</v>
      </c>
      <c r="CZ364" s="7">
        <f t="shared" si="479"/>
        <v>3483.5186760820798</v>
      </c>
      <c r="DB364" s="28">
        <v>10</v>
      </c>
      <c r="DC364" s="26">
        <v>5.0000000000000002E-5</v>
      </c>
      <c r="DD364" s="28">
        <v>2</v>
      </c>
      <c r="DE364" s="28">
        <v>200</v>
      </c>
      <c r="DF364" s="26">
        <v>7.4999999999999993E-5</v>
      </c>
      <c r="DG364" s="26">
        <f t="shared" si="480"/>
        <v>1.4999999999999999E-4</v>
      </c>
      <c r="DH364" s="26">
        <f t="shared" si="481"/>
        <v>5.9999999999999991</v>
      </c>
      <c r="DI364" s="7">
        <v>1.01153494883864</v>
      </c>
      <c r="DJ364" s="7">
        <v>578.22973015081095</v>
      </c>
      <c r="DK364" s="7">
        <v>1076.5262254439399</v>
      </c>
      <c r="DL364" s="7">
        <v>578.22973015081095</v>
      </c>
      <c r="DM364" s="7">
        <v>20295.024620916101</v>
      </c>
      <c r="DN364" s="7">
        <v>81487.330863050403</v>
      </c>
      <c r="DO364" s="7">
        <f t="shared" si="482"/>
        <v>2232.985685745562</v>
      </c>
      <c r="DQ364" s="28">
        <v>10</v>
      </c>
      <c r="DR364" s="26">
        <v>5.0000000000000002E-5</v>
      </c>
      <c r="DS364" s="28">
        <v>15</v>
      </c>
      <c r="DT364" s="28">
        <v>300</v>
      </c>
      <c r="DU364" s="26">
        <v>5.0000000000000002E-5</v>
      </c>
      <c r="DV364" s="26">
        <f t="shared" si="483"/>
        <v>7.5000000000000002E-4</v>
      </c>
      <c r="DW364" s="26">
        <f t="shared" si="484"/>
        <v>30</v>
      </c>
      <c r="DX364" s="7">
        <v>6.9348569381907197</v>
      </c>
      <c r="DY364" s="7">
        <v>254.539230510376</v>
      </c>
      <c r="DZ364" s="7">
        <v>143.53683005919299</v>
      </c>
      <c r="EA364" s="7">
        <v>254.539230510376</v>
      </c>
      <c r="EB364" s="7">
        <v>2706.0032827888099</v>
      </c>
      <c r="EC364" s="7">
        <v>50929.581789406497</v>
      </c>
      <c r="ED364" s="7">
        <f t="shared" si="485"/>
        <v>652.615291079945</v>
      </c>
    </row>
    <row r="365" spans="1:134" x14ac:dyDescent="0.4">
      <c r="A365" s="28">
        <v>12</v>
      </c>
      <c r="B365" s="26">
        <v>1.0000000000000001E-5</v>
      </c>
      <c r="C365" s="28">
        <v>0.2</v>
      </c>
      <c r="D365" s="28">
        <v>30</v>
      </c>
      <c r="E365" s="26">
        <v>7.4999999999999993E-5</v>
      </c>
      <c r="F365" s="26">
        <f t="shared" si="459"/>
        <v>1.4999999999999999E-5</v>
      </c>
      <c r="G365" s="26">
        <f t="shared" si="460"/>
        <v>2.9999999999999996</v>
      </c>
      <c r="H365" s="7">
        <v>0.10293709290089</v>
      </c>
      <c r="I365" s="7">
        <v>10483.8378327929</v>
      </c>
      <c r="J365" s="7">
        <v>9132.5308623731398</v>
      </c>
      <c r="K365" s="7">
        <v>10483.8378327929</v>
      </c>
      <c r="L365" s="7">
        <v>611415.03362821101</v>
      </c>
      <c r="M365" s="7">
        <v>509295.817894065</v>
      </c>
      <c r="N365" s="7">
        <f t="shared" si="461"/>
        <v>30100.206527958944</v>
      </c>
      <c r="P365" s="28">
        <v>12</v>
      </c>
      <c r="Q365" s="26">
        <v>3.0000000000000001E-5</v>
      </c>
      <c r="R365" s="28">
        <v>0.2</v>
      </c>
      <c r="S365" s="28">
        <v>30</v>
      </c>
      <c r="T365" s="26">
        <v>7.4999999999999993E-5</v>
      </c>
      <c r="U365" s="26">
        <f t="shared" si="462"/>
        <v>1.4999999999999999E-5</v>
      </c>
      <c r="V365" s="26">
        <f t="shared" si="463"/>
        <v>0.99999999999999989</v>
      </c>
      <c r="W365" s="7">
        <v>0.14793351588929299</v>
      </c>
      <c r="X365" s="7">
        <v>6989.2252213633501</v>
      </c>
      <c r="Y365" s="7">
        <v>6088.3538895246002</v>
      </c>
      <c r="Z365" s="7">
        <v>6989.2252213633501</v>
      </c>
      <c r="AA365" s="7">
        <v>407610.02322415198</v>
      </c>
      <c r="AB365" s="7">
        <v>226353.69684180699</v>
      </c>
      <c r="AC365" s="7">
        <f t="shared" si="464"/>
        <v>20066.8043322513</v>
      </c>
      <c r="AE365" s="28">
        <v>12</v>
      </c>
      <c r="AF365" s="26">
        <v>5.0000000000000002E-5</v>
      </c>
      <c r="AG365" s="28">
        <v>0.2</v>
      </c>
      <c r="AH365" s="28">
        <v>30</v>
      </c>
      <c r="AI365" s="26">
        <v>7.4999999999999993E-5</v>
      </c>
      <c r="AJ365" s="26">
        <f t="shared" si="465"/>
        <v>1.4999999999999999E-5</v>
      </c>
      <c r="AK365" s="26">
        <f t="shared" si="466"/>
        <v>0.59999999999999987</v>
      </c>
      <c r="AL365" s="7">
        <v>0.19045352545081001</v>
      </c>
      <c r="AM365" s="7">
        <v>4193.5351285970401</v>
      </c>
      <c r="AN365" s="7">
        <v>3653.01217518762</v>
      </c>
      <c r="AO365" s="7">
        <v>4193.5351285970401</v>
      </c>
      <c r="AP365" s="7">
        <v>244566.02075291699</v>
      </c>
      <c r="AQ365" s="7">
        <v>81487.330863050403</v>
      </c>
      <c r="AR365" s="7">
        <f t="shared" si="467"/>
        <v>12040.0824323817</v>
      </c>
      <c r="AT365" s="28">
        <v>12</v>
      </c>
      <c r="AU365" s="26">
        <v>1.0000000000000001E-5</v>
      </c>
      <c r="AV365" s="28">
        <v>0.2</v>
      </c>
      <c r="AW365" s="28">
        <v>200</v>
      </c>
      <c r="AX365" s="26">
        <v>7.4999999999999993E-5</v>
      </c>
      <c r="AY365" s="26">
        <f t="shared" si="468"/>
        <v>1.4999999999999999E-5</v>
      </c>
      <c r="AZ365" s="26">
        <f t="shared" si="469"/>
        <v>2.9999999999999996</v>
      </c>
      <c r="BA365" s="7">
        <v>0.103127543232643</v>
      </c>
      <c r="BB365" s="7">
        <v>10483.8378327929</v>
      </c>
      <c r="BC365" s="7">
        <v>9132.5308623731398</v>
      </c>
      <c r="BD365" s="7">
        <v>10483.8378327929</v>
      </c>
      <c r="BE365" s="7">
        <v>611415.03362821101</v>
      </c>
      <c r="BF365" s="7">
        <v>509295.817894065</v>
      </c>
      <c r="BG365" s="7">
        <f t="shared" si="470"/>
        <v>30100.206527958944</v>
      </c>
      <c r="BI365" s="28">
        <v>12</v>
      </c>
      <c r="BJ365" s="26">
        <v>1.0000000000000001E-5</v>
      </c>
      <c r="BK365" s="28">
        <v>0.5</v>
      </c>
      <c r="BL365" s="28">
        <v>200</v>
      </c>
      <c r="BM365" s="26">
        <v>7.4999999999999993E-5</v>
      </c>
      <c r="BN365" s="26">
        <f t="shared" si="471"/>
        <v>3.7499999999999997E-5</v>
      </c>
      <c r="BO365" s="26">
        <f t="shared" si="472"/>
        <v>7.4999999999999991</v>
      </c>
      <c r="BP365" s="7">
        <v>0.22236018601611199</v>
      </c>
      <c r="BQ365" s="7">
        <v>3764.12485338133</v>
      </c>
      <c r="BR365" s="7">
        <v>7306.0246898983996</v>
      </c>
      <c r="BS365" s="7">
        <v>3764.12485338133</v>
      </c>
      <c r="BT365" s="7">
        <v>489132.02690256998</v>
      </c>
      <c r="BU365" s="7">
        <v>2037183.27157626</v>
      </c>
      <c r="BV365" s="7">
        <f t="shared" si="473"/>
        <v>14834.27439666106</v>
      </c>
      <c r="BX365" s="28">
        <v>12</v>
      </c>
      <c r="BY365" s="26">
        <v>5.0000000000000002E-5</v>
      </c>
      <c r="BZ365" s="28">
        <v>0.5</v>
      </c>
      <c r="CA365" s="28">
        <v>200</v>
      </c>
      <c r="CB365" s="26">
        <v>7.4999999999999993E-5</v>
      </c>
      <c r="CC365" s="26">
        <f t="shared" si="474"/>
        <v>3.7499999999999997E-5</v>
      </c>
      <c r="CD365" s="26">
        <f t="shared" si="475"/>
        <v>1.4999999999999998</v>
      </c>
      <c r="CE365" s="7">
        <v>0.31568578013249698</v>
      </c>
      <c r="CF365" s="7">
        <v>752.82497001808497</v>
      </c>
      <c r="CG365" s="7">
        <v>1461.2048700750499</v>
      </c>
      <c r="CH365" s="7">
        <v>752.82497001808497</v>
      </c>
      <c r="CI365" s="7">
        <v>97826.408301166695</v>
      </c>
      <c r="CJ365" s="7">
        <v>81487.330863050403</v>
      </c>
      <c r="CK365" s="7">
        <f t="shared" si="476"/>
        <v>2966.8548101112201</v>
      </c>
      <c r="CM365" s="28">
        <v>12</v>
      </c>
      <c r="CN365" s="26">
        <v>5.0000000000000002E-5</v>
      </c>
      <c r="CO365" s="28">
        <v>1</v>
      </c>
      <c r="CP365" s="28">
        <v>200</v>
      </c>
      <c r="CQ365" s="26">
        <v>7.4999999999999993E-5</v>
      </c>
      <c r="CR365" s="26">
        <f t="shared" si="477"/>
        <v>7.4999999999999993E-5</v>
      </c>
      <c r="CS365" s="26">
        <f t="shared" si="478"/>
        <v>2.9999999999999996</v>
      </c>
      <c r="CT365" s="7">
        <v>0.51493242049279497</v>
      </c>
      <c r="CU365" s="7">
        <v>665.23311259709499</v>
      </c>
      <c r="CV365" s="7">
        <v>730.60243503752497</v>
      </c>
      <c r="CW365" s="7">
        <v>665.23311259709499</v>
      </c>
      <c r="CX365" s="7">
        <v>48913.204150583399</v>
      </c>
      <c r="CY365" s="7">
        <v>81487.330863050403</v>
      </c>
      <c r="CZ365" s="7">
        <f t="shared" si="479"/>
        <v>2061.0686602317151</v>
      </c>
      <c r="DB365" s="28">
        <v>12</v>
      </c>
      <c r="DC365" s="26">
        <v>5.0000000000000002E-5</v>
      </c>
      <c r="DD365" s="28">
        <v>2</v>
      </c>
      <c r="DE365" s="28">
        <v>200</v>
      </c>
      <c r="DF365" s="26">
        <v>7.4999999999999993E-5</v>
      </c>
      <c r="DG365" s="26">
        <f t="shared" si="480"/>
        <v>1.4999999999999999E-4</v>
      </c>
      <c r="DH365" s="26">
        <f t="shared" si="481"/>
        <v>5.9999999999999991</v>
      </c>
      <c r="DI365" s="7">
        <v>0.91252647652741203</v>
      </c>
      <c r="DJ365" s="7">
        <v>578.22973015081095</v>
      </c>
      <c r="DK365" s="7">
        <v>365.301217518763</v>
      </c>
      <c r="DL365" s="7">
        <v>578.22973015081095</v>
      </c>
      <c r="DM365" s="7">
        <v>24456.602075291699</v>
      </c>
      <c r="DN365" s="7">
        <v>81487.330863050403</v>
      </c>
      <c r="DO365" s="7">
        <f t="shared" si="482"/>
        <v>1521.7606778203849</v>
      </c>
      <c r="DQ365" s="28">
        <v>12</v>
      </c>
      <c r="DR365" s="26">
        <v>5.0000000000000002E-5</v>
      </c>
      <c r="DS365" s="28">
        <v>15</v>
      </c>
      <c r="DT365" s="28">
        <v>300</v>
      </c>
      <c r="DU365" s="26">
        <v>5.0000000000000002E-5</v>
      </c>
      <c r="DV365" s="26">
        <f t="shared" si="483"/>
        <v>7.5000000000000002E-4</v>
      </c>
      <c r="DW365" s="26">
        <f t="shared" si="484"/>
        <v>30</v>
      </c>
      <c r="DX365" s="7">
        <v>6.1478235828665504</v>
      </c>
      <c r="DY365" s="7">
        <v>254.539230510376</v>
      </c>
      <c r="DZ365" s="7">
        <v>48.7068290025016</v>
      </c>
      <c r="EA365" s="7">
        <v>254.539230510376</v>
      </c>
      <c r="EB365" s="7">
        <v>3260.8802767055599</v>
      </c>
      <c r="EC365" s="7">
        <v>50929.581789406497</v>
      </c>
      <c r="ED365" s="7">
        <f t="shared" si="485"/>
        <v>557.78529002325354</v>
      </c>
    </row>
    <row r="366" spans="1:134" x14ac:dyDescent="0.4">
      <c r="A366" s="28">
        <v>15</v>
      </c>
      <c r="B366" s="26">
        <v>1.0000000000000001E-5</v>
      </c>
      <c r="C366" s="28">
        <v>0.2</v>
      </c>
      <c r="D366" s="28">
        <v>30</v>
      </c>
      <c r="E366" s="26">
        <v>7.4999999999999993E-5</v>
      </c>
      <c r="F366" s="26">
        <f t="shared" si="459"/>
        <v>1.4999999999999999E-5</v>
      </c>
      <c r="G366" s="26">
        <f t="shared" si="460"/>
        <v>2.9999999999999996</v>
      </c>
      <c r="H366" s="7">
        <v>8.9238915090840698E-2</v>
      </c>
      <c r="I366" s="7">
        <v>12481.634129420599</v>
      </c>
      <c r="J366" s="7">
        <v>3828.3041509332402</v>
      </c>
      <c r="K366" s="7">
        <v>12481.634129420599</v>
      </c>
      <c r="L366" s="7">
        <v>1641861.5249040499</v>
      </c>
      <c r="M366" s="7">
        <v>2037183.27157626</v>
      </c>
      <c r="N366" s="7">
        <f t="shared" si="461"/>
        <v>28791.572409774439</v>
      </c>
      <c r="P366" s="28">
        <v>15</v>
      </c>
      <c r="Q366" s="26">
        <v>3.0000000000000001E-5</v>
      </c>
      <c r="R366" s="28">
        <v>0.2</v>
      </c>
      <c r="S366" s="28">
        <v>30</v>
      </c>
      <c r="T366" s="26">
        <v>7.4999999999999993E-5</v>
      </c>
      <c r="U366" s="26">
        <f t="shared" si="462"/>
        <v>1.4999999999999999E-5</v>
      </c>
      <c r="V366" s="26">
        <f t="shared" si="463"/>
        <v>0.99999999999999989</v>
      </c>
      <c r="W366" s="7">
        <v>0.13918698055481299</v>
      </c>
      <c r="X366" s="7">
        <v>4160.5447097236602</v>
      </c>
      <c r="Y366" s="7">
        <v>1276.1013836444099</v>
      </c>
      <c r="Z366" s="7">
        <v>4160.5447097236602</v>
      </c>
      <c r="AA366" s="7">
        <v>547287.17553344101</v>
      </c>
      <c r="AB366" s="7">
        <v>226353.69684180699</v>
      </c>
      <c r="AC366" s="7">
        <f t="shared" si="464"/>
        <v>9597.1908030917293</v>
      </c>
      <c r="AE366" s="28">
        <v>15</v>
      </c>
      <c r="AF366" s="26">
        <v>5.0000000000000002E-5</v>
      </c>
      <c r="AG366" s="28">
        <v>0.2</v>
      </c>
      <c r="AH366" s="28">
        <v>30</v>
      </c>
      <c r="AI366" s="26">
        <v>7.4999999999999993E-5</v>
      </c>
      <c r="AJ366" s="26">
        <f t="shared" si="465"/>
        <v>1.4999999999999999E-5</v>
      </c>
      <c r="AK366" s="26">
        <f t="shared" si="466"/>
        <v>0.59999999999999987</v>
      </c>
      <c r="AL366" s="7">
        <v>0.18777139152793401</v>
      </c>
      <c r="AM366" s="7">
        <v>2496.32682512977</v>
      </c>
      <c r="AN366" s="7">
        <v>765.66083018664904</v>
      </c>
      <c r="AO366" s="7">
        <v>2496.32682512977</v>
      </c>
      <c r="AP366" s="7">
        <v>328372.31010722602</v>
      </c>
      <c r="AQ366" s="7">
        <v>81487.330863050403</v>
      </c>
      <c r="AR366" s="7">
        <f t="shared" si="467"/>
        <v>5758.314480446189</v>
      </c>
      <c r="AT366" s="28">
        <v>15</v>
      </c>
      <c r="AU366" s="26">
        <v>1.0000000000000001E-5</v>
      </c>
      <c r="AV366" s="28">
        <v>0.2</v>
      </c>
      <c r="AW366" s="28">
        <v>200</v>
      </c>
      <c r="AX366" s="26">
        <v>7.4999999999999993E-5</v>
      </c>
      <c r="AY366" s="26">
        <f t="shared" si="468"/>
        <v>1.4999999999999999E-5</v>
      </c>
      <c r="AZ366" s="26">
        <f t="shared" si="469"/>
        <v>2.9999999999999996</v>
      </c>
      <c r="BA366" s="7">
        <v>8.9390647211721505E-2</v>
      </c>
      <c r="BB366" s="7">
        <v>1941.00035424731</v>
      </c>
      <c r="BC366" s="7">
        <v>642.33504314082199</v>
      </c>
      <c r="BD366" s="7">
        <v>1941.00035424731</v>
      </c>
      <c r="BE366" s="7">
        <v>1641861.5249040499</v>
      </c>
      <c r="BF366" s="7">
        <v>2037183.27157626</v>
      </c>
      <c r="BG366" s="7">
        <f t="shared" si="470"/>
        <v>4524.3357516354426</v>
      </c>
      <c r="BI366" s="28">
        <v>15</v>
      </c>
      <c r="BJ366" s="26">
        <v>1.0000000000000001E-5</v>
      </c>
      <c r="BK366" s="28">
        <v>0.5</v>
      </c>
      <c r="BL366" s="28">
        <v>200</v>
      </c>
      <c r="BM366" s="26">
        <v>7.4999999999999993E-5</v>
      </c>
      <c r="BN366" s="26">
        <f t="shared" si="471"/>
        <v>3.7499999999999997E-5</v>
      </c>
      <c r="BO366" s="26">
        <f t="shared" si="472"/>
        <v>7.4999999999999991</v>
      </c>
      <c r="BP366" s="7">
        <v>0.184994175923927</v>
      </c>
      <c r="BQ366" s="7">
        <v>1921.9637593119501</v>
      </c>
      <c r="BR366" s="7">
        <v>622.78773017584695</v>
      </c>
      <c r="BS366" s="7">
        <v>1921.9637593119501</v>
      </c>
      <c r="BT366" s="7">
        <v>656744.60996161995</v>
      </c>
      <c r="BU366" s="7">
        <v>2037183.27157626</v>
      </c>
      <c r="BV366" s="7">
        <f t="shared" si="473"/>
        <v>4466.7152487997464</v>
      </c>
      <c r="BX366" s="28">
        <v>15</v>
      </c>
      <c r="BY366" s="26">
        <v>5.0000000000000002E-5</v>
      </c>
      <c r="BZ366" s="28">
        <v>0.5</v>
      </c>
      <c r="CA366" s="28">
        <v>200</v>
      </c>
      <c r="CB366" s="26">
        <v>7.4999999999999993E-5</v>
      </c>
      <c r="CC366" s="26">
        <f t="shared" si="474"/>
        <v>3.7499999999999997E-5</v>
      </c>
      <c r="CD366" s="26">
        <f t="shared" si="475"/>
        <v>1.4999999999999998</v>
      </c>
      <c r="CE366" s="7">
        <v>0.28705697953917397</v>
      </c>
      <c r="CF366" s="7">
        <v>384.39275181655802</v>
      </c>
      <c r="CG366" s="7">
        <v>124.557546035169</v>
      </c>
      <c r="CH366" s="7">
        <v>384.39275181655802</v>
      </c>
      <c r="CI366" s="7">
        <v>131348.92404288999</v>
      </c>
      <c r="CJ366" s="7">
        <v>81487.330863050403</v>
      </c>
      <c r="CK366" s="7">
        <f t="shared" si="476"/>
        <v>893.34304966828495</v>
      </c>
      <c r="CM366" s="28">
        <v>15</v>
      </c>
      <c r="CN366" s="26">
        <v>5.0000000000000002E-5</v>
      </c>
      <c r="CO366" s="28">
        <v>1</v>
      </c>
      <c r="CP366" s="28">
        <v>200</v>
      </c>
      <c r="CQ366" s="26">
        <v>7.4999999999999993E-5</v>
      </c>
      <c r="CR366" s="26">
        <f t="shared" si="477"/>
        <v>7.4999999999999993E-5</v>
      </c>
      <c r="CS366" s="26">
        <f t="shared" si="478"/>
        <v>2.9999999999999996</v>
      </c>
      <c r="CT366" s="7">
        <v>0.44640973999405498</v>
      </c>
      <c r="CU366" s="7">
        <v>378.32091509688701</v>
      </c>
      <c r="CV366" s="7">
        <v>118.54503217394399</v>
      </c>
      <c r="CW366" s="7">
        <v>378.32091509688701</v>
      </c>
      <c r="CX366" s="7">
        <v>65674.462021445201</v>
      </c>
      <c r="CY366" s="7">
        <v>81487.330863050403</v>
      </c>
      <c r="CZ366" s="7">
        <f t="shared" si="479"/>
        <v>875.18686236771805</v>
      </c>
      <c r="DB366" s="28">
        <v>15</v>
      </c>
      <c r="DC366" s="26">
        <v>5.0000000000000002E-5</v>
      </c>
      <c r="DD366" s="28">
        <v>2</v>
      </c>
      <c r="DE366" s="28">
        <v>200</v>
      </c>
      <c r="DF366" s="26">
        <v>7.4999999999999993E-5</v>
      </c>
      <c r="DG366" s="26">
        <f t="shared" si="480"/>
        <v>1.4999999999999999E-4</v>
      </c>
      <c r="DH366" s="26">
        <f t="shared" si="481"/>
        <v>5.9999999999999991</v>
      </c>
      <c r="DI366" s="7">
        <v>0.76511261038585698</v>
      </c>
      <c r="DJ366" s="7">
        <v>367.08848561923799</v>
      </c>
      <c r="DK366" s="7">
        <v>108.10811969663401</v>
      </c>
      <c r="DL366" s="7">
        <v>367.08848561923799</v>
      </c>
      <c r="DM366" s="7">
        <v>32837.2310107226</v>
      </c>
      <c r="DN366" s="7">
        <v>81487.330863050403</v>
      </c>
      <c r="DO366" s="7">
        <f t="shared" si="482"/>
        <v>842.28509093511002</v>
      </c>
      <c r="DQ366" s="28">
        <v>15</v>
      </c>
      <c r="DR366" s="26">
        <v>5.0000000000000002E-5</v>
      </c>
      <c r="DS366" s="28">
        <v>15</v>
      </c>
      <c r="DT366" s="28">
        <v>300</v>
      </c>
      <c r="DU366" s="26">
        <v>5.0000000000000002E-5</v>
      </c>
      <c r="DV366" s="26">
        <f t="shared" si="483"/>
        <v>7.5000000000000002E-4</v>
      </c>
      <c r="DW366" s="26">
        <f t="shared" si="484"/>
        <v>30</v>
      </c>
      <c r="DX366" s="7">
        <v>4.9847280533962897</v>
      </c>
      <c r="DY366" s="7">
        <v>202.84957985735099</v>
      </c>
      <c r="DZ366" s="7">
        <v>42.287816140325297</v>
      </c>
      <c r="EA366" s="7">
        <v>202.84957985735099</v>
      </c>
      <c r="EB366" s="7">
        <v>4378.2974680963498</v>
      </c>
      <c r="EC366" s="7">
        <v>50929.581789406497</v>
      </c>
      <c r="ED366" s="7">
        <f t="shared" si="485"/>
        <v>447.98697585502725</v>
      </c>
    </row>
    <row r="367" spans="1:134" x14ac:dyDescent="0.4">
      <c r="A367" s="28">
        <v>20</v>
      </c>
      <c r="B367" s="26">
        <v>1.0000000000000001E-5</v>
      </c>
      <c r="C367" s="28">
        <v>0.2</v>
      </c>
      <c r="D367" s="28">
        <v>30</v>
      </c>
      <c r="E367" s="26">
        <v>7.4999999999999993E-5</v>
      </c>
      <c r="F367" s="26">
        <f t="shared" si="459"/>
        <v>1.4999999999999999E-5</v>
      </c>
      <c r="G367" s="26">
        <f t="shared" si="460"/>
        <v>2.9999999999999996</v>
      </c>
      <c r="H367" s="7">
        <v>7.3261466360244498E-2</v>
      </c>
      <c r="I367" s="7">
        <v>7857.7524727739301</v>
      </c>
      <c r="J367" s="7">
        <v>4475.4086280782203</v>
      </c>
      <c r="K367" s="7">
        <v>7857.7524727739301</v>
      </c>
      <c r="L367" s="7">
        <v>2551974.2921694499</v>
      </c>
      <c r="M367" s="7">
        <v>2037183.27157626</v>
      </c>
      <c r="N367" s="7">
        <f t="shared" si="461"/>
        <v>20190.91357362608</v>
      </c>
      <c r="P367" s="28">
        <v>20</v>
      </c>
      <c r="Q367" s="26">
        <v>3.0000000000000001E-5</v>
      </c>
      <c r="R367" s="28">
        <v>0.2</v>
      </c>
      <c r="S367" s="28">
        <v>30</v>
      </c>
      <c r="T367" s="26">
        <v>7.4999999999999993E-5</v>
      </c>
      <c r="U367" s="26">
        <f t="shared" si="462"/>
        <v>1.4999999999999999E-5</v>
      </c>
      <c r="V367" s="26">
        <f t="shared" si="463"/>
        <v>0.99999999999999989</v>
      </c>
      <c r="W367" s="7">
        <v>0.12869566500717899</v>
      </c>
      <c r="X367" s="7">
        <v>2619.2508242245099</v>
      </c>
      <c r="Y367" s="7">
        <v>1491.80287602607</v>
      </c>
      <c r="Z367" s="7">
        <v>2619.2508242245099</v>
      </c>
      <c r="AA367" s="7">
        <v>850658.09849467594</v>
      </c>
      <c r="AB367" s="7">
        <v>226353.69684180699</v>
      </c>
      <c r="AC367" s="7">
        <f t="shared" si="464"/>
        <v>6730.3045244750901</v>
      </c>
      <c r="AE367" s="28">
        <v>20</v>
      </c>
      <c r="AF367" s="26">
        <v>5.0000000000000002E-5</v>
      </c>
      <c r="AG367" s="28">
        <v>0.2</v>
      </c>
      <c r="AH367" s="28">
        <v>30</v>
      </c>
      <c r="AI367" s="26">
        <v>7.4999999999999993E-5</v>
      </c>
      <c r="AJ367" s="26">
        <f t="shared" si="465"/>
        <v>1.4999999999999999E-5</v>
      </c>
      <c r="AK367" s="26">
        <f t="shared" si="466"/>
        <v>0.59999999999999987</v>
      </c>
      <c r="AL367" s="7">
        <v>0.183057593630265</v>
      </c>
      <c r="AM367" s="7">
        <v>1571.5504942513201</v>
      </c>
      <c r="AN367" s="7">
        <v>895.08172561564299</v>
      </c>
      <c r="AO367" s="7">
        <v>1571.5504942513201</v>
      </c>
      <c r="AP367" s="7">
        <v>510394.86845111102</v>
      </c>
      <c r="AQ367" s="7">
        <v>81487.330863050403</v>
      </c>
      <c r="AR367" s="7">
        <f t="shared" si="467"/>
        <v>4038.182714118283</v>
      </c>
      <c r="AT367" s="28">
        <v>20</v>
      </c>
      <c r="AU367" s="26">
        <v>1.0000000000000001E-5</v>
      </c>
      <c r="AV367" s="28">
        <v>0.2</v>
      </c>
      <c r="AW367" s="28">
        <v>200</v>
      </c>
      <c r="AX367" s="26">
        <v>7.4999999999999993E-5</v>
      </c>
      <c r="AY367" s="26">
        <f t="shared" si="468"/>
        <v>1.4999999999999999E-5</v>
      </c>
      <c r="AZ367" s="26">
        <f t="shared" si="469"/>
        <v>2.9999999999999996</v>
      </c>
      <c r="BA367" s="7">
        <v>7.3379454030211996E-2</v>
      </c>
      <c r="BB367" s="7">
        <v>1196.98361424428</v>
      </c>
      <c r="BC367" s="7">
        <v>694.07852984949898</v>
      </c>
      <c r="BD367" s="7">
        <v>1196.98361424428</v>
      </c>
      <c r="BE367" s="7">
        <v>2551974.2921694499</v>
      </c>
      <c r="BF367" s="7">
        <v>2037183.27157626</v>
      </c>
      <c r="BG367" s="7">
        <f t="shared" si="470"/>
        <v>3088.0457583380589</v>
      </c>
      <c r="BI367" s="28">
        <v>20</v>
      </c>
      <c r="BJ367" s="26">
        <v>1.0000000000000001E-5</v>
      </c>
      <c r="BK367" s="28">
        <v>0.5</v>
      </c>
      <c r="BL367" s="28">
        <v>200</v>
      </c>
      <c r="BM367" s="26">
        <v>7.4999999999999993E-5</v>
      </c>
      <c r="BN367" s="26">
        <f t="shared" si="471"/>
        <v>3.7499999999999997E-5</v>
      </c>
      <c r="BO367" s="26">
        <f t="shared" si="472"/>
        <v>7.4999999999999991</v>
      </c>
      <c r="BP367" s="7">
        <v>0.14107801923039001</v>
      </c>
      <c r="BQ367" s="7">
        <v>1192.0586917390101</v>
      </c>
      <c r="BR367" s="7">
        <v>687.90288040570601</v>
      </c>
      <c r="BS367" s="7">
        <v>1192.0586917390101</v>
      </c>
      <c r="BT367" s="7">
        <v>1020789.71686778</v>
      </c>
      <c r="BU367" s="7">
        <v>2037183.27157626</v>
      </c>
      <c r="BV367" s="7">
        <f t="shared" si="473"/>
        <v>3072.0202638837263</v>
      </c>
      <c r="BX367" s="28">
        <v>20</v>
      </c>
      <c r="BY367" s="26">
        <v>5.0000000000000002E-5</v>
      </c>
      <c r="BZ367" s="28">
        <v>0.5</v>
      </c>
      <c r="CA367" s="28">
        <v>200</v>
      </c>
      <c r="CB367" s="26">
        <v>7.4999999999999993E-5</v>
      </c>
      <c r="CC367" s="26">
        <f t="shared" si="474"/>
        <v>3.7499999999999997E-5</v>
      </c>
      <c r="CD367" s="26">
        <f t="shared" si="475"/>
        <v>1.4999999999999998</v>
      </c>
      <c r="CE367" s="7">
        <v>0.25364270439220599</v>
      </c>
      <c r="CF367" s="7">
        <v>238.41173833028401</v>
      </c>
      <c r="CG367" s="7">
        <v>137.580576081141</v>
      </c>
      <c r="CH367" s="7">
        <v>238.41173833028401</v>
      </c>
      <c r="CI367" s="7">
        <v>204157.947380445</v>
      </c>
      <c r="CJ367" s="7">
        <v>81487.330863050403</v>
      </c>
      <c r="CK367" s="7">
        <f t="shared" si="476"/>
        <v>614.40405274170905</v>
      </c>
      <c r="CM367" s="28">
        <v>20</v>
      </c>
      <c r="CN367" s="26">
        <v>5.0000000000000002E-5</v>
      </c>
      <c r="CO367" s="28">
        <v>1</v>
      </c>
      <c r="CP367" s="28">
        <v>200</v>
      </c>
      <c r="CQ367" s="26">
        <v>7.4999999999999993E-5</v>
      </c>
      <c r="CR367" s="26">
        <f t="shared" si="477"/>
        <v>7.4999999999999993E-5</v>
      </c>
      <c r="CS367" s="26">
        <f t="shared" si="478"/>
        <v>2.9999999999999996</v>
      </c>
      <c r="CT367" s="7">
        <v>0.366477974118955</v>
      </c>
      <c r="CU367" s="7">
        <v>236.794372688691</v>
      </c>
      <c r="CV367" s="7">
        <v>135.57018035757301</v>
      </c>
      <c r="CW367" s="7">
        <v>236.794372688691</v>
      </c>
      <c r="CX367" s="7">
        <v>102078.973690222</v>
      </c>
      <c r="CY367" s="7">
        <v>81487.330863050403</v>
      </c>
      <c r="CZ367" s="7">
        <f t="shared" si="479"/>
        <v>609.15892573495501</v>
      </c>
      <c r="DB367" s="28">
        <v>20</v>
      </c>
      <c r="DC367" s="26">
        <v>5.0000000000000002E-5</v>
      </c>
      <c r="DD367" s="28">
        <v>2</v>
      </c>
      <c r="DE367" s="28">
        <v>200</v>
      </c>
      <c r="DF367" s="26">
        <v>7.4999999999999993E-5</v>
      </c>
      <c r="DG367" s="26">
        <f t="shared" si="480"/>
        <v>1.4999999999999999E-4</v>
      </c>
      <c r="DH367" s="26">
        <f t="shared" si="481"/>
        <v>5.9999999999999991</v>
      </c>
      <c r="DI367" s="7">
        <v>0.59214821618430002</v>
      </c>
      <c r="DJ367" s="7">
        <v>233.64718966736299</v>
      </c>
      <c r="DK367" s="7">
        <v>131.72072797829401</v>
      </c>
      <c r="DL367" s="7">
        <v>233.64718966736299</v>
      </c>
      <c r="DM367" s="7">
        <v>51039.486845111103</v>
      </c>
      <c r="DN367" s="7">
        <v>81487.330863050403</v>
      </c>
      <c r="DO367" s="7">
        <f t="shared" si="482"/>
        <v>599.01510731302005</v>
      </c>
      <c r="DQ367" s="28">
        <v>20</v>
      </c>
      <c r="DR367" s="26">
        <v>5.0000000000000002E-5</v>
      </c>
      <c r="DS367" s="28">
        <v>15</v>
      </c>
      <c r="DT367" s="28">
        <v>300</v>
      </c>
      <c r="DU367" s="26">
        <v>5.0000000000000002E-5</v>
      </c>
      <c r="DV367" s="26">
        <f t="shared" si="483"/>
        <v>7.5000000000000002E-4</v>
      </c>
      <c r="DW367" s="26">
        <f t="shared" si="484"/>
        <v>30</v>
      </c>
      <c r="DX367" s="7">
        <v>3.6102875194849098</v>
      </c>
      <c r="DY367" s="7">
        <v>141.30482192536101</v>
      </c>
      <c r="DZ367" s="7">
        <v>71.560155029152398</v>
      </c>
      <c r="EA367" s="7">
        <v>141.30482192536101</v>
      </c>
      <c r="EB367" s="7">
        <v>6805.2649126814904</v>
      </c>
      <c r="EC367" s="7">
        <v>50929.581789406497</v>
      </c>
      <c r="ED367" s="7">
        <f t="shared" si="485"/>
        <v>354.16979887987441</v>
      </c>
    </row>
    <row r="368" spans="1:134" x14ac:dyDescent="0.4">
      <c r="A368" s="28">
        <v>25</v>
      </c>
      <c r="B368" s="26">
        <v>1.0000000000000001E-5</v>
      </c>
      <c r="C368" s="28">
        <v>0.2</v>
      </c>
      <c r="D368" s="28">
        <v>30</v>
      </c>
      <c r="E368" s="26">
        <v>7.4999999999999993E-5</v>
      </c>
      <c r="F368" s="26">
        <f t="shared" si="459"/>
        <v>1.4999999999999999E-5</v>
      </c>
      <c r="G368" s="26">
        <f t="shared" si="460"/>
        <v>2.9999999999999996</v>
      </c>
      <c r="H368" s="7">
        <v>6.2219775258577102E-2</v>
      </c>
      <c r="I368" s="7">
        <v>5967.7070610572</v>
      </c>
      <c r="J368" s="7">
        <v>4769.5933204541298</v>
      </c>
      <c r="K368" s="7">
        <v>5967.7070610572</v>
      </c>
      <c r="L368" s="7">
        <v>3890230.9388607698</v>
      </c>
      <c r="M368" s="7">
        <v>2037183.27157626</v>
      </c>
      <c r="N368" s="7">
        <f t="shared" si="461"/>
        <v>16705.007442568531</v>
      </c>
      <c r="P368" s="28">
        <v>25</v>
      </c>
      <c r="Q368" s="26">
        <v>3.0000000000000001E-5</v>
      </c>
      <c r="R368" s="28">
        <v>0.2</v>
      </c>
      <c r="S368" s="28">
        <v>30</v>
      </c>
      <c r="T368" s="26">
        <v>7.4999999999999993E-5</v>
      </c>
      <c r="U368" s="26">
        <f t="shared" si="462"/>
        <v>1.4999999999999999E-5</v>
      </c>
      <c r="V368" s="26">
        <f t="shared" si="463"/>
        <v>0.99999999999999989</v>
      </c>
      <c r="W368" s="7">
        <v>0.122136874005351</v>
      </c>
      <c r="X368" s="7">
        <v>1989.2356869965699</v>
      </c>
      <c r="Y368" s="7">
        <v>1589.86444015137</v>
      </c>
      <c r="Z368" s="7">
        <v>1989.2356869965699</v>
      </c>
      <c r="AA368" s="7">
        <v>1296743.6482743199</v>
      </c>
      <c r="AB368" s="7">
        <v>226353.69684180699</v>
      </c>
      <c r="AC368" s="7">
        <f t="shared" si="464"/>
        <v>5568.3358141445096</v>
      </c>
      <c r="AE368" s="28">
        <v>25</v>
      </c>
      <c r="AF368" s="26">
        <v>5.0000000000000002E-5</v>
      </c>
      <c r="AG368" s="28">
        <v>0.2</v>
      </c>
      <c r="AH368" s="28">
        <v>30</v>
      </c>
      <c r="AI368" s="26">
        <v>7.4999999999999993E-5</v>
      </c>
      <c r="AJ368" s="26">
        <f t="shared" si="465"/>
        <v>1.4999999999999999E-5</v>
      </c>
      <c r="AK368" s="26">
        <f t="shared" si="466"/>
        <v>0.59999999999999987</v>
      </c>
      <c r="AL368" s="7">
        <v>0.18109106525177199</v>
      </c>
      <c r="AM368" s="7">
        <v>1193.54141200751</v>
      </c>
      <c r="AN368" s="7">
        <v>953.91866409082502</v>
      </c>
      <c r="AO368" s="7">
        <v>1193.54141200751</v>
      </c>
      <c r="AP368" s="7">
        <v>778046.205790887</v>
      </c>
      <c r="AQ368" s="7">
        <v>81487.330863050403</v>
      </c>
      <c r="AR368" s="7">
        <f t="shared" si="467"/>
        <v>3341.0014881058451</v>
      </c>
      <c r="AT368" s="28">
        <v>25</v>
      </c>
      <c r="AU368" s="26">
        <v>1.0000000000000001E-5</v>
      </c>
      <c r="AV368" s="28">
        <v>0.2</v>
      </c>
      <c r="AW368" s="28">
        <v>200</v>
      </c>
      <c r="AX368" s="26">
        <v>7.4999999999999993E-5</v>
      </c>
      <c r="AY368" s="26">
        <f t="shared" si="468"/>
        <v>1.4999999999999999E-5</v>
      </c>
      <c r="AZ368" s="26">
        <f t="shared" si="469"/>
        <v>2.9999999999999996</v>
      </c>
      <c r="BA368" s="7">
        <v>6.23251500863631E-2</v>
      </c>
      <c r="BB368" s="7">
        <v>904.92261526204402</v>
      </c>
      <c r="BC368" s="7">
        <v>729.47946385146201</v>
      </c>
      <c r="BD368" s="7">
        <v>904.92261526204402</v>
      </c>
      <c r="BE368" s="7">
        <v>3890230.9388607698</v>
      </c>
      <c r="BF368" s="7">
        <v>2037183.27157626</v>
      </c>
      <c r="BG368" s="7">
        <f t="shared" si="470"/>
        <v>2539.3246943755503</v>
      </c>
      <c r="BI368" s="28">
        <v>25</v>
      </c>
      <c r="BJ368" s="26">
        <v>1.0000000000000001E-5</v>
      </c>
      <c r="BK368" s="28">
        <v>0.5</v>
      </c>
      <c r="BL368" s="28">
        <v>200</v>
      </c>
      <c r="BM368" s="26">
        <v>7.4999999999999993E-5</v>
      </c>
      <c r="BN368" s="26">
        <f t="shared" si="471"/>
        <v>3.7499999999999997E-5</v>
      </c>
      <c r="BO368" s="26">
        <f t="shared" si="472"/>
        <v>7.4999999999999991</v>
      </c>
      <c r="BP368" s="7">
        <v>0.110164317301813</v>
      </c>
      <c r="BQ368" s="7">
        <v>902.31159397251201</v>
      </c>
      <c r="BR368" s="7">
        <v>725.70943403112403</v>
      </c>
      <c r="BS368" s="7">
        <v>902.31159397251201</v>
      </c>
      <c r="BT368" s="7">
        <v>1556092.3755443101</v>
      </c>
      <c r="BU368" s="7">
        <v>2037183.27157626</v>
      </c>
      <c r="BV368" s="7">
        <f t="shared" si="473"/>
        <v>2530.3326219761479</v>
      </c>
      <c r="BX368" s="28">
        <v>25</v>
      </c>
      <c r="BY368" s="26">
        <v>5.0000000000000002E-5</v>
      </c>
      <c r="BZ368" s="28">
        <v>0.5</v>
      </c>
      <c r="CA368" s="28">
        <v>200</v>
      </c>
      <c r="CB368" s="26">
        <v>7.4999999999999993E-5</v>
      </c>
      <c r="CC368" s="26">
        <f t="shared" si="474"/>
        <v>3.7499999999999997E-5</v>
      </c>
      <c r="CD368" s="26">
        <f t="shared" si="475"/>
        <v>1.4999999999999998</v>
      </c>
      <c r="CE368" s="7">
        <v>0.23151742681003701</v>
      </c>
      <c r="CF368" s="7">
        <v>180.46231878283399</v>
      </c>
      <c r="CG368" s="7">
        <v>145.14188680622499</v>
      </c>
      <c r="CH368" s="7">
        <v>180.46231878283399</v>
      </c>
      <c r="CI368" s="7">
        <v>311218.48231635499</v>
      </c>
      <c r="CJ368" s="7">
        <v>81487.330863050403</v>
      </c>
      <c r="CK368" s="7">
        <f t="shared" si="476"/>
        <v>506.06652437189302</v>
      </c>
      <c r="CM368" s="28">
        <v>25</v>
      </c>
      <c r="CN368" s="26">
        <v>5.0000000000000002E-5</v>
      </c>
      <c r="CO368" s="28">
        <v>1</v>
      </c>
      <c r="CP368" s="28">
        <v>200</v>
      </c>
      <c r="CQ368" s="26">
        <v>7.4999999999999993E-5</v>
      </c>
      <c r="CR368" s="26">
        <f t="shared" si="477"/>
        <v>7.4999999999999993E-5</v>
      </c>
      <c r="CS368" s="26">
        <f t="shared" si="478"/>
        <v>2.9999999999999996</v>
      </c>
      <c r="CT368" s="7">
        <v>0.31125201009279102</v>
      </c>
      <c r="CU368" s="7">
        <v>179.60025764253999</v>
      </c>
      <c r="CV368" s="7">
        <v>143.90240734913101</v>
      </c>
      <c r="CW368" s="7">
        <v>179.60025764253999</v>
      </c>
      <c r="CX368" s="7">
        <v>155609.241158177</v>
      </c>
      <c r="CY368" s="7">
        <v>81487.330863050403</v>
      </c>
      <c r="CZ368" s="7">
        <f t="shared" si="479"/>
        <v>503.10292263421098</v>
      </c>
      <c r="DB368" s="28">
        <v>25</v>
      </c>
      <c r="DC368" s="26">
        <v>5.0000000000000002E-5</v>
      </c>
      <c r="DD368" s="28">
        <v>2</v>
      </c>
      <c r="DE368" s="28">
        <v>200</v>
      </c>
      <c r="DF368" s="26">
        <v>7.4999999999999993E-5</v>
      </c>
      <c r="DG368" s="26">
        <f t="shared" si="480"/>
        <v>1.4999999999999999E-4</v>
      </c>
      <c r="DH368" s="26">
        <f t="shared" si="481"/>
        <v>5.9999999999999991</v>
      </c>
      <c r="DI368" s="7">
        <v>0.47072106261899399</v>
      </c>
      <c r="DJ368" s="7">
        <v>177.90643586546901</v>
      </c>
      <c r="DK368" s="7">
        <v>141.48598257191699</v>
      </c>
      <c r="DL368" s="7">
        <v>177.90643586546901</v>
      </c>
      <c r="DM368" s="7">
        <v>77804.620579088703</v>
      </c>
      <c r="DN368" s="7">
        <v>81487.330863050403</v>
      </c>
      <c r="DO368" s="7">
        <f t="shared" si="482"/>
        <v>497.29885430285503</v>
      </c>
      <c r="DQ368" s="28">
        <v>25</v>
      </c>
      <c r="DR368" s="26">
        <v>5.0000000000000002E-5</v>
      </c>
      <c r="DS368" s="28">
        <v>15</v>
      </c>
      <c r="DT368" s="28">
        <v>300</v>
      </c>
      <c r="DU368" s="26">
        <v>5.0000000000000002E-5</v>
      </c>
      <c r="DV368" s="26">
        <f t="shared" si="483"/>
        <v>7.5000000000000002E-4</v>
      </c>
      <c r="DW368" s="26">
        <f t="shared" si="484"/>
        <v>30</v>
      </c>
      <c r="DX368" s="7">
        <v>2.6348410841455299</v>
      </c>
      <c r="DY368" s="7">
        <v>110.42994925436599</v>
      </c>
      <c r="DZ368" s="7">
        <v>83.155364315094602</v>
      </c>
      <c r="EA368" s="7">
        <v>110.42994925436599</v>
      </c>
      <c r="EB368" s="7">
        <v>10373.949410545199</v>
      </c>
      <c r="EC368" s="7">
        <v>50929.581789406497</v>
      </c>
      <c r="ED368" s="7">
        <f t="shared" si="485"/>
        <v>304.01526282382656</v>
      </c>
    </row>
    <row r="369" spans="1:134" x14ac:dyDescent="0.4">
      <c r="A369" s="28">
        <v>30</v>
      </c>
      <c r="B369" s="26">
        <v>1.0000000000000001E-5</v>
      </c>
      <c r="C369" s="28">
        <v>0.2</v>
      </c>
      <c r="D369" s="28">
        <v>30</v>
      </c>
      <c r="E369" s="26">
        <v>7.4999999999999993E-5</v>
      </c>
      <c r="F369" s="26">
        <f t="shared" si="459"/>
        <v>1.4999999999999999E-5</v>
      </c>
      <c r="G369" s="26">
        <f t="shared" si="460"/>
        <v>2.9999999999999996</v>
      </c>
      <c r="H369" s="7">
        <v>5.4616526870877702E-2</v>
      </c>
      <c r="I369" s="7">
        <v>4807.3324198337996</v>
      </c>
      <c r="J369" s="7">
        <v>4988.6125859415297</v>
      </c>
      <c r="K369" s="7">
        <v>4807.3324198337996</v>
      </c>
      <c r="L369" s="7">
        <v>5893089.4851508904</v>
      </c>
      <c r="M369" s="7">
        <v>2037183.27157626</v>
      </c>
      <c r="N369" s="7">
        <f t="shared" si="461"/>
        <v>14603.277425609129</v>
      </c>
      <c r="P369" s="28">
        <v>30</v>
      </c>
      <c r="Q369" s="26">
        <v>3.0000000000000001E-5</v>
      </c>
      <c r="R369" s="28">
        <v>0.2</v>
      </c>
      <c r="S369" s="28">
        <v>30</v>
      </c>
      <c r="T369" s="26">
        <v>7.4999999999999993E-5</v>
      </c>
      <c r="U369" s="26">
        <f t="shared" si="462"/>
        <v>1.4999999999999999E-5</v>
      </c>
      <c r="V369" s="26">
        <f t="shared" si="463"/>
        <v>0.99999999999999989</v>
      </c>
      <c r="W369" s="7">
        <v>0.118418207509669</v>
      </c>
      <c r="X369" s="7">
        <v>1602.4441399274999</v>
      </c>
      <c r="Y369" s="7">
        <v>1662.87086198051</v>
      </c>
      <c r="Z369" s="7">
        <v>1602.4441399274999</v>
      </c>
      <c r="AA369" s="7">
        <v>1964363.1651242101</v>
      </c>
      <c r="AB369" s="7">
        <v>226353.69684180699</v>
      </c>
      <c r="AC369" s="7">
        <f t="shared" si="464"/>
        <v>4867.7591418355096</v>
      </c>
      <c r="AE369" s="28">
        <v>30</v>
      </c>
      <c r="AF369" s="26">
        <v>5.0000000000000002E-5</v>
      </c>
      <c r="AG369" s="28">
        <v>0.2</v>
      </c>
      <c r="AH369" s="28">
        <v>30</v>
      </c>
      <c r="AI369" s="26">
        <v>7.4999999999999993E-5</v>
      </c>
      <c r="AJ369" s="26">
        <f t="shared" si="465"/>
        <v>1.4999999999999999E-5</v>
      </c>
      <c r="AK369" s="26">
        <f t="shared" si="466"/>
        <v>0.59999999999999987</v>
      </c>
      <c r="AL369" s="7">
        <v>0.18132128371665299</v>
      </c>
      <c r="AM369" s="7">
        <v>961.46648381169098</v>
      </c>
      <c r="AN369" s="7">
        <v>997.72251718830603</v>
      </c>
      <c r="AO369" s="7">
        <v>961.46648381169098</v>
      </c>
      <c r="AP369" s="7">
        <v>1178617.9279219799</v>
      </c>
      <c r="AQ369" s="7">
        <v>81487.330863050403</v>
      </c>
      <c r="AR369" s="7">
        <f t="shared" si="467"/>
        <v>2920.655484811688</v>
      </c>
      <c r="AT369" s="28">
        <v>30</v>
      </c>
      <c r="AU369" s="26">
        <v>1.0000000000000001E-5</v>
      </c>
      <c r="AV369" s="28">
        <v>0.2</v>
      </c>
      <c r="AW369" s="28">
        <v>200</v>
      </c>
      <c r="AX369" s="26">
        <v>7.4999999999999993E-5</v>
      </c>
      <c r="AY369" s="26">
        <f t="shared" si="468"/>
        <v>1.4999999999999999E-5</v>
      </c>
      <c r="AZ369" s="26">
        <f t="shared" si="469"/>
        <v>2.9999999999999996</v>
      </c>
      <c r="BA369" s="7">
        <v>5.4714526847055897E-2</v>
      </c>
      <c r="BB369" s="7">
        <v>727.37388968977803</v>
      </c>
      <c r="BC369" s="7">
        <v>758.42598130330396</v>
      </c>
      <c r="BD369" s="7">
        <v>727.37388968977803</v>
      </c>
      <c r="BE369" s="7">
        <v>5893089.4851508904</v>
      </c>
      <c r="BF369" s="7">
        <v>2037183.27157626</v>
      </c>
      <c r="BG369" s="7">
        <f t="shared" si="470"/>
        <v>2213.1737606828601</v>
      </c>
      <c r="BI369" s="28">
        <v>30</v>
      </c>
      <c r="BJ369" s="26">
        <v>1.0000000000000001E-5</v>
      </c>
      <c r="BK369" s="28">
        <v>0.5</v>
      </c>
      <c r="BL369" s="28">
        <v>200</v>
      </c>
      <c r="BM369" s="26">
        <v>7.4999999999999993E-5</v>
      </c>
      <c r="BN369" s="26">
        <f t="shared" si="471"/>
        <v>3.7499999999999997E-5</v>
      </c>
      <c r="BO369" s="26">
        <f t="shared" si="472"/>
        <v>7.4999999999999991</v>
      </c>
      <c r="BP369" s="7">
        <v>8.8273581590797998E-2</v>
      </c>
      <c r="BQ369" s="7">
        <v>725.70064173773096</v>
      </c>
      <c r="BR369" s="7">
        <v>755.71672459466504</v>
      </c>
      <c r="BS369" s="7">
        <v>725.70064173773096</v>
      </c>
      <c r="BT369" s="7">
        <v>2357235.7940603602</v>
      </c>
      <c r="BU369" s="7">
        <v>2037183.27157626</v>
      </c>
      <c r="BV369" s="7">
        <f t="shared" si="473"/>
        <v>2207.118008070127</v>
      </c>
      <c r="BX369" s="28">
        <v>30</v>
      </c>
      <c r="BY369" s="26">
        <v>5.0000000000000002E-5</v>
      </c>
      <c r="BZ369" s="28">
        <v>0.5</v>
      </c>
      <c r="CA369" s="28">
        <v>200</v>
      </c>
      <c r="CB369" s="26">
        <v>7.4999999999999993E-5</v>
      </c>
      <c r="CC369" s="26">
        <f t="shared" si="474"/>
        <v>3.7499999999999997E-5</v>
      </c>
      <c r="CD369" s="26">
        <f t="shared" si="475"/>
        <v>1.4999999999999998</v>
      </c>
      <c r="CE369" s="7">
        <v>0.21729174413014399</v>
      </c>
      <c r="CF369" s="7">
        <v>145.140128338708</v>
      </c>
      <c r="CG369" s="7">
        <v>151.143344918933</v>
      </c>
      <c r="CH369" s="7">
        <v>145.140128338708</v>
      </c>
      <c r="CI369" s="7">
        <v>471447.17116879002</v>
      </c>
      <c r="CJ369" s="7">
        <v>81487.330863050403</v>
      </c>
      <c r="CK369" s="7">
        <f t="shared" si="476"/>
        <v>441.42360159634899</v>
      </c>
      <c r="CM369" s="28">
        <v>30</v>
      </c>
      <c r="CN369" s="26">
        <v>5.0000000000000002E-5</v>
      </c>
      <c r="CO369" s="28">
        <v>1</v>
      </c>
      <c r="CP369" s="28">
        <v>200</v>
      </c>
      <c r="CQ369" s="26">
        <v>7.4999999999999993E-5</v>
      </c>
      <c r="CR369" s="26">
        <f t="shared" si="477"/>
        <v>7.4999999999999993E-5</v>
      </c>
      <c r="CS369" s="26">
        <f t="shared" si="478"/>
        <v>2.9999999999999996</v>
      </c>
      <c r="CT369" s="7">
        <v>0.27322539732762002</v>
      </c>
      <c r="CU369" s="7">
        <v>144.58638467526899</v>
      </c>
      <c r="CV369" s="7">
        <v>150.24883810203599</v>
      </c>
      <c r="CW369" s="7">
        <v>144.58638467526899</v>
      </c>
      <c r="CX369" s="7">
        <v>235723.58558439501</v>
      </c>
      <c r="CY369" s="7">
        <v>81487.330863050403</v>
      </c>
      <c r="CZ369" s="7">
        <f t="shared" si="479"/>
        <v>439.42160745257399</v>
      </c>
      <c r="DB369" s="28">
        <v>30</v>
      </c>
      <c r="DC369" s="26">
        <v>5.0000000000000002E-5</v>
      </c>
      <c r="DD369" s="28">
        <v>2</v>
      </c>
      <c r="DE369" s="28">
        <v>200</v>
      </c>
      <c r="DF369" s="26">
        <v>7.4999999999999993E-5</v>
      </c>
      <c r="DG369" s="26">
        <f t="shared" si="480"/>
        <v>1.4999999999999999E-4</v>
      </c>
      <c r="DH369" s="26">
        <f t="shared" si="481"/>
        <v>5.9999999999999991</v>
      </c>
      <c r="DI369" s="7">
        <v>0.38509264363412099</v>
      </c>
      <c r="DJ369" s="7">
        <v>143.493651420682</v>
      </c>
      <c r="DK369" s="7">
        <v>148.49131311393799</v>
      </c>
      <c r="DL369" s="7">
        <v>143.493651420682</v>
      </c>
      <c r="DM369" s="7">
        <v>117861.792792198</v>
      </c>
      <c r="DN369" s="7">
        <v>81487.330863050403</v>
      </c>
      <c r="DO369" s="7">
        <f t="shared" si="482"/>
        <v>435.47861595530196</v>
      </c>
      <c r="DQ369" s="28">
        <v>30</v>
      </c>
      <c r="DR369" s="26">
        <v>5.0000000000000002E-5</v>
      </c>
      <c r="DS369" s="28">
        <v>15</v>
      </c>
      <c r="DT369" s="28">
        <v>300</v>
      </c>
      <c r="DU369" s="26">
        <v>5.0000000000000002E-5</v>
      </c>
      <c r="DV369" s="26">
        <f t="shared" si="483"/>
        <v>7.5000000000000002E-4</v>
      </c>
      <c r="DW369" s="26">
        <f t="shared" si="484"/>
        <v>30</v>
      </c>
      <c r="DX369" s="7">
        <v>1.93613861603036</v>
      </c>
      <c r="DY369" s="7">
        <v>90.265822408235607</v>
      </c>
      <c r="DZ369" s="7">
        <v>90.525422516156297</v>
      </c>
      <c r="EA369" s="7">
        <v>90.265822408235607</v>
      </c>
      <c r="EB369" s="7">
        <v>15714.905705626299</v>
      </c>
      <c r="EC369" s="7">
        <v>50929.581789406497</v>
      </c>
      <c r="ED369" s="7">
        <f t="shared" si="485"/>
        <v>271.05706733262753</v>
      </c>
    </row>
    <row r="370" spans="1:134" x14ac:dyDescent="0.4">
      <c r="A370" s="28">
        <v>35</v>
      </c>
      <c r="B370" s="26">
        <v>1.0000000000000001E-5</v>
      </c>
      <c r="C370" s="28">
        <v>0.2</v>
      </c>
      <c r="D370" s="28">
        <v>30</v>
      </c>
      <c r="E370" s="26">
        <v>7.4999999999999993E-5</v>
      </c>
      <c r="F370" s="26">
        <f t="shared" si="459"/>
        <v>1.4999999999999999E-5</v>
      </c>
      <c r="G370" s="26">
        <f t="shared" si="460"/>
        <v>2.9999999999999996</v>
      </c>
      <c r="H370" s="7">
        <v>4.9423495785179503E-2</v>
      </c>
      <c r="I370" s="7">
        <v>3984.07853527202</v>
      </c>
      <c r="J370" s="7">
        <v>5168.7820727017497</v>
      </c>
      <c r="K370" s="7">
        <v>3984.07853527202</v>
      </c>
      <c r="L370" s="7">
        <v>8973470.5022608098</v>
      </c>
      <c r="M370" s="7">
        <v>2037183.27157626</v>
      </c>
      <c r="N370" s="7">
        <f t="shared" si="461"/>
        <v>13136.939143245789</v>
      </c>
      <c r="P370" s="28">
        <v>35</v>
      </c>
      <c r="Q370" s="26">
        <v>3.0000000000000001E-5</v>
      </c>
      <c r="R370" s="28">
        <v>0.2</v>
      </c>
      <c r="S370" s="28">
        <v>30</v>
      </c>
      <c r="T370" s="26">
        <v>7.4999999999999993E-5</v>
      </c>
      <c r="U370" s="26">
        <f t="shared" si="462"/>
        <v>1.4999999999999999E-5</v>
      </c>
      <c r="V370" s="26">
        <f t="shared" si="463"/>
        <v>0.99999999999999989</v>
      </c>
      <c r="W370" s="7">
        <v>0.11668516549870001</v>
      </c>
      <c r="X370" s="7">
        <v>1328.02617841029</v>
      </c>
      <c r="Y370" s="7">
        <v>1722.9273575672501</v>
      </c>
      <c r="Z370" s="7">
        <v>1328.02617841029</v>
      </c>
      <c r="AA370" s="7">
        <v>2991156.8397606201</v>
      </c>
      <c r="AB370" s="7">
        <v>226353.69684180699</v>
      </c>
      <c r="AC370" s="7">
        <f t="shared" si="464"/>
        <v>4378.9797143878295</v>
      </c>
      <c r="AE370" s="28">
        <v>35</v>
      </c>
      <c r="AF370" s="26">
        <v>5.0000000000000002E-5</v>
      </c>
      <c r="AG370" s="28">
        <v>0.2</v>
      </c>
      <c r="AH370" s="28">
        <v>30</v>
      </c>
      <c r="AI370" s="26">
        <v>7.4999999999999993E-5</v>
      </c>
      <c r="AJ370" s="26">
        <f t="shared" si="465"/>
        <v>1.4999999999999999E-5</v>
      </c>
      <c r="AK370" s="26">
        <f t="shared" si="466"/>
        <v>0.59999999999999987</v>
      </c>
      <c r="AL370" s="7">
        <v>0.18309311354649199</v>
      </c>
      <c r="AM370" s="7">
        <v>796.81570693005597</v>
      </c>
      <c r="AN370" s="7">
        <v>1033.7564145403501</v>
      </c>
      <c r="AO370" s="7">
        <v>796.81570693005597</v>
      </c>
      <c r="AP370" s="7">
        <v>1794694.1518928199</v>
      </c>
      <c r="AQ370" s="7">
        <v>81487.330863050403</v>
      </c>
      <c r="AR370" s="7">
        <f t="shared" si="467"/>
        <v>2627.3878284004622</v>
      </c>
      <c r="AT370" s="28">
        <v>35</v>
      </c>
      <c r="AU370" s="26">
        <v>1.0000000000000001E-5</v>
      </c>
      <c r="AV370" s="28">
        <v>0.2</v>
      </c>
      <c r="AW370" s="28">
        <v>200</v>
      </c>
      <c r="AX370" s="26">
        <v>7.4999999999999993E-5</v>
      </c>
      <c r="AY370" s="26">
        <f t="shared" si="468"/>
        <v>1.4999999999999999E-5</v>
      </c>
      <c r="AZ370" s="26">
        <f t="shared" si="469"/>
        <v>2.9999999999999996</v>
      </c>
      <c r="BA370" s="7">
        <v>4.9516373743415103E-2</v>
      </c>
      <c r="BB370" s="7">
        <v>602.00500937137394</v>
      </c>
      <c r="BC370" s="7">
        <v>783.15203621901901</v>
      </c>
      <c r="BD370" s="7">
        <v>602.00500937137394</v>
      </c>
      <c r="BE370" s="7">
        <v>8973470.5022608098</v>
      </c>
      <c r="BF370" s="7">
        <v>2037183.27157626</v>
      </c>
      <c r="BG370" s="7">
        <f t="shared" si="470"/>
        <v>1987.1620549617669</v>
      </c>
      <c r="BI370" s="28">
        <v>35</v>
      </c>
      <c r="BJ370" s="26">
        <v>1.0000000000000001E-5</v>
      </c>
      <c r="BK370" s="28">
        <v>0.5</v>
      </c>
      <c r="BL370" s="28">
        <v>200</v>
      </c>
      <c r="BM370" s="26">
        <v>7.4999999999999993E-5</v>
      </c>
      <c r="BN370" s="26">
        <f t="shared" si="471"/>
        <v>3.7499999999999997E-5</v>
      </c>
      <c r="BO370" s="26">
        <f t="shared" si="472"/>
        <v>7.4999999999999991</v>
      </c>
      <c r="BP370" s="7">
        <v>7.2717442077024505E-2</v>
      </c>
      <c r="BQ370" s="7">
        <v>600.83500597989303</v>
      </c>
      <c r="BR370" s="7">
        <v>781.06268252331097</v>
      </c>
      <c r="BS370" s="7">
        <v>600.83500597989303</v>
      </c>
      <c r="BT370" s="7">
        <v>3589388.20090432</v>
      </c>
      <c r="BU370" s="7">
        <v>2037183.27157626</v>
      </c>
      <c r="BV370" s="7">
        <f t="shared" si="473"/>
        <v>1982.732694483097</v>
      </c>
      <c r="BX370" s="28">
        <v>35</v>
      </c>
      <c r="BY370" s="26">
        <v>5.0000000000000002E-5</v>
      </c>
      <c r="BZ370" s="28">
        <v>0.5</v>
      </c>
      <c r="CA370" s="28">
        <v>200</v>
      </c>
      <c r="CB370" s="26">
        <v>7.4999999999999993E-5</v>
      </c>
      <c r="CC370" s="26">
        <f t="shared" si="474"/>
        <v>3.7499999999999997E-5</v>
      </c>
      <c r="CD370" s="26">
        <f t="shared" si="475"/>
        <v>1.4999999999999998</v>
      </c>
      <c r="CE370" s="7">
        <v>0.20858308160147401</v>
      </c>
      <c r="CF370" s="7">
        <v>120.167001188906</v>
      </c>
      <c r="CG370" s="7">
        <v>156.21253650466201</v>
      </c>
      <c r="CH370" s="7">
        <v>120.167001188906</v>
      </c>
      <c r="CI370" s="7">
        <v>717877.66075713001</v>
      </c>
      <c r="CJ370" s="7">
        <v>81487.330863050403</v>
      </c>
      <c r="CK370" s="7">
        <f t="shared" si="476"/>
        <v>396.54653888247401</v>
      </c>
      <c r="CM370" s="28">
        <v>35</v>
      </c>
      <c r="CN370" s="26">
        <v>5.0000000000000002E-5</v>
      </c>
      <c r="CO370" s="28">
        <v>1</v>
      </c>
      <c r="CP370" s="28">
        <v>200</v>
      </c>
      <c r="CQ370" s="26">
        <v>7.4999999999999993E-5</v>
      </c>
      <c r="CR370" s="26">
        <f t="shared" si="477"/>
        <v>7.4999999999999993E-5</v>
      </c>
      <c r="CS370" s="26">
        <f t="shared" si="478"/>
        <v>2.9999999999999996</v>
      </c>
      <c r="CT370" s="7">
        <v>0.247252991765465</v>
      </c>
      <c r="CU370" s="7">
        <v>119.779274796552</v>
      </c>
      <c r="CV370" s="7">
        <v>155.521045898078</v>
      </c>
      <c r="CW370" s="7">
        <v>119.779274796552</v>
      </c>
      <c r="CX370" s="7">
        <v>358938.83037856501</v>
      </c>
      <c r="CY370" s="7">
        <v>81487.330863050403</v>
      </c>
      <c r="CZ370" s="7">
        <f t="shared" si="479"/>
        <v>395.07959549118198</v>
      </c>
      <c r="DB370" s="28">
        <v>35</v>
      </c>
      <c r="DC370" s="26">
        <v>5.0000000000000002E-5</v>
      </c>
      <c r="DD370" s="28">
        <v>2</v>
      </c>
      <c r="DE370" s="28">
        <v>200</v>
      </c>
      <c r="DF370" s="26">
        <v>7.4999999999999993E-5</v>
      </c>
      <c r="DG370" s="26">
        <f t="shared" si="480"/>
        <v>1.4999999999999999E-4</v>
      </c>
      <c r="DH370" s="26">
        <f t="shared" si="481"/>
        <v>5.9999999999999991</v>
      </c>
      <c r="DI370" s="7">
        <v>0.32459277564298999</v>
      </c>
      <c r="DJ370" s="7">
        <v>119.01223137089301</v>
      </c>
      <c r="DK370" s="7">
        <v>154.156369850555</v>
      </c>
      <c r="DL370" s="7">
        <v>119.01223137089301</v>
      </c>
      <c r="DM370" s="7">
        <v>179469.41518928201</v>
      </c>
      <c r="DN370" s="7">
        <v>81487.330863050403</v>
      </c>
      <c r="DO370" s="7">
        <f t="shared" si="482"/>
        <v>392.18083259234101</v>
      </c>
      <c r="DQ370" s="28">
        <v>35</v>
      </c>
      <c r="DR370" s="26">
        <v>5.0000000000000002E-5</v>
      </c>
      <c r="DS370" s="28">
        <v>15</v>
      </c>
      <c r="DT370" s="28">
        <v>300</v>
      </c>
      <c r="DU370" s="26">
        <v>5.0000000000000002E-5</v>
      </c>
      <c r="DV370" s="26">
        <f t="shared" si="483"/>
        <v>7.5000000000000002E-4</v>
      </c>
      <c r="DW370" s="26">
        <f t="shared" si="484"/>
        <v>30</v>
      </c>
      <c r="DX370" s="7">
        <v>1.43191719933492</v>
      </c>
      <c r="DY370" s="7">
        <v>75.5008244304708</v>
      </c>
      <c r="DZ370" s="7">
        <v>96.032312732024195</v>
      </c>
      <c r="EA370" s="7">
        <v>75.5008244304708</v>
      </c>
      <c r="EB370" s="7">
        <v>23929.255358571001</v>
      </c>
      <c r="EC370" s="7">
        <v>50929.581789406497</v>
      </c>
      <c r="ED370" s="7">
        <f t="shared" si="485"/>
        <v>247.0339615929658</v>
      </c>
    </row>
    <row r="371" spans="1:134" x14ac:dyDescent="0.4">
      <c r="A371" s="28">
        <v>40</v>
      </c>
      <c r="B371" s="26">
        <v>1.0000000000000001E-5</v>
      </c>
      <c r="C371" s="28">
        <v>0.2</v>
      </c>
      <c r="D371" s="28">
        <v>30</v>
      </c>
      <c r="E371" s="26">
        <v>7.4999999999999993E-5</v>
      </c>
      <c r="F371" s="26">
        <f t="shared" si="459"/>
        <v>1.4999999999999999E-5</v>
      </c>
      <c r="G371" s="26">
        <f t="shared" si="460"/>
        <v>2.9999999999999996</v>
      </c>
      <c r="H371" s="7">
        <v>4.5944401514764602E-2</v>
      </c>
      <c r="I371" s="7">
        <v>3352.9677929484601</v>
      </c>
      <c r="J371" s="7">
        <v>5323.5334580216904</v>
      </c>
      <c r="K371" s="7">
        <v>3352.9677929484601</v>
      </c>
      <c r="L371" s="7">
        <v>13908939.478979601</v>
      </c>
      <c r="M371" s="7">
        <v>2037183.27157626</v>
      </c>
      <c r="N371" s="7">
        <f t="shared" si="461"/>
        <v>12029.469043918611</v>
      </c>
      <c r="P371" s="28">
        <v>40</v>
      </c>
      <c r="Q371" s="26">
        <v>3.0000000000000001E-5</v>
      </c>
      <c r="R371" s="28">
        <v>0.2</v>
      </c>
      <c r="S371" s="28">
        <v>30</v>
      </c>
      <c r="T371" s="26">
        <v>7.4999999999999993E-5</v>
      </c>
      <c r="U371" s="26">
        <f t="shared" si="462"/>
        <v>1.4999999999999999E-5</v>
      </c>
      <c r="V371" s="26">
        <f t="shared" si="463"/>
        <v>0.99999999999999989</v>
      </c>
      <c r="W371" s="7">
        <v>0.11634346277264999</v>
      </c>
      <c r="X371" s="7">
        <v>1117.6559309715101</v>
      </c>
      <c r="Y371" s="7">
        <v>1774.5111526738999</v>
      </c>
      <c r="Z371" s="7">
        <v>1117.6559309715101</v>
      </c>
      <c r="AA371" s="7">
        <v>4636313.1689486196</v>
      </c>
      <c r="AB371" s="7">
        <v>226353.69684180699</v>
      </c>
      <c r="AC371" s="7">
        <f t="shared" si="464"/>
        <v>4009.8230146169199</v>
      </c>
      <c r="AE371" s="28">
        <v>40</v>
      </c>
      <c r="AF371" s="26">
        <v>5.0000000000000002E-5</v>
      </c>
      <c r="AG371" s="28">
        <v>0.2</v>
      </c>
      <c r="AH371" s="28">
        <v>30</v>
      </c>
      <c r="AI371" s="26">
        <v>7.4999999999999993E-5</v>
      </c>
      <c r="AJ371" s="26">
        <f t="shared" si="465"/>
        <v>1.4999999999999999E-5</v>
      </c>
      <c r="AK371" s="26">
        <f t="shared" si="466"/>
        <v>0.59999999999999987</v>
      </c>
      <c r="AL371" s="7">
        <v>0.18592321261033401</v>
      </c>
      <c r="AM371" s="7">
        <v>670.59355848720395</v>
      </c>
      <c r="AN371" s="7">
        <v>1064.70669160434</v>
      </c>
      <c r="AO371" s="7">
        <v>670.59355848720395</v>
      </c>
      <c r="AP371" s="7">
        <v>2781787.9800138599</v>
      </c>
      <c r="AQ371" s="7">
        <v>81487.330863050403</v>
      </c>
      <c r="AR371" s="7">
        <f t="shared" si="467"/>
        <v>2405.8938085787481</v>
      </c>
      <c r="AT371" s="28">
        <v>40</v>
      </c>
      <c r="AU371" s="26">
        <v>1.0000000000000001E-5</v>
      </c>
      <c r="AV371" s="28">
        <v>0.2</v>
      </c>
      <c r="AW371" s="28">
        <v>200</v>
      </c>
      <c r="AX371" s="26">
        <v>7.4999999999999993E-5</v>
      </c>
      <c r="AY371" s="26">
        <f t="shared" si="468"/>
        <v>1.4999999999999999E-5</v>
      </c>
      <c r="AZ371" s="26">
        <f t="shared" si="469"/>
        <v>2.9999999999999996</v>
      </c>
      <c r="BA371" s="7">
        <v>4.6033370214733797E-2</v>
      </c>
      <c r="BB371" s="7">
        <v>506.171357939058</v>
      </c>
      <c r="BC371" s="7">
        <v>804.808472591532</v>
      </c>
      <c r="BD371" s="7">
        <v>506.171357939058</v>
      </c>
      <c r="BE371" s="7">
        <v>13908939.478979601</v>
      </c>
      <c r="BF371" s="7">
        <v>2037183.27157626</v>
      </c>
      <c r="BG371" s="7">
        <f t="shared" si="470"/>
        <v>1817.1511884696479</v>
      </c>
      <c r="BI371" s="28">
        <v>40</v>
      </c>
      <c r="BJ371" s="26">
        <v>1.0000000000000001E-5</v>
      </c>
      <c r="BK371" s="28">
        <v>0.5</v>
      </c>
      <c r="BL371" s="28">
        <v>200</v>
      </c>
      <c r="BM371" s="26">
        <v>7.4999999999999993E-5</v>
      </c>
      <c r="BN371" s="26">
        <f t="shared" si="471"/>
        <v>3.7499999999999997E-5</v>
      </c>
      <c r="BO371" s="26">
        <f t="shared" si="472"/>
        <v>7.4999999999999991</v>
      </c>
      <c r="BP371" s="7">
        <v>6.1683040174035399E-2</v>
      </c>
      <c r="BQ371" s="7">
        <v>505.31296257696903</v>
      </c>
      <c r="BR371" s="7">
        <v>803.13685140779603</v>
      </c>
      <c r="BS371" s="7">
        <v>505.31296257696903</v>
      </c>
      <c r="BT371" s="7">
        <v>5563575.7915918296</v>
      </c>
      <c r="BU371" s="7">
        <v>2037183.27157626</v>
      </c>
      <c r="BV371" s="7">
        <f t="shared" si="473"/>
        <v>1813.7627765617342</v>
      </c>
      <c r="BX371" s="28">
        <v>40</v>
      </c>
      <c r="BY371" s="26">
        <v>5.0000000000000002E-5</v>
      </c>
      <c r="BZ371" s="28">
        <v>0.5</v>
      </c>
      <c r="CA371" s="28">
        <v>200</v>
      </c>
      <c r="CB371" s="26">
        <v>7.4999999999999993E-5</v>
      </c>
      <c r="CC371" s="26">
        <f t="shared" si="474"/>
        <v>3.7499999999999997E-5</v>
      </c>
      <c r="CD371" s="26">
        <f t="shared" si="475"/>
        <v>1.4999999999999998</v>
      </c>
      <c r="CE371" s="7">
        <v>0.20376800848644</v>
      </c>
      <c r="CF371" s="7">
        <v>101.06259250957299</v>
      </c>
      <c r="CG371" s="7">
        <v>160.627370281559</v>
      </c>
      <c r="CH371" s="7">
        <v>101.06259250957299</v>
      </c>
      <c r="CI371" s="7">
        <v>1112715.19200554</v>
      </c>
      <c r="CJ371" s="7">
        <v>81487.330863050403</v>
      </c>
      <c r="CK371" s="7">
        <f t="shared" si="476"/>
        <v>362.75255530070496</v>
      </c>
      <c r="CM371" s="28">
        <v>40</v>
      </c>
      <c r="CN371" s="26">
        <v>5.0000000000000002E-5</v>
      </c>
      <c r="CO371" s="28">
        <v>1</v>
      </c>
      <c r="CP371" s="28">
        <v>200</v>
      </c>
      <c r="CQ371" s="26">
        <v>7.4999999999999993E-5</v>
      </c>
      <c r="CR371" s="26">
        <f t="shared" si="477"/>
        <v>7.4999999999999993E-5</v>
      </c>
      <c r="CS371" s="26">
        <f t="shared" si="478"/>
        <v>2.9999999999999996</v>
      </c>
      <c r="CT371" s="7">
        <v>0.229851963883932</v>
      </c>
      <c r="CU371" s="7">
        <v>100.77787314708399</v>
      </c>
      <c r="CV371" s="7">
        <v>160.073267279547</v>
      </c>
      <c r="CW371" s="7">
        <v>100.77787314708399</v>
      </c>
      <c r="CX371" s="7">
        <v>556357.59600277198</v>
      </c>
      <c r="CY371" s="7">
        <v>81487.330863050403</v>
      </c>
      <c r="CZ371" s="7">
        <f t="shared" si="479"/>
        <v>361.62901357371499</v>
      </c>
      <c r="DB371" s="28">
        <v>40</v>
      </c>
      <c r="DC371" s="26">
        <v>5.0000000000000002E-5</v>
      </c>
      <c r="DD371" s="28">
        <v>2</v>
      </c>
      <c r="DE371" s="28">
        <v>200</v>
      </c>
      <c r="DF371" s="26">
        <v>7.4999999999999993E-5</v>
      </c>
      <c r="DG371" s="26">
        <f t="shared" si="480"/>
        <v>1.4999999999999999E-4</v>
      </c>
      <c r="DH371" s="26">
        <f t="shared" si="481"/>
        <v>5.9999999999999991</v>
      </c>
      <c r="DI371" s="7">
        <v>0.282019850836976</v>
      </c>
      <c r="DJ371" s="7">
        <v>100.213668542356</v>
      </c>
      <c r="DK371" s="7">
        <v>158.97655523681999</v>
      </c>
      <c r="DL371" s="7">
        <v>100.213668542356</v>
      </c>
      <c r="DM371" s="7">
        <v>278178.79800138599</v>
      </c>
      <c r="DN371" s="7">
        <v>81487.330863050403</v>
      </c>
      <c r="DO371" s="7">
        <f t="shared" si="482"/>
        <v>359.403892321532</v>
      </c>
      <c r="DQ371" s="28">
        <v>40</v>
      </c>
      <c r="DR371" s="26">
        <v>5.0000000000000002E-5</v>
      </c>
      <c r="DS371" s="28">
        <v>15</v>
      </c>
      <c r="DT371" s="28">
        <v>300</v>
      </c>
      <c r="DU371" s="26">
        <v>5.0000000000000002E-5</v>
      </c>
      <c r="DV371" s="26">
        <f t="shared" si="483"/>
        <v>7.5000000000000002E-4</v>
      </c>
      <c r="DW371" s="26">
        <f t="shared" si="484"/>
        <v>30</v>
      </c>
      <c r="DX371" s="7">
        <v>1.0667737708973799</v>
      </c>
      <c r="DY371" s="7">
        <v>63.957630951740299</v>
      </c>
      <c r="DZ371" s="7">
        <v>100.479958515748</v>
      </c>
      <c r="EA371" s="7">
        <v>63.957630951740299</v>
      </c>
      <c r="EB371" s="7">
        <v>37090.5064001848</v>
      </c>
      <c r="EC371" s="7">
        <v>50929.581789406497</v>
      </c>
      <c r="ED371" s="7">
        <f t="shared" si="485"/>
        <v>228.39522041922859</v>
      </c>
    </row>
    <row r="372" spans="1:134" x14ac:dyDescent="0.4">
      <c r="A372" s="28">
        <v>45</v>
      </c>
      <c r="B372" s="26">
        <v>1.0000000000000001E-5</v>
      </c>
      <c r="C372" s="28">
        <v>0.2</v>
      </c>
      <c r="D372" s="28">
        <v>30</v>
      </c>
      <c r="E372" s="26">
        <v>7.4999999999999993E-5</v>
      </c>
      <c r="F372" s="26">
        <f t="shared" si="459"/>
        <v>1.4999999999999999E-5</v>
      </c>
      <c r="G372" s="26">
        <f t="shared" si="460"/>
        <v>2.9999999999999996</v>
      </c>
      <c r="H372" s="7">
        <v>4.37048367153694E-2</v>
      </c>
      <c r="I372" s="7">
        <v>2844.9728255004802</v>
      </c>
      <c r="J372" s="7">
        <v>5459.8455675855203</v>
      </c>
      <c r="K372" s="7">
        <v>2844.9728255004802</v>
      </c>
      <c r="L372" s="7">
        <v>22314016.336053099</v>
      </c>
      <c r="M372" s="7">
        <v>2037183.27157626</v>
      </c>
      <c r="N372" s="7">
        <f t="shared" si="461"/>
        <v>11149.791218586481</v>
      </c>
      <c r="P372" s="28">
        <v>45</v>
      </c>
      <c r="Q372" s="26">
        <v>3.0000000000000001E-5</v>
      </c>
      <c r="R372" s="28">
        <v>0.2</v>
      </c>
      <c r="S372" s="28">
        <v>30</v>
      </c>
      <c r="T372" s="26">
        <v>7.4999999999999993E-5</v>
      </c>
      <c r="U372" s="26">
        <f t="shared" si="462"/>
        <v>1.4999999999999999E-5</v>
      </c>
      <c r="V372" s="26">
        <f t="shared" si="463"/>
        <v>0.99999999999999989</v>
      </c>
      <c r="W372" s="7">
        <v>0.11698562440915899</v>
      </c>
      <c r="X372" s="7">
        <v>948.32427515736799</v>
      </c>
      <c r="Y372" s="7">
        <v>1819.94852252851</v>
      </c>
      <c r="Z372" s="7">
        <v>948.32427515736799</v>
      </c>
      <c r="AA372" s="7">
        <v>7438005.4604388904</v>
      </c>
      <c r="AB372" s="7">
        <v>226353.69684180699</v>
      </c>
      <c r="AC372" s="7">
        <f t="shared" si="464"/>
        <v>3716.5970728432458</v>
      </c>
      <c r="AE372" s="28">
        <v>45</v>
      </c>
      <c r="AF372" s="26">
        <v>5.0000000000000002E-5</v>
      </c>
      <c r="AG372" s="28">
        <v>0.2</v>
      </c>
      <c r="AH372" s="28">
        <v>30</v>
      </c>
      <c r="AI372" s="26">
        <v>7.4999999999999993E-5</v>
      </c>
      <c r="AJ372" s="26">
        <f t="shared" si="465"/>
        <v>1.4999999999999999E-5</v>
      </c>
      <c r="AK372" s="26">
        <f t="shared" si="466"/>
        <v>0.59999999999999987</v>
      </c>
      <c r="AL372" s="7">
        <v>0.18947508733833299</v>
      </c>
      <c r="AM372" s="7">
        <v>568.99456501435202</v>
      </c>
      <c r="AN372" s="7">
        <v>1091.9691135170999</v>
      </c>
      <c r="AO372" s="7">
        <v>568.99456501435202</v>
      </c>
      <c r="AP372" s="7">
        <v>4462803.4040061999</v>
      </c>
      <c r="AQ372" s="7">
        <v>81487.330863050403</v>
      </c>
      <c r="AR372" s="7">
        <f t="shared" si="467"/>
        <v>2229.9582435458042</v>
      </c>
      <c r="AT372" s="28">
        <v>45</v>
      </c>
      <c r="AU372" s="26">
        <v>1.0000000000000001E-5</v>
      </c>
      <c r="AV372" s="28">
        <v>0.2</v>
      </c>
      <c r="AW372" s="28">
        <v>200</v>
      </c>
      <c r="AX372" s="26">
        <v>7.4999999999999993E-5</v>
      </c>
      <c r="AY372" s="26">
        <f t="shared" si="468"/>
        <v>1.4999999999999999E-5</v>
      </c>
      <c r="AZ372" s="26">
        <f t="shared" si="469"/>
        <v>2.9999999999999996</v>
      </c>
      <c r="BA372" s="7">
        <v>4.3790638941356201E-2</v>
      </c>
      <c r="BB372" s="7">
        <v>429.182314820393</v>
      </c>
      <c r="BC372" s="7">
        <v>824.10906225483302</v>
      </c>
      <c r="BD372" s="7">
        <v>429.182314820393</v>
      </c>
      <c r="BE372" s="7">
        <v>22314016.336053099</v>
      </c>
      <c r="BF372" s="7">
        <v>2037183.27157626</v>
      </c>
      <c r="BG372" s="7">
        <f t="shared" si="470"/>
        <v>1682.4736918956191</v>
      </c>
      <c r="BI372" s="28">
        <v>45</v>
      </c>
      <c r="BJ372" s="26">
        <v>1.0000000000000001E-5</v>
      </c>
      <c r="BK372" s="28">
        <v>0.5</v>
      </c>
      <c r="BL372" s="28">
        <v>200</v>
      </c>
      <c r="BM372" s="26">
        <v>7.4999999999999993E-5</v>
      </c>
      <c r="BN372" s="26">
        <f t="shared" si="471"/>
        <v>3.7499999999999997E-5</v>
      </c>
      <c r="BO372" s="26">
        <f t="shared" si="472"/>
        <v>7.4999999999999991</v>
      </c>
      <c r="BP372" s="7">
        <v>5.3936116810542799E-2</v>
      </c>
      <c r="BQ372" s="7">
        <v>428.53449983983199</v>
      </c>
      <c r="BR372" s="7">
        <v>822.74419088845502</v>
      </c>
      <c r="BS372" s="7">
        <v>428.53449983983199</v>
      </c>
      <c r="BT372" s="7">
        <v>8925606.5344212595</v>
      </c>
      <c r="BU372" s="7">
        <v>2037183.27157626</v>
      </c>
      <c r="BV372" s="7">
        <f t="shared" si="473"/>
        <v>1679.8131905681191</v>
      </c>
      <c r="BX372" s="28">
        <v>45</v>
      </c>
      <c r="BY372" s="26">
        <v>5.0000000000000002E-5</v>
      </c>
      <c r="BZ372" s="28">
        <v>0.5</v>
      </c>
      <c r="CA372" s="28">
        <v>200</v>
      </c>
      <c r="CB372" s="26">
        <v>7.4999999999999993E-5</v>
      </c>
      <c r="CC372" s="26">
        <f t="shared" si="474"/>
        <v>3.7499999999999997E-5</v>
      </c>
      <c r="CD372" s="26">
        <f t="shared" si="475"/>
        <v>1.4999999999999998</v>
      </c>
      <c r="CE372" s="7">
        <v>0.20173953750536</v>
      </c>
      <c r="CF372" s="7">
        <v>85.706899963102501</v>
      </c>
      <c r="CG372" s="7">
        <v>164.54883817769101</v>
      </c>
      <c r="CH372" s="7">
        <v>85.706899963102501</v>
      </c>
      <c r="CI372" s="7">
        <v>1785121.3616024801</v>
      </c>
      <c r="CJ372" s="7">
        <v>81487.330863050403</v>
      </c>
      <c r="CK372" s="7">
        <f t="shared" si="476"/>
        <v>335.96263810389598</v>
      </c>
      <c r="CM372" s="28">
        <v>45</v>
      </c>
      <c r="CN372" s="26">
        <v>5.0000000000000002E-5</v>
      </c>
      <c r="CO372" s="28">
        <v>1</v>
      </c>
      <c r="CP372" s="28">
        <v>200</v>
      </c>
      <c r="CQ372" s="26">
        <v>7.4999999999999993E-5</v>
      </c>
      <c r="CR372" s="26">
        <f t="shared" si="477"/>
        <v>7.4999999999999993E-5</v>
      </c>
      <c r="CS372" s="26">
        <f t="shared" si="478"/>
        <v>2.9999999999999996</v>
      </c>
      <c r="CT372" s="7">
        <v>0.218649625791691</v>
      </c>
      <c r="CU372" s="7">
        <v>85.491887514072303</v>
      </c>
      <c r="CV372" s="7">
        <v>164.095913900619</v>
      </c>
      <c r="CW372" s="7">
        <v>85.491887514072303</v>
      </c>
      <c r="CX372" s="7">
        <v>892560.68080124003</v>
      </c>
      <c r="CY372" s="7">
        <v>81487.330863050403</v>
      </c>
      <c r="CZ372" s="7">
        <f t="shared" si="479"/>
        <v>335.07968892876357</v>
      </c>
      <c r="DB372" s="28">
        <v>45</v>
      </c>
      <c r="DC372" s="26">
        <v>5.0000000000000002E-5</v>
      </c>
      <c r="DD372" s="28">
        <v>2</v>
      </c>
      <c r="DE372" s="28">
        <v>200</v>
      </c>
      <c r="DF372" s="26">
        <v>7.4999999999999993E-5</v>
      </c>
      <c r="DG372" s="26">
        <f t="shared" si="480"/>
        <v>1.4999999999999999E-4</v>
      </c>
      <c r="DH372" s="26">
        <f t="shared" si="481"/>
        <v>5.9999999999999991</v>
      </c>
      <c r="DI372" s="7">
        <v>0.25246978607627302</v>
      </c>
      <c r="DJ372" s="7">
        <v>85.065299620820397</v>
      </c>
      <c r="DK372" s="7">
        <v>163.197611169178</v>
      </c>
      <c r="DL372" s="7">
        <v>85.065299620820397</v>
      </c>
      <c r="DM372" s="7">
        <v>446280.34040062001</v>
      </c>
      <c r="DN372" s="7">
        <v>81487.330863050403</v>
      </c>
      <c r="DO372" s="7">
        <f t="shared" si="482"/>
        <v>333.32821041081877</v>
      </c>
      <c r="DQ372" s="28">
        <v>45</v>
      </c>
      <c r="DR372" s="26">
        <v>5.0000000000000002E-5</v>
      </c>
      <c r="DS372" s="28">
        <v>15</v>
      </c>
      <c r="DT372" s="28">
        <v>300</v>
      </c>
      <c r="DU372" s="26">
        <v>5.0000000000000002E-5</v>
      </c>
      <c r="DV372" s="26">
        <f t="shared" si="483"/>
        <v>7.5000000000000002E-4</v>
      </c>
      <c r="DW372" s="26">
        <f t="shared" si="484"/>
        <v>30</v>
      </c>
      <c r="DX372" s="7">
        <v>0.80299171378131196</v>
      </c>
      <c r="DY372" s="7">
        <v>54.539450656433999</v>
      </c>
      <c r="DZ372" s="7">
        <v>104.236562937325</v>
      </c>
      <c r="EA372" s="7">
        <v>54.539450656433999</v>
      </c>
      <c r="EB372" s="7">
        <v>59504.045386749298</v>
      </c>
      <c r="EC372" s="7">
        <v>50929.581789406497</v>
      </c>
      <c r="ED372" s="7">
        <f t="shared" si="485"/>
        <v>213.31546425019297</v>
      </c>
    </row>
    <row r="373" spans="1:134" x14ac:dyDescent="0.4">
      <c r="A373" s="28">
        <v>50</v>
      </c>
      <c r="B373" s="26">
        <v>1.0000000000000001E-5</v>
      </c>
      <c r="C373" s="28">
        <v>0.2</v>
      </c>
      <c r="D373" s="28">
        <v>30</v>
      </c>
      <c r="E373" s="26">
        <v>7.4999999999999993E-5</v>
      </c>
      <c r="F373" s="26">
        <f t="shared" si="459"/>
        <v>1.4999999999999999E-5</v>
      </c>
      <c r="G373" s="26">
        <f t="shared" si="460"/>
        <v>2.9999999999999996</v>
      </c>
      <c r="H373" s="7">
        <v>4.2378493431152603E-2</v>
      </c>
      <c r="I373" s="7">
        <v>2422.0764785389101</v>
      </c>
      <c r="J373" s="7">
        <v>5581.9822447758097</v>
      </c>
      <c r="K373" s="7">
        <v>2422.0764785389101</v>
      </c>
      <c r="L373" s="7">
        <v>38032949.861855596</v>
      </c>
      <c r="M373" s="7">
        <v>2037183.27157626</v>
      </c>
      <c r="N373" s="7">
        <f t="shared" si="461"/>
        <v>10426.135201853631</v>
      </c>
      <c r="P373" s="28">
        <v>50</v>
      </c>
      <c r="Q373" s="26">
        <v>3.0000000000000001E-5</v>
      </c>
      <c r="R373" s="28">
        <v>0.2</v>
      </c>
      <c r="S373" s="28">
        <v>30</v>
      </c>
      <c r="T373" s="26">
        <v>7.4999999999999993E-5</v>
      </c>
      <c r="U373" s="26">
        <f t="shared" si="462"/>
        <v>1.4999999999999999E-5</v>
      </c>
      <c r="V373" s="26">
        <f t="shared" si="463"/>
        <v>0.99999999999999989</v>
      </c>
      <c r="W373" s="7">
        <v>0.118332229642447</v>
      </c>
      <c r="X373" s="7">
        <v>807.35882617166396</v>
      </c>
      <c r="Y373" s="7">
        <v>1860.6607482586001</v>
      </c>
      <c r="Z373" s="7">
        <v>807.35882617166396</v>
      </c>
      <c r="AA373" s="7">
        <v>12677649.9784535</v>
      </c>
      <c r="AB373" s="7">
        <v>226353.69684180699</v>
      </c>
      <c r="AC373" s="7">
        <f t="shared" si="464"/>
        <v>3475.3784006019282</v>
      </c>
      <c r="AE373" s="28">
        <v>50</v>
      </c>
      <c r="AF373" s="26">
        <v>5.0000000000000002E-5</v>
      </c>
      <c r="AG373" s="28">
        <v>0.2</v>
      </c>
      <c r="AH373" s="28">
        <v>30</v>
      </c>
      <c r="AI373" s="26">
        <v>7.4999999999999993E-5</v>
      </c>
      <c r="AJ373" s="26">
        <f t="shared" si="465"/>
        <v>1.4999999999999999E-5</v>
      </c>
      <c r="AK373" s="26">
        <f t="shared" si="466"/>
        <v>0.59999999999999987</v>
      </c>
      <c r="AL373" s="7">
        <v>0.193518337535459</v>
      </c>
      <c r="AM373" s="7">
        <v>484.41529563550102</v>
      </c>
      <c r="AN373" s="7">
        <v>1116.3964489551599</v>
      </c>
      <c r="AO373" s="7">
        <v>484.41529563550102</v>
      </c>
      <c r="AP373" s="7">
        <v>7606590.1945190197</v>
      </c>
      <c r="AQ373" s="7">
        <v>81487.330863050403</v>
      </c>
      <c r="AR373" s="7">
        <f t="shared" si="467"/>
        <v>2085.227040226162</v>
      </c>
      <c r="AT373" s="28">
        <v>50</v>
      </c>
      <c r="AU373" s="26">
        <v>1.0000000000000001E-5</v>
      </c>
      <c r="AV373" s="28">
        <v>0.2</v>
      </c>
      <c r="AW373" s="28">
        <v>200</v>
      </c>
      <c r="AX373" s="26">
        <v>7.4999999999999993E-5</v>
      </c>
      <c r="AY373" s="26">
        <f t="shared" si="468"/>
        <v>1.4999999999999999E-5</v>
      </c>
      <c r="AZ373" s="26">
        <f t="shared" si="469"/>
        <v>2.9999999999999996</v>
      </c>
      <c r="BA373" s="7">
        <v>4.2461624611810099E-2</v>
      </c>
      <c r="BB373" s="7">
        <v>365.18105956717</v>
      </c>
      <c r="BC373" s="7">
        <v>841.53641728653497</v>
      </c>
      <c r="BD373" s="7">
        <v>365.18105956717</v>
      </c>
      <c r="BE373" s="7">
        <v>38032949.861855596</v>
      </c>
      <c r="BF373" s="7">
        <v>2037183.27157626</v>
      </c>
      <c r="BG373" s="7">
        <f t="shared" si="470"/>
        <v>1571.898536420875</v>
      </c>
      <c r="BI373" s="28">
        <v>50</v>
      </c>
      <c r="BJ373" s="26">
        <v>1.0000000000000001E-5</v>
      </c>
      <c r="BK373" s="28">
        <v>0.5</v>
      </c>
      <c r="BL373" s="28">
        <v>200</v>
      </c>
      <c r="BM373" s="26">
        <v>7.4999999999999993E-5</v>
      </c>
      <c r="BN373" s="26">
        <f t="shared" si="471"/>
        <v>3.7499999999999997E-5</v>
      </c>
      <c r="BO373" s="26">
        <f t="shared" si="472"/>
        <v>7.4999999999999991</v>
      </c>
      <c r="BP373" s="7">
        <v>4.8626766997128701E-2</v>
      </c>
      <c r="BQ373" s="7">
        <v>364.68421056947602</v>
      </c>
      <c r="BR373" s="7">
        <v>840.41004328064798</v>
      </c>
      <c r="BS373" s="7">
        <v>364.68421056947602</v>
      </c>
      <c r="BT373" s="7">
        <v>15213179.944742201</v>
      </c>
      <c r="BU373" s="7">
        <v>2037183.27157626</v>
      </c>
      <c r="BV373" s="7">
        <f t="shared" si="473"/>
        <v>1569.7784644195999</v>
      </c>
      <c r="BX373" s="28">
        <v>50</v>
      </c>
      <c r="BY373" s="26">
        <v>5.0000000000000002E-5</v>
      </c>
      <c r="BZ373" s="28">
        <v>0.5</v>
      </c>
      <c r="CA373" s="28">
        <v>200</v>
      </c>
      <c r="CB373" s="26">
        <v>7.4999999999999993E-5</v>
      </c>
      <c r="CC373" s="26">
        <f t="shared" si="474"/>
        <v>3.7499999999999997E-5</v>
      </c>
      <c r="CD373" s="26">
        <f t="shared" si="475"/>
        <v>1.4999999999999998</v>
      </c>
      <c r="CE373" s="7">
        <v>0.20173806361087299</v>
      </c>
      <c r="CF373" s="7">
        <v>72.936842109798505</v>
      </c>
      <c r="CG373" s="7">
        <v>168.08200865613</v>
      </c>
      <c r="CH373" s="7">
        <v>72.936842109798505</v>
      </c>
      <c r="CI373" s="7">
        <v>3042636.0778076099</v>
      </c>
      <c r="CJ373" s="7">
        <v>81487.330863050403</v>
      </c>
      <c r="CK373" s="7">
        <f t="shared" si="476"/>
        <v>313.95569287572698</v>
      </c>
      <c r="CM373" s="28">
        <v>50</v>
      </c>
      <c r="CN373" s="26">
        <v>5.0000000000000002E-5</v>
      </c>
      <c r="CO373" s="28">
        <v>1</v>
      </c>
      <c r="CP373" s="28">
        <v>200</v>
      </c>
      <c r="CQ373" s="26">
        <v>7.4999999999999993E-5</v>
      </c>
      <c r="CR373" s="26">
        <f t="shared" si="477"/>
        <v>7.4999999999999993E-5</v>
      </c>
      <c r="CS373" s="26">
        <f t="shared" si="478"/>
        <v>2.9999999999999996</v>
      </c>
      <c r="CT373" s="7">
        <v>0.21201409292656501</v>
      </c>
      <c r="CU373" s="7">
        <v>72.771853396363895</v>
      </c>
      <c r="CV373" s="7">
        <v>167.707917393011</v>
      </c>
      <c r="CW373" s="7">
        <v>72.771853396363895</v>
      </c>
      <c r="CX373" s="7">
        <v>1521318.0389038101</v>
      </c>
      <c r="CY373" s="7">
        <v>81487.330863050403</v>
      </c>
      <c r="CZ373" s="7">
        <f t="shared" si="479"/>
        <v>313.25162418573882</v>
      </c>
      <c r="DB373" s="28">
        <v>50</v>
      </c>
      <c r="DC373" s="26">
        <v>5.0000000000000002E-5</v>
      </c>
      <c r="DD373" s="28">
        <v>2</v>
      </c>
      <c r="DE373" s="28">
        <v>200</v>
      </c>
      <c r="DF373" s="26">
        <v>7.4999999999999993E-5</v>
      </c>
      <c r="DG373" s="26">
        <f t="shared" si="480"/>
        <v>1.4999999999999999E-4</v>
      </c>
      <c r="DH373" s="26">
        <f t="shared" si="481"/>
        <v>5.9999999999999991</v>
      </c>
      <c r="DI373" s="7">
        <v>0.232566140148765</v>
      </c>
      <c r="DJ373" s="7">
        <v>72.444208829560395</v>
      </c>
      <c r="DK373" s="7">
        <v>166.964817403171</v>
      </c>
      <c r="DL373" s="7">
        <v>72.444208829560395</v>
      </c>
      <c r="DM373" s="7">
        <v>760659.01945190295</v>
      </c>
      <c r="DN373" s="7">
        <v>81487.330863050403</v>
      </c>
      <c r="DO373" s="7">
        <f t="shared" si="482"/>
        <v>311.85323506229179</v>
      </c>
      <c r="DQ373" s="28">
        <v>50</v>
      </c>
      <c r="DR373" s="26">
        <v>5.0000000000000002E-5</v>
      </c>
      <c r="DS373" s="28">
        <v>15</v>
      </c>
      <c r="DT373" s="28">
        <v>300</v>
      </c>
      <c r="DU373" s="26">
        <v>5.0000000000000002E-5</v>
      </c>
      <c r="DV373" s="26">
        <f t="shared" si="483"/>
        <v>7.5000000000000002E-4</v>
      </c>
      <c r="DW373" s="26">
        <f t="shared" si="484"/>
        <v>30</v>
      </c>
      <c r="DX373" s="7">
        <v>0.61458312102173196</v>
      </c>
      <c r="DY373" s="7">
        <v>46.620018473906597</v>
      </c>
      <c r="DZ373" s="7">
        <v>107.50242472112301</v>
      </c>
      <c r="EA373" s="7">
        <v>46.620018473906597</v>
      </c>
      <c r="EB373" s="7">
        <v>101421.202593587</v>
      </c>
      <c r="EC373" s="7">
        <v>50929.581789406497</v>
      </c>
      <c r="ED373" s="7">
        <f t="shared" si="485"/>
        <v>200.74246166893619</v>
      </c>
    </row>
    <row r="374" spans="1:134" x14ac:dyDescent="0.4">
      <c r="A374" s="28">
        <v>55.000000000000007</v>
      </c>
      <c r="B374" s="26">
        <v>1.0000000000000001E-5</v>
      </c>
      <c r="C374" s="28">
        <v>0.2</v>
      </c>
      <c r="D374" s="28">
        <v>30</v>
      </c>
      <c r="E374" s="26">
        <v>7.4999999999999993E-5</v>
      </c>
      <c r="F374" s="26">
        <f t="shared" si="459"/>
        <v>1.4999999999999999E-5</v>
      </c>
      <c r="G374" s="26">
        <f t="shared" si="460"/>
        <v>2.9999999999999996</v>
      </c>
      <c r="H374" s="7">
        <v>4.1739967380106803E-2</v>
      </c>
      <c r="I374" s="7">
        <v>2061.2283400943002</v>
      </c>
      <c r="J374" s="7">
        <v>5692.8014386926097</v>
      </c>
      <c r="K374" s="7">
        <v>2061.2283400943002</v>
      </c>
      <c r="L374" s="7">
        <v>72349793.874809399</v>
      </c>
      <c r="M374" s="7">
        <v>2037183.27157626</v>
      </c>
      <c r="N374" s="7">
        <f t="shared" si="461"/>
        <v>9815.2581188812092</v>
      </c>
      <c r="P374" s="28">
        <v>55.000000000000007</v>
      </c>
      <c r="Q374" s="26">
        <v>3.0000000000000001E-5</v>
      </c>
      <c r="R374" s="28">
        <v>0.2</v>
      </c>
      <c r="S374" s="28">
        <v>30</v>
      </c>
      <c r="T374" s="26">
        <v>7.4999999999999993E-5</v>
      </c>
      <c r="U374" s="26">
        <f t="shared" si="462"/>
        <v>1.4999999999999999E-5</v>
      </c>
      <c r="V374" s="26">
        <f t="shared" si="463"/>
        <v>0.99999999999999989</v>
      </c>
      <c r="W374" s="7">
        <v>0.120192244839138</v>
      </c>
      <c r="X374" s="7">
        <v>687.07611335802699</v>
      </c>
      <c r="Y374" s="7">
        <v>1897.6004795642</v>
      </c>
      <c r="Z374" s="7">
        <v>687.07611335802699</v>
      </c>
      <c r="AA374" s="7">
        <v>24116597.9983452</v>
      </c>
      <c r="AB374" s="7">
        <v>226353.69684180699</v>
      </c>
      <c r="AC374" s="7">
        <f t="shared" si="464"/>
        <v>3271.7527062802537</v>
      </c>
      <c r="AE374" s="28">
        <v>55.000000000000007</v>
      </c>
      <c r="AF374" s="26">
        <v>5.0000000000000002E-5</v>
      </c>
      <c r="AG374" s="28">
        <v>0.2</v>
      </c>
      <c r="AH374" s="28">
        <v>30</v>
      </c>
      <c r="AI374" s="26">
        <v>7.4999999999999993E-5</v>
      </c>
      <c r="AJ374" s="26">
        <f t="shared" si="465"/>
        <v>1.4999999999999999E-5</v>
      </c>
      <c r="AK374" s="26">
        <f t="shared" si="466"/>
        <v>0.59999999999999987</v>
      </c>
      <c r="AL374" s="7">
        <v>0.197897545139222</v>
      </c>
      <c r="AM374" s="7">
        <v>412.24566795777702</v>
      </c>
      <c r="AN374" s="7">
        <v>1138.5602877385199</v>
      </c>
      <c r="AO374" s="7">
        <v>412.24566795777702</v>
      </c>
      <c r="AP374" s="7">
        <v>14469959.1382923</v>
      </c>
      <c r="AQ374" s="7">
        <v>81487.330863050403</v>
      </c>
      <c r="AR374" s="7">
        <f t="shared" si="467"/>
        <v>1963.0516236540739</v>
      </c>
      <c r="AT374" s="28">
        <v>55.000000000000007</v>
      </c>
      <c r="AU374" s="26">
        <v>1.0000000000000001E-5</v>
      </c>
      <c r="AV374" s="28">
        <v>0.2</v>
      </c>
      <c r="AW374" s="28">
        <v>200</v>
      </c>
      <c r="AX374" s="26">
        <v>7.4999999999999993E-5</v>
      </c>
      <c r="AY374" s="26">
        <f t="shared" si="468"/>
        <v>1.4999999999999999E-5</v>
      </c>
      <c r="AZ374" s="26">
        <f t="shared" si="469"/>
        <v>2.9999999999999996</v>
      </c>
      <c r="BA374" s="7">
        <v>4.1820778731034999E-2</v>
      </c>
      <c r="BB374" s="7">
        <v>310.62949089263498</v>
      </c>
      <c r="BC374" s="7">
        <v>857.43494866405695</v>
      </c>
      <c r="BD374" s="7">
        <v>310.62949089263498</v>
      </c>
      <c r="BE374" s="7">
        <v>72349793.874809399</v>
      </c>
      <c r="BF374" s="7">
        <v>2037183.27157626</v>
      </c>
      <c r="BG374" s="7">
        <f t="shared" si="470"/>
        <v>1478.6939304493269</v>
      </c>
      <c r="BI374" s="28">
        <v>55.000000000000007</v>
      </c>
      <c r="BJ374" s="26">
        <v>1.0000000000000001E-5</v>
      </c>
      <c r="BK374" s="28">
        <v>0.5</v>
      </c>
      <c r="BL374" s="28">
        <v>200</v>
      </c>
      <c r="BM374" s="26">
        <v>7.4999999999999993E-5</v>
      </c>
      <c r="BN374" s="26">
        <f t="shared" si="471"/>
        <v>3.7499999999999997E-5</v>
      </c>
      <c r="BO374" s="26">
        <f t="shared" si="472"/>
        <v>7.4999999999999991</v>
      </c>
      <c r="BP374" s="7">
        <v>4.5166302543505801E-2</v>
      </c>
      <c r="BQ374" s="7">
        <v>310.245574031601</v>
      </c>
      <c r="BR374" s="7">
        <v>856.50167124423206</v>
      </c>
      <c r="BS374" s="7">
        <v>310.245574031601</v>
      </c>
      <c r="BT374" s="7">
        <v>28939917.5499238</v>
      </c>
      <c r="BU374" s="7">
        <v>2037183.27157626</v>
      </c>
      <c r="BV374" s="7">
        <f t="shared" si="473"/>
        <v>1476.9928193074338</v>
      </c>
      <c r="BX374" s="28">
        <v>55.000000000000007</v>
      </c>
      <c r="BY374" s="26">
        <v>5.0000000000000002E-5</v>
      </c>
      <c r="BZ374" s="28">
        <v>0.5</v>
      </c>
      <c r="CA374" s="28">
        <v>200</v>
      </c>
      <c r="CB374" s="26">
        <v>7.4999999999999993E-5</v>
      </c>
      <c r="CC374" s="26">
        <f t="shared" si="474"/>
        <v>3.7499999999999997E-5</v>
      </c>
      <c r="CD374" s="26">
        <f t="shared" si="475"/>
        <v>1.4999999999999998</v>
      </c>
      <c r="CE374" s="7">
        <v>0.203241612373256</v>
      </c>
      <c r="CF374" s="7">
        <v>62.049114802860501</v>
      </c>
      <c r="CG374" s="7">
        <v>171.30033424884601</v>
      </c>
      <c r="CH374" s="7">
        <v>62.049114802860501</v>
      </c>
      <c r="CI374" s="7">
        <v>5787983.6553169098</v>
      </c>
      <c r="CJ374" s="7">
        <v>81487.330863050403</v>
      </c>
      <c r="CK374" s="7">
        <f t="shared" si="476"/>
        <v>295.39856385456704</v>
      </c>
      <c r="CM374" s="28">
        <v>55.000000000000007</v>
      </c>
      <c r="CN374" s="26">
        <v>5.0000000000000002E-5</v>
      </c>
      <c r="CO374" s="28">
        <v>1</v>
      </c>
      <c r="CP374" s="28">
        <v>200</v>
      </c>
      <c r="CQ374" s="26">
        <v>7.4999999999999993E-5</v>
      </c>
      <c r="CR374" s="26">
        <f t="shared" si="477"/>
        <v>7.4999999999999993E-5</v>
      </c>
      <c r="CS374" s="26">
        <f t="shared" si="478"/>
        <v>2.9999999999999996</v>
      </c>
      <c r="CT374" s="7">
        <v>0.20881814203259999</v>
      </c>
      <c r="CU374" s="7">
        <v>61.921576216120698</v>
      </c>
      <c r="CV374" s="7">
        <v>170.99017320176</v>
      </c>
      <c r="CW374" s="7">
        <v>61.921576216120698</v>
      </c>
      <c r="CX374" s="7">
        <v>2893991.8276584502</v>
      </c>
      <c r="CY374" s="7">
        <v>81487.330863050403</v>
      </c>
      <c r="CZ374" s="7">
        <f t="shared" si="479"/>
        <v>294.83332563400137</v>
      </c>
      <c r="DB374" s="28">
        <v>55.000000000000007</v>
      </c>
      <c r="DC374" s="26">
        <v>5.0000000000000002E-5</v>
      </c>
      <c r="DD374" s="28">
        <v>2</v>
      </c>
      <c r="DE374" s="28">
        <v>200</v>
      </c>
      <c r="DF374" s="26">
        <v>7.4999999999999993E-5</v>
      </c>
      <c r="DG374" s="26">
        <f t="shared" si="480"/>
        <v>1.4999999999999999E-4</v>
      </c>
      <c r="DH374" s="26">
        <f t="shared" si="481"/>
        <v>5.9999999999999991</v>
      </c>
      <c r="DI374" s="7">
        <v>0.21997119325863199</v>
      </c>
      <c r="DJ374" s="7">
        <v>61.6681127663864</v>
      </c>
      <c r="DK374" s="7">
        <v>170.373319720317</v>
      </c>
      <c r="DL374" s="7">
        <v>61.6681127663864</v>
      </c>
      <c r="DM374" s="7">
        <v>1446995.91382923</v>
      </c>
      <c r="DN374" s="7">
        <v>81487.330863050403</v>
      </c>
      <c r="DO374" s="7">
        <f t="shared" si="482"/>
        <v>293.7095452530898</v>
      </c>
      <c r="DQ374" s="28">
        <v>55.000000000000007</v>
      </c>
      <c r="DR374" s="26">
        <v>5.0000000000000002E-5</v>
      </c>
      <c r="DS374" s="28">
        <v>15</v>
      </c>
      <c r="DT374" s="28">
        <v>300</v>
      </c>
      <c r="DU374" s="26">
        <v>5.0000000000000002E-5</v>
      </c>
      <c r="DV374" s="26">
        <f t="shared" si="483"/>
        <v>7.5000000000000002E-4</v>
      </c>
      <c r="DW374" s="26">
        <f t="shared" si="484"/>
        <v>30</v>
      </c>
      <c r="DX374" s="7">
        <v>0.483523867598664</v>
      </c>
      <c r="DY374" s="7">
        <v>39.809859656104699</v>
      </c>
      <c r="DZ374" s="7">
        <v>110.399385072318</v>
      </c>
      <c r="EA374" s="7">
        <v>39.809859656104699</v>
      </c>
      <c r="EB374" s="7">
        <v>192932.78851056399</v>
      </c>
      <c r="EC374" s="7">
        <v>50929.581789406497</v>
      </c>
      <c r="ED374" s="7">
        <f t="shared" si="485"/>
        <v>190.0191043845274</v>
      </c>
    </row>
    <row r="375" spans="1:134" x14ac:dyDescent="0.4">
      <c r="A375" s="28">
        <v>60</v>
      </c>
      <c r="B375" s="26">
        <v>1.0000000000000001E-5</v>
      </c>
      <c r="C375" s="28">
        <v>0.2</v>
      </c>
      <c r="D375" s="28">
        <v>30</v>
      </c>
      <c r="E375" s="26">
        <v>7.4999999999999993E-5</v>
      </c>
      <c r="F375" s="26">
        <f t="shared" si="459"/>
        <v>1.4999999999999999E-5</v>
      </c>
      <c r="G375" s="26">
        <f t="shared" si="460"/>
        <v>2.9999999999999996</v>
      </c>
      <c r="H375" s="7">
        <v>4.1636618095418403E-2</v>
      </c>
      <c r="I375" s="7">
        <v>1747.4582681561301</v>
      </c>
      <c r="J375" s="7">
        <v>5794.3371345962596</v>
      </c>
      <c r="K375" s="7">
        <v>1747.4582681561301</v>
      </c>
      <c r="L375" s="7">
        <v>173207643.02618799</v>
      </c>
      <c r="M375" s="7">
        <v>2037183.27157626</v>
      </c>
      <c r="N375" s="7">
        <f t="shared" si="461"/>
        <v>9289.2536709085198</v>
      </c>
      <c r="P375" s="28">
        <v>60</v>
      </c>
      <c r="Q375" s="26">
        <v>3.0000000000000001E-5</v>
      </c>
      <c r="R375" s="28">
        <v>0.2</v>
      </c>
      <c r="S375" s="28">
        <v>30</v>
      </c>
      <c r="T375" s="26">
        <v>7.4999999999999993E-5</v>
      </c>
      <c r="U375" s="26">
        <f t="shared" si="462"/>
        <v>1.4999999999999999E-5</v>
      </c>
      <c r="V375" s="26">
        <f t="shared" si="463"/>
        <v>0.99999999999999989</v>
      </c>
      <c r="W375" s="7">
        <v>0.12243910135669001</v>
      </c>
      <c r="X375" s="7">
        <v>582.48608937969198</v>
      </c>
      <c r="Y375" s="7">
        <v>1931.4457115320899</v>
      </c>
      <c r="Z375" s="7">
        <v>582.48608937969198</v>
      </c>
      <c r="AA375" s="7">
        <v>57735881.0752545</v>
      </c>
      <c r="AB375" s="7">
        <v>226353.69684180699</v>
      </c>
      <c r="AC375" s="7">
        <f t="shared" si="464"/>
        <v>3096.4178902914737</v>
      </c>
      <c r="AE375" s="28">
        <v>60</v>
      </c>
      <c r="AF375" s="26">
        <v>5.0000000000000002E-5</v>
      </c>
      <c r="AG375" s="28">
        <v>0.2</v>
      </c>
      <c r="AH375" s="28">
        <v>30</v>
      </c>
      <c r="AI375" s="26">
        <v>7.4999999999999993E-5</v>
      </c>
      <c r="AJ375" s="26">
        <f t="shared" si="465"/>
        <v>1.4999999999999999E-5</v>
      </c>
      <c r="AK375" s="26">
        <f t="shared" si="466"/>
        <v>0.59999999999999987</v>
      </c>
      <c r="AL375" s="7">
        <v>0.202512995561969</v>
      </c>
      <c r="AM375" s="7">
        <v>349.491653579706</v>
      </c>
      <c r="AN375" s="7">
        <v>1158.86742691925</v>
      </c>
      <c r="AO375" s="7">
        <v>349.491653579706</v>
      </c>
      <c r="AP375" s="7">
        <v>34641529.208382502</v>
      </c>
      <c r="AQ375" s="7">
        <v>81487.330863050403</v>
      </c>
      <c r="AR375" s="7">
        <f t="shared" si="467"/>
        <v>1857.8507340786621</v>
      </c>
      <c r="AT375" s="28">
        <v>60</v>
      </c>
      <c r="AU375" s="26">
        <v>1.0000000000000001E-5</v>
      </c>
      <c r="AV375" s="28">
        <v>0.2</v>
      </c>
      <c r="AW375" s="28">
        <v>200</v>
      </c>
      <c r="AX375" s="26">
        <v>7.4999999999999993E-5</v>
      </c>
      <c r="AY375" s="26">
        <f t="shared" si="468"/>
        <v>1.4999999999999999E-5</v>
      </c>
      <c r="AZ375" s="26">
        <f t="shared" si="469"/>
        <v>2.9999999999999996</v>
      </c>
      <c r="BA375" s="7">
        <v>4.1715370287758402E-2</v>
      </c>
      <c r="BB375" s="7">
        <v>263.235986756096</v>
      </c>
      <c r="BC375" s="7">
        <v>872.060132412553</v>
      </c>
      <c r="BD375" s="7">
        <v>263.235986756096</v>
      </c>
      <c r="BE375" s="7">
        <v>173207643.02618799</v>
      </c>
      <c r="BF375" s="7">
        <v>2037183.27157626</v>
      </c>
      <c r="BG375" s="7">
        <f t="shared" si="470"/>
        <v>1398.5321059247451</v>
      </c>
      <c r="BI375" s="28">
        <v>60</v>
      </c>
      <c r="BJ375" s="26">
        <v>1.0000000000000001E-5</v>
      </c>
      <c r="BK375" s="28">
        <v>0.5</v>
      </c>
      <c r="BL375" s="28">
        <v>200</v>
      </c>
      <c r="BM375" s="26">
        <v>7.4999999999999993E-5</v>
      </c>
      <c r="BN375" s="26">
        <f t="shared" si="471"/>
        <v>3.7499999999999997E-5</v>
      </c>
      <c r="BO375" s="26">
        <f t="shared" si="472"/>
        <v>7.4999999999999991</v>
      </c>
      <c r="BP375" s="7">
        <v>4.31539453778002E-2</v>
      </c>
      <c r="BQ375" s="7">
        <v>262.93930247937197</v>
      </c>
      <c r="BR375" s="7">
        <v>871.287964463192</v>
      </c>
      <c r="BS375" s="7">
        <v>262.93930247937197</v>
      </c>
      <c r="BT375" s="7">
        <v>69283057.210475206</v>
      </c>
      <c r="BU375" s="7">
        <v>2037183.27157626</v>
      </c>
      <c r="BV375" s="7">
        <f t="shared" si="473"/>
        <v>1397.1665694219359</v>
      </c>
      <c r="BX375" s="28">
        <v>60</v>
      </c>
      <c r="BY375" s="26">
        <v>5.0000000000000002E-5</v>
      </c>
      <c r="BZ375" s="28">
        <v>0.5</v>
      </c>
      <c r="CA375" s="28">
        <v>200</v>
      </c>
      <c r="CB375" s="26">
        <v>7.4999999999999993E-5</v>
      </c>
      <c r="CC375" s="26">
        <f t="shared" si="474"/>
        <v>3.7499999999999997E-5</v>
      </c>
      <c r="CD375" s="26">
        <f t="shared" si="475"/>
        <v>1.4999999999999998</v>
      </c>
      <c r="CE375" s="7">
        <v>0.20590027545905301</v>
      </c>
      <c r="CF375" s="7">
        <v>52.5878604929581</v>
      </c>
      <c r="CG375" s="7">
        <v>174.257592892638</v>
      </c>
      <c r="CH375" s="7">
        <v>52.5878604929581</v>
      </c>
      <c r="CI375" s="7">
        <v>13856611.683352999</v>
      </c>
      <c r="CJ375" s="7">
        <v>81487.330863050403</v>
      </c>
      <c r="CK375" s="7">
        <f t="shared" si="476"/>
        <v>279.4333138785542</v>
      </c>
      <c r="CM375" s="28">
        <v>60</v>
      </c>
      <c r="CN375" s="26">
        <v>5.0000000000000002E-5</v>
      </c>
      <c r="CO375" s="28">
        <v>1</v>
      </c>
      <c r="CP375" s="28">
        <v>200</v>
      </c>
      <c r="CQ375" s="26">
        <v>7.4999999999999993E-5</v>
      </c>
      <c r="CR375" s="26">
        <f t="shared" si="477"/>
        <v>7.4999999999999993E-5</v>
      </c>
      <c r="CS375" s="26">
        <f t="shared" si="478"/>
        <v>2.9999999999999996</v>
      </c>
      <c r="CT375" s="7">
        <v>0.208298443661665</v>
      </c>
      <c r="CU375" s="7">
        <v>52.489267736237203</v>
      </c>
      <c r="CV375" s="7">
        <v>174.00084097458901</v>
      </c>
      <c r="CW375" s="7">
        <v>52.489267736237203</v>
      </c>
      <c r="CX375" s="7">
        <v>6928305.8416764997</v>
      </c>
      <c r="CY375" s="7">
        <v>81487.330863050403</v>
      </c>
      <c r="CZ375" s="7">
        <f t="shared" si="479"/>
        <v>278.97937644706343</v>
      </c>
      <c r="DB375" s="28">
        <v>60</v>
      </c>
      <c r="DC375" s="26">
        <v>5.0000000000000002E-5</v>
      </c>
      <c r="DD375" s="28">
        <v>2</v>
      </c>
      <c r="DE375" s="28">
        <v>200</v>
      </c>
      <c r="DF375" s="26">
        <v>7.4999999999999993E-5</v>
      </c>
      <c r="DG375" s="26">
        <f t="shared" si="480"/>
        <v>1.4999999999999999E-4</v>
      </c>
      <c r="DH375" s="26">
        <f t="shared" si="481"/>
        <v>5.9999999999999991</v>
      </c>
      <c r="DI375" s="7">
        <v>0.21309477431024901</v>
      </c>
      <c r="DJ375" s="7">
        <v>52.293206867341603</v>
      </c>
      <c r="DK375" s="7">
        <v>173.489713442035</v>
      </c>
      <c r="DL375" s="7">
        <v>52.293206867341603</v>
      </c>
      <c r="DM375" s="7">
        <v>3464152.9208382498</v>
      </c>
      <c r="DN375" s="7">
        <v>81487.330863050403</v>
      </c>
      <c r="DO375" s="7">
        <f t="shared" si="482"/>
        <v>278.07612717671822</v>
      </c>
      <c r="DQ375" s="28">
        <v>60</v>
      </c>
      <c r="DR375" s="26">
        <v>5.0000000000000002E-5</v>
      </c>
      <c r="DS375" s="28">
        <v>15</v>
      </c>
      <c r="DT375" s="28">
        <v>300</v>
      </c>
      <c r="DU375" s="26">
        <v>5.0000000000000002E-5</v>
      </c>
      <c r="DV375" s="26">
        <f t="shared" si="483"/>
        <v>7.5000000000000002E-4</v>
      </c>
      <c r="DW375" s="26">
        <f t="shared" si="484"/>
        <v>30</v>
      </c>
      <c r="DX375" s="7">
        <v>0.39751299718486</v>
      </c>
      <c r="DY375" s="7">
        <v>33.851188115179603</v>
      </c>
      <c r="DZ375" s="7">
        <v>113.007558882322</v>
      </c>
      <c r="EA375" s="7">
        <v>33.851188115179603</v>
      </c>
      <c r="EB375" s="7">
        <v>461887.05611176701</v>
      </c>
      <c r="EC375" s="7">
        <v>50929.581789406497</v>
      </c>
      <c r="ED375" s="7">
        <f t="shared" si="485"/>
        <v>180.70993511268122</v>
      </c>
    </row>
    <row r="376" spans="1:134" x14ac:dyDescent="0.4">
      <c r="A376" s="28">
        <v>65</v>
      </c>
      <c r="B376" s="26">
        <v>1.0000000000000001E-5</v>
      </c>
      <c r="C376" s="28">
        <v>0.2</v>
      </c>
      <c r="D376" s="28">
        <v>30</v>
      </c>
      <c r="E376" s="26">
        <v>7.4999999999999993E-5</v>
      </c>
      <c r="F376" s="26">
        <f t="shared" si="459"/>
        <v>1.4999999999999999E-5</v>
      </c>
      <c r="G376" s="26">
        <f t="shared" si="460"/>
        <v>2.9999999999999996</v>
      </c>
      <c r="H376" s="7">
        <v>4.1980709076168903E-2</v>
      </c>
      <c r="I376" s="7">
        <v>1470.52695643265</v>
      </c>
      <c r="J376" s="7">
        <v>5888.0994972997396</v>
      </c>
      <c r="K376" s="7">
        <v>1470.52695643265</v>
      </c>
      <c r="L376" s="7">
        <v>859463306.304919</v>
      </c>
      <c r="M376" s="7">
        <v>2037183.27157626</v>
      </c>
      <c r="N376" s="7">
        <f t="shared" si="461"/>
        <v>8829.1534101650395</v>
      </c>
      <c r="P376" s="28">
        <v>65</v>
      </c>
      <c r="Q376" s="26">
        <v>3.0000000000000001E-5</v>
      </c>
      <c r="R376" s="28">
        <v>0.2</v>
      </c>
      <c r="S376" s="28">
        <v>30</v>
      </c>
      <c r="T376" s="26">
        <v>7.4999999999999993E-5</v>
      </c>
      <c r="U376" s="26">
        <f t="shared" si="462"/>
        <v>1.4999999999999999E-5</v>
      </c>
      <c r="V376" s="26">
        <f t="shared" si="463"/>
        <v>0.99999999999999989</v>
      </c>
      <c r="W376" s="7">
        <v>0.12500538036789199</v>
      </c>
      <c r="X376" s="7">
        <v>490.175652139448</v>
      </c>
      <c r="Y376" s="7">
        <v>1962.6998324332501</v>
      </c>
      <c r="Z376" s="7">
        <v>490.175652139448</v>
      </c>
      <c r="AA376" s="7">
        <v>286487768.88169003</v>
      </c>
      <c r="AB376" s="7">
        <v>226353.69684180699</v>
      </c>
      <c r="AC376" s="7">
        <f t="shared" si="464"/>
        <v>2943.0511367121462</v>
      </c>
      <c r="AE376" s="28">
        <v>65</v>
      </c>
      <c r="AF376" s="26">
        <v>5.0000000000000002E-5</v>
      </c>
      <c r="AG376" s="28">
        <v>0.2</v>
      </c>
      <c r="AH376" s="28">
        <v>30</v>
      </c>
      <c r="AI376" s="26">
        <v>7.4999999999999993E-5</v>
      </c>
      <c r="AJ376" s="26">
        <f t="shared" si="465"/>
        <v>1.4999999999999999E-5</v>
      </c>
      <c r="AK376" s="26">
        <f t="shared" si="466"/>
        <v>0.59999999999999987</v>
      </c>
      <c r="AL376" s="7">
        <v>0.20731810763186501</v>
      </c>
      <c r="AM376" s="7">
        <v>294.10539124333502</v>
      </c>
      <c r="AN376" s="7">
        <v>1177.6198994599499</v>
      </c>
      <c r="AO376" s="7">
        <v>294.10539124333502</v>
      </c>
      <c r="AP376" s="7">
        <v>171892662.28655201</v>
      </c>
      <c r="AQ376" s="7">
        <v>81487.330863050403</v>
      </c>
      <c r="AR376" s="7">
        <f t="shared" si="467"/>
        <v>1765.8306819466197</v>
      </c>
      <c r="AT376" s="28">
        <v>65</v>
      </c>
      <c r="AU376" s="26">
        <v>1.0000000000000001E-5</v>
      </c>
      <c r="AV376" s="28">
        <v>0.2</v>
      </c>
      <c r="AW376" s="28">
        <v>200</v>
      </c>
      <c r="AX376" s="26">
        <v>7.4999999999999993E-5</v>
      </c>
      <c r="AY376" s="26">
        <f t="shared" si="468"/>
        <v>1.4999999999999999E-5</v>
      </c>
      <c r="AZ376" s="26">
        <f t="shared" si="469"/>
        <v>2.9999999999999996</v>
      </c>
      <c r="BA376" s="7">
        <v>4.2057602634420002E-2</v>
      </c>
      <c r="BB376" s="7">
        <v>221.436390808456</v>
      </c>
      <c r="BC376" s="7">
        <v>885.60719905590599</v>
      </c>
      <c r="BD376" s="7">
        <v>221.436390808456</v>
      </c>
      <c r="BE376" s="7">
        <v>859463306.304919</v>
      </c>
      <c r="BF376" s="7">
        <v>2037183.27157626</v>
      </c>
      <c r="BG376" s="7">
        <f t="shared" si="470"/>
        <v>1328.4799806728181</v>
      </c>
      <c r="BI376" s="28">
        <v>65</v>
      </c>
      <c r="BJ376" s="26">
        <v>1.0000000000000001E-5</v>
      </c>
      <c r="BK376" s="28">
        <v>0.5</v>
      </c>
      <c r="BL376" s="28">
        <v>200</v>
      </c>
      <c r="BM376" s="26">
        <v>7.4999999999999993E-5</v>
      </c>
      <c r="BN376" s="26">
        <f t="shared" si="471"/>
        <v>3.7499999999999997E-5</v>
      </c>
      <c r="BO376" s="26">
        <f t="shared" si="472"/>
        <v>7.4999999999999991</v>
      </c>
      <c r="BP376" s="7">
        <v>4.23553663805777E-2</v>
      </c>
      <c r="BQ376" s="7">
        <v>221.20879187134</v>
      </c>
      <c r="BR376" s="7">
        <v>884.97259280428204</v>
      </c>
      <c r="BS376" s="7">
        <v>221.20879187134</v>
      </c>
      <c r="BT376" s="7">
        <v>343785322.52196801</v>
      </c>
      <c r="BU376" s="7">
        <v>2037183.27157626</v>
      </c>
      <c r="BV376" s="7">
        <f t="shared" si="473"/>
        <v>1327.390176546962</v>
      </c>
      <c r="BX376" s="28">
        <v>65</v>
      </c>
      <c r="BY376" s="26">
        <v>5.0000000000000002E-5</v>
      </c>
      <c r="BZ376" s="28">
        <v>0.5</v>
      </c>
      <c r="CA376" s="28">
        <v>200</v>
      </c>
      <c r="CB376" s="26">
        <v>7.4999999999999993E-5</v>
      </c>
      <c r="CC376" s="26">
        <f t="shared" si="474"/>
        <v>3.7499999999999997E-5</v>
      </c>
      <c r="CD376" s="26">
        <f t="shared" si="475"/>
        <v>1.4999999999999998</v>
      </c>
      <c r="CE376" s="7">
        <v>0.209519512369681</v>
      </c>
      <c r="CF376" s="7">
        <v>44.241758371824098</v>
      </c>
      <c r="CG376" s="7">
        <v>176.99451856085599</v>
      </c>
      <c r="CH376" s="7">
        <v>44.241758371824098</v>
      </c>
      <c r="CI376" s="7">
        <v>68757064.914620593</v>
      </c>
      <c r="CJ376" s="7">
        <v>81487.330863050403</v>
      </c>
      <c r="CK376" s="7">
        <f t="shared" si="476"/>
        <v>265.4780353045042</v>
      </c>
      <c r="CM376" s="28">
        <v>65</v>
      </c>
      <c r="CN376" s="26">
        <v>5.0000000000000002E-5</v>
      </c>
      <c r="CO376" s="28">
        <v>1</v>
      </c>
      <c r="CP376" s="28">
        <v>200</v>
      </c>
      <c r="CQ376" s="26">
        <v>7.4999999999999993E-5</v>
      </c>
      <c r="CR376" s="26">
        <f t="shared" si="477"/>
        <v>7.4999999999999993E-5</v>
      </c>
      <c r="CS376" s="26">
        <f t="shared" si="478"/>
        <v>2.9999999999999996</v>
      </c>
      <c r="CT376" s="7">
        <v>0.21001623068217901</v>
      </c>
      <c r="CU376" s="7">
        <v>44.166101596649497</v>
      </c>
      <c r="CV376" s="7">
        <v>176.783417824277</v>
      </c>
      <c r="CW376" s="7">
        <v>44.166101596649497</v>
      </c>
      <c r="CX376" s="7">
        <v>34378532.457310297</v>
      </c>
      <c r="CY376" s="7">
        <v>81487.330863050403</v>
      </c>
      <c r="CZ376" s="7">
        <f t="shared" si="479"/>
        <v>265.11562101757602</v>
      </c>
      <c r="DB376" s="28">
        <v>65</v>
      </c>
      <c r="DC376" s="26">
        <v>5.0000000000000002E-5</v>
      </c>
      <c r="DD376" s="28">
        <v>2</v>
      </c>
      <c r="DE376" s="28">
        <v>200</v>
      </c>
      <c r="DF376" s="26">
        <v>7.4999999999999993E-5</v>
      </c>
      <c r="DG376" s="26">
        <f t="shared" si="480"/>
        <v>1.4999999999999999E-4</v>
      </c>
      <c r="DH376" s="26">
        <f t="shared" si="481"/>
        <v>5.9999999999999991</v>
      </c>
      <c r="DI376" s="7">
        <v>0.211009663236669</v>
      </c>
      <c r="DJ376" s="7">
        <v>44.0155689113517</v>
      </c>
      <c r="DK376" s="7">
        <v>176.36283833637401</v>
      </c>
      <c r="DL376" s="7">
        <v>44.0155689113517</v>
      </c>
      <c r="DM376" s="7">
        <v>17189266.2286552</v>
      </c>
      <c r="DN376" s="7">
        <v>81487.330863050403</v>
      </c>
      <c r="DO376" s="7">
        <f t="shared" si="482"/>
        <v>264.3939761590774</v>
      </c>
      <c r="DQ376" s="28">
        <v>65</v>
      </c>
      <c r="DR376" s="26">
        <v>5.0000000000000002E-5</v>
      </c>
      <c r="DS376" s="28">
        <v>15</v>
      </c>
      <c r="DT376" s="28">
        <v>300</v>
      </c>
      <c r="DU376" s="26">
        <v>5.0000000000000002E-5</v>
      </c>
      <c r="DV376" s="26">
        <f t="shared" si="483"/>
        <v>7.5000000000000002E-4</v>
      </c>
      <c r="DW376" s="26">
        <f t="shared" si="484"/>
        <v>30</v>
      </c>
      <c r="DX376" s="7">
        <v>0.34930324309762201</v>
      </c>
      <c r="DY376" s="7">
        <v>28.565057936355299</v>
      </c>
      <c r="DZ376" s="7">
        <v>115.382714159923</v>
      </c>
      <c r="EA376" s="7">
        <v>28.565057936355299</v>
      </c>
      <c r="EB376" s="7">
        <v>2291902.16382069</v>
      </c>
      <c r="EC376" s="7">
        <v>50929.581789406497</v>
      </c>
      <c r="ED376" s="7">
        <f t="shared" si="485"/>
        <v>172.51283003263359</v>
      </c>
    </row>
    <row r="377" spans="1:134" x14ac:dyDescent="0.4">
      <c r="A377" s="28">
        <v>70</v>
      </c>
      <c r="B377" s="26">
        <v>1.0000000000000001E-5</v>
      </c>
      <c r="C377" s="28">
        <v>0.2</v>
      </c>
      <c r="D377" s="28">
        <v>30</v>
      </c>
      <c r="E377" s="26">
        <v>7.4999999999999993E-5</v>
      </c>
      <c r="F377" s="26">
        <f t="shared" si="459"/>
        <v>1.4999999999999999E-5</v>
      </c>
      <c r="G377" s="26">
        <f t="shared" si="460"/>
        <v>2.9999999999999996</v>
      </c>
      <c r="H377" s="7">
        <v>4.2831468608956397E-2</v>
      </c>
      <c r="I377" s="7">
        <v>1223.14114606982</v>
      </c>
      <c r="J377" s="7">
        <v>5975.2459753258199</v>
      </c>
      <c r="K377" s="7">
        <v>1223.14114606982</v>
      </c>
      <c r="L377" s="7" t="s">
        <v>94</v>
      </c>
      <c r="M377" s="7">
        <v>2037183.27157626</v>
      </c>
      <c r="N377" s="7">
        <f t="shared" si="461"/>
        <v>8421.5282674654591</v>
      </c>
      <c r="P377" s="28">
        <v>70</v>
      </c>
      <c r="Q377" s="26">
        <v>3.0000000000000001E-5</v>
      </c>
      <c r="R377" s="28">
        <v>0.2</v>
      </c>
      <c r="S377" s="28">
        <v>30</v>
      </c>
      <c r="T377" s="26">
        <v>7.4999999999999993E-5</v>
      </c>
      <c r="U377" s="26">
        <f t="shared" si="462"/>
        <v>1.4999999999999999E-5</v>
      </c>
      <c r="V377" s="26">
        <f t="shared" si="463"/>
        <v>0.99999999999999989</v>
      </c>
      <c r="W377" s="7">
        <v>0.12796649527243001</v>
      </c>
      <c r="X377" s="7">
        <v>407.71371535265399</v>
      </c>
      <c r="Y377" s="7">
        <v>1991.7486584419401</v>
      </c>
      <c r="Z377" s="7">
        <v>407.71371535265399</v>
      </c>
      <c r="AA377" s="7" t="s">
        <v>94</v>
      </c>
      <c r="AB377" s="7">
        <v>226353.69684180699</v>
      </c>
      <c r="AC377" s="7">
        <f t="shared" si="464"/>
        <v>2807.1760891472481</v>
      </c>
      <c r="AE377" s="28">
        <v>70</v>
      </c>
      <c r="AF377" s="26">
        <v>5.0000000000000002E-5</v>
      </c>
      <c r="AG377" s="28">
        <v>0.2</v>
      </c>
      <c r="AH377" s="28">
        <v>30</v>
      </c>
      <c r="AI377" s="26">
        <v>7.4999999999999993E-5</v>
      </c>
      <c r="AJ377" s="26">
        <f t="shared" si="465"/>
        <v>1.4999999999999999E-5</v>
      </c>
      <c r="AK377" s="26">
        <f t="shared" si="466"/>
        <v>0.59999999999999987</v>
      </c>
      <c r="AL377" s="7">
        <v>0.21240484123161699</v>
      </c>
      <c r="AM377" s="7">
        <v>244.62822917813699</v>
      </c>
      <c r="AN377" s="7">
        <v>1195.0491950651599</v>
      </c>
      <c r="AO377" s="7">
        <v>244.62822917813699</v>
      </c>
      <c r="AP377" s="7" t="s">
        <v>94</v>
      </c>
      <c r="AQ377" s="7">
        <v>81487.330863050403</v>
      </c>
      <c r="AR377" s="7">
        <f t="shared" si="467"/>
        <v>1684.3056534214338</v>
      </c>
      <c r="AT377" s="28">
        <v>70</v>
      </c>
      <c r="AU377" s="26">
        <v>1.0000000000000001E-5</v>
      </c>
      <c r="AV377" s="28">
        <v>0.2</v>
      </c>
      <c r="AW377" s="28">
        <v>200</v>
      </c>
      <c r="AX377" s="26">
        <v>7.4999999999999993E-5</v>
      </c>
      <c r="AY377" s="26">
        <f t="shared" si="468"/>
        <v>1.4999999999999999E-5</v>
      </c>
      <c r="AZ377" s="26">
        <f t="shared" si="469"/>
        <v>2.9999999999999996</v>
      </c>
      <c r="BA377" s="7">
        <v>4.2906662285924699E-2</v>
      </c>
      <c r="BB377" s="7">
        <v>184.11844341766201</v>
      </c>
      <c r="BC377" s="7">
        <v>898.22894938474894</v>
      </c>
      <c r="BD377" s="7">
        <v>184.11844341766201</v>
      </c>
      <c r="BE377" s="7" t="s">
        <v>94</v>
      </c>
      <c r="BF377" s="7">
        <v>2037183.27157626</v>
      </c>
      <c r="BG377" s="7">
        <f t="shared" si="470"/>
        <v>1266.465836220073</v>
      </c>
      <c r="BI377" s="28">
        <v>70</v>
      </c>
      <c r="BJ377" s="26">
        <v>1.0000000000000001E-5</v>
      </c>
      <c r="BK377" s="28">
        <v>0.5</v>
      </c>
      <c r="BL377" s="28">
        <v>200</v>
      </c>
      <c r="BM377" s="26">
        <v>7.4999999999999993E-5</v>
      </c>
      <c r="BN377" s="26">
        <f t="shared" si="471"/>
        <v>3.7499999999999997E-5</v>
      </c>
      <c r="BO377" s="26">
        <f t="shared" si="472"/>
        <v>7.4999999999999991</v>
      </c>
      <c r="BP377" s="7">
        <v>4.29066713244547E-2</v>
      </c>
      <c r="BQ377" s="7">
        <v>183.946660682919</v>
      </c>
      <c r="BR377" s="7">
        <v>897.71395999315905</v>
      </c>
      <c r="BS377" s="7">
        <v>183.946660682919</v>
      </c>
      <c r="BT377" s="7" t="s">
        <v>94</v>
      </c>
      <c r="BU377" s="7">
        <v>2037183.27157626</v>
      </c>
      <c r="BV377" s="7">
        <f t="shared" si="473"/>
        <v>1265.6072813589969</v>
      </c>
      <c r="BX377" s="28">
        <v>70</v>
      </c>
      <c r="BY377" s="26">
        <v>5.0000000000000002E-5</v>
      </c>
      <c r="BZ377" s="28">
        <v>0.5</v>
      </c>
      <c r="CA377" s="28">
        <v>200</v>
      </c>
      <c r="CB377" s="26">
        <v>7.4999999999999993E-5</v>
      </c>
      <c r="CC377" s="26">
        <f t="shared" si="474"/>
        <v>3.7499999999999997E-5</v>
      </c>
      <c r="CD377" s="26">
        <f t="shared" si="475"/>
        <v>1.4999999999999998</v>
      </c>
      <c r="CE377" s="7">
        <v>0.21426721077583799</v>
      </c>
      <c r="CF377" s="7">
        <v>36.7893321345583</v>
      </c>
      <c r="CG377" s="7">
        <v>179.542791998632</v>
      </c>
      <c r="CH377" s="7">
        <v>36.7893321345583</v>
      </c>
      <c r="CI377" s="7" t="s">
        <v>94</v>
      </c>
      <c r="CJ377" s="7">
        <v>81487.330863050403</v>
      </c>
      <c r="CK377" s="7">
        <f t="shared" si="476"/>
        <v>253.12145626774858</v>
      </c>
      <c r="CM377" s="28">
        <v>70</v>
      </c>
      <c r="CN377" s="26">
        <v>5.0000000000000002E-5</v>
      </c>
      <c r="CO377" s="28">
        <v>1</v>
      </c>
      <c r="CP377" s="28">
        <v>200</v>
      </c>
      <c r="CQ377" s="26">
        <v>7.4999999999999993E-5</v>
      </c>
      <c r="CR377" s="26">
        <f t="shared" si="477"/>
        <v>7.4999999999999993E-5</v>
      </c>
      <c r="CS377" s="26">
        <f t="shared" si="478"/>
        <v>2.9999999999999996</v>
      </c>
      <c r="CT377" s="7">
        <v>0.21426758568764201</v>
      </c>
      <c r="CU377" s="7">
        <v>36.732214141098297</v>
      </c>
      <c r="CV377" s="7">
        <v>179.37142238436701</v>
      </c>
      <c r="CW377" s="7">
        <v>36.732214141098297</v>
      </c>
      <c r="CX377" s="7" t="s">
        <v>94</v>
      </c>
      <c r="CY377" s="7">
        <v>81487.330863050403</v>
      </c>
      <c r="CZ377" s="7">
        <f t="shared" si="479"/>
        <v>252.8358506665636</v>
      </c>
      <c r="DB377" s="28">
        <v>70</v>
      </c>
      <c r="DC377" s="26">
        <v>5.0000000000000002E-5</v>
      </c>
      <c r="DD377" s="28">
        <v>2</v>
      </c>
      <c r="DE377" s="28">
        <v>200</v>
      </c>
      <c r="DF377" s="26">
        <v>7.4999999999999993E-5</v>
      </c>
      <c r="DG377" s="26">
        <f t="shared" si="480"/>
        <v>1.4999999999999999E-4</v>
      </c>
      <c r="DH377" s="26">
        <f t="shared" si="481"/>
        <v>5.9999999999999991</v>
      </c>
      <c r="DI377" s="7">
        <v>0.21426833267727399</v>
      </c>
      <c r="DJ377" s="7">
        <v>36.618511090650998</v>
      </c>
      <c r="DK377" s="7">
        <v>179.02977916857401</v>
      </c>
      <c r="DL377" s="7">
        <v>36.618511090650998</v>
      </c>
      <c r="DM377" s="7" t="s">
        <v>94</v>
      </c>
      <c r="DN377" s="7">
        <v>81487.330863050403</v>
      </c>
      <c r="DO377" s="7">
        <f t="shared" si="482"/>
        <v>252.266801349876</v>
      </c>
      <c r="DQ377" s="28">
        <v>70</v>
      </c>
      <c r="DR377" s="26">
        <v>5.0000000000000002E-5</v>
      </c>
      <c r="DS377" s="28">
        <v>15</v>
      </c>
      <c r="DT377" s="28">
        <v>300</v>
      </c>
      <c r="DU377" s="26">
        <v>5.0000000000000002E-5</v>
      </c>
      <c r="DV377" s="26">
        <f t="shared" si="483"/>
        <v>7.5000000000000002E-4</v>
      </c>
      <c r="DW377" s="26">
        <f t="shared" si="484"/>
        <v>30</v>
      </c>
      <c r="DX377" s="7">
        <v>0.342803983725745</v>
      </c>
      <c r="DY377" s="7">
        <v>23.8224846510956</v>
      </c>
      <c r="DZ377" s="7">
        <v>117.565391453988</v>
      </c>
      <c r="EA377" s="7">
        <v>23.8224846510956</v>
      </c>
      <c r="EB377" s="7" t="s">
        <v>94</v>
      </c>
      <c r="EC377" s="7">
        <v>50929.581789406497</v>
      </c>
      <c r="ED377" s="7">
        <f t="shared" si="485"/>
        <v>165.2103607561792</v>
      </c>
    </row>
    <row r="378" spans="1:134" x14ac:dyDescent="0.4">
      <c r="B378" s="26"/>
      <c r="Q378" s="26"/>
      <c r="AF378" s="26"/>
      <c r="AU378" s="26"/>
      <c r="BJ378" s="26"/>
      <c r="BY378" s="26"/>
      <c r="CN378" s="26"/>
      <c r="DC378" s="26"/>
      <c r="DR378" s="26"/>
      <c r="DU378" s="26"/>
    </row>
    <row r="379" spans="1:134" x14ac:dyDescent="0.4">
      <c r="B379" s="26"/>
      <c r="Q379" s="26"/>
      <c r="AF379" s="26"/>
      <c r="DR379" s="26"/>
      <c r="DU379" s="26"/>
    </row>
    <row r="380" spans="1:134" x14ac:dyDescent="0.4">
      <c r="B380" s="26"/>
      <c r="Q380" s="26"/>
      <c r="AF380" s="26"/>
      <c r="DR380" s="26"/>
      <c r="DU380" s="26"/>
    </row>
    <row r="381" spans="1:134" x14ac:dyDescent="0.4">
      <c r="B381" s="26"/>
      <c r="Q381" s="26"/>
      <c r="AF381" s="26"/>
      <c r="DR381" s="26"/>
      <c r="DU381" s="26"/>
    </row>
    <row r="382" spans="1:134" x14ac:dyDescent="0.4">
      <c r="B382" s="26"/>
      <c r="Q382" s="26"/>
      <c r="AF382" s="26"/>
      <c r="DR382" s="26"/>
      <c r="DU382" s="26"/>
    </row>
    <row r="383" spans="1:134" x14ac:dyDescent="0.4">
      <c r="B383" s="26"/>
      <c r="Q383" s="26"/>
      <c r="AF383" s="26"/>
      <c r="DR383" s="26"/>
      <c r="DU383" s="26"/>
    </row>
    <row r="384" spans="1:134" x14ac:dyDescent="0.4">
      <c r="B384" s="26"/>
      <c r="Q384" s="26"/>
      <c r="AF384" s="26"/>
      <c r="DR384" s="26"/>
      <c r="DU384" s="26"/>
    </row>
    <row r="385" spans="2:125" x14ac:dyDescent="0.4">
      <c r="B385" s="26"/>
      <c r="Q385" s="26"/>
      <c r="AF385" s="26"/>
      <c r="DR385" s="26"/>
      <c r="DU385" s="26"/>
    </row>
    <row r="386" spans="2:125" x14ac:dyDescent="0.4">
      <c r="B386" s="26"/>
      <c r="Q386" s="26"/>
      <c r="AF386" s="26"/>
      <c r="DR386" s="26"/>
      <c r="DU386" s="26"/>
    </row>
    <row r="387" spans="2:125" x14ac:dyDescent="0.4">
      <c r="B387" s="26"/>
      <c r="Q387" s="26"/>
      <c r="AF387" s="26"/>
      <c r="DR387" s="26"/>
      <c r="DU387" s="26"/>
    </row>
    <row r="388" spans="2:125" x14ac:dyDescent="0.4">
      <c r="B388" s="26"/>
      <c r="Q388" s="26"/>
      <c r="AF388" s="26"/>
      <c r="DR388" s="26"/>
      <c r="DU388" s="26"/>
    </row>
    <row r="389" spans="2:125" x14ac:dyDescent="0.4">
      <c r="B389" s="26"/>
      <c r="Q389" s="26"/>
      <c r="AF389" s="26"/>
      <c r="DR389" s="26"/>
      <c r="DU389" s="26"/>
    </row>
    <row r="390" spans="2:125" x14ac:dyDescent="0.4">
      <c r="B390" s="26"/>
      <c r="Q390" s="26"/>
      <c r="AF390" s="26"/>
      <c r="DR390" s="26"/>
      <c r="DU390" s="26"/>
    </row>
    <row r="391" spans="2:125" x14ac:dyDescent="0.4">
      <c r="B391" s="26"/>
      <c r="Q391" s="26"/>
      <c r="AF391" s="26"/>
      <c r="DR391" s="26"/>
      <c r="DU391" s="26"/>
    </row>
    <row r="392" spans="2:125" x14ac:dyDescent="0.4">
      <c r="B392" s="26"/>
      <c r="Q392" s="26"/>
      <c r="AF392" s="26"/>
      <c r="DR392" s="26"/>
      <c r="DU392" s="26"/>
    </row>
    <row r="393" spans="2:125" x14ac:dyDescent="0.4">
      <c r="B393" s="26"/>
      <c r="Q393" s="26"/>
      <c r="AF393" s="26"/>
      <c r="DR393" s="26"/>
      <c r="DU393" s="26"/>
    </row>
    <row r="394" spans="2:125" x14ac:dyDescent="0.4">
      <c r="B394" s="26"/>
      <c r="Q394" s="26"/>
      <c r="AF394" s="26"/>
      <c r="DR394" s="26"/>
      <c r="DU394" s="26"/>
    </row>
    <row r="395" spans="2:125" x14ac:dyDescent="0.4">
      <c r="B395" s="26"/>
      <c r="Q395" s="26"/>
      <c r="AF395" s="26"/>
      <c r="DR395" s="26"/>
      <c r="DU395" s="26"/>
    </row>
  </sheetData>
  <sortState xmlns:xlrd2="http://schemas.microsoft.com/office/spreadsheetml/2017/richdata2" ref="DQ2:ED403">
    <sortCondition ref="DU1:DU403"/>
  </sortState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9CD02-6D11-4F57-BCF1-6AA7C32E35A4}">
  <dimension ref="A1:Y185"/>
  <sheetViews>
    <sheetView zoomScale="55" zoomScaleNormal="55" workbookViewId="0">
      <pane ySplit="1" topLeftCell="A2" activePane="bottomLeft" state="frozen"/>
      <selection activeCell="C1" sqref="C1"/>
      <selection pane="bottomLeft" activeCell="P1" sqref="P1:P1048576"/>
    </sheetView>
  </sheetViews>
  <sheetFormatPr defaultRowHeight="13.9" x14ac:dyDescent="0.4"/>
  <cols>
    <col min="5" max="5" width="14.73046875" bestFit="1" customWidth="1"/>
    <col min="6" max="6" width="14.73046875" customWidth="1"/>
    <col min="7" max="7" width="24.1328125" bestFit="1" customWidth="1"/>
    <col min="8" max="8" width="7.796875" style="56" bestFit="1" customWidth="1"/>
    <col min="9" max="9" width="9.33203125" style="5" bestFit="1" customWidth="1"/>
    <col min="10" max="10" width="6.33203125" style="27" bestFit="1" customWidth="1"/>
    <col min="11" max="11" width="9.33203125" style="6" bestFit="1" customWidth="1"/>
    <col min="12" max="12" width="9.33203125" bestFit="1" customWidth="1"/>
    <col min="13" max="13" width="13" style="6" bestFit="1" customWidth="1"/>
    <col min="14" max="14" width="10.73046875" style="6" customWidth="1"/>
    <col min="15" max="15" width="12.86328125" style="6" bestFit="1" customWidth="1"/>
    <col min="16" max="16" width="10" style="6" bestFit="1" customWidth="1"/>
    <col min="18" max="18" width="12.73046875" style="6" customWidth="1"/>
    <col min="19" max="19" width="13.73046875" style="6" customWidth="1"/>
    <col min="20" max="20" width="8.796875" style="6" bestFit="1" customWidth="1"/>
    <col min="21" max="21" width="9.06640625" style="6"/>
    <col min="22" max="22" width="14.53125" style="6" customWidth="1"/>
    <col min="23" max="23" width="13.73046875" style="6" customWidth="1"/>
    <col min="24" max="24" width="8.796875" style="6" bestFit="1" customWidth="1"/>
    <col min="25" max="25" width="9.06640625" style="6"/>
  </cols>
  <sheetData>
    <row r="1" spans="1:25" s="36" customFormat="1" ht="33" x14ac:dyDescent="0.4">
      <c r="A1" s="63" t="s">
        <v>104</v>
      </c>
      <c r="B1" s="63"/>
      <c r="C1" s="63" t="s">
        <v>108</v>
      </c>
      <c r="D1" s="63"/>
      <c r="E1" s="10" t="s">
        <v>106</v>
      </c>
      <c r="F1" s="10"/>
      <c r="G1" s="11" t="s">
        <v>109</v>
      </c>
      <c r="H1" s="53" t="s">
        <v>105</v>
      </c>
      <c r="I1" s="10" t="s">
        <v>80</v>
      </c>
      <c r="J1" s="10" t="s">
        <v>25</v>
      </c>
      <c r="K1" s="10" t="s">
        <v>77</v>
      </c>
      <c r="L1" s="10" t="s">
        <v>78</v>
      </c>
      <c r="M1" s="58" t="s">
        <v>125</v>
      </c>
      <c r="N1" s="58" t="s">
        <v>110</v>
      </c>
      <c r="O1" s="11" t="s">
        <v>123</v>
      </c>
      <c r="P1" s="11" t="s">
        <v>110</v>
      </c>
      <c r="R1" s="15" t="s">
        <v>126</v>
      </c>
      <c r="S1" s="64" t="s">
        <v>128</v>
      </c>
      <c r="T1" s="64"/>
      <c r="U1" s="64"/>
      <c r="V1" s="15" t="s">
        <v>127</v>
      </c>
      <c r="W1" s="64" t="s">
        <v>128</v>
      </c>
      <c r="X1" s="64"/>
      <c r="Y1" s="64"/>
    </row>
    <row r="2" spans="1:25" ht="33" x14ac:dyDescent="0.4">
      <c r="A2" s="53" t="s">
        <v>105</v>
      </c>
      <c r="B2" s="53" t="s">
        <v>80</v>
      </c>
      <c r="C2" s="53" t="s">
        <v>105</v>
      </c>
      <c r="D2" s="53" t="s">
        <v>80</v>
      </c>
      <c r="E2" s="53" t="s">
        <v>107</v>
      </c>
      <c r="F2" s="53"/>
      <c r="G2" s="62" t="s">
        <v>111</v>
      </c>
      <c r="H2" s="1">
        <f>50/3.6/(50/3.6+50/2)</f>
        <v>0.35714285714285721</v>
      </c>
      <c r="I2" s="2">
        <v>0.621</v>
      </c>
      <c r="J2" s="25">
        <v>1.1000000000000001E-6</v>
      </c>
      <c r="K2" s="1">
        <v>0.22700000000000001</v>
      </c>
      <c r="L2" s="40">
        <v>30</v>
      </c>
      <c r="M2" s="1">
        <v>0.42009999999999997</v>
      </c>
      <c r="N2" s="1">
        <v>32.351046698872786</v>
      </c>
      <c r="O2" s="1">
        <f>0.77431*((H2-0.00000000000000001)/(1-0.00000000000000001))^0.394</f>
        <v>0.51610088494509021</v>
      </c>
      <c r="P2" s="1">
        <f>ABS(O2-I2)/I2*100</f>
        <v>16.891966997570012</v>
      </c>
      <c r="R2" s="1">
        <f>AVERAGE(I2:I88)</f>
        <v>3.0744338455944562</v>
      </c>
      <c r="S2" s="1">
        <f>(M2-I2)^2</f>
        <v>4.0360810000000011E-2</v>
      </c>
      <c r="T2" s="1">
        <f>(I2-$R$2)^2</f>
        <v>6.0193376347084016</v>
      </c>
      <c r="U2" s="1">
        <f>1-SUM(S2:S88)/SUM(T2:T88)</f>
        <v>0.93371151407545028</v>
      </c>
      <c r="V2" s="1">
        <f>AVERAGE(I2,I7:I8,I14:I16,I21:I26,I34:I35,I40,I45:I50,I55:I57,I62,I67,I72,I77:I78,I83:I84)</f>
        <v>4.4753496680090601</v>
      </c>
      <c r="W2" s="1">
        <f>(O2-I2)^2</f>
        <v>1.1003824339303201E-2</v>
      </c>
      <c r="X2" s="1">
        <f>(I2-$V$2)^2</f>
        <v>14.856011363281551</v>
      </c>
      <c r="Y2" s="1">
        <f>1-SUM(W2:W88)/SUM(X2:X88)</f>
        <v>0.85835175578438816</v>
      </c>
    </row>
    <row r="3" spans="1:25" ht="18.75" customHeight="1" x14ac:dyDescent="0.4">
      <c r="A3" s="8">
        <v>0.03</v>
      </c>
      <c r="B3" s="8">
        <v>0.29899999999999999</v>
      </c>
      <c r="C3" s="8">
        <v>0.5</v>
      </c>
      <c r="D3" s="8">
        <v>1.4610000000000001</v>
      </c>
      <c r="E3" s="8">
        <v>1.2972300000000001</v>
      </c>
      <c r="G3" s="62"/>
      <c r="H3" s="1">
        <f>10/3.6/(10/3.6+90/2)</f>
        <v>5.8139534883720929E-2</v>
      </c>
      <c r="I3" s="2">
        <v>0.26400000000000001</v>
      </c>
      <c r="J3" s="25">
        <v>1.1000000000000001E-6</v>
      </c>
      <c r="K3" s="1">
        <v>0.22700000000000001</v>
      </c>
      <c r="L3" s="40">
        <v>30</v>
      </c>
      <c r="M3" s="1">
        <v>0.28070000000000001</v>
      </c>
      <c r="N3" s="1">
        <v>6.3257575757575717</v>
      </c>
      <c r="O3" s="1"/>
      <c r="P3" s="1"/>
      <c r="R3" s="1"/>
      <c r="S3" s="1">
        <f t="shared" ref="S3:S66" si="0">(M3-I3)^2</f>
        <v>2.7888999999999974E-4</v>
      </c>
      <c r="T3" s="1">
        <f t="shared" ref="T3:T66" si="1">(I3-$R$2)^2</f>
        <v>7.8985384004628445</v>
      </c>
      <c r="V3" s="1"/>
      <c r="W3" s="1"/>
      <c r="X3" s="1"/>
    </row>
    <row r="4" spans="1:25" ht="18.75" customHeight="1" x14ac:dyDescent="0.4">
      <c r="A4" s="8">
        <v>7.6999999999999999E-2</v>
      </c>
      <c r="B4" s="8">
        <v>0.34222000000000002</v>
      </c>
      <c r="C4" s="8">
        <v>0.6</v>
      </c>
      <c r="D4" s="8">
        <v>1.585</v>
      </c>
      <c r="E4" s="8">
        <v>1.4633499999999999</v>
      </c>
      <c r="G4" s="62"/>
      <c r="H4" s="1">
        <f>20/3.6/(20/3.6+80/2)</f>
        <v>0.12195121951219512</v>
      </c>
      <c r="I4" s="2">
        <v>0.32300000000000001</v>
      </c>
      <c r="J4" s="25">
        <v>1.1000000000000001E-6</v>
      </c>
      <c r="K4" s="1">
        <v>0.22700000000000001</v>
      </c>
      <c r="L4" s="40">
        <v>30</v>
      </c>
      <c r="M4" s="1">
        <v>0.34139999999999998</v>
      </c>
      <c r="N4" s="1">
        <v>5.6965944272445732</v>
      </c>
      <c r="O4" s="1"/>
      <c r="P4" s="1"/>
      <c r="R4" s="1"/>
      <c r="S4" s="1">
        <f t="shared" si="0"/>
        <v>3.3855999999999898E-4</v>
      </c>
      <c r="T4" s="1">
        <f t="shared" si="1"/>
        <v>7.570388206682698</v>
      </c>
      <c r="V4" s="1"/>
      <c r="W4" s="1"/>
      <c r="X4" s="1"/>
    </row>
    <row r="5" spans="1:25" ht="18.75" customHeight="1" x14ac:dyDescent="0.4">
      <c r="A5" s="8">
        <v>0.2</v>
      </c>
      <c r="B5" s="8">
        <v>0.45700000000000002</v>
      </c>
      <c r="C5" s="8"/>
      <c r="D5" s="8"/>
      <c r="E5" s="8"/>
      <c r="G5" s="62"/>
      <c r="H5" s="1">
        <f>30/3.6/(30/3.6+70/2)</f>
        <v>0.19230769230769232</v>
      </c>
      <c r="I5" s="2">
        <v>0.40100000000000002</v>
      </c>
      <c r="J5" s="25">
        <v>1.1000000000000001E-6</v>
      </c>
      <c r="K5" s="1">
        <v>0.22700000000000001</v>
      </c>
      <c r="L5" s="40">
        <v>30</v>
      </c>
      <c r="M5" s="1">
        <v>0.37480000000000002</v>
      </c>
      <c r="N5" s="1">
        <v>6.5336658354114716</v>
      </c>
      <c r="O5" s="1"/>
      <c r="P5" s="1"/>
      <c r="R5" s="1"/>
      <c r="S5" s="1">
        <f t="shared" si="0"/>
        <v>6.8644000000000008E-4</v>
      </c>
      <c r="T5" s="1">
        <f t="shared" si="1"/>
        <v>7.1472485267699613</v>
      </c>
      <c r="V5" s="1"/>
      <c r="W5" s="1"/>
      <c r="X5" s="1"/>
    </row>
    <row r="6" spans="1:25" ht="18.75" customHeight="1" x14ac:dyDescent="0.4">
      <c r="A6" s="8">
        <v>0.3</v>
      </c>
      <c r="B6" s="8">
        <v>0.74199999999999999</v>
      </c>
      <c r="C6" s="8"/>
      <c r="D6" s="8"/>
      <c r="E6" s="8"/>
      <c r="G6" s="62"/>
      <c r="H6" s="1">
        <f>40/3.6/(40/3.6+60/2)</f>
        <v>0.27027027027027023</v>
      </c>
      <c r="I6" s="2">
        <v>0.47</v>
      </c>
      <c r="J6" s="25">
        <v>1.1000000000000001E-6</v>
      </c>
      <c r="K6" s="1">
        <v>0.22700000000000001</v>
      </c>
      <c r="L6" s="40">
        <v>30</v>
      </c>
      <c r="M6" s="1">
        <v>0.39610000000000001</v>
      </c>
      <c r="N6" s="1">
        <v>15.723404255319142</v>
      </c>
      <c r="O6" s="1"/>
      <c r="P6" s="1"/>
      <c r="R6" s="1"/>
      <c r="S6" s="1">
        <f t="shared" si="0"/>
        <v>5.461209999999995E-3</v>
      </c>
      <c r="T6" s="1">
        <f t="shared" si="1"/>
        <v>6.7830756560779264</v>
      </c>
      <c r="V6" s="1"/>
      <c r="W6" s="1"/>
      <c r="X6" s="1"/>
    </row>
    <row r="7" spans="1:25" ht="15.4" x14ac:dyDescent="0.4">
      <c r="A7" s="8">
        <v>0.4</v>
      </c>
      <c r="B7" s="8">
        <v>1.056</v>
      </c>
      <c r="C7" s="8"/>
      <c r="D7" s="8"/>
      <c r="E7" s="8"/>
      <c r="G7" s="62" t="s">
        <v>124</v>
      </c>
      <c r="H7" s="1">
        <f>70/3.26/(70/3.26+30/1.2)</f>
        <v>0.46204620462046209</v>
      </c>
      <c r="I7" s="2">
        <v>5.5149999999999997</v>
      </c>
      <c r="J7" s="25">
        <v>5.5000000000000002E-5</v>
      </c>
      <c r="K7" s="1">
        <v>0.22</v>
      </c>
      <c r="L7" s="40">
        <v>170</v>
      </c>
      <c r="M7" s="1">
        <v>5.2096999999999998</v>
      </c>
      <c r="N7" s="1">
        <v>5.5358114233907507</v>
      </c>
      <c r="O7" s="1">
        <f>16.68473*((H7-2.21628E-16)/(1-2.21628E-16))^1.27301</f>
        <v>6.2439634657387426</v>
      </c>
      <c r="P7" s="1">
        <f>ABS(O7-I7)/I7*100</f>
        <v>13.217832560992621</v>
      </c>
      <c r="R7" s="1"/>
      <c r="S7" s="1">
        <f t="shared" si="0"/>
        <v>9.3208089999999938E-2</v>
      </c>
      <c r="T7" s="1">
        <f t="shared" si="1"/>
        <v>5.9563631540298632</v>
      </c>
      <c r="V7" s="1"/>
      <c r="W7" s="1">
        <f t="shared" ref="W7:W62" si="2">(O7-I7)^2</f>
        <v>0.53138773438183939</v>
      </c>
      <c r="X7" s="1">
        <f>(I7-$V$2)^2</f>
        <v>1.0808728128088709</v>
      </c>
    </row>
    <row r="8" spans="1:25" ht="15.4" x14ac:dyDescent="0.4">
      <c r="G8" s="62"/>
      <c r="H8" s="1">
        <f>80/3.26/(80/3.26+20/1.2)</f>
        <v>0.59553349875930517</v>
      </c>
      <c r="I8" s="2">
        <v>6.8559999999999999</v>
      </c>
      <c r="J8" s="25">
        <v>5.5000000000000002E-5</v>
      </c>
      <c r="K8" s="1">
        <v>0.22</v>
      </c>
      <c r="L8" s="40">
        <v>170</v>
      </c>
      <c r="M8" s="1">
        <v>5.7225999999999999</v>
      </c>
      <c r="N8" s="1">
        <v>16.531505250875146</v>
      </c>
      <c r="O8" s="1">
        <f>16.68473*((H8-2.21628E-16)/(1-2.21628E-16))^1.27301</f>
        <v>8.6252664306689617</v>
      </c>
      <c r="P8" s="1">
        <f>ABS(O8-I8)/I8*100</f>
        <v>25.806103131110881</v>
      </c>
      <c r="R8" s="1"/>
      <c r="S8" s="1">
        <f t="shared" si="0"/>
        <v>1.2845955599999999</v>
      </c>
      <c r="T8" s="1">
        <f t="shared" si="1"/>
        <v>14.300242580145532</v>
      </c>
      <c r="V8" s="1"/>
      <c r="W8" s="1">
        <f t="shared" si="2"/>
        <v>3.1303037026920881</v>
      </c>
      <c r="X8" s="1">
        <f>(I8-$V$2)^2</f>
        <v>5.6674960032085719</v>
      </c>
    </row>
    <row r="9" spans="1:25" ht="15.4" x14ac:dyDescent="0.4">
      <c r="G9" s="62"/>
      <c r="H9" s="1">
        <f>10/3.26/(10/3.26+90/1.2)</f>
        <v>3.9292730844793712E-2</v>
      </c>
      <c r="I9" s="2">
        <v>0.47299999999999998</v>
      </c>
      <c r="J9" s="25">
        <v>5.5000000000000002E-5</v>
      </c>
      <c r="K9" s="1">
        <v>0.22</v>
      </c>
      <c r="L9" s="40">
        <v>170</v>
      </c>
      <c r="M9" s="1">
        <v>0.3821</v>
      </c>
      <c r="N9" s="1">
        <v>19.217758985200842</v>
      </c>
      <c r="O9" s="1"/>
      <c r="P9" s="1"/>
      <c r="R9" s="1"/>
      <c r="S9" s="1">
        <f t="shared" si="0"/>
        <v>8.2628099999999972E-3</v>
      </c>
      <c r="T9" s="1">
        <f t="shared" si="1"/>
        <v>6.7674580530043613</v>
      </c>
      <c r="V9" s="1"/>
      <c r="W9" s="1"/>
      <c r="X9" s="1"/>
    </row>
    <row r="10" spans="1:25" ht="15.4" x14ac:dyDescent="0.4">
      <c r="G10" s="62"/>
      <c r="H10" s="1">
        <f>20/3.26/(20/3.26+80/1.2)</f>
        <v>8.4269662921348312E-2</v>
      </c>
      <c r="I10" s="2">
        <v>0.51400000000000001</v>
      </c>
      <c r="J10" s="25">
        <v>5.5000000000000002E-5</v>
      </c>
      <c r="K10" s="1">
        <v>0.22</v>
      </c>
      <c r="L10" s="40">
        <v>170</v>
      </c>
      <c r="M10" s="1">
        <v>0.83609999999999995</v>
      </c>
      <c r="N10" s="1">
        <v>62.665369649805434</v>
      </c>
      <c r="O10" s="1"/>
      <c r="P10" s="1"/>
      <c r="R10" s="1"/>
      <c r="S10" s="1">
        <f t="shared" si="0"/>
        <v>0.10374840999999996</v>
      </c>
      <c r="T10" s="1">
        <f t="shared" si="1"/>
        <v>6.5558214776656163</v>
      </c>
      <c r="V10" s="1"/>
      <c r="W10" s="1"/>
      <c r="X10" s="1"/>
    </row>
    <row r="11" spans="1:25" ht="15.4" x14ac:dyDescent="0.4">
      <c r="G11" s="62"/>
      <c r="H11" s="1">
        <f>40/3.26/(40/3.26+60/1.2)</f>
        <v>0.19704433497536947</v>
      </c>
      <c r="I11" s="2">
        <v>1.9379999999999999</v>
      </c>
      <c r="J11" s="25">
        <v>5.5000000000000002E-5</v>
      </c>
      <c r="K11" s="1">
        <v>0.22</v>
      </c>
      <c r="L11" s="40">
        <v>170</v>
      </c>
      <c r="M11" s="1">
        <v>1.1162038867573725</v>
      </c>
      <c r="N11" s="1">
        <v>42.404340208597908</v>
      </c>
      <c r="O11" s="1"/>
      <c r="P11" s="1"/>
      <c r="R11" s="1"/>
      <c r="S11" s="1">
        <f t="shared" si="0"/>
        <v>0.67534885174068937</v>
      </c>
      <c r="T11" s="1">
        <f t="shared" si="1"/>
        <v>1.2914818854126044</v>
      </c>
      <c r="V11" s="1"/>
      <c r="W11" s="1"/>
      <c r="X11" s="1"/>
    </row>
    <row r="12" spans="1:25" ht="15.4" x14ac:dyDescent="0.4">
      <c r="G12" s="62"/>
      <c r="H12" s="1">
        <f>50/3.26/(50/3.26+50/1.2)</f>
        <v>0.26905829596412556</v>
      </c>
      <c r="I12" s="2">
        <v>3.4809999999999999</v>
      </c>
      <c r="J12" s="25">
        <v>5.5000000000000002E-5</v>
      </c>
      <c r="K12" s="1">
        <v>0.22</v>
      </c>
      <c r="L12" s="40">
        <v>170</v>
      </c>
      <c r="M12" s="1">
        <v>4.2492999999999999</v>
      </c>
      <c r="N12" s="1">
        <v>22.071243895432346</v>
      </c>
      <c r="O12" s="1"/>
      <c r="P12" s="1"/>
      <c r="R12" s="1"/>
      <c r="S12" s="1">
        <f t="shared" si="0"/>
        <v>0.59028488999999995</v>
      </c>
      <c r="T12" s="1">
        <f t="shared" si="1"/>
        <v>0.16529603790811237</v>
      </c>
      <c r="V12" s="1"/>
      <c r="W12" s="1"/>
      <c r="X12" s="1"/>
    </row>
    <row r="13" spans="1:25" ht="15.4" x14ac:dyDescent="0.4">
      <c r="G13" s="62"/>
      <c r="H13" s="1">
        <f>60/3.26/(60/3.26+40/1.2)</f>
        <v>0.35573122529644263</v>
      </c>
      <c r="I13" s="2">
        <v>4.3360000000000003</v>
      </c>
      <c r="J13" s="25">
        <v>5.5000000000000002E-5</v>
      </c>
      <c r="K13" s="1">
        <v>0.22</v>
      </c>
      <c r="L13" s="40">
        <v>170</v>
      </c>
      <c r="M13" s="1">
        <v>4.7276999999999996</v>
      </c>
      <c r="N13" s="1">
        <v>9.0336715867158492</v>
      </c>
      <c r="O13" s="1"/>
      <c r="P13" s="1"/>
      <c r="R13" s="1"/>
      <c r="S13" s="1">
        <f t="shared" si="0"/>
        <v>0.15342888999999943</v>
      </c>
      <c r="T13" s="1">
        <f t="shared" si="1"/>
        <v>1.5915491619415931</v>
      </c>
      <c r="V13" s="1"/>
      <c r="W13" s="1"/>
      <c r="X13" s="1"/>
    </row>
    <row r="14" spans="1:25" ht="15.4" x14ac:dyDescent="0.4">
      <c r="G14" s="62" t="s">
        <v>112</v>
      </c>
      <c r="H14" s="1">
        <v>0.4</v>
      </c>
      <c r="I14" s="2">
        <v>1.056</v>
      </c>
      <c r="J14" s="25">
        <v>8.0000000000000002E-8</v>
      </c>
      <c r="K14" s="1">
        <v>0.25600000000000001</v>
      </c>
      <c r="L14" s="40">
        <v>230</v>
      </c>
      <c r="M14" s="1">
        <v>1.5082</v>
      </c>
      <c r="N14" s="1">
        <v>42.821969696969688</v>
      </c>
      <c r="O14" s="1">
        <f>2.01*((H14-0.1)/(1-0.1))^0.54</f>
        <v>1.1105818711187512</v>
      </c>
      <c r="P14" s="1">
        <f>ABS(O14-I14)/I14*100</f>
        <v>5.1687377953362805</v>
      </c>
      <c r="R14" s="1"/>
      <c r="S14" s="1">
        <f t="shared" si="0"/>
        <v>0.20448483999999995</v>
      </c>
      <c r="T14" s="1">
        <f t="shared" si="1"/>
        <v>4.074075189041225</v>
      </c>
      <c r="V14" s="1"/>
      <c r="W14" s="1">
        <f t="shared" si="2"/>
        <v>2.9791806548239582E-3</v>
      </c>
      <c r="X14" s="1">
        <f>(I14-$V$2)^2</f>
        <v>11.69195215211367</v>
      </c>
    </row>
    <row r="15" spans="1:25" ht="15.4" x14ac:dyDescent="0.4">
      <c r="G15" s="62"/>
      <c r="H15" s="1">
        <v>0.5</v>
      </c>
      <c r="I15" s="2">
        <v>1.4610000000000001</v>
      </c>
      <c r="J15" s="25">
        <v>8.0000000000000002E-8</v>
      </c>
      <c r="K15" s="1">
        <v>0.25600000000000001</v>
      </c>
      <c r="L15" s="40">
        <v>230</v>
      </c>
      <c r="M15" s="1">
        <v>1.6191</v>
      </c>
      <c r="N15" s="1">
        <v>10.821355236139624</v>
      </c>
      <c r="O15" s="1">
        <f>2.01*((H15-0.1)/(1-0.1))^0.54</f>
        <v>1.2972315351377723</v>
      </c>
      <c r="P15" s="1">
        <f>ABS(O15-I15)/I15*100</f>
        <v>11.209340510761653</v>
      </c>
      <c r="R15" s="1"/>
      <c r="S15" s="1">
        <f t="shared" si="0"/>
        <v>2.499560999999997E-2</v>
      </c>
      <c r="T15" s="1">
        <f t="shared" si="1"/>
        <v>2.6031687741097151</v>
      </c>
      <c r="V15" s="1"/>
      <c r="W15" s="1">
        <f t="shared" si="2"/>
        <v>2.6820110083330722E-2</v>
      </c>
      <c r="X15" s="1">
        <f>(I15-$V$2)^2</f>
        <v>9.0863039210263281</v>
      </c>
    </row>
    <row r="16" spans="1:25" ht="15.4" x14ac:dyDescent="0.4">
      <c r="G16" s="62"/>
      <c r="H16" s="1">
        <v>0.6</v>
      </c>
      <c r="I16" s="2">
        <v>1.585</v>
      </c>
      <c r="J16" s="25">
        <v>8.0000000000000002E-8</v>
      </c>
      <c r="K16" s="1">
        <v>0.25600000000000001</v>
      </c>
      <c r="L16" s="40">
        <v>230</v>
      </c>
      <c r="M16" s="1">
        <v>1.7189000000000001</v>
      </c>
      <c r="N16" s="1">
        <v>8.447949526813888</v>
      </c>
      <c r="O16" s="1">
        <f>2.01*((H16-0.1)/(1-0.1))^0.54</f>
        <v>1.4633523342618191</v>
      </c>
      <c r="P16" s="1">
        <f>ABS(O16-I16)/I16*100</f>
        <v>7.6749315923142509</v>
      </c>
      <c r="R16" s="1"/>
      <c r="S16" s="1">
        <f t="shared" si="0"/>
        <v>1.7929210000000036E-2</v>
      </c>
      <c r="T16" s="1">
        <f t="shared" si="1"/>
        <v>2.2184131804022904</v>
      </c>
      <c r="V16" s="1"/>
      <c r="W16" s="1">
        <f t="shared" si="2"/>
        <v>1.4798154579548183E-2</v>
      </c>
      <c r="X16" s="1">
        <f>(I16-$V$2)^2</f>
        <v>8.3541212033600836</v>
      </c>
    </row>
    <row r="17" spans="7:24" ht="15.4" x14ac:dyDescent="0.4">
      <c r="G17" s="62"/>
      <c r="H17" s="1">
        <v>0.03</v>
      </c>
      <c r="I17" s="2">
        <v>0.29899999999999999</v>
      </c>
      <c r="J17" s="25">
        <v>8.0000000000000002E-8</v>
      </c>
      <c r="K17" s="1">
        <v>0.25600000000000001</v>
      </c>
      <c r="L17" s="40">
        <v>230</v>
      </c>
      <c r="M17" s="1">
        <v>0.27526189630324521</v>
      </c>
      <c r="N17" s="1">
        <v>7.9391651159714973</v>
      </c>
      <c r="O17" s="1"/>
      <c r="P17" s="1"/>
      <c r="R17" s="1"/>
      <c r="S17" s="1">
        <f t="shared" si="0"/>
        <v>5.6349756711788275E-4</v>
      </c>
      <c r="T17" s="1">
        <f t="shared" si="1"/>
        <v>7.7030330312712323</v>
      </c>
      <c r="V17" s="1"/>
      <c r="W17" s="1"/>
      <c r="X17" s="1"/>
    </row>
    <row r="18" spans="7:24" ht="15.4" x14ac:dyDescent="0.4">
      <c r="G18" s="62"/>
      <c r="H18" s="1">
        <v>7.6999999999999999E-2</v>
      </c>
      <c r="I18" s="2">
        <v>0.34222000000000002</v>
      </c>
      <c r="J18" s="25">
        <v>8.0000000000000002E-8</v>
      </c>
      <c r="K18" s="1">
        <v>0.25600000000000001</v>
      </c>
      <c r="L18" s="40">
        <v>230</v>
      </c>
      <c r="M18" s="1">
        <v>0.31404997777405519</v>
      </c>
      <c r="N18" s="1">
        <v>8.2315534527335732</v>
      </c>
      <c r="O18" s="1"/>
      <c r="P18" s="1"/>
      <c r="R18" s="1"/>
      <c r="S18" s="1">
        <f t="shared" si="0"/>
        <v>7.9355015221022605E-4</v>
      </c>
      <c r="T18" s="1">
        <f t="shared" si="1"/>
        <v>7.464992498058046</v>
      </c>
      <c r="V18" s="1"/>
      <c r="W18" s="1"/>
      <c r="X18" s="1"/>
    </row>
    <row r="19" spans="7:24" ht="15.4" x14ac:dyDescent="0.4">
      <c r="G19" s="62"/>
      <c r="H19" s="1">
        <v>0.2</v>
      </c>
      <c r="I19" s="2">
        <v>0.45700000000000002</v>
      </c>
      <c r="J19" s="25">
        <v>8.0000000000000002E-8</v>
      </c>
      <c r="K19" s="1">
        <v>0.25600000000000001</v>
      </c>
      <c r="L19" s="40">
        <v>230</v>
      </c>
      <c r="M19" s="1">
        <v>0.6603843520012076</v>
      </c>
      <c r="N19" s="1">
        <v>44.504234573568397</v>
      </c>
      <c r="O19" s="1"/>
      <c r="P19" s="1"/>
      <c r="R19" s="1"/>
      <c r="S19" s="1">
        <f t="shared" si="0"/>
        <v>4.1365194638951108E-2</v>
      </c>
      <c r="T19" s="1">
        <f t="shared" si="1"/>
        <v>6.8509599360633846</v>
      </c>
      <c r="V19" s="1"/>
      <c r="W19" s="1"/>
      <c r="X19" s="1"/>
    </row>
    <row r="20" spans="7:24" ht="15.4" x14ac:dyDescent="0.4">
      <c r="G20" s="62"/>
      <c r="H20" s="1">
        <v>0.3</v>
      </c>
      <c r="I20" s="2">
        <v>0.74199999999999999</v>
      </c>
      <c r="J20" s="25">
        <v>8.0000000000000002E-8</v>
      </c>
      <c r="K20" s="1">
        <v>0.25600000000000001</v>
      </c>
      <c r="L20" s="40">
        <v>230</v>
      </c>
      <c r="M20" s="1">
        <v>1.0065763591161598</v>
      </c>
      <c r="N20" s="1">
        <v>35.657191255547147</v>
      </c>
      <c r="O20" s="1"/>
      <c r="P20" s="1"/>
      <c r="R20" s="1"/>
      <c r="S20" s="1">
        <f t="shared" si="0"/>
        <v>7.0000649803163173E-2</v>
      </c>
      <c r="T20" s="1">
        <f t="shared" si="1"/>
        <v>5.4402476440745433</v>
      </c>
      <c r="V20" s="1"/>
      <c r="W20" s="1"/>
      <c r="X20" s="1"/>
    </row>
    <row r="21" spans="7:24" ht="15.4" x14ac:dyDescent="0.4">
      <c r="G21" s="62" t="s">
        <v>113</v>
      </c>
      <c r="H21" s="1">
        <f>67/5.6/(67/5.6+33/0.91)</f>
        <v>0.24807747080603818</v>
      </c>
      <c r="I21" s="2">
        <v>0.55000000000000004</v>
      </c>
      <c r="J21" s="25">
        <v>3.9999999999999998E-7</v>
      </c>
      <c r="K21" s="1">
        <v>0.19</v>
      </c>
      <c r="L21" s="40">
        <v>20</v>
      </c>
      <c r="M21" s="1">
        <v>0.60072503117531439</v>
      </c>
      <c r="N21" s="1">
        <v>9.222732940966246</v>
      </c>
      <c r="O21" s="1">
        <f t="shared" ref="O21:O26" si="3">0.7009*((H21-1.02852E-17)/(1-1.02852E-17))^0.37768</f>
        <v>0.41400329830283494</v>
      </c>
      <c r="P21" s="1">
        <f t="shared" ref="P21:P26" si="4">ABS(O21-I21)/I21*100</f>
        <v>24.726673035848197</v>
      </c>
      <c r="R21" s="1"/>
      <c r="S21" s="1">
        <f t="shared" si="0"/>
        <v>2.5730287877366127E-3</v>
      </c>
      <c r="T21" s="1">
        <f t="shared" si="1"/>
        <v>6.3727662407828136</v>
      </c>
      <c r="V21" s="1"/>
      <c r="W21" s="1">
        <f t="shared" si="2"/>
        <v>1.8495102872507708E-2</v>
      </c>
      <c r="X21" s="1">
        <f t="shared" ref="X21:X26" si="5">(I21-$V$2)^2</f>
        <v>15.408370016138839</v>
      </c>
    </row>
    <row r="22" spans="7:24" ht="15.4" x14ac:dyDescent="0.4">
      <c r="G22" s="62"/>
      <c r="H22" s="1">
        <f>79/5.6/(79/5.6+21/0.91)</f>
        <v>0.37938677502770596</v>
      </c>
      <c r="I22" s="2">
        <v>0.82899999999999996</v>
      </c>
      <c r="J22" s="25">
        <v>3.9999999999999998E-7</v>
      </c>
      <c r="K22" s="1">
        <v>0.19</v>
      </c>
      <c r="L22" s="40">
        <v>20</v>
      </c>
      <c r="M22" s="1">
        <v>0.96922069597864202</v>
      </c>
      <c r="N22" s="1">
        <v>16.914438598147417</v>
      </c>
      <c r="O22" s="1">
        <f t="shared" si="3"/>
        <v>0.48605321563164416</v>
      </c>
      <c r="P22" s="1">
        <f t="shared" si="4"/>
        <v>41.36873152814907</v>
      </c>
      <c r="R22" s="1"/>
      <c r="S22" s="1">
        <f t="shared" si="0"/>
        <v>1.9661843580734768E-2</v>
      </c>
      <c r="T22" s="1">
        <f t="shared" si="1"/>
        <v>5.0419731549411075</v>
      </c>
      <c r="V22" s="1"/>
      <c r="W22" s="1">
        <f t="shared" si="2"/>
        <v>0.11761249690859553</v>
      </c>
      <c r="X22" s="1">
        <f t="shared" si="5"/>
        <v>13.295865901389785</v>
      </c>
    </row>
    <row r="23" spans="7:24" ht="15.4" x14ac:dyDescent="0.4">
      <c r="G23" s="62"/>
      <c r="H23" s="1">
        <f>83/5.6/(83/5.6+17/0.91)</f>
        <v>0.44239442394423945</v>
      </c>
      <c r="I23" s="2">
        <v>0.93799999999999994</v>
      </c>
      <c r="J23" s="25">
        <v>3.9999999999999998E-7</v>
      </c>
      <c r="K23" s="1">
        <v>0.19</v>
      </c>
      <c r="L23" s="40">
        <v>20</v>
      </c>
      <c r="M23" s="1">
        <v>1.3411082944220101</v>
      </c>
      <c r="N23" s="1">
        <v>42.975297912794261</v>
      </c>
      <c r="O23" s="1">
        <f t="shared" si="3"/>
        <v>0.51509276102875468</v>
      </c>
      <c r="P23" s="1">
        <f t="shared" si="4"/>
        <v>45.086059591817197</v>
      </c>
      <c r="R23" s="1"/>
      <c r="S23" s="1">
        <f t="shared" si="0"/>
        <v>0.162496297031822</v>
      </c>
      <c r="T23" s="1">
        <f t="shared" si="1"/>
        <v>4.5643495766015159</v>
      </c>
      <c r="V23" s="1"/>
      <c r="W23" s="1">
        <f t="shared" si="2"/>
        <v>0.17885053277428195</v>
      </c>
      <c r="X23" s="1">
        <f t="shared" si="5"/>
        <v>12.51284267376381</v>
      </c>
    </row>
    <row r="24" spans="7:24" ht="15.4" x14ac:dyDescent="0.4">
      <c r="G24" s="62"/>
      <c r="H24" s="1">
        <f>87/5.6/(87/5.6+13/0.91)</f>
        <v>0.52095808383233544</v>
      </c>
      <c r="I24" s="2">
        <v>1.1379999999999999</v>
      </c>
      <c r="J24" s="25">
        <v>3.9999999999999998E-7</v>
      </c>
      <c r="K24" s="1">
        <v>0.19</v>
      </c>
      <c r="L24" s="40">
        <v>20</v>
      </c>
      <c r="M24" s="1">
        <v>1.43310604417618</v>
      </c>
      <c r="N24" s="1">
        <v>25.931989822159945</v>
      </c>
      <c r="O24" s="1">
        <f t="shared" si="3"/>
        <v>0.54789600590125709</v>
      </c>
      <c r="P24" s="1">
        <f t="shared" si="4"/>
        <v>51.854481028009033</v>
      </c>
      <c r="R24" s="1"/>
      <c r="S24" s="1">
        <f t="shared" si="0"/>
        <v>8.7087577309313588E-2</v>
      </c>
      <c r="T24" s="1">
        <f t="shared" si="1"/>
        <v>3.7497760383637346</v>
      </c>
      <c r="V24" s="1"/>
      <c r="W24" s="1">
        <f t="shared" si="2"/>
        <v>0.34822272385128911</v>
      </c>
      <c r="X24" s="1">
        <f t="shared" si="5"/>
        <v>11.137902806560184</v>
      </c>
    </row>
    <row r="25" spans="7:24" ht="15.4" x14ac:dyDescent="0.4">
      <c r="G25" s="62"/>
      <c r="H25" s="1">
        <f>89/5.6/(89/5.6+11/0.91)</f>
        <v>0.56799214531173292</v>
      </c>
      <c r="I25" s="2">
        <v>1.4430000000000001</v>
      </c>
      <c r="J25" s="25">
        <v>3.9999999999999998E-7</v>
      </c>
      <c r="K25" s="1">
        <v>0.19</v>
      </c>
      <c r="L25" s="40">
        <v>20</v>
      </c>
      <c r="M25" s="1">
        <v>1.4841795339814801</v>
      </c>
      <c r="N25" s="1">
        <v>2.8537445586611221</v>
      </c>
      <c r="O25" s="1">
        <f t="shared" si="3"/>
        <v>0.56607773191491872</v>
      </c>
      <c r="P25" s="1">
        <f t="shared" si="4"/>
        <v>60.770773949070076</v>
      </c>
      <c r="R25" s="1"/>
      <c r="S25" s="1">
        <f t="shared" si="0"/>
        <v>1.6957540189318659E-3</v>
      </c>
      <c r="T25" s="1">
        <f t="shared" si="1"/>
        <v>2.6615763925511158</v>
      </c>
      <c r="V25" s="1"/>
      <c r="W25" s="1">
        <f t="shared" si="2"/>
        <v>0.76899266426348323</v>
      </c>
      <c r="X25" s="1">
        <f t="shared" si="5"/>
        <v>9.1951445090746571</v>
      </c>
    </row>
    <row r="26" spans="7:24" ht="15.4" x14ac:dyDescent="0.4">
      <c r="G26" s="62"/>
      <c r="H26" s="1">
        <f>90.9/5.6/(90.9/5.6+9.1/0.91)</f>
        <v>0.61878829135466307</v>
      </c>
      <c r="I26" s="2">
        <v>1.53</v>
      </c>
      <c r="J26" s="25">
        <v>3.9999999999999998E-7</v>
      </c>
      <c r="K26" s="1">
        <v>0.19</v>
      </c>
      <c r="L26" s="40">
        <v>20</v>
      </c>
      <c r="M26" s="1">
        <v>1.53663830278622</v>
      </c>
      <c r="N26" s="1">
        <v>0.4338759990993476</v>
      </c>
      <c r="O26" s="1">
        <f t="shared" si="3"/>
        <v>0.58469001270546772</v>
      </c>
      <c r="P26" s="1">
        <f t="shared" si="4"/>
        <v>61.784966489838709</v>
      </c>
      <c r="R26" s="1"/>
      <c r="S26" s="1">
        <f t="shared" si="0"/>
        <v>4.4067063881536457E-5</v>
      </c>
      <c r="T26" s="1">
        <f t="shared" si="1"/>
        <v>2.3852759034176807</v>
      </c>
      <c r="V26" s="1"/>
      <c r="W26" s="1">
        <f t="shared" si="2"/>
        <v>0.89361097207878881</v>
      </c>
      <c r="X26" s="1">
        <f t="shared" si="5"/>
        <v>8.6750846668410784</v>
      </c>
    </row>
    <row r="27" spans="7:24" ht="15.4" x14ac:dyDescent="0.4">
      <c r="G27" s="62"/>
      <c r="H27" s="1">
        <f>9/5.6/(9/5.6+91/0.91)</f>
        <v>1.5817223198594025E-2</v>
      </c>
      <c r="I27" s="2">
        <v>0.189</v>
      </c>
      <c r="J27" s="25">
        <v>3.9999999999999998E-7</v>
      </c>
      <c r="K27" s="1">
        <v>0.19</v>
      </c>
      <c r="L27" s="40">
        <v>20</v>
      </c>
      <c r="M27" s="1">
        <v>0.19699509719563069</v>
      </c>
      <c r="N27" s="1">
        <v>4.2302101564183525</v>
      </c>
      <c r="O27" s="1"/>
      <c r="P27" s="1"/>
      <c r="R27" s="1"/>
      <c r="S27" s="1">
        <f t="shared" si="0"/>
        <v>6.3921579167581637E-5</v>
      </c>
      <c r="T27" s="1">
        <f t="shared" si="1"/>
        <v>8.325728477302011</v>
      </c>
      <c r="V27" s="1"/>
      <c r="W27" s="1"/>
      <c r="X27" s="1"/>
    </row>
    <row r="28" spans="7:24" ht="15.4" x14ac:dyDescent="0.4">
      <c r="G28" s="62"/>
      <c r="H28" s="1">
        <f>17/5.6/(17/5.6+83/0.91)</f>
        <v>3.221104795219356E-2</v>
      </c>
      <c r="I28" s="2">
        <v>0.20399999999999999</v>
      </c>
      <c r="J28" s="25">
        <v>3.9999999999999998E-7</v>
      </c>
      <c r="K28" s="1">
        <v>0.19</v>
      </c>
      <c r="L28" s="40">
        <v>20</v>
      </c>
      <c r="M28" s="1">
        <v>0.20549394754081046</v>
      </c>
      <c r="N28" s="1">
        <v>0.73232722588748789</v>
      </c>
      <c r="O28" s="1"/>
      <c r="P28" s="1"/>
      <c r="R28" s="1"/>
      <c r="S28" s="1">
        <f t="shared" si="0"/>
        <v>2.2318792546936663E-6</v>
      </c>
      <c r="T28" s="1">
        <f t="shared" si="1"/>
        <v>8.2393904619341782</v>
      </c>
      <c r="V28" s="1"/>
      <c r="W28" s="1"/>
      <c r="X28" s="1"/>
    </row>
    <row r="29" spans="7:24" ht="15.4" x14ac:dyDescent="0.4">
      <c r="G29" s="62"/>
      <c r="H29" s="1">
        <f>24/5.6/(24/5.6+76/0.91)</f>
        <v>4.8811013767209005E-2</v>
      </c>
      <c r="I29" s="2">
        <v>0.215</v>
      </c>
      <c r="J29" s="25">
        <v>3.9999999999999998E-7</v>
      </c>
      <c r="K29" s="1">
        <v>0.19</v>
      </c>
      <c r="L29" s="40">
        <v>20</v>
      </c>
      <c r="M29" s="1">
        <v>0.215023200896409</v>
      </c>
      <c r="N29" s="1">
        <v>1.0791114608838874E-2</v>
      </c>
      <c r="O29" s="1"/>
      <c r="P29" s="1"/>
      <c r="R29" s="1"/>
      <c r="S29" s="1">
        <f t="shared" si="0"/>
        <v>5.3828159418131515E-10</v>
      </c>
      <c r="T29" s="1">
        <f t="shared" si="1"/>
        <v>8.1763619173311017</v>
      </c>
      <c r="V29" s="1"/>
      <c r="W29" s="1"/>
      <c r="X29" s="1"/>
    </row>
    <row r="30" spans="7:24" ht="15.4" x14ac:dyDescent="0.4">
      <c r="G30" s="62"/>
      <c r="H30" s="1">
        <f>28/5.6/(28/5.6+72/0.91)</f>
        <v>5.9438275636838664E-2</v>
      </c>
      <c r="I30" s="2">
        <v>0.22700000000000001</v>
      </c>
      <c r="J30" s="25">
        <v>3.9999999999999998E-7</v>
      </c>
      <c r="K30" s="1">
        <v>0.19</v>
      </c>
      <c r="L30" s="40">
        <v>20</v>
      </c>
      <c r="M30" s="1">
        <v>0.22156028891849094</v>
      </c>
      <c r="N30" s="1">
        <v>2.396348494056856</v>
      </c>
      <c r="O30" s="1"/>
      <c r="P30" s="1"/>
      <c r="R30" s="1"/>
      <c r="S30" s="1">
        <f t="shared" si="0"/>
        <v>2.9590456650292503E-5</v>
      </c>
      <c r="T30" s="1">
        <f t="shared" si="1"/>
        <v>8.1078795050368342</v>
      </c>
      <c r="V30" s="1"/>
      <c r="W30" s="1"/>
      <c r="X30" s="1"/>
    </row>
    <row r="31" spans="7:24" ht="15.4" x14ac:dyDescent="0.4">
      <c r="G31" s="62"/>
      <c r="H31" s="1">
        <f>38/5.6/(38/5.6+62/0.91)</f>
        <v>9.0575724239090577E-2</v>
      </c>
      <c r="I31" s="2">
        <v>0.23400000000000001</v>
      </c>
      <c r="J31" s="25">
        <v>3.9999999999999998E-7</v>
      </c>
      <c r="K31" s="1">
        <v>0.19</v>
      </c>
      <c r="L31" s="40">
        <v>20</v>
      </c>
      <c r="M31" s="1">
        <v>0.24254825181355716</v>
      </c>
      <c r="N31" s="1">
        <v>3.6530990656227114</v>
      </c>
      <c r="O31" s="1"/>
      <c r="P31" s="1"/>
      <c r="R31" s="1"/>
      <c r="S31" s="1">
        <f t="shared" si="0"/>
        <v>7.3072609067983014E-5</v>
      </c>
      <c r="T31" s="1">
        <f t="shared" si="1"/>
        <v>8.0680644311985112</v>
      </c>
      <c r="V31" s="1"/>
      <c r="W31" s="1"/>
      <c r="X31" s="1"/>
    </row>
    <row r="32" spans="7:24" ht="15.4" x14ac:dyDescent="0.4">
      <c r="G32" s="62"/>
      <c r="H32" s="1">
        <f>44/5.6/(44/5.6+56/0.91)</f>
        <v>0.11322248614410135</v>
      </c>
      <c r="I32" s="2">
        <v>0.28299999999999997</v>
      </c>
      <c r="J32" s="25">
        <v>3.9999999999999998E-7</v>
      </c>
      <c r="K32" s="1">
        <v>0.19</v>
      </c>
      <c r="L32" s="40">
        <v>20</v>
      </c>
      <c r="M32" s="1">
        <v>0.259480831124421</v>
      </c>
      <c r="N32" s="1">
        <v>8.3106603800632435</v>
      </c>
      <c r="O32" s="1"/>
      <c r="P32" s="1"/>
      <c r="R32" s="1"/>
      <c r="S32" s="1">
        <f t="shared" si="0"/>
        <v>5.5315130459800295E-4</v>
      </c>
      <c r="T32" s="1">
        <f t="shared" si="1"/>
        <v>7.7921029143302549</v>
      </c>
      <c r="V32" s="1"/>
      <c r="W32" s="1"/>
      <c r="X32" s="1"/>
    </row>
    <row r="33" spans="7:24" ht="15.4" x14ac:dyDescent="0.4">
      <c r="G33" s="62"/>
      <c r="H33" s="1">
        <f>57/5.6/(57/5.6+43/0.91)</f>
        <v>0.17723032767280555</v>
      </c>
      <c r="I33" s="2">
        <v>0.41499999999999998</v>
      </c>
      <c r="J33" s="25">
        <v>3.9999999999999998E-7</v>
      </c>
      <c r="K33" s="1">
        <v>0.19</v>
      </c>
      <c r="L33" s="40">
        <v>20</v>
      </c>
      <c r="M33" s="1">
        <v>0.37722685272329315</v>
      </c>
      <c r="N33" s="1">
        <v>9.101963199206466</v>
      </c>
      <c r="O33" s="1"/>
      <c r="P33" s="1"/>
      <c r="R33" s="1"/>
      <c r="S33" s="1">
        <f t="shared" si="0"/>
        <v>1.4268106551877846E-3</v>
      </c>
      <c r="T33" s="1">
        <f t="shared" si="1"/>
        <v>7.0725883790933182</v>
      </c>
      <c r="V33" s="1"/>
      <c r="W33" s="1"/>
      <c r="X33" s="1"/>
    </row>
    <row r="34" spans="7:24" ht="15.4" x14ac:dyDescent="0.4">
      <c r="G34" s="62" t="s">
        <v>114</v>
      </c>
      <c r="H34" s="1">
        <v>0.5</v>
      </c>
      <c r="I34" s="2">
        <v>1.38</v>
      </c>
      <c r="J34" s="25">
        <v>9.9999999999999995E-7</v>
      </c>
      <c r="K34" s="1">
        <v>0.2</v>
      </c>
      <c r="L34" s="40">
        <v>200</v>
      </c>
      <c r="M34" s="1">
        <v>1.3042</v>
      </c>
      <c r="N34" s="1">
        <v>5.4927536231883973</v>
      </c>
      <c r="O34" s="1">
        <f>2.58704*((H34-0.1072)/(1-0.1072))^0.82021</f>
        <v>1.3192601533330093</v>
      </c>
      <c r="P34" s="1">
        <f>ABS(O34-I34)/I34*100</f>
        <v>4.4014381642746825</v>
      </c>
      <c r="R34" s="1"/>
      <c r="S34" s="1">
        <f t="shared" si="0"/>
        <v>5.7456399999999798E-3</v>
      </c>
      <c r="T34" s="1">
        <f t="shared" si="1"/>
        <v>2.8711060570960178</v>
      </c>
      <c r="V34" s="1"/>
      <c r="W34" s="1">
        <f t="shared" si="2"/>
        <v>3.6893289731295309E-3</v>
      </c>
      <c r="X34" s="1">
        <f>(I34-$V$2)^2</f>
        <v>9.5811895672437988</v>
      </c>
    </row>
    <row r="35" spans="7:24" ht="15.4" x14ac:dyDescent="0.4">
      <c r="G35" s="62"/>
      <c r="H35" s="1">
        <v>0.55000000000000004</v>
      </c>
      <c r="I35" s="2">
        <v>1.63</v>
      </c>
      <c r="J35" s="25">
        <v>9.9999999999999995E-7</v>
      </c>
      <c r="K35" s="1">
        <v>0.2</v>
      </c>
      <c r="L35" s="40">
        <v>200</v>
      </c>
      <c r="M35" s="1">
        <v>1.3452999999999999</v>
      </c>
      <c r="N35" s="1">
        <v>17.466257668711656</v>
      </c>
      <c r="O35" s="1">
        <f>2.58704*((H35-0.1072)/(1-0.1072))^0.82021</f>
        <v>1.4554959523094073</v>
      </c>
      <c r="P35" s="1">
        <f>ABS(O35-I35)/I35*100</f>
        <v>10.705769796968871</v>
      </c>
      <c r="R35" s="1"/>
      <c r="S35" s="1">
        <f t="shared" si="0"/>
        <v>8.1054089999999968E-2</v>
      </c>
      <c r="T35" s="1">
        <f t="shared" si="1"/>
        <v>2.0863891342987895</v>
      </c>
      <c r="V35" s="1"/>
      <c r="W35" s="1">
        <f t="shared" si="2"/>
        <v>3.045166266040061E-2</v>
      </c>
      <c r="X35" s="1">
        <f>(I35-$V$2)^2</f>
        <v>8.0960147332392687</v>
      </c>
    </row>
    <row r="36" spans="7:24" ht="15.4" x14ac:dyDescent="0.4">
      <c r="G36" s="62"/>
      <c r="H36" s="1">
        <v>0.3</v>
      </c>
      <c r="I36" s="2">
        <v>0.75</v>
      </c>
      <c r="J36" s="25">
        <v>9.9999999999999995E-7</v>
      </c>
      <c r="K36" s="1">
        <v>0.2</v>
      </c>
      <c r="L36" s="40">
        <v>200</v>
      </c>
      <c r="M36" s="1">
        <v>1.1131</v>
      </c>
      <c r="N36" s="1">
        <v>48.413333333333327</v>
      </c>
      <c r="O36" s="1"/>
      <c r="P36" s="1"/>
      <c r="R36" s="1"/>
      <c r="S36" s="1">
        <f t="shared" si="0"/>
        <v>0.13184161</v>
      </c>
      <c r="T36" s="1">
        <f t="shared" si="1"/>
        <v>5.4029927025450322</v>
      </c>
      <c r="V36" s="1"/>
      <c r="W36" s="1"/>
      <c r="X36" s="1"/>
    </row>
    <row r="37" spans="7:24" ht="15.4" x14ac:dyDescent="0.4">
      <c r="G37" s="62"/>
      <c r="H37" s="1">
        <v>0.35</v>
      </c>
      <c r="I37" s="2">
        <v>0.84</v>
      </c>
      <c r="J37" s="25">
        <v>9.9999999999999995E-7</v>
      </c>
      <c r="K37" s="1">
        <v>0.2</v>
      </c>
      <c r="L37" s="40">
        <v>200</v>
      </c>
      <c r="M37" s="1">
        <v>1.1657999999999999</v>
      </c>
      <c r="N37" s="1">
        <v>38.785714285714285</v>
      </c>
      <c r="O37" s="1"/>
      <c r="P37" s="1"/>
      <c r="R37" s="1"/>
      <c r="S37" s="1">
        <f t="shared" si="0"/>
        <v>0.10614563999999999</v>
      </c>
      <c r="T37" s="1">
        <f t="shared" si="1"/>
        <v>4.992694610338031</v>
      </c>
      <c r="V37" s="1"/>
      <c r="W37" s="1"/>
      <c r="X37" s="1"/>
    </row>
    <row r="38" spans="7:24" ht="15.4" x14ac:dyDescent="0.4">
      <c r="G38" s="62"/>
      <c r="H38" s="1">
        <v>0.4</v>
      </c>
      <c r="I38" s="2">
        <v>1.0900000000000001</v>
      </c>
      <c r="J38" s="25">
        <v>9.9999999999999995E-7</v>
      </c>
      <c r="K38" s="1">
        <v>0.2</v>
      </c>
      <c r="L38" s="40">
        <v>200</v>
      </c>
      <c r="M38" s="1">
        <v>1.2149000000000001</v>
      </c>
      <c r="N38" s="1">
        <v>11.458715596330276</v>
      </c>
      <c r="O38" s="1"/>
      <c r="P38" s="1"/>
      <c r="R38" s="1"/>
      <c r="S38" s="1">
        <f t="shared" si="0"/>
        <v>1.5600010000000003E-2</v>
      </c>
      <c r="T38" s="1">
        <f t="shared" si="1"/>
        <v>3.9379776875408017</v>
      </c>
      <c r="V38" s="1"/>
      <c r="W38" s="1"/>
      <c r="X38" s="1"/>
    </row>
    <row r="39" spans="7:24" ht="15.4" x14ac:dyDescent="0.4">
      <c r="G39" s="62"/>
      <c r="H39" s="1">
        <v>0.45</v>
      </c>
      <c r="I39" s="2">
        <v>1.1599999999999999</v>
      </c>
      <c r="J39" s="25">
        <v>9.9999999999999995E-7</v>
      </c>
      <c r="K39" s="1">
        <v>0.2</v>
      </c>
      <c r="L39" s="40">
        <v>200</v>
      </c>
      <c r="M39" s="1">
        <v>1.2607999999999999</v>
      </c>
      <c r="N39" s="1">
        <v>8.6896551724137936</v>
      </c>
      <c r="O39" s="1"/>
      <c r="P39" s="1"/>
      <c r="R39" s="1"/>
      <c r="S39" s="1">
        <f t="shared" si="0"/>
        <v>1.016064E-2</v>
      </c>
      <c r="T39" s="1">
        <f t="shared" si="1"/>
        <v>3.6650569491575786</v>
      </c>
      <c r="V39" s="1"/>
      <c r="W39" s="1"/>
      <c r="X39" s="1"/>
    </row>
    <row r="40" spans="7:24" ht="15.4" x14ac:dyDescent="0.4">
      <c r="G40" s="62" t="s">
        <v>115</v>
      </c>
      <c r="H40" s="1">
        <v>0.4</v>
      </c>
      <c r="I40" s="2">
        <v>12.906666666666666</v>
      </c>
      <c r="J40" s="25">
        <v>5.0000000000000004E-6</v>
      </c>
      <c r="K40" s="1">
        <v>2</v>
      </c>
      <c r="L40" s="40">
        <v>200</v>
      </c>
      <c r="M40" s="1">
        <v>13.0389</v>
      </c>
      <c r="N40" s="1">
        <v>1.0245351239669445</v>
      </c>
      <c r="O40" s="1">
        <f>11.14946*((H40-2.07179E-18)/(1-2.07179E-18))^0.2624</f>
        <v>8.7666642793342202</v>
      </c>
      <c r="P40" s="1">
        <f>ABS(O40-I40)/I40*100</f>
        <v>32.07646477788569</v>
      </c>
      <c r="R40" s="1"/>
      <c r="S40" s="1">
        <f t="shared" si="0"/>
        <v>1.7485654444444526E-2</v>
      </c>
      <c r="T40" s="1">
        <f t="shared" si="1"/>
        <v>96.672802247769596</v>
      </c>
      <c r="V40" s="1"/>
      <c r="W40" s="1">
        <f t="shared" si="2"/>
        <v>17.139619767118354</v>
      </c>
      <c r="X40" s="1">
        <f>(I40-$V$2)^2</f>
        <v>71.087106331852723</v>
      </c>
    </row>
    <row r="41" spans="7:24" ht="15.4" x14ac:dyDescent="0.4">
      <c r="G41" s="62"/>
      <c r="H41" s="1">
        <v>0.05</v>
      </c>
      <c r="I41" s="2">
        <v>5.1733333333333302</v>
      </c>
      <c r="J41" s="25">
        <v>5.0000000000000004E-6</v>
      </c>
      <c r="K41" s="1">
        <v>2</v>
      </c>
      <c r="L41" s="40">
        <v>200</v>
      </c>
      <c r="M41" s="1">
        <v>3.2675999999999998</v>
      </c>
      <c r="N41" s="1">
        <v>36.837628865979347</v>
      </c>
      <c r="O41" s="1"/>
      <c r="P41" s="1"/>
      <c r="R41" s="1"/>
      <c r="S41" s="1">
        <f t="shared" si="0"/>
        <v>3.6318195377777664</v>
      </c>
      <c r="T41" s="1">
        <f t="shared" si="1"/>
        <v>4.4053790596305076</v>
      </c>
      <c r="V41" s="1"/>
      <c r="W41" s="1"/>
      <c r="X41" s="1"/>
    </row>
    <row r="42" spans="7:24" ht="15.4" x14ac:dyDescent="0.4">
      <c r="G42" s="62"/>
      <c r="H42" s="1">
        <v>0.1</v>
      </c>
      <c r="I42" s="2">
        <v>5.9200000000000008</v>
      </c>
      <c r="J42" s="25">
        <v>5.0000000000000004E-6</v>
      </c>
      <c r="K42" s="1">
        <v>2</v>
      </c>
      <c r="L42" s="40">
        <v>200</v>
      </c>
      <c r="M42" s="1">
        <v>5.3413000000000004</v>
      </c>
      <c r="N42" s="1">
        <v>9.7753378378378439</v>
      </c>
      <c r="O42" s="1"/>
      <c r="P42" s="1"/>
      <c r="R42" s="1"/>
      <c r="S42" s="1">
        <f t="shared" si="0"/>
        <v>0.33489369000000052</v>
      </c>
      <c r="T42" s="1">
        <f t="shared" si="1"/>
        <v>8.0972467390983596</v>
      </c>
      <c r="V42" s="1"/>
      <c r="W42" s="1"/>
      <c r="X42" s="1"/>
    </row>
    <row r="43" spans="7:24" ht="15.4" x14ac:dyDescent="0.4">
      <c r="G43" s="62"/>
      <c r="H43" s="1">
        <v>0.2</v>
      </c>
      <c r="I43" s="2">
        <v>7.4133333333333331</v>
      </c>
      <c r="J43" s="25">
        <v>5.0000000000000004E-6</v>
      </c>
      <c r="K43" s="1">
        <v>2</v>
      </c>
      <c r="L43" s="40">
        <v>200</v>
      </c>
      <c r="M43" s="1">
        <v>9.7270000000000003</v>
      </c>
      <c r="N43" s="1">
        <v>31.209532374100728</v>
      </c>
      <c r="O43" s="1"/>
      <c r="P43" s="1"/>
      <c r="R43" s="1"/>
      <c r="S43" s="1">
        <f t="shared" si="0"/>
        <v>5.3530534444444466</v>
      </c>
      <c r="T43" s="1">
        <f t="shared" si="1"/>
        <v>18.826048764700683</v>
      </c>
      <c r="V43" s="1"/>
      <c r="W43" s="1"/>
      <c r="X43" s="1"/>
    </row>
    <row r="44" spans="7:24" ht="15.4" x14ac:dyDescent="0.4">
      <c r="G44" s="62"/>
      <c r="H44" s="1">
        <v>0.3</v>
      </c>
      <c r="I44" s="2">
        <v>8.1066666666666674</v>
      </c>
      <c r="J44" s="25">
        <v>5.0000000000000004E-6</v>
      </c>
      <c r="K44" s="1">
        <v>2</v>
      </c>
      <c r="L44" s="40">
        <v>200</v>
      </c>
      <c r="M44" s="1">
        <v>11.590199999999999</v>
      </c>
      <c r="N44" s="1">
        <v>42.971217105263136</v>
      </c>
      <c r="O44" s="1"/>
      <c r="P44" s="1"/>
      <c r="R44" s="1"/>
      <c r="S44" s="1">
        <f t="shared" si="0"/>
        <v>12.135004484444435</v>
      </c>
      <c r="T44" s="1">
        <f t="shared" si="1"/>
        <v>25.323367165476387</v>
      </c>
      <c r="V44" s="1"/>
      <c r="W44" s="1"/>
      <c r="X44" s="1"/>
    </row>
    <row r="45" spans="7:24" ht="15.4" x14ac:dyDescent="0.4">
      <c r="G45" s="62" t="s">
        <v>116</v>
      </c>
      <c r="H45" s="1">
        <v>0.46</v>
      </c>
      <c r="I45" s="2">
        <v>5.13</v>
      </c>
      <c r="J45" s="25">
        <v>3.9999999999999998E-7</v>
      </c>
      <c r="K45" s="1">
        <v>1.68</v>
      </c>
      <c r="L45" s="40">
        <v>200</v>
      </c>
      <c r="M45" s="1">
        <v>6.2408999999999999</v>
      </c>
      <c r="N45" s="1">
        <v>21.654970760233919</v>
      </c>
      <c r="O45" s="1">
        <f t="shared" ref="O45:O50" si="6">7.57884*((H45-0.000000000000001)/(1-0.000000000000001))^0.62964</f>
        <v>4.6479514150482393</v>
      </c>
      <c r="P45" s="1">
        <f t="shared" ref="P45:P50" si="7">ABS(O45-I45)/I45*100</f>
        <v>9.3966585760577122</v>
      </c>
      <c r="R45" s="1"/>
      <c r="S45" s="1">
        <f t="shared" si="0"/>
        <v>1.2340988100000001</v>
      </c>
      <c r="T45" s="1">
        <f t="shared" si="1"/>
        <v>4.2253522151375957</v>
      </c>
      <c r="V45" s="1"/>
      <c r="W45" s="1">
        <f t="shared" si="2"/>
        <v>0.23237083825399477</v>
      </c>
      <c r="X45" s="1">
        <f t="shared" ref="X45:X50" si="8">(I45-$V$2)^2</f>
        <v>0.4285670571758477</v>
      </c>
    </row>
    <row r="46" spans="7:24" ht="15.4" x14ac:dyDescent="0.4">
      <c r="G46" s="62"/>
      <c r="H46" s="1">
        <v>0.51</v>
      </c>
      <c r="I46" s="2">
        <v>6.64</v>
      </c>
      <c r="J46" s="25">
        <v>3.9999999999999998E-7</v>
      </c>
      <c r="K46" s="1">
        <v>1.68</v>
      </c>
      <c r="L46" s="40">
        <v>200</v>
      </c>
      <c r="M46" s="1">
        <v>6.4638999999999998</v>
      </c>
      <c r="N46" s="1">
        <v>2.6521084337349388</v>
      </c>
      <c r="O46" s="1">
        <f t="shared" si="6"/>
        <v>4.9599491522686439</v>
      </c>
      <c r="P46" s="1">
        <f t="shared" si="7"/>
        <v>25.301970598363795</v>
      </c>
      <c r="R46" s="1"/>
      <c r="S46" s="1">
        <f t="shared" si="0"/>
        <v>3.1011209999999973E-2</v>
      </c>
      <c r="T46" s="1">
        <f t="shared" si="1"/>
        <v>12.713262001442336</v>
      </c>
      <c r="V46" s="1"/>
      <c r="W46" s="1">
        <f t="shared" si="2"/>
        <v>2.8225708509628475</v>
      </c>
      <c r="X46" s="1">
        <f t="shared" si="8"/>
        <v>4.6857110597884848</v>
      </c>
    </row>
    <row r="47" spans="7:24" ht="15.4" x14ac:dyDescent="0.4">
      <c r="G47" s="62"/>
      <c r="H47" s="1">
        <v>0.56000000000000005</v>
      </c>
      <c r="I47" s="2">
        <v>7.08</v>
      </c>
      <c r="J47" s="25">
        <v>3.9999999999999998E-7</v>
      </c>
      <c r="K47" s="1">
        <v>1.68</v>
      </c>
      <c r="L47" s="40">
        <v>200</v>
      </c>
      <c r="M47" s="1">
        <v>6.6769999999999996</v>
      </c>
      <c r="N47" s="1">
        <v>5.692090395480232</v>
      </c>
      <c r="O47" s="1">
        <f t="shared" si="6"/>
        <v>5.2608006831244642</v>
      </c>
      <c r="P47" s="1">
        <f t="shared" si="7"/>
        <v>25.694905605586666</v>
      </c>
      <c r="R47" s="1"/>
      <c r="S47" s="1">
        <f t="shared" si="0"/>
        <v>0.16240900000000039</v>
      </c>
      <c r="T47" s="1">
        <f t="shared" si="1"/>
        <v>16.044560217319219</v>
      </c>
      <c r="V47" s="1"/>
      <c r="W47" s="1">
        <f t="shared" si="2"/>
        <v>3.3094861545204162</v>
      </c>
      <c r="X47" s="1">
        <f t="shared" si="8"/>
        <v>6.7842033519405138</v>
      </c>
    </row>
    <row r="48" spans="7:24" ht="15.4" x14ac:dyDescent="0.4">
      <c r="G48" s="62"/>
      <c r="H48" s="1">
        <v>0.61</v>
      </c>
      <c r="I48" s="2">
        <v>8.4</v>
      </c>
      <c r="J48" s="25">
        <v>3.9999999999999998E-7</v>
      </c>
      <c r="K48" s="1">
        <v>1.68</v>
      </c>
      <c r="L48" s="40">
        <v>200</v>
      </c>
      <c r="M48" s="1">
        <v>6.8814000000000002</v>
      </c>
      <c r="N48" s="1">
        <v>18.078571428571429</v>
      </c>
      <c r="O48" s="1">
        <f t="shared" si="6"/>
        <v>5.5518511771401329</v>
      </c>
      <c r="P48" s="1">
        <f t="shared" si="7"/>
        <v>33.906533605474607</v>
      </c>
      <c r="R48" s="1"/>
      <c r="S48" s="1">
        <f t="shared" si="0"/>
        <v>2.3061459600000007</v>
      </c>
      <c r="T48" s="1">
        <f t="shared" si="1"/>
        <v>28.361654864949863</v>
      </c>
      <c r="V48" s="1"/>
      <c r="W48" s="1">
        <f t="shared" si="2"/>
        <v>8.111951717158048</v>
      </c>
      <c r="X48" s="1">
        <f t="shared" si="8"/>
        <v>15.402880228396597</v>
      </c>
    </row>
    <row r="49" spans="7:24" ht="15.4" x14ac:dyDescent="0.4">
      <c r="G49" s="62"/>
      <c r="H49" s="1">
        <v>0.66</v>
      </c>
      <c r="I49" s="2">
        <v>10</v>
      </c>
      <c r="J49" s="25">
        <v>3.9999999999999998E-7</v>
      </c>
      <c r="K49" s="1">
        <v>1.68</v>
      </c>
      <c r="L49" s="40">
        <v>200</v>
      </c>
      <c r="M49" s="1">
        <v>7.0782999999999996</v>
      </c>
      <c r="N49" s="1">
        <v>29.217000000000006</v>
      </c>
      <c r="O49" s="1">
        <f t="shared" si="6"/>
        <v>5.8341874964606975</v>
      </c>
      <c r="P49" s="1">
        <f t="shared" si="7"/>
        <v>41.65812503539302</v>
      </c>
      <c r="R49" s="1"/>
      <c r="S49" s="1">
        <f t="shared" si="0"/>
        <v>8.5363308900000021</v>
      </c>
      <c r="T49" s="1">
        <f t="shared" si="1"/>
        <v>47.963466559047596</v>
      </c>
      <c r="V49" s="1"/>
      <c r="W49" s="1">
        <f t="shared" si="2"/>
        <v>17.35399381464439</v>
      </c>
      <c r="X49" s="1">
        <f t="shared" si="8"/>
        <v>30.521761290767603</v>
      </c>
    </row>
    <row r="50" spans="7:24" ht="15.4" x14ac:dyDescent="0.4">
      <c r="G50" s="62"/>
      <c r="H50" s="1">
        <v>0.71</v>
      </c>
      <c r="I50" s="2">
        <v>11.9</v>
      </c>
      <c r="J50" s="25">
        <v>3.9999999999999998E-7</v>
      </c>
      <c r="K50" s="1">
        <v>1.68</v>
      </c>
      <c r="L50" s="40">
        <v>200</v>
      </c>
      <c r="M50" s="1">
        <v>7.2695999999999996</v>
      </c>
      <c r="N50" s="1">
        <v>38.91092436974791</v>
      </c>
      <c r="O50" s="1">
        <f t="shared" si="6"/>
        <v>6.1087034876357551</v>
      </c>
      <c r="P50" s="1">
        <f t="shared" si="7"/>
        <v>48.666357246758366</v>
      </c>
      <c r="R50" s="1"/>
      <c r="S50" s="1">
        <f t="shared" si="0"/>
        <v>21.440604160000007</v>
      </c>
      <c r="T50" s="1">
        <f t="shared" si="1"/>
        <v>77.890617945788676</v>
      </c>
      <c r="V50" s="1"/>
      <c r="W50" s="1">
        <f t="shared" si="2"/>
        <v>33.539115294122269</v>
      </c>
      <c r="X50" s="1">
        <f t="shared" si="8"/>
        <v>55.12543255233318</v>
      </c>
    </row>
    <row r="51" spans="7:24" ht="15.4" x14ac:dyDescent="0.4">
      <c r="G51" s="62"/>
      <c r="H51" s="1">
        <v>0.09</v>
      </c>
      <c r="I51" s="2">
        <v>1.77</v>
      </c>
      <c r="J51" s="25">
        <v>3.9999999999999998E-7</v>
      </c>
      <c r="K51" s="1">
        <v>1.68</v>
      </c>
      <c r="L51" s="40">
        <v>200</v>
      </c>
      <c r="M51" s="1">
        <v>2.1017112876670634</v>
      </c>
      <c r="N51" s="1">
        <v>18.740750715653299</v>
      </c>
      <c r="O51" s="1"/>
      <c r="P51" s="1"/>
      <c r="R51" s="1"/>
      <c r="S51" s="1">
        <f t="shared" si="0"/>
        <v>0.11003237836574127</v>
      </c>
      <c r="T51" s="1">
        <f t="shared" si="1"/>
        <v>1.7015476575323416</v>
      </c>
      <c r="V51" s="1"/>
      <c r="W51" s="1"/>
      <c r="X51" s="1"/>
    </row>
    <row r="52" spans="7:24" ht="15.4" x14ac:dyDescent="0.4">
      <c r="G52" s="62"/>
      <c r="H52" s="1">
        <v>0.16</v>
      </c>
      <c r="I52" s="2">
        <v>2.36</v>
      </c>
      <c r="J52" s="25">
        <v>3.9999999999999998E-7</v>
      </c>
      <c r="K52" s="1">
        <v>1.68</v>
      </c>
      <c r="L52" s="40">
        <v>200</v>
      </c>
      <c r="M52" s="1">
        <v>2.680644744303438</v>
      </c>
      <c r="N52" s="1">
        <v>13.586641707772804</v>
      </c>
      <c r="O52" s="1"/>
      <c r="P52" s="1"/>
      <c r="R52" s="1"/>
      <c r="S52" s="1">
        <f t="shared" si="0"/>
        <v>0.10281305204941722</v>
      </c>
      <c r="T52" s="1">
        <f t="shared" si="1"/>
        <v>0.51041571973088351</v>
      </c>
      <c r="V52" s="1"/>
      <c r="W52" s="1"/>
      <c r="X52" s="1"/>
    </row>
    <row r="53" spans="7:24" ht="15.4" x14ac:dyDescent="0.4">
      <c r="G53" s="62"/>
      <c r="H53" s="1">
        <v>0.26</v>
      </c>
      <c r="I53" s="2">
        <v>3.07</v>
      </c>
      <c r="J53" s="25">
        <v>3.9999999999999998E-7</v>
      </c>
      <c r="K53" s="1">
        <v>1.68</v>
      </c>
      <c r="L53" s="40">
        <v>200</v>
      </c>
      <c r="M53" s="1">
        <v>4.1323807091287836</v>
      </c>
      <c r="N53" s="1">
        <v>34.605234825041819</v>
      </c>
      <c r="O53" s="1"/>
      <c r="P53" s="1"/>
      <c r="R53" s="1"/>
      <c r="S53" s="1">
        <f t="shared" si="0"/>
        <v>1.1286527711289775</v>
      </c>
      <c r="T53" s="1">
        <f t="shared" si="1"/>
        <v>1.9658986755480115E-5</v>
      </c>
      <c r="V53" s="1"/>
      <c r="W53" s="1"/>
      <c r="X53" s="1"/>
    </row>
    <row r="54" spans="7:24" ht="15.4" x14ac:dyDescent="0.4">
      <c r="G54" s="62"/>
      <c r="H54" s="1">
        <v>0.36</v>
      </c>
      <c r="I54" s="2">
        <v>4.0999999999999996</v>
      </c>
      <c r="J54" s="25">
        <v>3.9999999999999998E-7</v>
      </c>
      <c r="K54" s="1">
        <v>1.68</v>
      </c>
      <c r="L54" s="40">
        <v>200</v>
      </c>
      <c r="M54" s="1">
        <v>5.7590000000000003</v>
      </c>
      <c r="N54" s="1">
        <v>40.463414634146361</v>
      </c>
      <c r="O54" s="1"/>
      <c r="P54" s="1"/>
      <c r="R54" s="1"/>
      <c r="S54" s="1">
        <f t="shared" si="0"/>
        <v>2.7522810000000022</v>
      </c>
      <c r="T54" s="1">
        <f t="shared" si="1"/>
        <v>1.0517859370621749</v>
      </c>
      <c r="V54" s="1"/>
      <c r="W54" s="1"/>
      <c r="X54" s="1"/>
    </row>
    <row r="55" spans="7:24" ht="15.4" x14ac:dyDescent="0.4">
      <c r="G55" s="62" t="s">
        <v>117</v>
      </c>
      <c r="H55" s="1">
        <v>0.28999999999999998</v>
      </c>
      <c r="I55" s="2">
        <v>0.63800000000000001</v>
      </c>
      <c r="J55" s="25">
        <v>1.9999999999999999E-6</v>
      </c>
      <c r="K55" s="1">
        <v>0.2</v>
      </c>
      <c r="L55" s="40">
        <v>200</v>
      </c>
      <c r="M55" s="1">
        <v>0.78521543868686405</v>
      </c>
      <c r="N55" s="1">
        <v>23.074520170354866</v>
      </c>
      <c r="O55" s="1">
        <f>1.33299*((H55-2.22084E-17)/(1-2.22084E-17))^0.62867</f>
        <v>0.61214265202055174</v>
      </c>
      <c r="P55" s="1">
        <f>ABS(O55-I55)/I55*100</f>
        <v>4.0528758588476919</v>
      </c>
      <c r="R55" s="1"/>
      <c r="S55" s="1">
        <f t="shared" si="0"/>
        <v>2.1672385387765825E-2</v>
      </c>
      <c r="T55" s="1">
        <f t="shared" si="1"/>
        <v>5.9362098839581909</v>
      </c>
      <c r="V55" s="1"/>
      <c r="W55" s="1">
        <f t="shared" si="2"/>
        <v>6.6860244453027784E-4</v>
      </c>
      <c r="X55" s="1">
        <f>(I55-$V$2)^2</f>
        <v>14.725252474569244</v>
      </c>
    </row>
    <row r="56" spans="7:24" ht="15.4" x14ac:dyDescent="0.4">
      <c r="G56" s="62"/>
      <c r="H56" s="1">
        <v>0.38</v>
      </c>
      <c r="I56" s="2">
        <v>1.03</v>
      </c>
      <c r="J56" s="25">
        <v>1.9999999999999999E-6</v>
      </c>
      <c r="K56" s="1">
        <v>0.2</v>
      </c>
      <c r="L56" s="40">
        <v>200</v>
      </c>
      <c r="M56" s="1">
        <v>1.21084344045801</v>
      </c>
      <c r="N56" s="1">
        <v>17.557615578447567</v>
      </c>
      <c r="O56" s="1">
        <f>1.33299*((H56-2.22084E-17)/(1-2.22084E-17))^0.62867</f>
        <v>0.7255200938430012</v>
      </c>
      <c r="P56" s="1">
        <f>ABS(O56-I56)/I56*100</f>
        <v>29.561155937572703</v>
      </c>
      <c r="R56" s="1"/>
      <c r="S56" s="1">
        <f t="shared" si="0"/>
        <v>3.2704349956689784E-2</v>
      </c>
      <c r="T56" s="1">
        <f t="shared" si="1"/>
        <v>4.1797097490121375</v>
      </c>
      <c r="V56" s="1"/>
      <c r="W56" s="1">
        <f t="shared" si="2"/>
        <v>9.2708013253374813E-2</v>
      </c>
      <c r="X56" s="1">
        <f>(I56-$V$2)^2</f>
        <v>11.870434334850138</v>
      </c>
    </row>
    <row r="57" spans="7:24" ht="15.4" x14ac:dyDescent="0.4">
      <c r="G57" s="62"/>
      <c r="H57" s="1">
        <v>0.49</v>
      </c>
      <c r="I57" s="2">
        <v>1.6850000000000001</v>
      </c>
      <c r="J57" s="25">
        <v>1.9999999999999999E-6</v>
      </c>
      <c r="K57" s="1">
        <v>0.2</v>
      </c>
      <c r="L57" s="40">
        <v>200</v>
      </c>
      <c r="M57" s="1">
        <v>1.3123188527269201</v>
      </c>
      <c r="N57" s="1">
        <v>22.117575505820771</v>
      </c>
      <c r="O57" s="1">
        <f>1.33299*((H57-2.22084E-17)/(1-2.22084E-17))^0.62867</f>
        <v>0.85126045920228899</v>
      </c>
      <c r="P57" s="1">
        <f>ABS(O57-I57)/I57*100</f>
        <v>49.480091442000656</v>
      </c>
      <c r="R57" s="1"/>
      <c r="S57" s="1">
        <f t="shared" si="0"/>
        <v>0.13889123753277913</v>
      </c>
      <c r="T57" s="1">
        <f t="shared" si="1"/>
        <v>1.9305264112833991</v>
      </c>
      <c r="V57" s="1"/>
      <c r="W57" s="1">
        <f t="shared" si="2"/>
        <v>0.69512162188957816</v>
      </c>
      <c r="X57" s="1">
        <f>(I57-$V$2)^2</f>
        <v>7.7860512697582713</v>
      </c>
    </row>
    <row r="58" spans="7:24" ht="15.4" x14ac:dyDescent="0.4">
      <c r="G58" s="62"/>
      <c r="H58" s="1">
        <v>0.05</v>
      </c>
      <c r="I58" s="2">
        <v>0.22700000000000001</v>
      </c>
      <c r="J58" s="25">
        <v>1.9999999999999999E-6</v>
      </c>
      <c r="K58" s="1">
        <v>0.2</v>
      </c>
      <c r="L58" s="40">
        <v>200</v>
      </c>
      <c r="M58" s="1">
        <v>0.22722292703562214</v>
      </c>
      <c r="N58" s="1">
        <v>9.8205742564814097E-2</v>
      </c>
      <c r="O58" s="1"/>
      <c r="P58" s="1"/>
      <c r="R58" s="1"/>
      <c r="S58" s="1">
        <f t="shared" si="0"/>
        <v>4.9696463211269534E-8</v>
      </c>
      <c r="T58" s="1">
        <f t="shared" si="1"/>
        <v>8.1078795050368342</v>
      </c>
      <c r="V58" s="1"/>
      <c r="W58" s="1"/>
      <c r="X58" s="1"/>
    </row>
    <row r="59" spans="7:24" ht="15.4" x14ac:dyDescent="0.4">
      <c r="G59" s="62"/>
      <c r="H59" s="1">
        <v>9.7000000000000003E-2</v>
      </c>
      <c r="I59" s="2">
        <v>0.309</v>
      </c>
      <c r="J59" s="25">
        <v>1.9999999999999999E-6</v>
      </c>
      <c r="K59" s="1">
        <v>0.2</v>
      </c>
      <c r="L59" s="40">
        <v>200</v>
      </c>
      <c r="M59" s="1">
        <v>0.26055266111649938</v>
      </c>
      <c r="N59" s="1">
        <v>15.678750447734826</v>
      </c>
      <c r="O59" s="1"/>
      <c r="P59" s="1"/>
      <c r="R59" s="1"/>
      <c r="S59" s="1">
        <f t="shared" si="0"/>
        <v>2.3471446448927505E-3</v>
      </c>
      <c r="T59" s="1">
        <f t="shared" si="1"/>
        <v>7.6476243543593414</v>
      </c>
      <c r="V59" s="1"/>
      <c r="W59" s="1"/>
      <c r="X59" s="1"/>
    </row>
    <row r="60" spans="7:24" ht="15.4" x14ac:dyDescent="0.4">
      <c r="G60" s="62"/>
      <c r="H60" s="1">
        <v>0.15</v>
      </c>
      <c r="I60" s="2">
        <v>0.35</v>
      </c>
      <c r="J60" s="25">
        <v>1.9999999999999999E-6</v>
      </c>
      <c r="K60" s="1">
        <v>0.2</v>
      </c>
      <c r="L60" s="40">
        <v>200</v>
      </c>
      <c r="M60" s="1">
        <v>0.35200229428178409</v>
      </c>
      <c r="N60" s="1">
        <v>0.57208408050974624</v>
      </c>
      <c r="O60" s="1"/>
      <c r="P60" s="1"/>
      <c r="R60" s="1"/>
      <c r="S60" s="1">
        <f t="shared" si="0"/>
        <v>4.0091823908653513E-6</v>
      </c>
      <c r="T60" s="1">
        <f t="shared" si="1"/>
        <v>7.4225397790205969</v>
      </c>
      <c r="V60" s="1"/>
      <c r="W60" s="1"/>
      <c r="X60" s="1"/>
    </row>
    <row r="61" spans="7:24" ht="15.4" x14ac:dyDescent="0.4">
      <c r="G61" s="62"/>
      <c r="H61" s="1">
        <v>0.21</v>
      </c>
      <c r="I61" s="2">
        <v>0.53300000000000003</v>
      </c>
      <c r="J61" s="25">
        <v>1.9999999999999999E-6</v>
      </c>
      <c r="K61" s="1">
        <v>0.2</v>
      </c>
      <c r="L61" s="40">
        <v>200</v>
      </c>
      <c r="M61" s="1">
        <v>0.55960167353843104</v>
      </c>
      <c r="N61" s="1">
        <v>4.9909331216568509</v>
      </c>
      <c r="O61" s="1"/>
      <c r="P61" s="1"/>
      <c r="R61" s="1"/>
      <c r="S61" s="1">
        <f t="shared" si="0"/>
        <v>7.0764903504526083E-4</v>
      </c>
      <c r="T61" s="1">
        <f t="shared" si="1"/>
        <v>6.4588859915330268</v>
      </c>
      <c r="V61" s="1"/>
      <c r="W61" s="1"/>
      <c r="X61" s="1"/>
    </row>
    <row r="62" spans="7:24" ht="15.4" x14ac:dyDescent="0.4">
      <c r="G62" s="62" t="s">
        <v>118</v>
      </c>
      <c r="H62" s="1">
        <v>0.5</v>
      </c>
      <c r="I62" s="2">
        <v>1.1068702290076335</v>
      </c>
      <c r="J62" s="25">
        <v>3.0000000000000001E-5</v>
      </c>
      <c r="K62" s="1">
        <v>0.25600000000000001</v>
      </c>
      <c r="L62" s="40">
        <v>30</v>
      </c>
      <c r="M62" s="1">
        <v>0.85680000000000001</v>
      </c>
      <c r="N62" s="1">
        <v>22.592551724137927</v>
      </c>
      <c r="O62" s="1">
        <f>2.35584*((H62-3.3183E-16)/(1-3.3183E-16))^1.10412</f>
        <v>1.0959041022697731</v>
      </c>
      <c r="P62" s="1">
        <f>ABS(O62-I62)/I62*100</f>
        <v>0.99073282942049679</v>
      </c>
      <c r="R62" s="1"/>
      <c r="S62" s="1">
        <f t="shared" si="0"/>
        <v>6.2535119435930278E-2</v>
      </c>
      <c r="T62" s="1">
        <f t="shared" si="1"/>
        <v>3.8713065853162174</v>
      </c>
      <c r="V62" s="1"/>
      <c r="W62" s="1">
        <f t="shared" si="2"/>
        <v>1.2025593563081809E-4</v>
      </c>
      <c r="X62" s="1">
        <f>(I62-$V$2)^2</f>
        <v>11.346653730975365</v>
      </c>
    </row>
    <row r="63" spans="7:24" ht="15.4" x14ac:dyDescent="0.4">
      <c r="G63" s="62"/>
      <c r="H63" s="1">
        <v>0.1</v>
      </c>
      <c r="I63" s="2">
        <v>0.24529100529100534</v>
      </c>
      <c r="J63" s="25">
        <v>3.0000000000000001E-5</v>
      </c>
      <c r="K63" s="1">
        <v>0.25600000000000001</v>
      </c>
      <c r="L63" s="40">
        <v>30</v>
      </c>
      <c r="M63" s="1">
        <v>0.34039999999999998</v>
      </c>
      <c r="N63" s="1">
        <v>38.773943054357169</v>
      </c>
      <c r="O63" s="1"/>
      <c r="P63" s="1"/>
      <c r="R63" s="1"/>
      <c r="S63" s="1">
        <f t="shared" si="0"/>
        <v>9.0457208745555705E-3</v>
      </c>
      <c r="T63" s="1">
        <f t="shared" si="1"/>
        <v>8.004049210840277</v>
      </c>
      <c r="V63" s="1"/>
      <c r="W63" s="1"/>
      <c r="X63" s="1"/>
    </row>
    <row r="64" spans="7:24" ht="15.4" x14ac:dyDescent="0.4">
      <c r="G64" s="62"/>
      <c r="H64" s="1">
        <v>0.2</v>
      </c>
      <c r="I64" s="2">
        <v>0.34768292682926832</v>
      </c>
      <c r="J64" s="25">
        <v>3.0000000000000001E-5</v>
      </c>
      <c r="K64" s="1">
        <v>0.25600000000000001</v>
      </c>
      <c r="L64" s="40">
        <v>30</v>
      </c>
      <c r="M64" s="1">
        <v>0.48067619896058195</v>
      </c>
      <c r="N64" s="1">
        <v>38.251309416933417</v>
      </c>
      <c r="O64" s="1"/>
      <c r="P64" s="1"/>
      <c r="R64" s="1"/>
      <c r="S64" s="1">
        <f t="shared" si="0"/>
        <v>1.768721043219364E-2</v>
      </c>
      <c r="T64" s="1">
        <f t="shared" si="1"/>
        <v>7.435170572986797</v>
      </c>
      <c r="V64" s="1"/>
      <c r="W64" s="1"/>
      <c r="X64" s="1"/>
    </row>
    <row r="65" spans="7:24" ht="15.4" x14ac:dyDescent="0.4">
      <c r="G65" s="62"/>
      <c r="H65" s="1">
        <v>0.3</v>
      </c>
      <c r="I65" s="2">
        <v>0.61596958174904948</v>
      </c>
      <c r="J65" s="25">
        <v>3.0000000000000001E-5</v>
      </c>
      <c r="K65" s="1">
        <v>0.25600000000000001</v>
      </c>
      <c r="L65" s="40">
        <v>30</v>
      </c>
      <c r="M65" s="1">
        <v>0.73099999999999998</v>
      </c>
      <c r="N65" s="1">
        <v>18.674691358024678</v>
      </c>
      <c r="O65" s="1"/>
      <c r="P65" s="1"/>
      <c r="R65" s="1"/>
      <c r="S65" s="1">
        <f t="shared" si="0"/>
        <v>1.3231997122988608E-2</v>
      </c>
      <c r="T65" s="1">
        <f t="shared" si="1"/>
        <v>6.0440465366049372</v>
      </c>
      <c r="V65" s="1"/>
      <c r="W65" s="1"/>
      <c r="X65" s="1"/>
    </row>
    <row r="66" spans="7:24" ht="15.4" x14ac:dyDescent="0.4">
      <c r="G66" s="62"/>
      <c r="H66" s="1">
        <v>0.4</v>
      </c>
      <c r="I66" s="2">
        <v>0.8727272727272728</v>
      </c>
      <c r="J66" s="25">
        <v>3.0000000000000001E-5</v>
      </c>
      <c r="K66" s="1">
        <v>0.25600000000000001</v>
      </c>
      <c r="L66" s="40">
        <v>30</v>
      </c>
      <c r="M66" s="1">
        <v>0.79710000000000003</v>
      </c>
      <c r="N66" s="1">
        <v>8.6656250000000039</v>
      </c>
      <c r="O66" s="1"/>
      <c r="P66" s="1"/>
      <c r="R66" s="1"/>
      <c r="S66" s="1">
        <f t="shared" si="0"/>
        <v>5.7194843801652946E-3</v>
      </c>
      <c r="T66" s="1">
        <f t="shared" si="1"/>
        <v>4.8475118330065587</v>
      </c>
      <c r="V66" s="1"/>
      <c r="W66" s="1"/>
      <c r="X66" s="1"/>
    </row>
    <row r="67" spans="7:24" ht="18.75" customHeight="1" x14ac:dyDescent="0.4">
      <c r="G67" s="62" t="s">
        <v>119</v>
      </c>
      <c r="H67" s="1">
        <v>0.5</v>
      </c>
      <c r="I67" s="2">
        <v>0.86274509803921573</v>
      </c>
      <c r="J67" s="25">
        <v>1.0000000000000001E-5</v>
      </c>
      <c r="K67" s="1">
        <v>0.25600000000000001</v>
      </c>
      <c r="L67" s="40">
        <v>30</v>
      </c>
      <c r="M67" s="1">
        <v>0.40570000000000001</v>
      </c>
      <c r="N67" s="1">
        <v>52.975681818181819</v>
      </c>
      <c r="O67" s="1">
        <f>1.33381*((H67-0.000000000000001)/(1-0.000000000000001))^0.79934</f>
        <v>0.76642321735182362</v>
      </c>
      <c r="P67" s="1">
        <f>ABS(O67-I67)/I67*100</f>
        <v>11.164581625129539</v>
      </c>
      <c r="R67" s="1"/>
      <c r="S67" s="1">
        <f t="shared" ref="S67:S88" si="9">(M67-I67)^2</f>
        <v>0.20889022164167631</v>
      </c>
      <c r="T67" s="1">
        <f t="shared" ref="T67:T88" si="10">(I67-$R$2)^2</f>
        <v>4.8915671160624683</v>
      </c>
      <c r="V67" s="1"/>
      <c r="W67" s="1">
        <f>(O67-I67)^2</f>
        <v>9.2779046991562017E-3</v>
      </c>
      <c r="X67" s="1">
        <f>(I67-$V$2)^2</f>
        <v>13.050911778967004</v>
      </c>
    </row>
    <row r="68" spans="7:24" ht="18.75" customHeight="1" x14ac:dyDescent="0.4">
      <c r="G68" s="62"/>
      <c r="H68" s="1">
        <v>0.1</v>
      </c>
      <c r="I68" s="2">
        <v>0.25738303876429502</v>
      </c>
      <c r="J68" s="25">
        <v>1.0000000000000001E-5</v>
      </c>
      <c r="K68" s="1">
        <v>0.25600000000000001</v>
      </c>
      <c r="L68" s="40">
        <v>30</v>
      </c>
      <c r="M68" s="1">
        <v>0.31319999999999998</v>
      </c>
      <c r="N68" s="1">
        <v>21.686340134798368</v>
      </c>
      <c r="O68" s="1"/>
      <c r="P68" s="1"/>
      <c r="R68" s="1"/>
      <c r="S68" s="1">
        <f t="shared" si="9"/>
        <v>3.1155331615881896E-3</v>
      </c>
      <c r="T68" s="1">
        <f t="shared" si="10"/>
        <v>7.9357752482624608</v>
      </c>
      <c r="V68" s="1"/>
      <c r="W68" s="1"/>
      <c r="X68" s="1"/>
    </row>
    <row r="69" spans="7:24" ht="18.75" customHeight="1" x14ac:dyDescent="0.4">
      <c r="G69" s="62"/>
      <c r="H69" s="1">
        <v>0.2</v>
      </c>
      <c r="I69" s="2">
        <v>0.33857142857142858</v>
      </c>
      <c r="J69" s="25">
        <v>1.0000000000000001E-5</v>
      </c>
      <c r="K69" s="1">
        <v>0.25600000000000001</v>
      </c>
      <c r="L69" s="40">
        <v>30</v>
      </c>
      <c r="M69" s="1">
        <v>0.34570000000000001</v>
      </c>
      <c r="N69" s="1">
        <v>2.1054852320675104</v>
      </c>
      <c r="O69" s="1"/>
      <c r="P69" s="1"/>
      <c r="R69" s="1"/>
      <c r="S69" s="1">
        <f t="shared" si="9"/>
        <v>5.08165306122449E-5</v>
      </c>
      <c r="T69" s="1">
        <f t="shared" si="10"/>
        <v>7.4849431648790832</v>
      </c>
      <c r="V69" s="1"/>
      <c r="W69" s="1"/>
      <c r="X69" s="1"/>
    </row>
    <row r="70" spans="7:24" ht="18.75" customHeight="1" x14ac:dyDescent="0.4">
      <c r="G70" s="62"/>
      <c r="H70" s="1">
        <v>0.3</v>
      </c>
      <c r="I70" s="2">
        <v>0.47020833333333334</v>
      </c>
      <c r="J70" s="25">
        <v>1.0000000000000001E-5</v>
      </c>
      <c r="K70" s="1">
        <v>0.25600000000000001</v>
      </c>
      <c r="L70" s="40">
        <v>30</v>
      </c>
      <c r="M70" s="1">
        <v>0.3629</v>
      </c>
      <c r="N70" s="1">
        <v>22.821444395214886</v>
      </c>
      <c r="O70" s="1"/>
      <c r="P70" s="1"/>
      <c r="R70" s="1"/>
      <c r="S70" s="1">
        <f t="shared" si="9"/>
        <v>1.151507840277778E-2</v>
      </c>
      <c r="T70" s="1">
        <f t="shared" si="10"/>
        <v>6.7819905187117078</v>
      </c>
      <c r="V70" s="1"/>
      <c r="W70" s="1"/>
      <c r="X70" s="1"/>
    </row>
    <row r="71" spans="7:24" ht="18.75" customHeight="1" x14ac:dyDescent="0.4">
      <c r="G71" s="62"/>
      <c r="H71" s="1">
        <v>0.4</v>
      </c>
      <c r="I71" s="2">
        <v>0.67452830188679236</v>
      </c>
      <c r="J71" s="25">
        <v>1.0000000000000001E-5</v>
      </c>
      <c r="K71" s="1">
        <v>0.25600000000000001</v>
      </c>
      <c r="L71" s="40">
        <v>30</v>
      </c>
      <c r="M71" s="1">
        <v>0.3836</v>
      </c>
      <c r="N71" s="1">
        <v>43.130629370629364</v>
      </c>
      <c r="O71" s="1"/>
      <c r="P71" s="1"/>
      <c r="R71" s="1"/>
      <c r="S71" s="1">
        <f t="shared" si="9"/>
        <v>8.4639276838732597E-2</v>
      </c>
      <c r="T71" s="1">
        <f t="shared" si="10"/>
        <v>5.7595466187187769</v>
      </c>
      <c r="V71" s="1"/>
      <c r="W71" s="1"/>
      <c r="X71" s="1"/>
    </row>
    <row r="72" spans="7:24" ht="18.75" customHeight="1" x14ac:dyDescent="0.4">
      <c r="G72" s="62" t="s">
        <v>120</v>
      </c>
      <c r="H72" s="1">
        <v>0.65</v>
      </c>
      <c r="I72" s="2">
        <v>1.3980676439790578</v>
      </c>
      <c r="J72" s="25">
        <v>1.0000000000000001E-5</v>
      </c>
      <c r="K72" s="1">
        <v>0.14000000000000001</v>
      </c>
      <c r="L72" s="40">
        <v>30</v>
      </c>
      <c r="M72" s="1">
        <v>0.90949999999999998</v>
      </c>
      <c r="N72" s="1">
        <v>34.945923116319278</v>
      </c>
      <c r="O72" s="1">
        <f>2.45254*((H72-1.00026E-15)/(1-1.00026E-15))^1.43231</f>
        <v>1.3232747607637916</v>
      </c>
      <c r="P72" s="1">
        <f>ABS(O72-I72)/I72*100</f>
        <v>5.3497327927851375</v>
      </c>
      <c r="R72" s="1"/>
      <c r="S72" s="1">
        <f t="shared" si="9"/>
        <v>0.23869834274324742</v>
      </c>
      <c r="T72" s="1">
        <f t="shared" si="10"/>
        <v>2.8102036419184384</v>
      </c>
      <c r="V72" s="1"/>
      <c r="W72" s="1">
        <f>(O72-I72)^2</f>
        <v>5.593975379652452E-3</v>
      </c>
      <c r="X72" s="1">
        <f>(I72-$V$2)^2</f>
        <v>9.4696646554181871</v>
      </c>
    </row>
    <row r="73" spans="7:24" ht="18.75" customHeight="1" x14ac:dyDescent="0.4">
      <c r="G73" s="62"/>
      <c r="H73" s="1">
        <v>0.45</v>
      </c>
      <c r="I73" s="2">
        <v>0.79755054814814796</v>
      </c>
      <c r="J73" s="25">
        <v>1.0000000000000001E-5</v>
      </c>
      <c r="K73" s="1">
        <v>0.14000000000000001</v>
      </c>
      <c r="L73" s="40">
        <v>30</v>
      </c>
      <c r="M73" s="1">
        <v>0.79930000000000001</v>
      </c>
      <c r="N73" s="1">
        <v>0.21935310005292344</v>
      </c>
      <c r="O73" s="1"/>
      <c r="P73" s="1"/>
      <c r="R73" s="1"/>
      <c r="S73" s="1">
        <f t="shared" si="9"/>
        <v>3.0605817819485543E-6</v>
      </c>
      <c r="T73" s="1">
        <f t="shared" si="10"/>
        <v>5.1841975501899737</v>
      </c>
      <c r="V73" s="1"/>
      <c r="W73" s="1"/>
      <c r="X73" s="1"/>
    </row>
    <row r="74" spans="7:24" ht="18.75" customHeight="1" x14ac:dyDescent="0.4">
      <c r="G74" s="62"/>
      <c r="H74" s="1">
        <v>0.5</v>
      </c>
      <c r="I74" s="2">
        <v>0.90529599999999999</v>
      </c>
      <c r="J74" s="25">
        <v>1.0000000000000001E-5</v>
      </c>
      <c r="K74" s="1">
        <v>0.14000000000000001</v>
      </c>
      <c r="L74" s="40">
        <v>30</v>
      </c>
      <c r="M74" s="1">
        <v>0.82909999999999995</v>
      </c>
      <c r="N74" s="1">
        <v>8.4166946501475817</v>
      </c>
      <c r="O74" s="1"/>
      <c r="P74" s="1"/>
      <c r="R74" s="1"/>
      <c r="S74" s="1">
        <f t="shared" si="9"/>
        <v>5.8058304160000067E-3</v>
      </c>
      <c r="T74" s="1">
        <f t="shared" si="10"/>
        <v>4.7051589931901594</v>
      </c>
      <c r="V74" s="1"/>
      <c r="W74" s="1"/>
      <c r="X74" s="1"/>
    </row>
    <row r="75" spans="7:24" ht="18.75" customHeight="1" x14ac:dyDescent="0.4">
      <c r="G75" s="62"/>
      <c r="H75" s="1">
        <v>0.55000000000000004</v>
      </c>
      <c r="I75" s="2">
        <v>1.0081315244239633</v>
      </c>
      <c r="J75" s="25">
        <v>1.0000000000000001E-5</v>
      </c>
      <c r="K75" s="1">
        <v>0.14000000000000001</v>
      </c>
      <c r="L75" s="40">
        <v>30</v>
      </c>
      <c r="M75" s="1">
        <v>0.85719999999999996</v>
      </c>
      <c r="N75" s="1">
        <v>14.971412039734014</v>
      </c>
      <c r="O75" s="1"/>
      <c r="P75" s="1"/>
      <c r="R75" s="1"/>
      <c r="S75" s="1">
        <f t="shared" si="9"/>
        <v>2.2780325064941428E-2</v>
      </c>
      <c r="T75" s="1">
        <f t="shared" si="10"/>
        <v>4.2696052824745676</v>
      </c>
      <c r="V75" s="1"/>
      <c r="W75" s="1"/>
      <c r="X75" s="1"/>
    </row>
    <row r="76" spans="7:24" ht="18.75" customHeight="1" x14ac:dyDescent="0.4">
      <c r="G76" s="62"/>
      <c r="H76" s="1">
        <v>0.6</v>
      </c>
      <c r="I76" s="2">
        <v>1.2015676235294119</v>
      </c>
      <c r="J76" s="25">
        <v>1.0000000000000001E-5</v>
      </c>
      <c r="K76" s="1">
        <v>0.14000000000000001</v>
      </c>
      <c r="L76" s="40">
        <v>30</v>
      </c>
      <c r="M76" s="1">
        <v>0.88400000000000001</v>
      </c>
      <c r="N76" s="1">
        <v>26.429442447575944</v>
      </c>
      <c r="O76" s="1"/>
      <c r="P76" s="1"/>
      <c r="R76" s="1"/>
      <c r="S76" s="1">
        <f t="shared" si="9"/>
        <v>0.10084919551411831</v>
      </c>
      <c r="T76" s="1">
        <f t="shared" si="10"/>
        <v>3.5076278857521919</v>
      </c>
      <c r="V76" s="1"/>
      <c r="W76" s="1"/>
      <c r="X76" s="1"/>
    </row>
    <row r="77" spans="7:24" ht="18.75" customHeight="1" x14ac:dyDescent="0.4">
      <c r="G77" s="62" t="s">
        <v>121</v>
      </c>
      <c r="H77" s="1">
        <v>0.65</v>
      </c>
      <c r="I77" s="2">
        <v>3.6082632705882354</v>
      </c>
      <c r="J77" s="25">
        <v>1.0000000000000001E-5</v>
      </c>
      <c r="K77" s="1">
        <v>0.37</v>
      </c>
      <c r="L77" s="40">
        <v>30</v>
      </c>
      <c r="M77" s="1">
        <v>2.8885999999999998</v>
      </c>
      <c r="N77" s="1">
        <v>19.944865898626983</v>
      </c>
      <c r="O77" s="1">
        <f>4.69566*((H77-0.000000000000001)/(1-0.000000000000001))^0.63048</f>
        <v>3.5788397829888825</v>
      </c>
      <c r="P77" s="1">
        <f>ABS(O77-I77)/I77*100</f>
        <v>0.81544736048476085</v>
      </c>
      <c r="R77" s="1"/>
      <c r="S77" s="1">
        <f t="shared" si="9"/>
        <v>0.51791522303375592</v>
      </c>
      <c r="T77" s="1">
        <f t="shared" si="10"/>
        <v>0.28497385498918892</v>
      </c>
      <c r="V77" s="1"/>
      <c r="W77" s="1">
        <f>(O77-I77)^2</f>
        <v>8.6574162250927216E-4</v>
      </c>
      <c r="X77" s="1">
        <f>(I77-$V$2)^2</f>
        <v>0.7518388205922244</v>
      </c>
    </row>
    <row r="78" spans="7:24" ht="18.75" customHeight="1" x14ac:dyDescent="0.4">
      <c r="G78" s="62"/>
      <c r="H78" s="1">
        <v>0.7</v>
      </c>
      <c r="I78" s="2">
        <v>4.0682268000000006</v>
      </c>
      <c r="J78" s="25">
        <v>1.0000000000000001E-5</v>
      </c>
      <c r="K78" s="1">
        <v>0.37</v>
      </c>
      <c r="L78" s="40">
        <v>30</v>
      </c>
      <c r="M78" s="1">
        <v>2.9807000000000001</v>
      </c>
      <c r="N78" s="1">
        <v>26.732206768806506</v>
      </c>
      <c r="O78" s="1">
        <f>4.69566*((H78-0.000000000000001)/(1-0.000000000000001))^0.63048</f>
        <v>3.7500240721655222</v>
      </c>
      <c r="P78" s="1">
        <f>ABS(O78-I78)/I78*100</f>
        <v>7.8216565466428341</v>
      </c>
      <c r="R78" s="1"/>
      <c r="S78" s="1">
        <f t="shared" si="9"/>
        <v>1.1827145407182409</v>
      </c>
      <c r="T78" s="1">
        <f t="shared" si="10"/>
        <v>0.98762443622610041</v>
      </c>
      <c r="V78" s="1"/>
      <c r="W78" s="1">
        <f>(O78-I78)^2</f>
        <v>0.10125297600130309</v>
      </c>
      <c r="X78" s="1">
        <f>(I78-$V$2)^2</f>
        <v>0.16574902965592209</v>
      </c>
    </row>
    <row r="79" spans="7:24" ht="18.75" customHeight="1" x14ac:dyDescent="0.4">
      <c r="G79" s="62"/>
      <c r="H79" s="1">
        <v>0.45</v>
      </c>
      <c r="I79" s="2">
        <v>2.8612805714285727</v>
      </c>
      <c r="J79" s="25">
        <v>1.0000000000000001E-5</v>
      </c>
      <c r="K79" s="1">
        <v>0.37</v>
      </c>
      <c r="L79" s="40">
        <v>30</v>
      </c>
      <c r="M79" s="1">
        <v>2.4725000000000001</v>
      </c>
      <c r="N79" s="1">
        <v>13.58764237631066</v>
      </c>
      <c r="O79" s="1"/>
      <c r="P79" s="1"/>
      <c r="R79" s="1"/>
      <c r="S79" s="1">
        <f t="shared" si="9"/>
        <v>0.15115033272032743</v>
      </c>
      <c r="T79" s="1">
        <f t="shared" si="10"/>
        <v>4.5434318287636291E-2</v>
      </c>
      <c r="V79" s="1"/>
      <c r="W79" s="1"/>
      <c r="X79" s="1"/>
    </row>
    <row r="80" spans="7:24" ht="18.75" customHeight="1" x14ac:dyDescent="0.4">
      <c r="G80" s="62"/>
      <c r="H80" s="1">
        <v>0.5</v>
      </c>
      <c r="I80" s="2">
        <v>3.0157259999999995</v>
      </c>
      <c r="J80" s="25">
        <v>1.0000000000000001E-5</v>
      </c>
      <c r="K80" s="1">
        <v>0.37</v>
      </c>
      <c r="L80" s="40">
        <v>30</v>
      </c>
      <c r="M80" s="1">
        <v>2.5853999999999999</v>
      </c>
      <c r="N80" s="1">
        <v>14.269399806215805</v>
      </c>
      <c r="O80" s="1"/>
      <c r="P80" s="1"/>
      <c r="R80" s="1"/>
      <c r="S80" s="1">
        <f t="shared" si="9"/>
        <v>0.1851804662759996</v>
      </c>
      <c r="T80" s="1">
        <f t="shared" si="10"/>
        <v>3.446611134342574E-3</v>
      </c>
      <c r="V80" s="1"/>
      <c r="W80" s="1"/>
      <c r="X80" s="1"/>
    </row>
    <row r="81" spans="7:24" ht="18.75" customHeight="1" x14ac:dyDescent="0.4">
      <c r="G81" s="62"/>
      <c r="H81" s="1">
        <v>0.55000000000000004</v>
      </c>
      <c r="I81" s="2">
        <v>3.1885493684210524</v>
      </c>
      <c r="J81" s="25">
        <v>1.0000000000000001E-5</v>
      </c>
      <c r="K81" s="1">
        <v>0.37</v>
      </c>
      <c r="L81" s="40">
        <v>30</v>
      </c>
      <c r="M81" s="1">
        <v>2.6917</v>
      </c>
      <c r="N81" s="1">
        <v>15.582301260309128</v>
      </c>
      <c r="O81" s="1"/>
      <c r="P81" s="1"/>
      <c r="R81" s="1"/>
      <c r="S81" s="1">
        <f t="shared" si="9"/>
        <v>0.24685929490039868</v>
      </c>
      <c r="T81" s="1">
        <f t="shared" si="10"/>
        <v>1.30223525499874E-2</v>
      </c>
      <c r="V81" s="1"/>
      <c r="W81" s="1"/>
      <c r="X81" s="1"/>
    </row>
    <row r="82" spans="7:24" ht="18.75" customHeight="1" x14ac:dyDescent="0.4">
      <c r="G82" s="62"/>
      <c r="H82" s="1">
        <v>0.6</v>
      </c>
      <c r="I82" s="2">
        <v>3.4298880000000009</v>
      </c>
      <c r="J82" s="25">
        <v>1.0000000000000001E-5</v>
      </c>
      <c r="K82" s="1">
        <v>0.37</v>
      </c>
      <c r="L82" s="40">
        <v>30</v>
      </c>
      <c r="M82" s="1">
        <v>2.7925</v>
      </c>
      <c r="N82" s="1">
        <v>18.583347327959419</v>
      </c>
      <c r="O82" s="1"/>
      <c r="P82" s="1"/>
      <c r="R82" s="1"/>
      <c r="S82" s="1">
        <f t="shared" si="9"/>
        <v>0.4062634625440012</v>
      </c>
      <c r="T82" s="1">
        <f t="shared" si="10"/>
        <v>0.12634765588416083</v>
      </c>
      <c r="V82" s="1"/>
      <c r="W82" s="1"/>
      <c r="X82" s="1"/>
    </row>
    <row r="83" spans="7:24" ht="18.75" customHeight="1" x14ac:dyDescent="0.4">
      <c r="G83" s="62" t="s">
        <v>122</v>
      </c>
      <c r="H83" s="2">
        <f>5/7</f>
        <v>0.7142857142857143</v>
      </c>
      <c r="I83" s="1">
        <v>16.79</v>
      </c>
      <c r="J83" s="25">
        <v>3.0000000000000001E-5</v>
      </c>
      <c r="K83" s="1">
        <v>3.2</v>
      </c>
      <c r="L83" s="40">
        <v>2000</v>
      </c>
      <c r="M83" s="1">
        <v>14.1025552461237</v>
      </c>
      <c r="N83" s="1">
        <v>16.006222476928524</v>
      </c>
      <c r="O83" s="1">
        <f>18.00239*((H83-0.000000000000001)/(1-0.000000000000001))^(0.56892)</f>
        <v>14.866029965398319</v>
      </c>
      <c r="P83" s="1">
        <f>ABS(O83-I83)/I83*100</f>
        <v>11.459023434197025</v>
      </c>
      <c r="R83" s="1"/>
      <c r="S83" s="1">
        <f t="shared" si="9"/>
        <v>7.2223593051372434</v>
      </c>
      <c r="T83" s="1">
        <f t="shared" si="10"/>
        <v>188.11675493587487</v>
      </c>
      <c r="V83" s="1"/>
      <c r="W83" s="1">
        <f>(O83-I83)^2</f>
        <v>3.701660694045191</v>
      </c>
      <c r="X83" s="1">
        <f>(I83-$V$2)^2</f>
        <v>151.65061279920457</v>
      </c>
    </row>
    <row r="84" spans="7:24" ht="18.75" customHeight="1" x14ac:dyDescent="0.4">
      <c r="G84" s="62"/>
      <c r="H84" s="2">
        <v>0.75</v>
      </c>
      <c r="I84" s="1">
        <v>18.96</v>
      </c>
      <c r="J84" s="25">
        <v>3.0000000000000001E-5</v>
      </c>
      <c r="K84" s="1">
        <v>3.2</v>
      </c>
      <c r="L84" s="40">
        <v>2000</v>
      </c>
      <c r="M84" s="1">
        <v>14.338164147667801</v>
      </c>
      <c r="N84" s="1">
        <v>24.376771373060127</v>
      </c>
      <c r="O84" s="1">
        <f>18.00239*((H84-0.000000000000001)/(1-0.000000000000001))^(0.56892)</f>
        <v>15.284457191258245</v>
      </c>
      <c r="P84" s="1">
        <f>ABS(O84-I84)/I84*100</f>
        <v>19.385774307709685</v>
      </c>
      <c r="R84" s="1"/>
      <c r="S84" s="1">
        <f t="shared" si="9"/>
        <v>21.361366645903317</v>
      </c>
      <c r="T84" s="1">
        <f t="shared" si="10"/>
        <v>252.35121204599497</v>
      </c>
      <c r="V84" s="1"/>
      <c r="W84" s="1">
        <f>(O84-I84)^2</f>
        <v>13.50961493889324</v>
      </c>
      <c r="X84" s="1">
        <f>(I84-$V$2)^2</f>
        <v>209.80509524004529</v>
      </c>
    </row>
    <row r="85" spans="7:24" ht="18.75" customHeight="1" x14ac:dyDescent="0.4">
      <c r="G85" s="62"/>
      <c r="H85" s="2">
        <f>1/3</f>
        <v>0.33333333333333331</v>
      </c>
      <c r="I85" s="1">
        <v>9.6999999999999993</v>
      </c>
      <c r="J85" s="25">
        <v>3.0000000000000001E-5</v>
      </c>
      <c r="K85" s="1">
        <v>3.2</v>
      </c>
      <c r="L85" s="40">
        <v>2000</v>
      </c>
      <c r="M85" s="1">
        <v>11.1489067273143</v>
      </c>
      <c r="N85" s="1">
        <v>14.937182755817529</v>
      </c>
      <c r="O85" s="1"/>
      <c r="P85" s="1"/>
      <c r="R85" s="1"/>
      <c r="S85" s="1">
        <f t="shared" si="9"/>
        <v>2.0993307044566363</v>
      </c>
      <c r="T85" s="1">
        <f t="shared" si="10"/>
        <v>43.898126866404262</v>
      </c>
      <c r="V85" s="1"/>
      <c r="W85" s="1"/>
      <c r="X85" s="1"/>
    </row>
    <row r="86" spans="7:24" ht="18.75" customHeight="1" x14ac:dyDescent="0.4">
      <c r="G86" s="62"/>
      <c r="H86" s="2">
        <f>2/4</f>
        <v>0.5</v>
      </c>
      <c r="I86" s="1">
        <v>12.03</v>
      </c>
      <c r="J86" s="25">
        <v>3.0000000000000001E-5</v>
      </c>
      <c r="K86" s="1">
        <v>3.2</v>
      </c>
      <c r="L86" s="40">
        <v>2000</v>
      </c>
      <c r="M86" s="1">
        <v>12.5552402284584</v>
      </c>
      <c r="N86" s="1">
        <v>4.3660866871022508</v>
      </c>
      <c r="O86" s="1"/>
      <c r="P86" s="1"/>
      <c r="R86" s="1"/>
      <c r="S86" s="1">
        <f t="shared" si="9"/>
        <v>0.27587729759103308</v>
      </c>
      <c r="T86" s="1">
        <f t="shared" si="10"/>
        <v>80.202165145934103</v>
      </c>
      <c r="V86" s="1"/>
      <c r="W86" s="1"/>
      <c r="X86" s="1"/>
    </row>
    <row r="87" spans="7:24" ht="18.75" customHeight="1" x14ac:dyDescent="0.4">
      <c r="G87" s="62"/>
      <c r="H87" s="2">
        <f>3/5</f>
        <v>0.6</v>
      </c>
      <c r="I87" s="1">
        <v>13.42</v>
      </c>
      <c r="J87" s="25">
        <v>3.0000000000000001E-5</v>
      </c>
      <c r="K87" s="1">
        <v>3.2</v>
      </c>
      <c r="L87" s="40">
        <v>2000</v>
      </c>
      <c r="M87" s="1">
        <v>13.305773693628501</v>
      </c>
      <c r="N87" s="1">
        <v>0.85116472706035196</v>
      </c>
      <c r="O87" s="1"/>
      <c r="P87" s="1"/>
      <c r="R87" s="1"/>
      <c r="S87" s="1">
        <f t="shared" si="9"/>
        <v>1.3047649067275603E-2</v>
      </c>
      <c r="T87" s="1">
        <f t="shared" si="10"/>
        <v>107.03073905518151</v>
      </c>
      <c r="V87" s="1"/>
      <c r="W87" s="1"/>
      <c r="X87" s="1"/>
    </row>
    <row r="88" spans="7:24" ht="18.75" customHeight="1" x14ac:dyDescent="0.4">
      <c r="G88" s="62"/>
      <c r="H88" s="2">
        <f>4/6</f>
        <v>0.66666666666666663</v>
      </c>
      <c r="I88" s="1">
        <v>14.38</v>
      </c>
      <c r="J88" s="25">
        <v>3.0000000000000001E-5</v>
      </c>
      <c r="K88" s="1">
        <v>3.2</v>
      </c>
      <c r="L88" s="40">
        <v>2000</v>
      </c>
      <c r="M88" s="1">
        <v>13.7767071556879</v>
      </c>
      <c r="N88" s="1">
        <v>4.195360530682203</v>
      </c>
      <c r="O88" s="1"/>
      <c r="P88" s="1"/>
      <c r="R88" s="1"/>
      <c r="S88" s="1">
        <f t="shared" si="9"/>
        <v>0.36396225599818477</v>
      </c>
      <c r="T88" s="1">
        <f t="shared" si="10"/>
        <v>127.81582607164019</v>
      </c>
      <c r="V88" s="1"/>
      <c r="W88" s="1"/>
      <c r="X88" s="1"/>
    </row>
    <row r="89" spans="7:24" ht="15.4" x14ac:dyDescent="0.4">
      <c r="H89" s="4"/>
      <c r="J89" s="26"/>
      <c r="R89" s="1"/>
      <c r="S89" s="1"/>
      <c r="V89" s="1"/>
      <c r="W89" s="1"/>
    </row>
    <row r="90" spans="7:24" ht="15.4" x14ac:dyDescent="0.4">
      <c r="H90" s="4"/>
      <c r="J90" s="26"/>
      <c r="R90" s="1"/>
      <c r="S90" s="1"/>
      <c r="V90" s="1"/>
      <c r="W90" s="1"/>
    </row>
    <row r="91" spans="7:24" ht="15.4" x14ac:dyDescent="0.4">
      <c r="H91" s="4"/>
      <c r="J91" s="26"/>
      <c r="R91" s="1"/>
      <c r="S91" s="1"/>
      <c r="V91" s="1"/>
      <c r="W91" s="1"/>
    </row>
    <row r="92" spans="7:24" ht="15.4" x14ac:dyDescent="0.4">
      <c r="H92" s="4"/>
      <c r="J92" s="26"/>
      <c r="R92" s="1"/>
      <c r="S92" s="1"/>
      <c r="V92" s="1"/>
      <c r="W92" s="1"/>
    </row>
    <row r="93" spans="7:24" ht="15.4" x14ac:dyDescent="0.4">
      <c r="H93" s="4"/>
      <c r="J93" s="26"/>
      <c r="R93" s="1"/>
      <c r="S93" s="1"/>
      <c r="V93" s="1"/>
      <c r="W93" s="1"/>
    </row>
    <row r="94" spans="7:24" ht="15.4" x14ac:dyDescent="0.4">
      <c r="H94" s="4"/>
      <c r="J94" s="26"/>
      <c r="R94" s="1"/>
      <c r="S94" s="1"/>
      <c r="V94" s="1"/>
      <c r="W94" s="1"/>
    </row>
    <row r="95" spans="7:24" ht="15.4" x14ac:dyDescent="0.4">
      <c r="H95" s="4"/>
      <c r="J95" s="26"/>
      <c r="R95" s="1"/>
      <c r="S95" s="1"/>
      <c r="V95" s="1"/>
      <c r="W95" s="1"/>
    </row>
    <row r="96" spans="7:24" ht="15.4" x14ac:dyDescent="0.4">
      <c r="H96" s="4"/>
      <c r="J96" s="26"/>
      <c r="R96" s="1"/>
      <c r="S96" s="1"/>
      <c r="V96" s="1"/>
      <c r="W96" s="1"/>
    </row>
    <row r="97" spans="7:23" ht="15.4" x14ac:dyDescent="0.4">
      <c r="H97" s="4"/>
      <c r="J97" s="26"/>
      <c r="R97" s="1"/>
      <c r="S97" s="1"/>
      <c r="V97" s="1"/>
      <c r="W97" s="1"/>
    </row>
    <row r="98" spans="7:23" ht="15.4" x14ac:dyDescent="0.4">
      <c r="R98" s="1"/>
      <c r="S98" s="1"/>
      <c r="V98" s="1"/>
      <c r="W98" s="1"/>
    </row>
    <row r="99" spans="7:23" ht="15.4" x14ac:dyDescent="0.4">
      <c r="H99" s="4"/>
      <c r="J99" s="26"/>
      <c r="R99" s="1"/>
      <c r="S99" s="1"/>
      <c r="V99" s="1"/>
      <c r="W99" s="1"/>
    </row>
    <row r="100" spans="7:23" ht="15.4" x14ac:dyDescent="0.4">
      <c r="H100" s="4"/>
      <c r="J100" s="26"/>
      <c r="R100" s="1"/>
      <c r="S100" s="1"/>
      <c r="V100" s="1"/>
      <c r="W100" s="1"/>
    </row>
    <row r="101" spans="7:23" ht="15.4" x14ac:dyDescent="0.4">
      <c r="H101" s="4"/>
      <c r="J101" s="26"/>
      <c r="R101" s="1"/>
      <c r="S101" s="1"/>
      <c r="V101" s="1"/>
      <c r="W101" s="1"/>
    </row>
    <row r="102" spans="7:23" ht="15.4" x14ac:dyDescent="0.4">
      <c r="H102" s="4"/>
      <c r="J102" s="26"/>
      <c r="R102" s="1"/>
      <c r="S102" s="1"/>
      <c r="V102" s="1"/>
      <c r="W102" s="1"/>
    </row>
    <row r="103" spans="7:23" ht="15.4" x14ac:dyDescent="0.4">
      <c r="H103" s="4"/>
      <c r="J103" s="26"/>
      <c r="R103" s="1"/>
      <c r="S103" s="1"/>
      <c r="V103" s="1"/>
      <c r="W103" s="1"/>
    </row>
    <row r="104" spans="7:23" ht="15.4" x14ac:dyDescent="0.4">
      <c r="H104" s="4"/>
      <c r="J104" s="26"/>
      <c r="R104" s="1"/>
      <c r="S104" s="1"/>
      <c r="V104" s="1"/>
      <c r="W104" s="1"/>
    </row>
    <row r="105" spans="7:23" ht="15.4" x14ac:dyDescent="0.4">
      <c r="H105" s="4"/>
      <c r="J105" s="26"/>
      <c r="R105" s="1"/>
      <c r="S105" s="1"/>
      <c r="V105" s="1"/>
      <c r="W105" s="1"/>
    </row>
    <row r="106" spans="7:23" ht="15.4" x14ac:dyDescent="0.4">
      <c r="G106" s="57"/>
      <c r="H106" s="3"/>
      <c r="I106" s="3"/>
      <c r="J106" s="26"/>
      <c r="K106" s="4"/>
      <c r="L106" s="28"/>
      <c r="M106" s="4"/>
      <c r="N106" s="4"/>
      <c r="O106" s="4"/>
      <c r="P106" s="4"/>
      <c r="R106" s="1"/>
      <c r="S106" s="1"/>
      <c r="V106" s="1"/>
      <c r="W106" s="1"/>
    </row>
    <row r="107" spans="7:23" ht="15.4" x14ac:dyDescent="0.4">
      <c r="G107" s="57"/>
      <c r="H107" s="41"/>
      <c r="J107" s="26"/>
      <c r="R107" s="1"/>
      <c r="S107" s="1"/>
      <c r="V107" s="1"/>
      <c r="W107" s="1"/>
    </row>
    <row r="108" spans="7:23" ht="15.4" x14ac:dyDescent="0.4">
      <c r="H108" s="4"/>
      <c r="J108" s="26"/>
      <c r="R108" s="1"/>
      <c r="S108" s="1"/>
      <c r="V108" s="1"/>
      <c r="W108" s="1"/>
    </row>
    <row r="109" spans="7:23" ht="15.4" x14ac:dyDescent="0.4">
      <c r="R109" s="1"/>
      <c r="S109" s="1"/>
      <c r="V109" s="1"/>
      <c r="W109" s="1"/>
    </row>
    <row r="110" spans="7:23" ht="15.4" x14ac:dyDescent="0.4">
      <c r="R110" s="1"/>
      <c r="S110" s="1"/>
      <c r="V110" s="1"/>
      <c r="W110" s="1"/>
    </row>
    <row r="111" spans="7:23" ht="15.4" x14ac:dyDescent="0.4">
      <c r="R111" s="1"/>
      <c r="S111" s="1"/>
      <c r="V111" s="1"/>
      <c r="W111" s="1"/>
    </row>
    <row r="112" spans="7:23" ht="15.4" x14ac:dyDescent="0.4">
      <c r="R112" s="1"/>
      <c r="S112" s="1"/>
      <c r="V112" s="1"/>
      <c r="W112" s="1"/>
    </row>
    <row r="113" spans="18:23" ht="15.4" x14ac:dyDescent="0.4">
      <c r="R113" s="1"/>
      <c r="S113" s="1"/>
      <c r="V113" s="1"/>
      <c r="W113" s="1"/>
    </row>
    <row r="114" spans="18:23" ht="15.4" x14ac:dyDescent="0.4">
      <c r="R114" s="1"/>
      <c r="S114" s="1"/>
      <c r="V114" s="1"/>
      <c r="W114" s="1"/>
    </row>
    <row r="115" spans="18:23" ht="15.4" x14ac:dyDescent="0.4">
      <c r="R115" s="1"/>
      <c r="S115" s="1"/>
      <c r="V115" s="1"/>
      <c r="W115" s="1"/>
    </row>
    <row r="116" spans="18:23" ht="15.4" x14ac:dyDescent="0.4">
      <c r="R116" s="1"/>
      <c r="S116" s="1"/>
      <c r="V116" s="1"/>
      <c r="W116" s="1"/>
    </row>
    <row r="117" spans="18:23" ht="15.4" x14ac:dyDescent="0.4">
      <c r="R117" s="1"/>
      <c r="S117" s="1"/>
      <c r="V117" s="1"/>
      <c r="W117" s="1"/>
    </row>
    <row r="118" spans="18:23" ht="15.4" x14ac:dyDescent="0.4">
      <c r="R118" s="1"/>
      <c r="S118" s="1"/>
      <c r="V118" s="1"/>
      <c r="W118" s="1"/>
    </row>
    <row r="119" spans="18:23" ht="15.4" x14ac:dyDescent="0.4">
      <c r="R119" s="1"/>
      <c r="S119" s="1"/>
      <c r="V119" s="1"/>
      <c r="W119" s="1"/>
    </row>
    <row r="120" spans="18:23" ht="15.4" x14ac:dyDescent="0.4">
      <c r="R120" s="1"/>
      <c r="S120" s="1"/>
      <c r="V120" s="1"/>
      <c r="W120" s="1"/>
    </row>
    <row r="121" spans="18:23" ht="15.4" x14ac:dyDescent="0.4">
      <c r="R121" s="1"/>
      <c r="S121" s="1"/>
      <c r="V121" s="1"/>
      <c r="W121" s="1"/>
    </row>
    <row r="122" spans="18:23" ht="15.4" x14ac:dyDescent="0.4">
      <c r="R122" s="1"/>
      <c r="S122" s="1"/>
      <c r="V122" s="1"/>
      <c r="W122" s="1"/>
    </row>
    <row r="123" spans="18:23" ht="15.4" x14ac:dyDescent="0.4">
      <c r="R123" s="1"/>
      <c r="S123" s="1"/>
      <c r="V123" s="1"/>
      <c r="W123" s="1"/>
    </row>
    <row r="124" spans="18:23" ht="15.4" x14ac:dyDescent="0.4">
      <c r="R124" s="1"/>
      <c r="S124" s="1"/>
      <c r="V124" s="1"/>
      <c r="W124" s="1"/>
    </row>
    <row r="125" spans="18:23" ht="15.4" x14ac:dyDescent="0.4">
      <c r="R125" s="1"/>
      <c r="S125" s="1"/>
      <c r="V125" s="1"/>
      <c r="W125" s="1"/>
    </row>
    <row r="126" spans="18:23" ht="15.4" x14ac:dyDescent="0.4">
      <c r="R126" s="1"/>
      <c r="S126" s="1"/>
      <c r="V126" s="1"/>
      <c r="W126" s="1"/>
    </row>
    <row r="127" spans="18:23" ht="15.4" x14ac:dyDescent="0.4">
      <c r="R127" s="1"/>
      <c r="S127" s="1"/>
      <c r="V127" s="1"/>
      <c r="W127" s="1"/>
    </row>
    <row r="128" spans="18:23" ht="15.4" x14ac:dyDescent="0.4">
      <c r="R128" s="1"/>
      <c r="S128" s="1"/>
      <c r="V128" s="1"/>
      <c r="W128" s="1"/>
    </row>
    <row r="129" spans="18:23" ht="15.4" x14ac:dyDescent="0.4">
      <c r="R129" s="1"/>
      <c r="S129" s="1"/>
      <c r="V129" s="1"/>
      <c r="W129" s="1"/>
    </row>
    <row r="130" spans="18:23" ht="15.4" x14ac:dyDescent="0.4">
      <c r="R130" s="1"/>
      <c r="S130" s="1"/>
      <c r="V130" s="1"/>
      <c r="W130" s="1"/>
    </row>
    <row r="131" spans="18:23" ht="15.4" x14ac:dyDescent="0.4">
      <c r="R131" s="1"/>
      <c r="S131" s="1"/>
      <c r="V131" s="1"/>
      <c r="W131" s="1"/>
    </row>
    <row r="132" spans="18:23" ht="15.4" x14ac:dyDescent="0.4">
      <c r="R132" s="1"/>
      <c r="S132" s="1"/>
      <c r="V132" s="1"/>
      <c r="W132" s="1"/>
    </row>
    <row r="133" spans="18:23" ht="15.4" x14ac:dyDescent="0.4">
      <c r="R133" s="1"/>
      <c r="S133" s="1"/>
      <c r="V133" s="1"/>
      <c r="W133" s="1"/>
    </row>
    <row r="134" spans="18:23" ht="15.4" x14ac:dyDescent="0.4">
      <c r="R134" s="1"/>
      <c r="S134" s="1"/>
      <c r="V134" s="1"/>
      <c r="W134" s="1"/>
    </row>
    <row r="135" spans="18:23" ht="15.4" x14ac:dyDescent="0.4">
      <c r="R135" s="1"/>
      <c r="S135" s="1"/>
      <c r="V135" s="1"/>
      <c r="W135" s="1"/>
    </row>
    <row r="136" spans="18:23" ht="15.4" x14ac:dyDescent="0.4">
      <c r="R136" s="1"/>
      <c r="S136" s="1"/>
      <c r="V136" s="1"/>
      <c r="W136" s="1"/>
    </row>
    <row r="137" spans="18:23" ht="15.4" x14ac:dyDescent="0.4">
      <c r="R137" s="1"/>
      <c r="S137" s="1"/>
      <c r="V137" s="1"/>
      <c r="W137" s="1"/>
    </row>
    <row r="138" spans="18:23" ht="15.4" x14ac:dyDescent="0.4">
      <c r="R138" s="1"/>
      <c r="S138" s="1"/>
      <c r="V138" s="1"/>
      <c r="W138" s="1"/>
    </row>
    <row r="139" spans="18:23" ht="15.4" x14ac:dyDescent="0.4">
      <c r="R139" s="1"/>
      <c r="S139" s="1"/>
      <c r="V139" s="1"/>
      <c r="W139" s="1"/>
    </row>
    <row r="140" spans="18:23" ht="15.4" x14ac:dyDescent="0.4">
      <c r="R140" s="1"/>
      <c r="S140" s="1"/>
      <c r="V140" s="1"/>
      <c r="W140" s="1"/>
    </row>
    <row r="141" spans="18:23" ht="15.4" x14ac:dyDescent="0.4">
      <c r="R141" s="1"/>
      <c r="S141" s="1"/>
      <c r="V141" s="1"/>
      <c r="W141" s="1"/>
    </row>
    <row r="142" spans="18:23" ht="15.4" x14ac:dyDescent="0.4">
      <c r="R142" s="1"/>
      <c r="S142" s="1"/>
      <c r="V142" s="1"/>
      <c r="W142" s="1"/>
    </row>
    <row r="143" spans="18:23" ht="15.4" x14ac:dyDescent="0.4">
      <c r="R143" s="1"/>
      <c r="S143" s="1"/>
      <c r="V143" s="1"/>
      <c r="W143" s="1"/>
    </row>
    <row r="144" spans="18:23" ht="15.4" x14ac:dyDescent="0.4">
      <c r="R144" s="1"/>
      <c r="S144" s="1"/>
      <c r="V144" s="1"/>
      <c r="W144" s="1"/>
    </row>
    <row r="145" spans="18:23" ht="15.4" x14ac:dyDescent="0.4">
      <c r="R145" s="1"/>
      <c r="S145" s="1"/>
      <c r="V145" s="1"/>
      <c r="W145" s="1"/>
    </row>
    <row r="146" spans="18:23" ht="15.4" x14ac:dyDescent="0.4">
      <c r="R146" s="1"/>
      <c r="S146" s="1"/>
      <c r="V146" s="1"/>
      <c r="W146" s="1"/>
    </row>
    <row r="147" spans="18:23" ht="15.4" x14ac:dyDescent="0.4">
      <c r="R147" s="1"/>
      <c r="S147" s="1"/>
      <c r="V147" s="1"/>
      <c r="W147" s="1"/>
    </row>
    <row r="148" spans="18:23" ht="15.4" x14ac:dyDescent="0.4">
      <c r="R148" s="1"/>
      <c r="S148" s="1"/>
      <c r="V148" s="1"/>
      <c r="W148" s="1"/>
    </row>
    <row r="149" spans="18:23" ht="15.4" x14ac:dyDescent="0.4">
      <c r="R149" s="1"/>
      <c r="S149" s="1"/>
      <c r="V149" s="1"/>
      <c r="W149" s="1"/>
    </row>
    <row r="150" spans="18:23" ht="15.4" x14ac:dyDescent="0.4">
      <c r="R150" s="1"/>
      <c r="S150" s="1"/>
      <c r="V150" s="1"/>
      <c r="W150" s="1"/>
    </row>
    <row r="151" spans="18:23" ht="15.4" x14ac:dyDescent="0.4">
      <c r="R151" s="1"/>
      <c r="S151" s="1"/>
      <c r="V151" s="1"/>
      <c r="W151" s="1"/>
    </row>
    <row r="152" spans="18:23" ht="15.4" x14ac:dyDescent="0.4">
      <c r="R152" s="1"/>
      <c r="S152" s="1"/>
      <c r="V152" s="1"/>
      <c r="W152" s="1"/>
    </row>
    <row r="153" spans="18:23" ht="15.4" x14ac:dyDescent="0.4">
      <c r="R153" s="1"/>
      <c r="S153" s="1"/>
      <c r="V153" s="1"/>
      <c r="W153" s="1"/>
    </row>
    <row r="154" spans="18:23" ht="15.4" x14ac:dyDescent="0.4">
      <c r="R154" s="1"/>
      <c r="S154" s="1"/>
      <c r="V154" s="1"/>
      <c r="W154" s="1"/>
    </row>
    <row r="155" spans="18:23" ht="15.4" x14ac:dyDescent="0.4">
      <c r="R155" s="1"/>
      <c r="S155" s="1"/>
      <c r="V155" s="1"/>
      <c r="W155" s="1"/>
    </row>
    <row r="156" spans="18:23" ht="15.4" x14ac:dyDescent="0.4">
      <c r="R156" s="1"/>
      <c r="S156" s="1"/>
      <c r="V156" s="1"/>
      <c r="W156" s="1"/>
    </row>
    <row r="157" spans="18:23" ht="15.4" x14ac:dyDescent="0.4">
      <c r="R157" s="1"/>
      <c r="S157" s="1"/>
      <c r="V157" s="1"/>
      <c r="W157" s="1"/>
    </row>
    <row r="158" spans="18:23" ht="15.4" x14ac:dyDescent="0.4">
      <c r="R158" s="1"/>
      <c r="S158" s="1"/>
      <c r="V158" s="1"/>
      <c r="W158" s="1"/>
    </row>
    <row r="159" spans="18:23" ht="15.4" x14ac:dyDescent="0.4">
      <c r="R159" s="1"/>
      <c r="S159" s="1"/>
      <c r="V159" s="1"/>
      <c r="W159" s="1"/>
    </row>
    <row r="160" spans="18:23" ht="15.4" x14ac:dyDescent="0.4">
      <c r="R160" s="1"/>
      <c r="S160" s="1"/>
      <c r="V160" s="1"/>
      <c r="W160" s="1"/>
    </row>
    <row r="161" spans="18:23" ht="15.4" x14ac:dyDescent="0.4">
      <c r="R161" s="1"/>
      <c r="S161" s="1"/>
      <c r="V161" s="1"/>
      <c r="W161" s="1"/>
    </row>
    <row r="162" spans="18:23" ht="15.4" x14ac:dyDescent="0.4">
      <c r="R162" s="1"/>
      <c r="S162" s="1"/>
      <c r="V162" s="1"/>
      <c r="W162" s="1"/>
    </row>
    <row r="163" spans="18:23" ht="15.4" x14ac:dyDescent="0.4">
      <c r="R163" s="1"/>
      <c r="S163" s="1"/>
      <c r="V163" s="1"/>
      <c r="W163" s="1"/>
    </row>
    <row r="164" spans="18:23" ht="15.4" x14ac:dyDescent="0.4">
      <c r="R164" s="1"/>
      <c r="S164" s="1"/>
      <c r="V164" s="1"/>
      <c r="W164" s="1"/>
    </row>
    <row r="165" spans="18:23" ht="15.4" x14ac:dyDescent="0.4">
      <c r="R165" s="1"/>
      <c r="S165" s="1"/>
      <c r="V165" s="1"/>
      <c r="W165" s="1"/>
    </row>
    <row r="166" spans="18:23" ht="15.4" x14ac:dyDescent="0.4">
      <c r="R166" s="1"/>
      <c r="S166" s="1"/>
      <c r="V166" s="1"/>
      <c r="W166" s="1"/>
    </row>
    <row r="167" spans="18:23" ht="15.4" x14ac:dyDescent="0.4">
      <c r="R167" s="1"/>
      <c r="S167" s="1"/>
      <c r="V167" s="1"/>
      <c r="W167" s="1"/>
    </row>
    <row r="185" spans="18:23" ht="15.4" x14ac:dyDescent="0.4">
      <c r="R185" s="4"/>
      <c r="S185" s="4"/>
      <c r="V185" s="4"/>
      <c r="W185" s="4"/>
    </row>
  </sheetData>
  <mergeCells count="17">
    <mergeCell ref="S1:U1"/>
    <mergeCell ref="W1:Y1"/>
    <mergeCell ref="G67:G71"/>
    <mergeCell ref="G72:G76"/>
    <mergeCell ref="G77:G82"/>
    <mergeCell ref="G83:G88"/>
    <mergeCell ref="G62:G66"/>
    <mergeCell ref="A1:B1"/>
    <mergeCell ref="C1:D1"/>
    <mergeCell ref="G2:G6"/>
    <mergeCell ref="G7:G13"/>
    <mergeCell ref="G14:G20"/>
    <mergeCell ref="G21:G33"/>
    <mergeCell ref="G34:G39"/>
    <mergeCell ref="G40:G44"/>
    <mergeCell ref="G45:G54"/>
    <mergeCell ref="G55:G61"/>
  </mergeCells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BE7F-9896-4F33-9FD5-E74A1713AB06}">
  <dimension ref="A1:U243"/>
  <sheetViews>
    <sheetView zoomScale="85" zoomScaleNormal="85" workbookViewId="0">
      <pane ySplit="1" topLeftCell="A2" activePane="bottomLeft" state="frozen"/>
      <selection pane="bottomLeft" activeCell="H8" sqref="H8"/>
    </sheetView>
  </sheetViews>
  <sheetFormatPr defaultRowHeight="13.9" x14ac:dyDescent="0.4"/>
  <cols>
    <col min="1" max="1" width="9" bestFit="1" customWidth="1"/>
    <col min="2" max="2" width="9.86328125" customWidth="1"/>
    <col min="3" max="3" width="9.06640625" bestFit="1" customWidth="1"/>
    <col min="4" max="4" width="9" bestFit="1" customWidth="1"/>
    <col min="5" max="5" width="11.46484375" customWidth="1"/>
    <col min="7" max="7" width="9" bestFit="1" customWidth="1"/>
    <col min="8" max="8" width="10.06640625" customWidth="1"/>
    <col min="10" max="10" width="9" customWidth="1"/>
    <col min="11" max="11" width="10.19921875" bestFit="1" customWidth="1"/>
    <col min="13" max="13" width="9" bestFit="1" customWidth="1"/>
    <col min="14" max="14" width="11.33203125" bestFit="1" customWidth="1"/>
    <col min="16" max="16" width="9" bestFit="1" customWidth="1"/>
    <col min="17" max="17" width="11.33203125" bestFit="1" customWidth="1"/>
    <col min="18" max="18" width="9.06640625" bestFit="1" customWidth="1"/>
    <col min="19" max="19" width="7.73046875" style="59" bestFit="1" customWidth="1"/>
    <col min="20" max="20" width="10.1328125" style="49" customWidth="1"/>
  </cols>
  <sheetData>
    <row r="1" spans="1:21" ht="48" x14ac:dyDescent="0.4">
      <c r="A1" s="10" t="s">
        <v>131</v>
      </c>
      <c r="B1" s="35" t="s">
        <v>7</v>
      </c>
      <c r="C1" s="10" t="s">
        <v>130</v>
      </c>
      <c r="D1" s="10" t="s">
        <v>132</v>
      </c>
      <c r="E1" s="10" t="s">
        <v>53</v>
      </c>
      <c r="F1" s="10" t="s">
        <v>130</v>
      </c>
      <c r="G1" s="10" t="s">
        <v>133</v>
      </c>
      <c r="H1" s="10" t="s">
        <v>54</v>
      </c>
      <c r="I1" s="10" t="s">
        <v>130</v>
      </c>
      <c r="J1" s="10" t="s">
        <v>132</v>
      </c>
      <c r="K1" s="10" t="s">
        <v>56</v>
      </c>
      <c r="L1" s="10" t="s">
        <v>130</v>
      </c>
      <c r="M1" s="10" t="s">
        <v>135</v>
      </c>
      <c r="N1" s="10" t="s">
        <v>57</v>
      </c>
      <c r="O1" s="10" t="s">
        <v>130</v>
      </c>
      <c r="P1" s="10" t="s">
        <v>132</v>
      </c>
      <c r="Q1" s="10" t="s">
        <v>58</v>
      </c>
      <c r="R1" s="10" t="s">
        <v>130</v>
      </c>
      <c r="S1" s="42" t="s">
        <v>134</v>
      </c>
      <c r="T1" s="35" t="s">
        <v>129</v>
      </c>
      <c r="U1" s="10" t="s">
        <v>130</v>
      </c>
    </row>
    <row r="2" spans="1:21" ht="15.4" x14ac:dyDescent="0.4">
      <c r="A2" s="43">
        <v>0.89999999999999991</v>
      </c>
      <c r="B2" s="2">
        <v>0.66008018247025646</v>
      </c>
      <c r="C2" s="60">
        <f>AVERAGE(B2:B243)</f>
        <v>16.026252986431054</v>
      </c>
      <c r="D2" s="43">
        <v>0.89999999999999991</v>
      </c>
      <c r="E2" s="2">
        <v>2.7322784810126648</v>
      </c>
      <c r="F2" s="60">
        <f>AVERAGE(E2:E159)</f>
        <v>23.624380136910574</v>
      </c>
      <c r="G2" s="43">
        <v>0.89999999999999991</v>
      </c>
      <c r="H2" s="2">
        <v>3.5881247089843207</v>
      </c>
      <c r="I2" s="60">
        <f>AVERAGE(H2:H104)</f>
        <v>21.326431729764955</v>
      </c>
      <c r="J2" s="43">
        <v>0.89999999999999991</v>
      </c>
      <c r="K2" s="2">
        <v>2.7489748643313145</v>
      </c>
      <c r="L2" s="60">
        <f>AVERAGE(K2:K159)</f>
        <v>22.677415097169714</v>
      </c>
      <c r="M2" s="43">
        <v>0.89999999999999991</v>
      </c>
      <c r="N2" s="2">
        <v>3.4639709622641934</v>
      </c>
      <c r="O2" s="60">
        <f>AVERAGE(N2:N134)</f>
        <v>23.763388278330197</v>
      </c>
      <c r="P2" s="43">
        <v>0.89999999999999991</v>
      </c>
      <c r="Q2" s="2">
        <v>3.6382162259297086</v>
      </c>
      <c r="R2" s="60">
        <f>AVERAGE(Q2:Q159)</f>
        <v>20.96862137969438</v>
      </c>
      <c r="S2" s="43">
        <v>24.807747080603818</v>
      </c>
      <c r="T2" s="2">
        <v>24.726673035848197</v>
      </c>
      <c r="U2" s="60">
        <f>AVERAGE(T2:T32)</f>
        <v>23.788706250076512</v>
      </c>
    </row>
    <row r="3" spans="1:21" ht="15.4" x14ac:dyDescent="0.4">
      <c r="A3" s="43">
        <v>1</v>
      </c>
      <c r="B3" s="2">
        <v>0.75880778608962351</v>
      </c>
      <c r="D3" s="43">
        <v>1</v>
      </c>
      <c r="E3" s="2">
        <v>3.4995944849959431</v>
      </c>
      <c r="G3" s="43">
        <v>1</v>
      </c>
      <c r="H3" s="2">
        <v>4.1218776013991807</v>
      </c>
      <c r="J3" s="43">
        <v>1</v>
      </c>
      <c r="K3" s="2">
        <v>3.5169032850033637</v>
      </c>
      <c r="M3" s="43">
        <v>1</v>
      </c>
      <c r="N3" s="2">
        <v>4.2156228691080528</v>
      </c>
      <c r="P3" s="43">
        <v>1</v>
      </c>
      <c r="Q3" s="2">
        <v>4.3358739245164521</v>
      </c>
      <c r="S3" s="43">
        <v>28.999999999999996</v>
      </c>
      <c r="T3" s="2">
        <v>4.0528758588476919</v>
      </c>
    </row>
    <row r="4" spans="1:21" ht="15.4" x14ac:dyDescent="0.4">
      <c r="A4" s="43">
        <v>1.5817223198594026</v>
      </c>
      <c r="B4" s="2">
        <v>4.2302101564183525</v>
      </c>
      <c r="D4" s="43">
        <v>1.5817223198594026</v>
      </c>
      <c r="E4" s="2">
        <v>5.3101102843534385</v>
      </c>
      <c r="G4" s="43">
        <v>1.5817223198594026</v>
      </c>
      <c r="H4" s="2">
        <v>4.351049821949915</v>
      </c>
      <c r="J4" s="43">
        <v>1.5817223198594026</v>
      </c>
      <c r="K4" s="2">
        <v>5.2383604387338734</v>
      </c>
      <c r="M4" s="43">
        <v>1.5817223198594026</v>
      </c>
      <c r="N4" s="2">
        <v>3.9218308371087667</v>
      </c>
      <c r="P4" s="43">
        <v>1.5817223198594026</v>
      </c>
      <c r="Q4" s="2">
        <v>3.7477311293980353</v>
      </c>
      <c r="S4" s="43">
        <v>35.714285714285722</v>
      </c>
      <c r="T4" s="2">
        <v>16.891966997570012</v>
      </c>
    </row>
    <row r="5" spans="1:21" ht="15.4" x14ac:dyDescent="0.4">
      <c r="A5" s="43">
        <v>2</v>
      </c>
      <c r="B5" s="2">
        <v>0.79775198200478548</v>
      </c>
      <c r="D5" s="43">
        <v>2</v>
      </c>
      <c r="E5" s="2">
        <v>5.1850299401197599</v>
      </c>
      <c r="G5" s="43">
        <v>2</v>
      </c>
      <c r="H5" s="2">
        <v>7.0584008270622878</v>
      </c>
      <c r="J5" s="43">
        <v>2</v>
      </c>
      <c r="K5" s="2">
        <v>5.265069935728599</v>
      </c>
      <c r="M5" s="43">
        <v>2</v>
      </c>
      <c r="N5" s="2">
        <v>6.4509380963018907</v>
      </c>
      <c r="P5" s="43">
        <v>2</v>
      </c>
      <c r="Q5" s="2">
        <v>6.8961378513143172</v>
      </c>
      <c r="S5" s="43">
        <v>37.938677502770595</v>
      </c>
      <c r="T5" s="2">
        <v>41.36873152814907</v>
      </c>
    </row>
    <row r="6" spans="1:21" ht="15.4" x14ac:dyDescent="0.4">
      <c r="A6" s="43">
        <v>2</v>
      </c>
      <c r="B6" s="2">
        <v>1.9422350480486652</v>
      </c>
      <c r="D6" s="43">
        <v>2</v>
      </c>
      <c r="E6" s="2">
        <v>7.1752851711026615</v>
      </c>
      <c r="G6" s="43">
        <v>2</v>
      </c>
      <c r="H6" s="2">
        <v>8.392473583550947</v>
      </c>
      <c r="J6" s="43">
        <v>2</v>
      </c>
      <c r="K6" s="2">
        <v>7.2408907644857097</v>
      </c>
      <c r="M6" s="43">
        <v>2</v>
      </c>
      <c r="N6" s="2">
        <v>8.2969556207082373</v>
      </c>
      <c r="P6" s="43">
        <v>2</v>
      </c>
      <c r="Q6" s="2">
        <v>8.563953527548005</v>
      </c>
      <c r="S6" s="43">
        <v>38</v>
      </c>
      <c r="T6" s="2">
        <v>29.561155937572703</v>
      </c>
    </row>
    <row r="7" spans="1:21" ht="15.4" x14ac:dyDescent="0.4">
      <c r="A7" s="43">
        <v>2.4</v>
      </c>
      <c r="B7" s="2">
        <v>15.391457125133048</v>
      </c>
      <c r="D7" s="43">
        <v>2.4</v>
      </c>
      <c r="E7" s="2">
        <v>24.053571428571434</v>
      </c>
      <c r="G7" s="43">
        <v>2.4</v>
      </c>
      <c r="H7" s="2">
        <v>28.037729345213023</v>
      </c>
      <c r="J7" s="43">
        <v>2.4</v>
      </c>
      <c r="K7" s="2">
        <v>24.129576453697059</v>
      </c>
      <c r="M7" s="43">
        <v>2.4</v>
      </c>
      <c r="N7" s="2">
        <v>25.077022098231076</v>
      </c>
      <c r="P7" s="43">
        <v>2.4</v>
      </c>
      <c r="Q7" s="2">
        <v>26.714323436926467</v>
      </c>
      <c r="S7" s="43">
        <v>40</v>
      </c>
      <c r="T7" s="2">
        <v>5.1687377953362805</v>
      </c>
    </row>
    <row r="8" spans="1:21" ht="15.4" x14ac:dyDescent="0.4">
      <c r="A8" s="43">
        <v>2.5</v>
      </c>
      <c r="B8" s="2">
        <v>2.3157894736842035</v>
      </c>
      <c r="D8" s="43">
        <v>2.5</v>
      </c>
      <c r="E8" s="2">
        <v>14.922383308645795</v>
      </c>
      <c r="G8" s="43">
        <v>2.5</v>
      </c>
      <c r="H8" s="2">
        <v>16.234247590808014</v>
      </c>
      <c r="J8" s="43">
        <v>2.5</v>
      </c>
      <c r="K8" s="2">
        <v>15.072225672670459</v>
      </c>
      <c r="M8" s="43">
        <v>2.5</v>
      </c>
      <c r="N8" s="2">
        <v>16.461055959422882</v>
      </c>
      <c r="P8" s="43">
        <v>2.5</v>
      </c>
      <c r="Q8" s="2">
        <v>16.719493921569224</v>
      </c>
      <c r="S8" s="43">
        <v>40</v>
      </c>
      <c r="T8" s="2">
        <v>32.07646477788569</v>
      </c>
    </row>
    <row r="9" spans="1:21" ht="15.4" x14ac:dyDescent="0.4">
      <c r="A9" s="43">
        <v>2.5</v>
      </c>
      <c r="B9" s="2">
        <v>4.2229729729729772</v>
      </c>
      <c r="D9" s="43">
        <v>2.5</v>
      </c>
      <c r="E9" s="2">
        <v>0.96200210128682218</v>
      </c>
      <c r="G9" s="43">
        <v>2.5</v>
      </c>
      <c r="H9" s="2">
        <v>4.7096816405386095</v>
      </c>
      <c r="J9" s="43">
        <v>2.5</v>
      </c>
      <c r="K9" s="2">
        <v>1.1371793667714956</v>
      </c>
      <c r="M9" s="43">
        <v>2.5</v>
      </c>
      <c r="N9" s="2">
        <v>2.7577869964429427</v>
      </c>
      <c r="P9" s="43">
        <v>2.5</v>
      </c>
      <c r="Q9" s="2">
        <v>3.7599643382757377</v>
      </c>
      <c r="S9" s="43">
        <v>44.239442394423946</v>
      </c>
      <c r="T9" s="2">
        <v>45.086059591817197</v>
      </c>
    </row>
    <row r="10" spans="1:21" ht="15.4" x14ac:dyDescent="0.4">
      <c r="A10" s="43">
        <v>2.7027027027027026</v>
      </c>
      <c r="B10" s="2">
        <v>3.1215469613259756</v>
      </c>
      <c r="D10" s="43">
        <v>2.7027027027027026</v>
      </c>
      <c r="E10" s="2">
        <v>3.1491712707182229</v>
      </c>
      <c r="G10" s="43">
        <v>2.7027027027027026</v>
      </c>
      <c r="H10" s="2">
        <v>9.9711854785311012</v>
      </c>
      <c r="J10" s="43">
        <v>2.7027027027027026</v>
      </c>
      <c r="K10" s="2">
        <v>7.4509391514022321</v>
      </c>
      <c r="M10" s="43">
        <v>2.7027027027027026</v>
      </c>
      <c r="N10" s="2">
        <v>8.9688497294663989</v>
      </c>
      <c r="P10" s="43">
        <v>2.7027027027027026</v>
      </c>
      <c r="Q10" s="2">
        <v>9.6216183512543374</v>
      </c>
      <c r="S10" s="43">
        <v>46</v>
      </c>
      <c r="T10" s="2">
        <v>9.3966585760577122</v>
      </c>
    </row>
    <row r="11" spans="1:21" ht="15.4" x14ac:dyDescent="0.4">
      <c r="A11" s="43">
        <v>3</v>
      </c>
      <c r="B11" s="2">
        <v>7.9391651159714973</v>
      </c>
      <c r="D11" s="43">
        <v>3</v>
      </c>
      <c r="E11" s="2">
        <v>6.2189343621508364</v>
      </c>
      <c r="G11" s="43">
        <v>3</v>
      </c>
      <c r="H11" s="2">
        <v>8.4193851660885599</v>
      </c>
      <c r="J11" s="43">
        <v>3</v>
      </c>
      <c r="K11" s="2">
        <v>6.4645480242844124</v>
      </c>
      <c r="M11" s="43">
        <v>3</v>
      </c>
      <c r="N11" s="2">
        <v>8.1282569196847092</v>
      </c>
      <c r="P11" s="43">
        <v>3</v>
      </c>
      <c r="Q11" s="2">
        <v>8.6024885571178675</v>
      </c>
      <c r="S11" s="43">
        <v>46.204620462046208</v>
      </c>
      <c r="T11" s="2">
        <v>13.217832560992621</v>
      </c>
    </row>
    <row r="12" spans="1:21" ht="15.4" x14ac:dyDescent="0.4">
      <c r="A12" s="43">
        <v>3</v>
      </c>
      <c r="B12" s="2">
        <v>14.304477149727667</v>
      </c>
      <c r="D12" s="43">
        <v>3</v>
      </c>
      <c r="E12" s="2">
        <v>19.718302910705475</v>
      </c>
      <c r="G12" s="43">
        <v>3</v>
      </c>
      <c r="H12" s="2">
        <v>22.119263541051986</v>
      </c>
      <c r="J12" s="43">
        <v>3</v>
      </c>
      <c r="K12" s="2">
        <v>19.869610150903291</v>
      </c>
      <c r="M12" s="43">
        <v>3</v>
      </c>
      <c r="N12" s="2">
        <v>21.057785372411303</v>
      </c>
      <c r="P12" s="43">
        <v>3</v>
      </c>
      <c r="Q12" s="2">
        <v>21.685007539939285</v>
      </c>
      <c r="S12" s="43">
        <v>49</v>
      </c>
      <c r="T12" s="2">
        <v>49.480091442000656</v>
      </c>
    </row>
    <row r="13" spans="1:21" ht="15.4" x14ac:dyDescent="0.4">
      <c r="A13" s="43">
        <v>3</v>
      </c>
      <c r="B13" s="2">
        <v>5.3276167067383069</v>
      </c>
      <c r="D13" s="43">
        <v>3</v>
      </c>
      <c r="E13" s="2">
        <v>12.601186322400556</v>
      </c>
      <c r="G13" s="43">
        <v>3</v>
      </c>
      <c r="H13" s="2">
        <v>14.3481731693431</v>
      </c>
      <c r="J13" s="43">
        <v>3</v>
      </c>
      <c r="K13" s="2">
        <v>12.738985019358315</v>
      </c>
      <c r="M13" s="43">
        <v>3</v>
      </c>
      <c r="N13" s="2">
        <v>13.916863768933075</v>
      </c>
      <c r="P13" s="43">
        <v>3</v>
      </c>
      <c r="Q13" s="2">
        <v>14.334411331435406</v>
      </c>
      <c r="S13" s="43">
        <v>50</v>
      </c>
      <c r="T13" s="2">
        <v>11.209340510761653</v>
      </c>
    </row>
    <row r="14" spans="1:21" ht="15.4" x14ac:dyDescent="0.4">
      <c r="A14" s="43">
        <v>3.0674846625766872</v>
      </c>
      <c r="B14" s="2">
        <v>5.2608695652173907</v>
      </c>
      <c r="D14" s="43">
        <v>3.0674846625766872</v>
      </c>
      <c r="E14" s="2">
        <v>4.5521084259930493</v>
      </c>
      <c r="G14" s="43">
        <v>3.0674846625766872</v>
      </c>
      <c r="H14" s="2">
        <v>8.6956521739130626</v>
      </c>
      <c r="J14" s="43">
        <v>3.0674846625766872</v>
      </c>
      <c r="K14" s="2">
        <v>4.8136086948283667</v>
      </c>
      <c r="M14" s="43">
        <v>3.0674846625766872</v>
      </c>
      <c r="N14" s="2">
        <v>6.517711796621767</v>
      </c>
      <c r="P14" s="43">
        <v>3.0674846625766872</v>
      </c>
      <c r="Q14" s="2">
        <v>7.6342327030957282</v>
      </c>
      <c r="S14" s="43">
        <v>50</v>
      </c>
      <c r="T14" s="2">
        <v>4.4014381642746825</v>
      </c>
    </row>
    <row r="15" spans="1:21" ht="15.4" x14ac:dyDescent="0.4">
      <c r="A15" s="43">
        <v>3.2211047952193561</v>
      </c>
      <c r="B15" s="2">
        <v>0.73232722588748789</v>
      </c>
      <c r="D15" s="43">
        <v>3.2211047952193561</v>
      </c>
      <c r="E15" s="2">
        <v>2.454435366676484</v>
      </c>
      <c r="G15" s="43">
        <v>3.2211047952193561</v>
      </c>
      <c r="H15" s="2">
        <v>0.44415742313274298</v>
      </c>
      <c r="J15" s="43">
        <v>3.2211047952193561</v>
      </c>
      <c r="K15" s="2">
        <v>2.1684471935045537</v>
      </c>
      <c r="M15" s="43">
        <v>3.2211047952193561</v>
      </c>
      <c r="N15" s="2">
        <v>0.3990217627987131</v>
      </c>
      <c r="P15" s="43">
        <v>3.2211047952193561</v>
      </c>
      <c r="Q15" s="2">
        <v>2.0825738203974445E-2</v>
      </c>
      <c r="S15" s="43">
        <v>50</v>
      </c>
      <c r="T15" s="2">
        <v>0.99073282942049679</v>
      </c>
    </row>
    <row r="16" spans="1:21" ht="15.4" x14ac:dyDescent="0.4">
      <c r="A16" s="43">
        <v>3.5106670267350801</v>
      </c>
      <c r="B16" s="2">
        <v>1.5034428551697934</v>
      </c>
      <c r="D16" s="43">
        <v>3.5106670267350801</v>
      </c>
      <c r="E16" s="2">
        <v>12.505854800936769</v>
      </c>
      <c r="G16" s="43">
        <v>3.5106670267350801</v>
      </c>
      <c r="H16" s="2">
        <v>16.279486056599595</v>
      </c>
      <c r="J16" s="43">
        <v>3.5106670267350801</v>
      </c>
      <c r="K16" s="2">
        <v>12.7566232620958</v>
      </c>
      <c r="M16" s="43">
        <v>3.5106670267350801</v>
      </c>
      <c r="N16" s="2">
        <v>14.27392754763491</v>
      </c>
      <c r="P16" s="43">
        <v>3.5106670267350801</v>
      </c>
      <c r="Q16" s="2">
        <v>15.314183294540159</v>
      </c>
      <c r="S16" s="43">
        <v>50</v>
      </c>
      <c r="T16" s="2">
        <v>11.164581625129539</v>
      </c>
    </row>
    <row r="17" spans="1:20" ht="15.4" x14ac:dyDescent="0.4">
      <c r="A17" s="43">
        <v>3.5106670267350801</v>
      </c>
      <c r="B17" s="2">
        <v>2.2724112611773895</v>
      </c>
      <c r="D17" s="43">
        <v>3.5106670267350801</v>
      </c>
      <c r="E17" s="2">
        <v>17.161862527716192</v>
      </c>
      <c r="G17" s="43">
        <v>3.5106670267350801</v>
      </c>
      <c r="H17" s="2">
        <v>20.060445637946305</v>
      </c>
      <c r="J17" s="43">
        <v>3.5106670267350801</v>
      </c>
      <c r="K17" s="2">
        <v>17.399286325753678</v>
      </c>
      <c r="M17" s="43">
        <v>3.5106670267350801</v>
      </c>
      <c r="N17" s="2">
        <v>18.835847145986936</v>
      </c>
      <c r="P17" s="43">
        <v>3.5106670267350801</v>
      </c>
      <c r="Q17" s="2">
        <v>19.574883103865353</v>
      </c>
      <c r="S17" s="43">
        <v>51</v>
      </c>
      <c r="T17" s="2">
        <v>25.301970598363795</v>
      </c>
    </row>
    <row r="18" spans="1:20" ht="15.4" x14ac:dyDescent="0.4">
      <c r="A18" s="43">
        <v>3.5106670267350801</v>
      </c>
      <c r="B18" s="2">
        <v>3.8428177028167374</v>
      </c>
      <c r="D18" s="43">
        <v>3.5106670267350801</v>
      </c>
      <c r="E18" s="2">
        <v>17.709251101321591</v>
      </c>
      <c r="G18" s="43">
        <v>3.5106670267350801</v>
      </c>
      <c r="H18" s="2">
        <v>20.508795954335817</v>
      </c>
      <c r="J18" s="43">
        <v>3.5106670267350801</v>
      </c>
      <c r="K18" s="2">
        <v>17.945106019636363</v>
      </c>
      <c r="M18" s="43">
        <v>3.5106670267350801</v>
      </c>
      <c r="N18" s="2">
        <v>19.372174147224907</v>
      </c>
      <c r="P18" s="43">
        <v>3.5106670267350801</v>
      </c>
      <c r="Q18" s="2">
        <v>20.079112742823874</v>
      </c>
      <c r="S18" s="43">
        <v>52.095808383233546</v>
      </c>
      <c r="T18" s="2">
        <v>51.854481028009033</v>
      </c>
    </row>
    <row r="19" spans="1:20" ht="15.4" x14ac:dyDescent="0.4">
      <c r="A19" s="43">
        <v>3.6144578313253009</v>
      </c>
      <c r="B19" s="2">
        <v>5.4958677685950557</v>
      </c>
      <c r="D19" s="43">
        <v>3.6144578313253009</v>
      </c>
      <c r="E19" s="2">
        <v>3.1256338330772655</v>
      </c>
      <c r="G19" s="43">
        <v>3.6144578313253009</v>
      </c>
      <c r="H19" s="2">
        <v>8.4687850595571561</v>
      </c>
      <c r="J19" s="43">
        <v>3.6144578313253009</v>
      </c>
      <c r="K19" s="2">
        <v>3.4925779222903532</v>
      </c>
      <c r="M19" s="43">
        <v>3.6144578313253009</v>
      </c>
      <c r="N19" s="2">
        <v>5.2672851837014658</v>
      </c>
      <c r="P19" s="43">
        <v>3.6144578313253009</v>
      </c>
      <c r="Q19" s="2">
        <v>6.8297752292619611</v>
      </c>
      <c r="S19" s="43">
        <v>55.000000000000007</v>
      </c>
      <c r="T19" s="2">
        <v>10.705769796968871</v>
      </c>
    </row>
    <row r="20" spans="1:20" ht="15.4" x14ac:dyDescent="0.4">
      <c r="A20" s="43">
        <v>3.9292730844793713</v>
      </c>
      <c r="B20" s="2">
        <v>19.217758985200842</v>
      </c>
      <c r="D20" s="43">
        <v>3.9292730844793713</v>
      </c>
      <c r="E20" s="2">
        <v>47.570768455437204</v>
      </c>
      <c r="G20" s="43">
        <v>3.9292730844793713</v>
      </c>
      <c r="H20" s="2">
        <v>48.202759087820105</v>
      </c>
      <c r="J20" s="43">
        <v>3.9292730844793713</v>
      </c>
      <c r="K20" s="2">
        <v>47.804423282576515</v>
      </c>
      <c r="M20" s="43">
        <v>3.9292730844793713</v>
      </c>
      <c r="N20" s="2">
        <v>48.763097969700368</v>
      </c>
      <c r="P20" s="43">
        <v>3.9292730844793713</v>
      </c>
      <c r="Q20" s="2">
        <v>48.858740732577949</v>
      </c>
      <c r="S20" s="43">
        <v>56.000000000000007</v>
      </c>
      <c r="T20" s="2">
        <v>25.694905605586666</v>
      </c>
    </row>
    <row r="21" spans="1:20" ht="15.4" x14ac:dyDescent="0.4">
      <c r="A21" s="43">
        <v>3.9525691699604737</v>
      </c>
      <c r="B21" s="2">
        <v>31.815775542615132</v>
      </c>
      <c r="D21" s="43">
        <v>3.9525691699604737</v>
      </c>
      <c r="E21" s="2">
        <v>1.4458968465119111</v>
      </c>
      <c r="G21" s="43">
        <v>3.9525691699604737</v>
      </c>
      <c r="H21" s="2">
        <v>4.7055686402127668</v>
      </c>
      <c r="J21" s="43">
        <v>3.9525691699604737</v>
      </c>
      <c r="K21" s="2">
        <v>1.8926442145725759</v>
      </c>
      <c r="M21" s="43">
        <v>3.9525691699604737</v>
      </c>
      <c r="N21" s="2">
        <v>3.6993957532198536</v>
      </c>
      <c r="P21" s="43">
        <v>3.9525691699604737</v>
      </c>
      <c r="Q21" s="2">
        <v>4.4609693081663577</v>
      </c>
      <c r="S21" s="43">
        <v>56.799214531173291</v>
      </c>
      <c r="T21" s="2">
        <v>60.770773949070076</v>
      </c>
    </row>
    <row r="22" spans="1:20" ht="15.4" x14ac:dyDescent="0.4">
      <c r="A22" s="43">
        <v>3.9525691699604737</v>
      </c>
      <c r="B22" s="2">
        <v>33.872340425531917</v>
      </c>
      <c r="D22" s="43">
        <v>3.9525691699604737</v>
      </c>
      <c r="E22" s="2">
        <v>0.81879514944000997</v>
      </c>
      <c r="G22" s="43">
        <v>3.9525691699604737</v>
      </c>
      <c r="H22" s="2">
        <v>2.5842804762435923</v>
      </c>
      <c r="J22" s="43">
        <v>3.9525691699604737</v>
      </c>
      <c r="K22" s="2">
        <v>0.36260940346991311</v>
      </c>
      <c r="M22" s="43">
        <v>3.9525691699604737</v>
      </c>
      <c r="N22" s="2">
        <v>1.483736075841799</v>
      </c>
      <c r="P22" s="43">
        <v>3.9525691699604737</v>
      </c>
      <c r="Q22" s="2">
        <v>2.2852648483749127</v>
      </c>
      <c r="S22" s="43">
        <v>59.553349875930515</v>
      </c>
      <c r="T22" s="2">
        <v>25.806103131110881</v>
      </c>
    </row>
    <row r="23" spans="1:20" ht="15.4" x14ac:dyDescent="0.4">
      <c r="A23" s="43">
        <v>4</v>
      </c>
      <c r="B23" s="2">
        <v>10.602785810855945</v>
      </c>
      <c r="D23" s="43">
        <v>4</v>
      </c>
      <c r="E23" s="2">
        <v>17.760078662733537</v>
      </c>
      <c r="G23" s="43">
        <v>4</v>
      </c>
      <c r="H23" s="2">
        <v>21.068283552439784</v>
      </c>
      <c r="J23" s="43">
        <v>4</v>
      </c>
      <c r="K23" s="2">
        <v>18.033624740940251</v>
      </c>
      <c r="M23" s="43">
        <v>4</v>
      </c>
      <c r="N23" s="2">
        <v>19.286973524855931</v>
      </c>
      <c r="P23" s="43">
        <v>4</v>
      </c>
      <c r="Q23" s="2">
        <v>20.218105723386046</v>
      </c>
      <c r="S23" s="43">
        <v>60</v>
      </c>
      <c r="T23" s="2">
        <v>7.6749315923142509</v>
      </c>
    </row>
    <row r="24" spans="1:20" ht="15.4" x14ac:dyDescent="0.4">
      <c r="A24" s="43">
        <v>4</v>
      </c>
      <c r="B24" s="2">
        <v>4.549547103446435</v>
      </c>
      <c r="D24" s="43">
        <v>4</v>
      </c>
      <c r="E24" s="2">
        <v>5.7068965517241432</v>
      </c>
      <c r="G24" s="43">
        <v>4</v>
      </c>
      <c r="H24" s="2">
        <v>8.2583991534258647</v>
      </c>
      <c r="J24" s="43">
        <v>4</v>
      </c>
      <c r="K24" s="2">
        <v>5.9681252687333881</v>
      </c>
      <c r="M24" s="43">
        <v>4</v>
      </c>
      <c r="N24" s="2">
        <v>7.2802890029823253</v>
      </c>
      <c r="P24" s="43">
        <v>4</v>
      </c>
      <c r="Q24" s="2">
        <v>7.9322214231917263</v>
      </c>
      <c r="S24" s="43">
        <v>61</v>
      </c>
      <c r="T24" s="2">
        <v>33.906533605474607</v>
      </c>
    </row>
    <row r="25" spans="1:20" ht="15.4" x14ac:dyDescent="0.4">
      <c r="A25" s="43">
        <v>4.8811013767209008</v>
      </c>
      <c r="B25" s="2">
        <v>1.0791114608838874E-2</v>
      </c>
      <c r="D25" s="43">
        <v>4.8811013767209008</v>
      </c>
      <c r="E25" s="2">
        <v>2.2243736490446491</v>
      </c>
      <c r="G25" s="43">
        <v>4.8811013767209008</v>
      </c>
      <c r="H25" s="2">
        <v>0.97836944101282675</v>
      </c>
      <c r="J25" s="43">
        <v>4.8811013767209008</v>
      </c>
      <c r="K25" s="2">
        <v>1.5772886837961926</v>
      </c>
      <c r="M25" s="43">
        <v>4.8811013767209008</v>
      </c>
      <c r="N25" s="2">
        <v>9.5017497897518649E-2</v>
      </c>
      <c r="P25" s="43">
        <v>4.8811013767209008</v>
      </c>
      <c r="Q25" s="2">
        <v>0.82710149496739338</v>
      </c>
      <c r="S25" s="43">
        <v>61.878829135466304</v>
      </c>
      <c r="T25" s="2">
        <v>61.784966489838709</v>
      </c>
    </row>
    <row r="26" spans="1:20" ht="15.4" x14ac:dyDescent="0.4">
      <c r="A26" s="43">
        <v>5</v>
      </c>
      <c r="B26" s="2">
        <v>6.6909090909091002</v>
      </c>
      <c r="D26" s="43">
        <v>5</v>
      </c>
      <c r="E26" s="2">
        <v>36.537528353068367</v>
      </c>
      <c r="G26" s="43">
        <v>5</v>
      </c>
      <c r="H26" s="2">
        <v>38.658146964856229</v>
      </c>
      <c r="J26" s="43">
        <v>5</v>
      </c>
      <c r="K26" s="2">
        <v>36.976639606163168</v>
      </c>
      <c r="M26" s="43">
        <v>5</v>
      </c>
      <c r="N26" s="2">
        <v>38.022994717003179</v>
      </c>
      <c r="P26" s="43">
        <v>5</v>
      </c>
      <c r="Q26" s="2">
        <v>38.508253764347586</v>
      </c>
      <c r="S26" s="43">
        <v>65</v>
      </c>
      <c r="T26" s="2">
        <v>5.3497327927851375</v>
      </c>
    </row>
    <row r="27" spans="1:20" ht="15.4" x14ac:dyDescent="0.4">
      <c r="A27" s="43">
        <v>5</v>
      </c>
      <c r="B27" s="2">
        <v>9.8205742564814097E-2</v>
      </c>
      <c r="D27" s="43">
        <v>5</v>
      </c>
      <c r="E27" s="2">
        <v>2.7110340346140931</v>
      </c>
      <c r="G27" s="43">
        <v>5</v>
      </c>
      <c r="H27" s="2">
        <v>1.3845244124276563</v>
      </c>
      <c r="J27" s="43">
        <v>5</v>
      </c>
      <c r="K27" s="2">
        <v>1.9733211916691731</v>
      </c>
      <c r="M27" s="43">
        <v>5</v>
      </c>
      <c r="N27" s="2">
        <v>0.24319373156733126</v>
      </c>
      <c r="P27" s="43">
        <v>5</v>
      </c>
      <c r="Q27" s="2">
        <v>0.74675547025929512</v>
      </c>
      <c r="S27" s="43">
        <v>65</v>
      </c>
      <c r="T27" s="2">
        <v>0.81544736048476085</v>
      </c>
    </row>
    <row r="28" spans="1:20" ht="15.4" x14ac:dyDescent="0.4">
      <c r="A28" s="43">
        <v>5</v>
      </c>
      <c r="B28" s="2">
        <v>11.446945337620585</v>
      </c>
      <c r="D28" s="43">
        <v>5</v>
      </c>
      <c r="E28" s="2">
        <v>1.7807798214774999</v>
      </c>
      <c r="G28" s="43">
        <v>5</v>
      </c>
      <c r="H28" s="2">
        <v>5.9904193241791495</v>
      </c>
      <c r="J28" s="43">
        <v>5</v>
      </c>
      <c r="K28" s="2">
        <v>1.0734724028946576</v>
      </c>
      <c r="M28" s="43">
        <v>5</v>
      </c>
      <c r="N28" s="2">
        <v>0.60883155858822058</v>
      </c>
      <c r="P28" s="43">
        <v>5</v>
      </c>
      <c r="Q28" s="2">
        <v>3.1455386390050166</v>
      </c>
      <c r="S28" s="43">
        <v>66</v>
      </c>
      <c r="T28" s="2">
        <v>41.65812503539302</v>
      </c>
    </row>
    <row r="29" spans="1:20" ht="15.4" x14ac:dyDescent="0.4">
      <c r="A29" s="43">
        <v>5</v>
      </c>
      <c r="B29" s="2">
        <v>36.837628865979347</v>
      </c>
      <c r="D29" s="43">
        <v>5</v>
      </c>
      <c r="E29" s="2">
        <v>55.128324162819041</v>
      </c>
      <c r="G29" s="43">
        <v>5</v>
      </c>
      <c r="H29" s="2">
        <v>56.606884798390858</v>
      </c>
      <c r="J29" s="43">
        <v>5</v>
      </c>
      <c r="K29" s="2">
        <v>55.424719960483728</v>
      </c>
      <c r="M29" s="43">
        <v>5</v>
      </c>
      <c r="N29" s="2">
        <v>56.145396369430188</v>
      </c>
      <c r="P29" s="43">
        <v>5</v>
      </c>
      <c r="Q29" s="2">
        <v>56.489099923659062</v>
      </c>
      <c r="S29" s="43">
        <v>70</v>
      </c>
      <c r="T29" s="2">
        <v>7.8216565466428341</v>
      </c>
    </row>
    <row r="30" spans="1:20" ht="15.4" x14ac:dyDescent="0.4">
      <c r="A30" s="43">
        <v>5</v>
      </c>
      <c r="B30" s="2">
        <v>3.4320496865157479</v>
      </c>
      <c r="D30" s="43">
        <v>5</v>
      </c>
      <c r="E30" s="2">
        <v>12.611788617886175</v>
      </c>
      <c r="G30" s="43">
        <v>5</v>
      </c>
      <c r="H30" s="2">
        <v>17.041872220786423</v>
      </c>
      <c r="J30" s="43">
        <v>5</v>
      </c>
      <c r="K30" s="2">
        <v>13.061251088585687</v>
      </c>
      <c r="M30" s="43">
        <v>5</v>
      </c>
      <c r="N30" s="2">
        <v>14.290487284918704</v>
      </c>
      <c r="P30" s="43">
        <v>5</v>
      </c>
      <c r="Q30" s="2">
        <v>15.618206333958689</v>
      </c>
      <c r="S30" s="43">
        <v>71</v>
      </c>
      <c r="T30" s="2">
        <v>48.666357246758366</v>
      </c>
    </row>
    <row r="31" spans="1:20" ht="15.4" x14ac:dyDescent="0.4">
      <c r="A31" s="43">
        <v>5</v>
      </c>
      <c r="B31" s="2">
        <v>11.546872512396266</v>
      </c>
      <c r="D31" s="43">
        <v>5</v>
      </c>
      <c r="E31" s="2">
        <v>21.926309559041137</v>
      </c>
      <c r="G31" s="43">
        <v>5</v>
      </c>
      <c r="H31" s="2">
        <v>24.605694262722729</v>
      </c>
      <c r="J31" s="43">
        <v>5</v>
      </c>
      <c r="K31" s="2">
        <v>22.260503782596537</v>
      </c>
      <c r="M31" s="43">
        <v>5</v>
      </c>
      <c r="N31" s="2">
        <v>23.268782461992444</v>
      </c>
      <c r="P31" s="43">
        <v>5</v>
      </c>
      <c r="Q31" s="2">
        <v>23.992295395855137</v>
      </c>
      <c r="S31" s="43">
        <v>71.428571428571431</v>
      </c>
      <c r="T31" s="2">
        <v>11.459023434197025</v>
      </c>
    </row>
    <row r="32" spans="1:20" ht="15.4" x14ac:dyDescent="0.4">
      <c r="A32" s="43">
        <v>5.8139534883720927</v>
      </c>
      <c r="B32" s="2">
        <v>6.3257575757575717</v>
      </c>
      <c r="D32" s="43">
        <v>5.8139534883720927</v>
      </c>
      <c r="E32" s="2">
        <v>2.460722193137872</v>
      </c>
      <c r="G32" s="43">
        <v>5.8139534883720927</v>
      </c>
      <c r="H32" s="2">
        <v>7.3725044792018855</v>
      </c>
      <c r="J32" s="43">
        <v>5.8139534883720927</v>
      </c>
      <c r="K32" s="2">
        <v>1.5304439291830469</v>
      </c>
      <c r="M32" s="43">
        <v>5.8139534883720927</v>
      </c>
      <c r="N32" s="2">
        <v>0.11103182832144728</v>
      </c>
      <c r="P32" s="43">
        <v>5.8139534883720927</v>
      </c>
      <c r="Q32" s="2">
        <v>3.45049001889087</v>
      </c>
      <c r="S32" s="43">
        <v>75</v>
      </c>
      <c r="T32" s="2">
        <v>19.385774307709685</v>
      </c>
    </row>
    <row r="33" spans="1:20" ht="15.4" x14ac:dyDescent="0.4">
      <c r="A33" s="43">
        <v>5.8823529411764701</v>
      </c>
      <c r="B33" s="2">
        <v>0.68965517241380092</v>
      </c>
      <c r="D33" s="43">
        <v>5.8823529411764701</v>
      </c>
      <c r="E33" s="2">
        <v>7.3275862068965454</v>
      </c>
      <c r="G33" s="43">
        <v>5.8823529411764701</v>
      </c>
      <c r="H33" s="2">
        <v>25.576294356821556</v>
      </c>
      <c r="J33" s="43">
        <v>5.8823529411764701</v>
      </c>
      <c r="K33" s="2">
        <v>21.06620113596048</v>
      </c>
      <c r="M33" s="43">
        <v>5.8823529411764701</v>
      </c>
      <c r="N33" s="2">
        <v>22.134157528873789</v>
      </c>
      <c r="P33" s="43">
        <v>5.8823529411764701</v>
      </c>
      <c r="Q33" s="2">
        <v>23.708642691067524</v>
      </c>
      <c r="S33" s="43"/>
      <c r="T33" s="2"/>
    </row>
    <row r="34" spans="1:20" ht="15.4" x14ac:dyDescent="0.4">
      <c r="A34" s="43">
        <v>5.9438275636838664</v>
      </c>
      <c r="B34" s="2">
        <v>2.396348494056856</v>
      </c>
      <c r="D34" s="43">
        <v>5.9438275636838664</v>
      </c>
      <c r="E34" s="2">
        <v>2.8963912351975964E-2</v>
      </c>
      <c r="G34" s="43">
        <v>5.9438275636838664</v>
      </c>
      <c r="H34" s="2">
        <v>3.9085505298486987</v>
      </c>
      <c r="J34" s="43">
        <v>5.9438275636838664</v>
      </c>
      <c r="K34" s="2">
        <v>0.90237638237259521</v>
      </c>
      <c r="M34" s="43">
        <v>5.9438275636838664</v>
      </c>
      <c r="N34" s="2">
        <v>2.2262074083836358</v>
      </c>
      <c r="P34" s="43">
        <v>5.9438275636838664</v>
      </c>
      <c r="Q34" s="2">
        <v>3.1679276633863953</v>
      </c>
      <c r="S34" s="43"/>
      <c r="T34" s="2"/>
    </row>
    <row r="35" spans="1:20" ht="15.4" x14ac:dyDescent="0.4">
      <c r="A35" s="43">
        <v>6</v>
      </c>
      <c r="B35" s="2">
        <v>12.240709637748679</v>
      </c>
      <c r="D35" s="43">
        <v>6</v>
      </c>
      <c r="E35" s="2">
        <v>21.746460176991146</v>
      </c>
      <c r="G35" s="43">
        <v>6</v>
      </c>
      <c r="H35" s="2">
        <v>26.545014170763299</v>
      </c>
      <c r="J35" s="43">
        <v>6</v>
      </c>
      <c r="K35" s="2">
        <v>22.321177487614445</v>
      </c>
      <c r="M35" s="43">
        <v>6</v>
      </c>
      <c r="N35" s="2">
        <v>23.216660074251962</v>
      </c>
      <c r="P35" s="43">
        <v>6</v>
      </c>
      <c r="Q35" s="2">
        <v>24.73543376269388</v>
      </c>
      <c r="S35" s="43"/>
      <c r="T35" s="2"/>
    </row>
    <row r="36" spans="1:20" ht="15.4" x14ac:dyDescent="0.4">
      <c r="A36" s="43">
        <v>6</v>
      </c>
      <c r="B36" s="2">
        <v>12.384308817739919</v>
      </c>
      <c r="D36" s="43">
        <v>6</v>
      </c>
      <c r="E36" s="2">
        <v>24.189249720044792</v>
      </c>
      <c r="G36" s="43">
        <v>6</v>
      </c>
      <c r="H36" s="2">
        <v>27.354817538590314</v>
      </c>
      <c r="J36" s="43">
        <v>6</v>
      </c>
      <c r="K36" s="2">
        <v>24.651285802841652</v>
      </c>
      <c r="M36" s="43">
        <v>6</v>
      </c>
      <c r="N36" s="2">
        <v>25.456843016922768</v>
      </c>
      <c r="P36" s="43">
        <v>6</v>
      </c>
      <c r="Q36" s="2">
        <v>26.353393500233263</v>
      </c>
      <c r="S36" s="43"/>
      <c r="T36" s="2"/>
    </row>
    <row r="37" spans="1:20" ht="15.4" x14ac:dyDescent="0.4">
      <c r="A37" s="43">
        <v>6.1349693251533743</v>
      </c>
      <c r="B37" s="2">
        <v>6.5555555555555536</v>
      </c>
      <c r="D37" s="43">
        <v>6.1349693251533743</v>
      </c>
      <c r="E37" s="2">
        <v>10.487661358781116</v>
      </c>
      <c r="G37" s="43">
        <v>6.1349693251533743</v>
      </c>
      <c r="H37" s="2">
        <v>18.392969240426872</v>
      </c>
      <c r="J37" s="43">
        <v>6.1349693251533743</v>
      </c>
      <c r="K37" s="2">
        <v>11.447916847822935</v>
      </c>
      <c r="M37" s="43">
        <v>6.1349693251533743</v>
      </c>
      <c r="N37" s="2">
        <v>12.616587598187436</v>
      </c>
      <c r="P37" s="43">
        <v>6.1349693251533743</v>
      </c>
      <c r="Q37" s="2">
        <v>15.253638658308088</v>
      </c>
      <c r="S37" s="7"/>
      <c r="T37" s="3"/>
    </row>
    <row r="38" spans="1:20" ht="15.4" x14ac:dyDescent="0.4">
      <c r="A38" s="43">
        <v>6.5250000000000004</v>
      </c>
      <c r="B38" s="2">
        <v>11.567212725896121</v>
      </c>
      <c r="D38" s="43">
        <v>6.5250000000000004</v>
      </c>
      <c r="E38" s="2">
        <v>20.887172188730268</v>
      </c>
      <c r="G38" s="43">
        <v>6.5250000000000004</v>
      </c>
      <c r="H38" s="2">
        <v>1.7988295449521559E-14</v>
      </c>
      <c r="J38" s="43">
        <v>6.5250000000000004</v>
      </c>
      <c r="K38" s="2">
        <v>19.43143482018235</v>
      </c>
      <c r="M38" s="43">
        <v>6.5250000000000004</v>
      </c>
      <c r="N38" s="2">
        <v>18.074035443640305</v>
      </c>
      <c r="P38" s="43">
        <v>6.5250000000000004</v>
      </c>
      <c r="Q38" s="2">
        <v>6.7113037248876353</v>
      </c>
      <c r="S38" s="7"/>
      <c r="T38" s="3"/>
    </row>
    <row r="39" spans="1:20" ht="15.4" x14ac:dyDescent="0.4">
      <c r="A39" s="43">
        <v>6.9767441860465116</v>
      </c>
      <c r="B39" s="2">
        <v>16.860465116279062</v>
      </c>
      <c r="D39" s="43">
        <v>6.9767441860465116</v>
      </c>
      <c r="E39" s="2">
        <v>1.0402511349054195</v>
      </c>
      <c r="G39" s="43">
        <v>6.9767441860465116</v>
      </c>
      <c r="H39" s="2">
        <v>9.8479930061095047</v>
      </c>
      <c r="J39" s="43">
        <v>6.9767441860465116</v>
      </c>
      <c r="K39" s="2">
        <v>0.35256875311101249</v>
      </c>
      <c r="M39" s="43">
        <v>6.9767441860465116</v>
      </c>
      <c r="N39" s="2">
        <v>1.2496418817948751</v>
      </c>
      <c r="P39" s="43">
        <v>6.9767441860465116</v>
      </c>
      <c r="Q39" s="2">
        <v>5.1974676181694033</v>
      </c>
      <c r="S39" s="7"/>
      <c r="T39" s="3"/>
    </row>
    <row r="40" spans="1:20" ht="15.4" x14ac:dyDescent="0.4">
      <c r="A40" s="43">
        <v>7.0000000000000009</v>
      </c>
      <c r="B40" s="2">
        <v>9.8759071569716426</v>
      </c>
      <c r="D40" s="43">
        <v>7.0000000000000009</v>
      </c>
      <c r="E40" s="2">
        <v>23.432387771963651</v>
      </c>
      <c r="G40" s="43">
        <v>7.0000000000000009</v>
      </c>
      <c r="H40" s="2">
        <v>27.214947953835555</v>
      </c>
      <c r="J40" s="43">
        <v>7.0000000000000009</v>
      </c>
      <c r="K40" s="2">
        <v>24.063486451706829</v>
      </c>
      <c r="M40" s="43">
        <v>7.0000000000000009</v>
      </c>
      <c r="N40" s="2">
        <v>24.612051487912101</v>
      </c>
      <c r="P40" s="43">
        <v>7.0000000000000009</v>
      </c>
      <c r="Q40" s="2">
        <v>25.728727316947779</v>
      </c>
      <c r="S40" s="7"/>
      <c r="T40" s="3"/>
    </row>
    <row r="41" spans="1:20" ht="15.4" x14ac:dyDescent="0.4">
      <c r="A41" s="43">
        <v>7.5</v>
      </c>
      <c r="B41" s="2">
        <v>9.3582887700534698</v>
      </c>
      <c r="D41" s="43">
        <v>7.5</v>
      </c>
      <c r="E41" s="2">
        <v>49.522204159628608</v>
      </c>
      <c r="G41" s="43">
        <v>7.5</v>
      </c>
      <c r="H41" s="2">
        <v>52.238050789053581</v>
      </c>
      <c r="J41" s="43">
        <v>7.5</v>
      </c>
      <c r="K41" s="2">
        <v>50.293749611418683</v>
      </c>
      <c r="M41" s="43">
        <v>7.5</v>
      </c>
      <c r="N41" s="2">
        <v>50.577073617850019</v>
      </c>
      <c r="P41" s="43">
        <v>7.5</v>
      </c>
      <c r="Q41" s="2">
        <v>51.262346025508222</v>
      </c>
      <c r="S41" s="7"/>
      <c r="T41" s="3"/>
    </row>
    <row r="42" spans="1:20" ht="15.4" x14ac:dyDescent="0.4">
      <c r="A42" s="43">
        <v>7.5669383003492436</v>
      </c>
      <c r="B42" s="2">
        <v>12.278393945434711</v>
      </c>
      <c r="D42" s="43">
        <v>7.5669383003492436</v>
      </c>
      <c r="E42" s="2">
        <v>20.094339622641517</v>
      </c>
      <c r="G42" s="43">
        <v>7.5669383003492436</v>
      </c>
      <c r="H42" s="2">
        <v>26.582555972744071</v>
      </c>
      <c r="J42" s="43">
        <v>7.5669383003492436</v>
      </c>
      <c r="K42" s="2">
        <v>21.354484255824403</v>
      </c>
      <c r="M42" s="43">
        <v>7.5669383003492436</v>
      </c>
      <c r="N42" s="2">
        <v>21.756911140266208</v>
      </c>
      <c r="P42" s="43">
        <v>7.5669383003492436</v>
      </c>
      <c r="Q42" s="2">
        <v>23.787460323312693</v>
      </c>
      <c r="S42" s="7"/>
      <c r="T42" s="3"/>
    </row>
    <row r="43" spans="1:20" ht="15.4" x14ac:dyDescent="0.4">
      <c r="A43" s="43">
        <v>7.5669383003492436</v>
      </c>
      <c r="B43" s="2">
        <v>8.528992826204103</v>
      </c>
      <c r="D43" s="43">
        <v>7.5669383003492436</v>
      </c>
      <c r="E43" s="2">
        <v>20.988805970149262</v>
      </c>
      <c r="G43" s="43">
        <v>7.5669383003492436</v>
      </c>
      <c r="H43" s="2">
        <v>27.250313746804878</v>
      </c>
      <c r="J43" s="43">
        <v>7.5669383003492436</v>
      </c>
      <c r="K43" s="2">
        <v>22.234844506692038</v>
      </c>
      <c r="M43" s="43">
        <v>7.5669383003492436</v>
      </c>
      <c r="N43" s="2">
        <v>22.632766612576663</v>
      </c>
      <c r="P43" s="43">
        <v>7.5669383003492436</v>
      </c>
      <c r="Q43" s="2">
        <v>24.568087210195923</v>
      </c>
      <c r="S43" s="7"/>
      <c r="T43" s="3"/>
    </row>
    <row r="44" spans="1:20" ht="15.4" x14ac:dyDescent="0.4">
      <c r="A44" s="43">
        <v>7.5669383003492436</v>
      </c>
      <c r="B44" s="2">
        <v>7.356749797815783</v>
      </c>
      <c r="D44" s="43">
        <v>7.5669383003492436</v>
      </c>
      <c r="E44" s="2">
        <v>26.475694444444443</v>
      </c>
      <c r="G44" s="43">
        <v>7.5669383003492436</v>
      </c>
      <c r="H44" s="2">
        <v>33.643105814812309</v>
      </c>
      <c r="J44" s="43">
        <v>7.5669383003492436</v>
      </c>
      <c r="K44" s="2">
        <v>27.635202527060638</v>
      </c>
      <c r="M44" s="43">
        <v>7.5669383003492436</v>
      </c>
      <c r="N44" s="2">
        <v>28.005491153369938</v>
      </c>
      <c r="P44" s="43">
        <v>7.5669383003492436</v>
      </c>
      <c r="Q44" s="2">
        <v>30.473387320765351</v>
      </c>
      <c r="S44" s="7"/>
      <c r="T44" s="3"/>
    </row>
    <row r="45" spans="1:20" ht="15.4" x14ac:dyDescent="0.4">
      <c r="A45" s="43">
        <v>7.7</v>
      </c>
      <c r="B45" s="2">
        <v>8.2315534527335732</v>
      </c>
      <c r="D45" s="43">
        <v>7.7</v>
      </c>
      <c r="E45" s="2">
        <v>4.9534004185237652</v>
      </c>
      <c r="G45" s="43">
        <v>7.7</v>
      </c>
      <c r="H45" s="2">
        <v>11.32018655497162</v>
      </c>
      <c r="J45" s="43">
        <v>7.7</v>
      </c>
      <c r="K45" s="2">
        <v>6.5401978226469524</v>
      </c>
      <c r="M45" s="43">
        <v>7.7</v>
      </c>
      <c r="N45" s="2">
        <v>6.9601345026707104</v>
      </c>
      <c r="P45" s="43">
        <v>7.7</v>
      </c>
      <c r="Q45" s="2">
        <v>8.7183307737470805</v>
      </c>
      <c r="S45" s="7"/>
      <c r="T45" s="3"/>
    </row>
    <row r="46" spans="1:20" ht="15.4" x14ac:dyDescent="0.4">
      <c r="A46" s="43">
        <v>8.4269662921348321</v>
      </c>
      <c r="B46" s="2">
        <v>62.665369649805434</v>
      </c>
      <c r="D46" s="43">
        <v>8.4269662921348321</v>
      </c>
      <c r="E46" s="2">
        <v>44.32644775718736</v>
      </c>
      <c r="G46" s="43">
        <v>8.4269662921348321</v>
      </c>
      <c r="H46" s="2">
        <v>46.293989381524995</v>
      </c>
      <c r="J46" s="43">
        <v>8.4269662921348321</v>
      </c>
      <c r="K46" s="2">
        <v>45.432012864096649</v>
      </c>
      <c r="M46" s="43">
        <v>8.4269662921348321</v>
      </c>
      <c r="N46" s="2">
        <v>45.385457816106751</v>
      </c>
      <c r="P46" s="43">
        <v>8.4269662921348321</v>
      </c>
      <c r="Q46" s="2">
        <v>45.686704481172505</v>
      </c>
    </row>
    <row r="47" spans="1:20" ht="15.4" x14ac:dyDescent="0.4">
      <c r="A47" s="43">
        <v>8.6</v>
      </c>
      <c r="B47" s="1">
        <v>2.312761756578416</v>
      </c>
      <c r="D47" s="43">
        <v>8.6</v>
      </c>
      <c r="E47" s="1">
        <v>31.462328767123282</v>
      </c>
      <c r="G47" s="43">
        <v>8.6</v>
      </c>
      <c r="H47" s="1">
        <v>43.728915553476376</v>
      </c>
      <c r="J47" s="43">
        <v>8.6</v>
      </c>
      <c r="K47" s="1">
        <v>32.304629168740661</v>
      </c>
      <c r="M47" s="43">
        <v>8.6</v>
      </c>
      <c r="N47" s="1">
        <v>32.261986039115598</v>
      </c>
      <c r="P47" s="43">
        <v>8.6</v>
      </c>
      <c r="Q47" s="1">
        <v>39.289816362649269</v>
      </c>
      <c r="S47" s="7"/>
      <c r="T47" s="3"/>
    </row>
    <row r="48" spans="1:20" ht="15.4" x14ac:dyDescent="0.4">
      <c r="A48" s="43">
        <v>8.75</v>
      </c>
      <c r="B48" s="2">
        <v>15.188630303598089</v>
      </c>
      <c r="D48" s="43">
        <v>8.75</v>
      </c>
      <c r="E48" s="2">
        <v>28.603264079028897</v>
      </c>
      <c r="G48" s="43">
        <v>8.75</v>
      </c>
      <c r="H48" s="2">
        <v>0.59772971613164483</v>
      </c>
      <c r="J48" s="43">
        <v>8.75</v>
      </c>
      <c r="K48" s="2">
        <v>25.862332629355727</v>
      </c>
      <c r="M48" s="43">
        <v>8.75</v>
      </c>
      <c r="N48" s="2">
        <v>26.300326693367243</v>
      </c>
      <c r="P48" s="43">
        <v>8.75</v>
      </c>
      <c r="Q48" s="2">
        <v>8.7666968404565981</v>
      </c>
      <c r="S48" s="7"/>
      <c r="T48" s="3"/>
    </row>
    <row r="49" spans="1:20" ht="15.4" x14ac:dyDescent="0.4">
      <c r="A49" s="43">
        <v>9</v>
      </c>
      <c r="B49" s="2">
        <v>18.740750715653299</v>
      </c>
      <c r="D49" s="43">
        <v>9</v>
      </c>
      <c r="E49" s="2">
        <v>24.943975029866657</v>
      </c>
      <c r="G49" s="43">
        <v>9</v>
      </c>
      <c r="H49" s="2">
        <v>12.251826538839941</v>
      </c>
      <c r="J49" s="43">
        <v>9</v>
      </c>
      <c r="K49" s="2">
        <v>22.311822042852</v>
      </c>
      <c r="M49" s="43">
        <v>9</v>
      </c>
      <c r="N49" s="2">
        <v>22.96887292982025</v>
      </c>
      <c r="P49" s="43">
        <v>9</v>
      </c>
      <c r="Q49" s="2">
        <v>18.624521956531936</v>
      </c>
      <c r="S49" s="7"/>
      <c r="T49" s="3"/>
    </row>
    <row r="50" spans="1:20" ht="15.4" x14ac:dyDescent="0.4">
      <c r="A50" s="43">
        <v>9.0575724239090576</v>
      </c>
      <c r="B50" s="2">
        <v>3.6530990656227114</v>
      </c>
      <c r="D50" s="43">
        <v>9.0575724239090576</v>
      </c>
      <c r="E50" s="2">
        <v>6.9708426223175097</v>
      </c>
      <c r="G50" s="43">
        <v>9.0575724239090576</v>
      </c>
      <c r="H50" s="2">
        <v>1.1861357100696117E-14</v>
      </c>
      <c r="J50" s="43">
        <v>9.0575724239090576</v>
      </c>
      <c r="K50" s="2">
        <v>4.7132869656274163</v>
      </c>
      <c r="M50" s="43">
        <v>9.0575724239090576</v>
      </c>
      <c r="N50" s="2">
        <v>5.3219094067969817</v>
      </c>
      <c r="P50" s="43">
        <v>9.0575724239090576</v>
      </c>
      <c r="Q50" s="2">
        <v>3.4696439812570397</v>
      </c>
      <c r="S50" s="7"/>
      <c r="T50" s="3"/>
    </row>
    <row r="51" spans="1:20" ht="15.4" x14ac:dyDescent="0.4">
      <c r="A51" s="43">
        <v>9.2024539877300615</v>
      </c>
      <c r="B51" s="2">
        <v>9.3548387096774288</v>
      </c>
      <c r="D51" s="43">
        <v>9.2024539877300615</v>
      </c>
      <c r="E51" s="2">
        <v>13.898730608409346</v>
      </c>
      <c r="G51" s="43">
        <v>9.2024539877300615</v>
      </c>
      <c r="H51" s="2">
        <v>25.472747497219146</v>
      </c>
      <c r="J51" s="43">
        <v>9.2024539877300615</v>
      </c>
      <c r="K51" s="2">
        <v>15.93214500765564</v>
      </c>
      <c r="M51" s="43">
        <v>9.2024539877300615</v>
      </c>
      <c r="N51" s="2">
        <v>15.306039623887221</v>
      </c>
      <c r="P51" s="43">
        <v>9.2024539877300615</v>
      </c>
      <c r="Q51" s="2">
        <v>19.80249182190947</v>
      </c>
      <c r="S51" s="7"/>
      <c r="T51" s="3"/>
    </row>
    <row r="52" spans="1:20" ht="15.4" x14ac:dyDescent="0.4">
      <c r="A52" s="43">
        <v>9.67741935483871</v>
      </c>
      <c r="B52" s="2">
        <v>2.4734982332155502</v>
      </c>
      <c r="D52" s="43">
        <v>9.67741935483871</v>
      </c>
      <c r="E52" s="2">
        <v>30.795053003533575</v>
      </c>
      <c r="G52" s="43">
        <v>9.67741935483871</v>
      </c>
      <c r="H52" s="2">
        <v>34.703714461011096</v>
      </c>
      <c r="J52" s="43">
        <v>9.67741935483871</v>
      </c>
      <c r="K52" s="2">
        <v>28.215002354959445</v>
      </c>
      <c r="M52" s="43">
        <v>9.67741935483871</v>
      </c>
      <c r="N52" s="2">
        <v>27.408245868996552</v>
      </c>
      <c r="P52" s="43">
        <v>9.67741935483871</v>
      </c>
      <c r="Q52" s="2">
        <v>30.359771607235942</v>
      </c>
      <c r="S52" s="7"/>
      <c r="T52" s="3"/>
    </row>
    <row r="53" spans="1:20" ht="15.4" x14ac:dyDescent="0.4">
      <c r="A53" s="43">
        <v>9.7000000000000011</v>
      </c>
      <c r="B53" s="2">
        <v>15.678750447734826</v>
      </c>
      <c r="D53" s="43">
        <v>9.7000000000000011</v>
      </c>
      <c r="E53" s="2">
        <v>12.190191772863109</v>
      </c>
      <c r="G53" s="43">
        <v>9.7000000000000011</v>
      </c>
      <c r="H53" s="2">
        <v>19.715251495290893</v>
      </c>
      <c r="J53" s="43">
        <v>9.7000000000000011</v>
      </c>
      <c r="K53" s="2">
        <v>14.486020170278158</v>
      </c>
      <c r="M53" s="43">
        <v>9.7000000000000011</v>
      </c>
      <c r="N53" s="2">
        <v>13.446934510287189</v>
      </c>
      <c r="P53" s="43">
        <v>9.7000000000000011</v>
      </c>
      <c r="Q53" s="2">
        <v>15.646529326203002</v>
      </c>
      <c r="S53" s="7"/>
      <c r="T53" s="3"/>
    </row>
    <row r="54" spans="1:20" ht="15.4" x14ac:dyDescent="0.4">
      <c r="A54" s="43">
        <v>10</v>
      </c>
      <c r="B54" s="2">
        <v>18.352941176470576</v>
      </c>
      <c r="D54" s="43">
        <v>10</v>
      </c>
      <c r="E54" s="2">
        <v>12.388465754922935</v>
      </c>
      <c r="G54" s="43">
        <v>10</v>
      </c>
      <c r="H54" s="2">
        <v>6.4066205594833185</v>
      </c>
      <c r="J54" s="43">
        <v>10</v>
      </c>
      <c r="K54" s="2">
        <v>9.381505954767059</v>
      </c>
      <c r="M54" s="43">
        <v>10</v>
      </c>
      <c r="N54" s="2">
        <v>11.00295899568202</v>
      </c>
      <c r="P54" s="43">
        <v>10</v>
      </c>
      <c r="Q54" s="2">
        <v>2.6550624769389675</v>
      </c>
      <c r="S54" s="7"/>
      <c r="T54" s="3"/>
    </row>
    <row r="55" spans="1:20" ht="15.4" x14ac:dyDescent="0.4">
      <c r="A55" s="43">
        <v>10</v>
      </c>
      <c r="B55" s="2">
        <v>27.311111111111103</v>
      </c>
      <c r="D55" s="43">
        <v>10</v>
      </c>
      <c r="E55" s="2">
        <v>39.101438968772442</v>
      </c>
      <c r="G55" s="43">
        <v>10</v>
      </c>
      <c r="H55" s="2">
        <v>44.765079097386135</v>
      </c>
      <c r="J55" s="43">
        <v>10</v>
      </c>
      <c r="K55" s="2">
        <v>40.790008498688252</v>
      </c>
      <c r="M55" s="43">
        <v>10</v>
      </c>
      <c r="N55" s="2">
        <v>39.892126473399124</v>
      </c>
      <c r="P55" s="43">
        <v>10</v>
      </c>
      <c r="Q55" s="2">
        <v>41.614557294064149</v>
      </c>
      <c r="S55" s="41"/>
      <c r="T55" s="5"/>
    </row>
    <row r="56" spans="1:20" ht="15.4" x14ac:dyDescent="0.4">
      <c r="A56" s="43">
        <v>10</v>
      </c>
      <c r="B56" s="2">
        <v>38.773943054357169</v>
      </c>
      <c r="D56" s="43">
        <v>10</v>
      </c>
      <c r="E56" s="2">
        <v>41.83153580672991</v>
      </c>
      <c r="G56" s="43">
        <v>10</v>
      </c>
      <c r="H56" s="2">
        <v>24.331206297196822</v>
      </c>
      <c r="J56" s="43">
        <v>10</v>
      </c>
      <c r="K56" s="2">
        <v>38.184219023600328</v>
      </c>
      <c r="M56" s="43">
        <v>10</v>
      </c>
      <c r="N56" s="2">
        <v>40.182494541648083</v>
      </c>
      <c r="P56" s="43">
        <v>10</v>
      </c>
      <c r="Q56" s="2">
        <v>33.644522209336216</v>
      </c>
      <c r="S56" s="7"/>
      <c r="T56" s="3"/>
    </row>
    <row r="57" spans="1:20" ht="15.4" x14ac:dyDescent="0.4">
      <c r="A57" s="43">
        <v>10</v>
      </c>
      <c r="B57" s="2">
        <v>21.686340134798368</v>
      </c>
      <c r="D57" s="43">
        <v>10</v>
      </c>
      <c r="E57" s="2">
        <v>35.17608715123523</v>
      </c>
      <c r="G57" s="43">
        <v>10</v>
      </c>
      <c r="H57" s="2">
        <v>10.043362031848545</v>
      </c>
      <c r="J57" s="43">
        <v>10</v>
      </c>
      <c r="K57" s="2">
        <v>31.69222868136195</v>
      </c>
      <c r="M57" s="43">
        <v>10</v>
      </c>
      <c r="N57" s="2">
        <v>33.596623831188481</v>
      </c>
      <c r="P57" s="43">
        <v>10</v>
      </c>
      <c r="Q57" s="2">
        <v>21.410028204543153</v>
      </c>
    </row>
    <row r="58" spans="1:20" ht="15.4" x14ac:dyDescent="0.4">
      <c r="A58" s="43">
        <v>10</v>
      </c>
      <c r="B58" s="2">
        <v>44.037087767358379</v>
      </c>
      <c r="D58" s="43">
        <v>10</v>
      </c>
      <c r="E58" s="2">
        <v>26.8565614320623</v>
      </c>
      <c r="G58" s="43">
        <v>10</v>
      </c>
      <c r="H58" s="2">
        <v>6.6648876333011211</v>
      </c>
      <c r="J58" s="43">
        <v>10</v>
      </c>
      <c r="K58" s="2">
        <v>23.407465345111504</v>
      </c>
      <c r="M58" s="43">
        <v>10</v>
      </c>
      <c r="N58" s="2">
        <v>25.255858917223179</v>
      </c>
      <c r="P58" s="43">
        <v>10</v>
      </c>
      <c r="Q58" s="2">
        <v>16.628906032175873</v>
      </c>
    </row>
    <row r="59" spans="1:20" ht="15.4" x14ac:dyDescent="0.4">
      <c r="A59" s="43">
        <v>10</v>
      </c>
      <c r="B59" s="2">
        <v>14.26273458445041</v>
      </c>
      <c r="D59" s="43">
        <v>10</v>
      </c>
      <c r="E59" s="2">
        <v>0.46734833797077424</v>
      </c>
      <c r="G59" s="43">
        <v>10</v>
      </c>
      <c r="H59" s="2">
        <v>15.875975740004348</v>
      </c>
      <c r="J59" s="43">
        <v>10</v>
      </c>
      <c r="K59" s="2">
        <v>3.1337980591123409</v>
      </c>
      <c r="M59" s="43">
        <v>10</v>
      </c>
      <c r="N59" s="2">
        <v>1.6966642375121368</v>
      </c>
      <c r="P59" s="43">
        <v>10</v>
      </c>
      <c r="Q59" s="2">
        <v>8.1993555432480498</v>
      </c>
    </row>
    <row r="60" spans="1:20" ht="15.4" x14ac:dyDescent="0.4">
      <c r="A60" s="43">
        <v>10</v>
      </c>
      <c r="B60" s="2">
        <v>26.285714285714278</v>
      </c>
      <c r="D60" s="43">
        <v>10</v>
      </c>
      <c r="E60" s="2">
        <v>7.3925379902424133</v>
      </c>
      <c r="G60" s="43">
        <v>10</v>
      </c>
      <c r="H60" s="2">
        <v>9.3992955274612893</v>
      </c>
      <c r="J60" s="43">
        <v>10</v>
      </c>
      <c r="K60" s="2">
        <v>4.4432751169906481</v>
      </c>
      <c r="M60" s="43">
        <v>10</v>
      </c>
      <c r="N60" s="2">
        <v>6.0175899253067291</v>
      </c>
      <c r="P60" s="43">
        <v>10</v>
      </c>
      <c r="Q60" s="2">
        <v>1.0468601707480285</v>
      </c>
    </row>
    <row r="61" spans="1:20" ht="15.4" x14ac:dyDescent="0.4">
      <c r="A61" s="43">
        <v>10</v>
      </c>
      <c r="B61" s="2">
        <v>9.7753378378378439</v>
      </c>
      <c r="D61" s="43">
        <v>10</v>
      </c>
      <c r="E61" s="2">
        <v>54.156940203023154</v>
      </c>
      <c r="G61" s="43">
        <v>10</v>
      </c>
      <c r="H61" s="2">
        <v>57.591577847387086</v>
      </c>
      <c r="J61" s="43">
        <v>10</v>
      </c>
      <c r="K61" s="2">
        <v>55.321771282683343</v>
      </c>
      <c r="M61" s="43">
        <v>10</v>
      </c>
      <c r="N61" s="2">
        <v>54.681874128397055</v>
      </c>
      <c r="P61" s="43">
        <v>10</v>
      </c>
      <c r="Q61" s="2">
        <v>55.634341837404477</v>
      </c>
    </row>
    <row r="62" spans="1:20" ht="15.4" x14ac:dyDescent="0.4">
      <c r="A62" s="43">
        <v>10</v>
      </c>
      <c r="B62" s="2">
        <v>3.1811230458894277</v>
      </c>
      <c r="D62" s="43">
        <v>10</v>
      </c>
      <c r="E62" s="2">
        <v>0.70502901353965797</v>
      </c>
      <c r="G62" s="43">
        <v>10</v>
      </c>
      <c r="H62" s="2">
        <v>6.4435378102597305</v>
      </c>
      <c r="J62" s="43">
        <v>10</v>
      </c>
      <c r="K62" s="2">
        <v>4.9884191476226095E-2</v>
      </c>
      <c r="M62" s="43">
        <v>10</v>
      </c>
      <c r="N62" s="2">
        <v>2.2666365797527312E-2</v>
      </c>
      <c r="P62" s="43">
        <v>10</v>
      </c>
      <c r="Q62" s="2">
        <v>2.5133266159854748</v>
      </c>
    </row>
    <row r="63" spans="1:20" ht="15.4" x14ac:dyDescent="0.4">
      <c r="A63" s="43">
        <v>10</v>
      </c>
      <c r="B63" s="2">
        <v>2.1603516628702129</v>
      </c>
      <c r="D63" s="43">
        <v>10</v>
      </c>
      <c r="E63" s="2">
        <v>12.713669064748197</v>
      </c>
      <c r="G63" s="43">
        <v>10</v>
      </c>
      <c r="H63" s="2">
        <v>8.5383274997090481</v>
      </c>
      <c r="J63" s="43">
        <v>10</v>
      </c>
      <c r="K63" s="2">
        <v>9.9704598726306415</v>
      </c>
      <c r="M63" s="43">
        <v>10</v>
      </c>
      <c r="N63" s="2">
        <v>11.498385861483403</v>
      </c>
      <c r="P63" s="43">
        <v>10</v>
      </c>
      <c r="Q63" s="2">
        <v>0.87979936333756337</v>
      </c>
    </row>
    <row r="64" spans="1:20" ht="15.4" x14ac:dyDescent="0.4">
      <c r="A64" s="43">
        <v>10.112359550561797</v>
      </c>
      <c r="B64" s="2">
        <v>17.755102040816336</v>
      </c>
      <c r="D64" s="43">
        <v>10.112359550561797</v>
      </c>
      <c r="E64" s="2">
        <v>1.7668633431863816</v>
      </c>
      <c r="G64" s="43">
        <v>10.112359550561797</v>
      </c>
      <c r="H64" s="2">
        <v>17.250890408920824</v>
      </c>
      <c r="J64" s="43">
        <v>10.112359550561797</v>
      </c>
      <c r="K64" s="2">
        <v>4.5485593439459207</v>
      </c>
      <c r="M64" s="43">
        <v>10.112359550561797</v>
      </c>
      <c r="N64" s="2">
        <v>2.9905846847349755</v>
      </c>
      <c r="P64" s="43">
        <v>10.112359550561797</v>
      </c>
      <c r="Q64" s="2">
        <v>9.4986547013570171</v>
      </c>
    </row>
    <row r="65" spans="1:17" ht="15.4" x14ac:dyDescent="0.4">
      <c r="A65" s="43">
        <v>10.911</v>
      </c>
      <c r="B65" s="2">
        <v>17.730360178238648</v>
      </c>
      <c r="D65" s="43">
        <v>10.911</v>
      </c>
      <c r="E65" s="2">
        <v>37.420287547288943</v>
      </c>
      <c r="G65" s="43">
        <v>10.911</v>
      </c>
      <c r="H65" s="2">
        <v>0.72455806265414535</v>
      </c>
      <c r="J65" s="43">
        <v>10.911</v>
      </c>
      <c r="K65" s="2">
        <v>32.93715445457984</v>
      </c>
      <c r="M65" s="43">
        <v>10.911</v>
      </c>
      <c r="N65" s="2">
        <v>36.266760460701008</v>
      </c>
      <c r="P65" s="43">
        <v>10.911</v>
      </c>
      <c r="Q65" s="2">
        <v>11.391940130482169</v>
      </c>
    </row>
    <row r="66" spans="1:17" ht="15.4" x14ac:dyDescent="0.4">
      <c r="A66" s="43">
        <v>11.322248614410135</v>
      </c>
      <c r="B66" s="2">
        <v>8.3106603800632435</v>
      </c>
      <c r="D66" s="43">
        <v>11.322248614410135</v>
      </c>
      <c r="E66" s="2">
        <v>4.8731297525013995</v>
      </c>
      <c r="G66" s="43">
        <v>11.322248614410135</v>
      </c>
      <c r="H66" s="2">
        <v>13.044583037043747</v>
      </c>
      <c r="J66" s="43">
        <v>11.322248614410135</v>
      </c>
      <c r="K66" s="2">
        <v>7.9542037292345285</v>
      </c>
      <c r="M66" s="43">
        <v>11.322248614410135</v>
      </c>
      <c r="N66" s="2">
        <v>5.3360981764197959</v>
      </c>
      <c r="P66" s="43">
        <v>11.322248614410135</v>
      </c>
      <c r="Q66" s="2">
        <v>7.6505367635096482</v>
      </c>
    </row>
    <row r="67" spans="1:17" ht="15.4" x14ac:dyDescent="0.4">
      <c r="A67" s="43">
        <v>12</v>
      </c>
      <c r="B67" s="2">
        <v>6.7704729887262216</v>
      </c>
      <c r="D67" s="43">
        <v>12</v>
      </c>
      <c r="E67" s="2">
        <v>4.6019417475728153</v>
      </c>
      <c r="G67" s="43">
        <v>12</v>
      </c>
      <c r="H67" s="2">
        <v>23.685370874359119</v>
      </c>
      <c r="J67" s="43">
        <v>12</v>
      </c>
      <c r="K67" s="2">
        <v>7.9883945342850069</v>
      </c>
      <c r="M67" s="43">
        <v>12</v>
      </c>
      <c r="N67" s="2">
        <v>4.6623379928291531</v>
      </c>
      <c r="P67" s="43">
        <v>12</v>
      </c>
      <c r="Q67" s="2">
        <v>14.059578841280148</v>
      </c>
    </row>
    <row r="68" spans="1:17" ht="15.4" x14ac:dyDescent="0.4">
      <c r="A68" s="43">
        <v>12.195121951219512</v>
      </c>
      <c r="B68" s="2">
        <v>5.6965944272445732</v>
      </c>
      <c r="D68" s="43">
        <v>12.195121951219512</v>
      </c>
      <c r="E68" s="2">
        <v>2.7243074941151648</v>
      </c>
      <c r="G68" s="43">
        <v>12.195121951219512</v>
      </c>
      <c r="H68" s="2">
        <v>18.001873110213161</v>
      </c>
      <c r="J68" s="43">
        <v>12.195121951219512</v>
      </c>
      <c r="K68" s="2">
        <v>1.1820425886259198</v>
      </c>
      <c r="M68" s="43">
        <v>12.195121951219512</v>
      </c>
      <c r="N68" s="2">
        <v>2.7252949856119248</v>
      </c>
      <c r="P68" s="43">
        <v>12.195121951219512</v>
      </c>
      <c r="Q68" s="2">
        <v>7.3699060470178228</v>
      </c>
    </row>
    <row r="69" spans="1:17" ht="15.4" x14ac:dyDescent="0.4">
      <c r="A69" s="43">
        <v>12.269938650306749</v>
      </c>
      <c r="B69" s="2">
        <v>16.735294117647044</v>
      </c>
      <c r="D69" s="43">
        <v>12.269938650306749</v>
      </c>
      <c r="E69" s="2">
        <v>13.007679199623237</v>
      </c>
      <c r="G69" s="43">
        <v>12.269938650306749</v>
      </c>
      <c r="H69" s="2">
        <v>28.792569659442751</v>
      </c>
      <c r="J69" s="43">
        <v>12.269938650306749</v>
      </c>
      <c r="K69" s="2">
        <v>16.579465070528656</v>
      </c>
      <c r="M69" s="43">
        <v>12.269938650306749</v>
      </c>
      <c r="N69" s="2">
        <v>13.054533974515492</v>
      </c>
      <c r="P69" s="43">
        <v>12.269938650306749</v>
      </c>
      <c r="Q69" s="2">
        <v>20.011894679243198</v>
      </c>
    </row>
    <row r="70" spans="1:17" ht="15.4" x14ac:dyDescent="0.4">
      <c r="A70" s="43">
        <v>12.306721363206059</v>
      </c>
      <c r="B70" s="2">
        <v>5.6052131619144605</v>
      </c>
      <c r="D70" s="43">
        <v>12.306721363206059</v>
      </c>
      <c r="E70" s="2">
        <v>32.258953168044073</v>
      </c>
      <c r="G70" s="43">
        <v>12.306721363206059</v>
      </c>
      <c r="H70" s="2">
        <v>43.160134106025993</v>
      </c>
      <c r="J70" s="43">
        <v>12.306721363206059</v>
      </c>
      <c r="K70" s="2">
        <v>34.769436376554744</v>
      </c>
      <c r="M70" s="43">
        <v>12.306721363206059</v>
      </c>
      <c r="N70" s="2">
        <v>32.159048225316909</v>
      </c>
      <c r="P70" s="43">
        <v>12.306721363206059</v>
      </c>
      <c r="Q70" s="2">
        <v>36.788282351570537</v>
      </c>
    </row>
    <row r="71" spans="1:17" ht="15.4" x14ac:dyDescent="0.4">
      <c r="A71" s="43">
        <v>12.306721363206059</v>
      </c>
      <c r="B71" s="2">
        <v>1.0234263919039375</v>
      </c>
      <c r="D71" s="43">
        <v>12.306721363206059</v>
      </c>
      <c r="E71" s="2">
        <v>39.433497536945815</v>
      </c>
      <c r="G71" s="43">
        <v>12.306721363206059</v>
      </c>
      <c r="H71" s="2">
        <v>47.711519429471309</v>
      </c>
      <c r="J71" s="43">
        <v>12.306721363206059</v>
      </c>
      <c r="K71" s="2">
        <v>41.678092129776786</v>
      </c>
      <c r="M71" s="43">
        <v>12.306721363206059</v>
      </c>
      <c r="N71" s="2">
        <v>39.344173659581379</v>
      </c>
      <c r="P71" s="43">
        <v>12.306721363206059</v>
      </c>
      <c r="Q71" s="2">
        <v>42.508837295125502</v>
      </c>
    </row>
    <row r="72" spans="1:17" ht="15.4" x14ac:dyDescent="0.4">
      <c r="A72" s="43">
        <v>12.306721363206059</v>
      </c>
      <c r="B72" s="2">
        <v>3.2364434704435037</v>
      </c>
      <c r="D72" s="43">
        <v>12.306721363206059</v>
      </c>
      <c r="E72" s="2">
        <v>39.730392156862735</v>
      </c>
      <c r="G72" s="43">
        <v>12.306721363206059</v>
      </c>
      <c r="H72" s="2">
        <v>47.791971218329167</v>
      </c>
      <c r="J72" s="43">
        <v>12.306721363206059</v>
      </c>
      <c r="K72" s="2">
        <v>41.963983835022972</v>
      </c>
      <c r="M72" s="43">
        <v>12.306721363206059</v>
      </c>
      <c r="N72" s="2">
        <v>39.641506141642246</v>
      </c>
      <c r="P72" s="43">
        <v>12.306721363206059</v>
      </c>
      <c r="Q72" s="2">
        <v>42.680347765549357</v>
      </c>
    </row>
    <row r="73" spans="1:17" ht="15.4" x14ac:dyDescent="0.4">
      <c r="A73" s="43">
        <v>12.5</v>
      </c>
      <c r="B73" s="2">
        <v>1.9820533948009775</v>
      </c>
      <c r="D73" s="43">
        <v>12.5</v>
      </c>
      <c r="E73" s="2">
        <v>17.558260410039249</v>
      </c>
      <c r="G73" s="43">
        <v>12.5</v>
      </c>
      <c r="H73" s="2">
        <v>3.6940656594536589</v>
      </c>
      <c r="J73" s="43">
        <v>12.5</v>
      </c>
      <c r="K73" s="2">
        <v>16.010020393823218</v>
      </c>
      <c r="M73" s="43">
        <v>12.5</v>
      </c>
      <c r="N73" s="2">
        <v>17.647483038854897</v>
      </c>
      <c r="P73" s="43">
        <v>12.5</v>
      </c>
      <c r="Q73" s="2">
        <v>11.51564559285324</v>
      </c>
    </row>
    <row r="74" spans="1:17" ht="15.4" x14ac:dyDescent="0.4">
      <c r="A74" s="43">
        <v>14.285714285714288</v>
      </c>
      <c r="B74" s="2">
        <v>6.8481375358166288</v>
      </c>
      <c r="D74" s="43">
        <v>14.285714285714288</v>
      </c>
      <c r="E74" s="2">
        <v>67.234957020057323</v>
      </c>
      <c r="G74" s="43">
        <v>14.285714285714288</v>
      </c>
      <c r="H74" s="2">
        <v>42.591083727465382</v>
      </c>
      <c r="J74" s="43">
        <v>14.285714285714288</v>
      </c>
      <c r="K74" s="2">
        <v>34.163991816004405</v>
      </c>
      <c r="M74" s="43">
        <v>14.285714285714288</v>
      </c>
      <c r="N74" s="2">
        <v>29.666686567969318</v>
      </c>
      <c r="P74" s="43">
        <v>14.285714285714288</v>
      </c>
      <c r="Q74" s="2">
        <v>34.70344888565571</v>
      </c>
    </row>
    <row r="75" spans="1:17" ht="15.4" x14ac:dyDescent="0.4">
      <c r="A75" s="43">
        <v>15</v>
      </c>
      <c r="B75" s="2">
        <v>0.57208408050974624</v>
      </c>
      <c r="D75" s="43">
        <v>15</v>
      </c>
      <c r="E75" s="2">
        <v>7.127009345937986</v>
      </c>
      <c r="G75" s="43">
        <v>15</v>
      </c>
      <c r="H75" s="2">
        <v>20.641503339973486</v>
      </c>
      <c r="J75" s="43">
        <v>15</v>
      </c>
      <c r="K75" s="2">
        <v>12.711544748157991</v>
      </c>
      <c r="M75" s="43">
        <v>15</v>
      </c>
      <c r="N75" s="2">
        <v>5.2940747522802125</v>
      </c>
      <c r="P75" s="43">
        <v>15</v>
      </c>
      <c r="Q75" s="2">
        <v>9.9431750345120946</v>
      </c>
    </row>
    <row r="76" spans="1:17" ht="15.4" x14ac:dyDescent="0.4">
      <c r="A76" s="43">
        <v>15</v>
      </c>
      <c r="B76" s="2">
        <v>6.4363847139593586</v>
      </c>
      <c r="D76" s="43">
        <v>15</v>
      </c>
      <c r="E76" s="2">
        <v>1.7567010309278219</v>
      </c>
      <c r="G76" s="43">
        <v>15</v>
      </c>
      <c r="H76" s="2">
        <v>9.1348170673575773</v>
      </c>
      <c r="J76" s="43">
        <v>15</v>
      </c>
      <c r="K76" s="2">
        <v>0.1544464178495277</v>
      </c>
      <c r="M76" s="43">
        <v>15</v>
      </c>
      <c r="N76" s="2">
        <v>2.5044598764896393</v>
      </c>
      <c r="P76" s="43">
        <v>15</v>
      </c>
      <c r="Q76" s="2">
        <v>1.7966523629030402</v>
      </c>
    </row>
    <row r="77" spans="1:17" ht="15.4" x14ac:dyDescent="0.4">
      <c r="A77" s="43">
        <v>15</v>
      </c>
      <c r="B77" s="2">
        <v>4.1495428863554035E-2</v>
      </c>
      <c r="D77" s="43">
        <v>15</v>
      </c>
      <c r="E77" s="2">
        <v>18.397081377515459</v>
      </c>
      <c r="G77" s="43">
        <v>15</v>
      </c>
      <c r="H77" s="2">
        <v>1.70108537214931</v>
      </c>
      <c r="J77" s="43">
        <v>15</v>
      </c>
      <c r="K77" s="2">
        <v>16.226877722050542</v>
      </c>
      <c r="M77" s="43">
        <v>15</v>
      </c>
      <c r="N77" s="2">
        <v>19.619844376325844</v>
      </c>
      <c r="P77" s="43">
        <v>15</v>
      </c>
      <c r="Q77" s="2">
        <v>11.74408006989951</v>
      </c>
    </row>
    <row r="78" spans="1:17" ht="15.4" x14ac:dyDescent="0.4">
      <c r="A78" s="43">
        <v>15.337423312883436</v>
      </c>
      <c r="B78" s="2">
        <v>21.771428571428586</v>
      </c>
      <c r="D78" s="43">
        <v>15.337423312883436</v>
      </c>
      <c r="E78" s="2">
        <v>6.0176221479799938</v>
      </c>
      <c r="G78" s="43">
        <v>15.337423312883436</v>
      </c>
      <c r="H78" s="2">
        <v>27.551020408163279</v>
      </c>
      <c r="J78" s="43">
        <v>15.337423312883436</v>
      </c>
      <c r="K78" s="2">
        <v>11.911008955482774</v>
      </c>
      <c r="M78" s="43">
        <v>15.337423312883436</v>
      </c>
      <c r="N78" s="2">
        <v>3.8905319723674392</v>
      </c>
      <c r="P78" s="43">
        <v>15.337423312883436</v>
      </c>
      <c r="Q78" s="2">
        <v>14.520106847053135</v>
      </c>
    </row>
    <row r="79" spans="1:17" ht="15.4" x14ac:dyDescent="0.4">
      <c r="A79" s="43">
        <v>15.789473684210526</v>
      </c>
      <c r="B79" s="2">
        <v>14.113924050632903</v>
      </c>
      <c r="D79" s="43">
        <v>15.789473684210526</v>
      </c>
      <c r="E79" s="2">
        <v>25.967477807432704</v>
      </c>
      <c r="G79" s="43">
        <v>15.789473684210526</v>
      </c>
      <c r="H79" s="2">
        <v>44.39755136117364</v>
      </c>
      <c r="J79" s="43">
        <v>15.789473684210526</v>
      </c>
      <c r="K79" s="2">
        <v>30.868285998996605</v>
      </c>
      <c r="M79" s="43">
        <v>15.789473684210526</v>
      </c>
      <c r="N79" s="2">
        <v>23.994191223797117</v>
      </c>
      <c r="P79" s="43">
        <v>15.789473684210526</v>
      </c>
      <c r="Q79" s="2">
        <v>33.629468653992944</v>
      </c>
    </row>
    <row r="80" spans="1:17" ht="15.4" x14ac:dyDescent="0.4">
      <c r="A80" s="43">
        <v>16</v>
      </c>
      <c r="B80" s="1">
        <v>13.586641707772804</v>
      </c>
      <c r="D80" s="43">
        <v>16</v>
      </c>
      <c r="E80" s="1">
        <v>18.10367503928051</v>
      </c>
      <c r="G80" s="43">
        <v>16</v>
      </c>
      <c r="H80" s="1">
        <v>4.5490974933819563</v>
      </c>
      <c r="J80" s="43">
        <v>16</v>
      </c>
      <c r="K80" s="1">
        <v>10.669869795468726</v>
      </c>
      <c r="M80" s="43">
        <v>16</v>
      </c>
      <c r="N80" s="1">
        <v>21.553512535942382</v>
      </c>
      <c r="P80" s="43">
        <v>16</v>
      </c>
      <c r="Q80" s="1">
        <v>11.58571138363526</v>
      </c>
    </row>
    <row r="81" spans="1:17" ht="15.4" x14ac:dyDescent="0.4">
      <c r="A81" s="43">
        <v>16.404</v>
      </c>
      <c r="B81" s="1">
        <v>24.580976781815441</v>
      </c>
      <c r="D81" s="43">
        <v>16.404</v>
      </c>
      <c r="E81" s="1">
        <v>62.620138684860649</v>
      </c>
      <c r="G81" s="43">
        <v>16.404</v>
      </c>
      <c r="H81" s="1">
        <v>1.8492070360037531</v>
      </c>
      <c r="J81" s="43">
        <v>16.404</v>
      </c>
      <c r="K81" s="1">
        <v>51.111049088142792</v>
      </c>
      <c r="M81" s="43">
        <v>16.404</v>
      </c>
      <c r="N81" s="1">
        <v>67.890339726776588</v>
      </c>
      <c r="P81" s="43">
        <v>16.404</v>
      </c>
      <c r="Q81" s="1">
        <v>17.677025858303537</v>
      </c>
    </row>
    <row r="82" spans="1:17" ht="15.4" x14ac:dyDescent="0.4">
      <c r="A82" s="43">
        <v>17.7</v>
      </c>
      <c r="B82" s="1">
        <v>25.031656274988006</v>
      </c>
      <c r="D82" s="43">
        <v>17.7</v>
      </c>
      <c r="E82" s="1">
        <v>19.041009463722403</v>
      </c>
      <c r="G82" s="43">
        <v>17.7</v>
      </c>
      <c r="H82" s="1">
        <v>46.700644311998538</v>
      </c>
      <c r="J82" s="43">
        <v>17.7</v>
      </c>
      <c r="K82" s="1">
        <v>22.854066198394257</v>
      </c>
      <c r="M82" s="43">
        <v>17.7</v>
      </c>
      <c r="N82" s="1">
        <v>15.783724062784069</v>
      </c>
      <c r="P82" s="43">
        <v>17.7</v>
      </c>
      <c r="Q82" s="1">
        <v>36.714408741849006</v>
      </c>
    </row>
    <row r="83" spans="1:17" ht="15.4" x14ac:dyDescent="0.4">
      <c r="A83" s="43">
        <v>17.723032767280557</v>
      </c>
      <c r="B83" s="2">
        <v>9.101963199206466</v>
      </c>
      <c r="D83" s="43">
        <v>17.723032767280557</v>
      </c>
      <c r="E83" s="2">
        <v>19.576773403734933</v>
      </c>
      <c r="G83" s="43">
        <v>17.723032767280557</v>
      </c>
      <c r="H83" s="2">
        <v>31.816763012942857</v>
      </c>
      <c r="J83" s="43">
        <v>17.723032767280557</v>
      </c>
      <c r="K83" s="2">
        <v>25.630550403117159</v>
      </c>
      <c r="M83" s="43">
        <v>17.723032767280557</v>
      </c>
      <c r="N83" s="2">
        <v>15.887205871340457</v>
      </c>
      <c r="P83" s="43">
        <v>17.723032767280557</v>
      </c>
      <c r="Q83" s="2">
        <v>19.986445450392882</v>
      </c>
    </row>
    <row r="84" spans="1:17" ht="15.4" x14ac:dyDescent="0.4">
      <c r="A84" s="43">
        <v>17.918676774638183</v>
      </c>
      <c r="B84" s="2">
        <v>11.501809869250767</v>
      </c>
      <c r="D84" s="43">
        <v>17.918676774638183</v>
      </c>
      <c r="E84" s="2">
        <v>35.229257641921393</v>
      </c>
      <c r="G84" s="43">
        <v>17.918676774638183</v>
      </c>
      <c r="H84" s="2">
        <v>50.758765091586397</v>
      </c>
      <c r="J84" s="43">
        <v>17.918676774638183</v>
      </c>
      <c r="K84" s="2">
        <v>40.07573737742603</v>
      </c>
      <c r="M84" s="43">
        <v>17.918676774638183</v>
      </c>
      <c r="N84" s="2">
        <v>32.081185296574638</v>
      </c>
      <c r="P84" s="43">
        <v>17.918676774638183</v>
      </c>
      <c r="Q84" s="2">
        <v>40.102077738730685</v>
      </c>
    </row>
    <row r="85" spans="1:17" ht="15.4" x14ac:dyDescent="0.4">
      <c r="A85" s="43">
        <v>17.918676774638183</v>
      </c>
      <c r="B85" s="2">
        <v>2.7713656973520346</v>
      </c>
      <c r="D85" s="43">
        <v>17.918676774638183</v>
      </c>
      <c r="E85" s="2">
        <v>43.549000951474774</v>
      </c>
      <c r="G85" s="43">
        <v>17.918676774638183</v>
      </c>
      <c r="H85" s="2">
        <v>55.30300327632898</v>
      </c>
      <c r="J85" s="43">
        <v>17.918676774638183</v>
      </c>
      <c r="K85" s="2">
        <v>47.772954745691948</v>
      </c>
      <c r="M85" s="43">
        <v>17.918676774638183</v>
      </c>
      <c r="N85" s="2">
        <v>40.805295653341922</v>
      </c>
      <c r="P85" s="43">
        <v>17.918676774638183</v>
      </c>
      <c r="Q85" s="2">
        <v>46.217938777736997</v>
      </c>
    </row>
    <row r="86" spans="1:17" ht="15.4" x14ac:dyDescent="0.4">
      <c r="A86" s="43">
        <v>17.918676774638183</v>
      </c>
      <c r="B86" s="2">
        <v>9.8811751617586641</v>
      </c>
      <c r="D86" s="43">
        <v>17.918676774638183</v>
      </c>
      <c r="E86" s="2">
        <v>45.013901760889709</v>
      </c>
      <c r="G86" s="43">
        <v>17.918676774638183</v>
      </c>
      <c r="H86" s="2">
        <v>56.25284376166956</v>
      </c>
      <c r="J86" s="43">
        <v>17.918676774638183</v>
      </c>
      <c r="K86" s="2">
        <v>49.128244149881596</v>
      </c>
      <c r="M86" s="43">
        <v>17.918676774638183</v>
      </c>
      <c r="N86" s="2">
        <v>42.341395488102279</v>
      </c>
      <c r="P86" s="43">
        <v>17.918676774638183</v>
      </c>
      <c r="Q86" s="2">
        <v>47.436234424561071</v>
      </c>
    </row>
    <row r="87" spans="1:17" ht="15.4" x14ac:dyDescent="0.4">
      <c r="A87" s="43">
        <v>18.404907975460123</v>
      </c>
      <c r="B87" s="2">
        <v>21.833333333333336</v>
      </c>
      <c r="D87" s="43">
        <v>18.404907975460123</v>
      </c>
      <c r="E87" s="2">
        <v>2.0103757632791708</v>
      </c>
      <c r="G87" s="43">
        <v>18.404907975460123</v>
      </c>
      <c r="H87" s="2">
        <v>26.262626262626291</v>
      </c>
      <c r="J87" s="43">
        <v>18.404907975460123</v>
      </c>
      <c r="K87" s="2">
        <v>6.9883119869622004</v>
      </c>
      <c r="M87" s="43">
        <v>18.404907975460123</v>
      </c>
      <c r="N87" s="2">
        <v>7.4129052154154706</v>
      </c>
      <c r="P87" s="43">
        <v>18.404907975460123</v>
      </c>
      <c r="Q87" s="2">
        <v>8.1269819898654703</v>
      </c>
    </row>
    <row r="88" spans="1:17" ht="15.4" x14ac:dyDescent="0.4">
      <c r="A88" s="43">
        <v>19.230769230769234</v>
      </c>
      <c r="B88" s="2">
        <v>6.5336658354114716</v>
      </c>
      <c r="D88" s="43">
        <v>19.230769230769234</v>
      </c>
      <c r="E88" s="2">
        <v>5.3330573793117155</v>
      </c>
      <c r="G88" s="43">
        <v>19.230769230769234</v>
      </c>
      <c r="H88" s="2">
        <v>28.012353727388462</v>
      </c>
      <c r="J88" s="43">
        <v>19.230769230769234</v>
      </c>
      <c r="K88" s="2">
        <v>4.0704291633581811</v>
      </c>
      <c r="M88" s="43">
        <v>19.230769230769234</v>
      </c>
      <c r="N88" s="2">
        <v>11.898927184629269</v>
      </c>
      <c r="P88" s="43">
        <v>19.230769230769234</v>
      </c>
      <c r="Q88" s="2">
        <v>8.9625389411471694</v>
      </c>
    </row>
    <row r="89" spans="1:17" ht="15.4" x14ac:dyDescent="0.4">
      <c r="A89" s="43">
        <v>19.5</v>
      </c>
      <c r="B89" s="2">
        <v>29.619047619047624</v>
      </c>
      <c r="D89" s="43">
        <v>19.5</v>
      </c>
      <c r="E89" s="2">
        <v>48.407806527514282</v>
      </c>
      <c r="G89" s="43">
        <v>19.5</v>
      </c>
      <c r="H89" s="2">
        <v>1.3216940769347102E-14</v>
      </c>
      <c r="J89" s="43">
        <v>19.5</v>
      </c>
      <c r="K89" s="2">
        <v>34.516870552228511</v>
      </c>
      <c r="M89" s="43">
        <v>19.5</v>
      </c>
      <c r="N89" s="2">
        <v>58.13577190748164</v>
      </c>
      <c r="P89" s="43">
        <v>19.5</v>
      </c>
      <c r="Q89" s="2">
        <v>27.386283424356151</v>
      </c>
    </row>
    <row r="90" spans="1:17" ht="15.4" x14ac:dyDescent="0.4">
      <c r="A90" s="43">
        <v>19.704433497536947</v>
      </c>
      <c r="B90" s="2">
        <v>42.404340208597908</v>
      </c>
      <c r="D90" s="43">
        <v>19.704433497536947</v>
      </c>
      <c r="E90" s="2">
        <v>78.150996596499695</v>
      </c>
      <c r="G90" s="43">
        <v>19.704433497536947</v>
      </c>
      <c r="H90" s="2">
        <v>81.018522672189093</v>
      </c>
      <c r="J90" s="43">
        <v>19.704433497536947</v>
      </c>
      <c r="K90" s="2">
        <v>80.331122355487466</v>
      </c>
      <c r="M90" s="43">
        <v>19.704433497536947</v>
      </c>
      <c r="N90" s="2">
        <v>76.663817315743145</v>
      </c>
      <c r="P90" s="43">
        <v>19.704433497536947</v>
      </c>
      <c r="Q90" s="2">
        <v>77.15578705928003</v>
      </c>
    </row>
    <row r="91" spans="1:17" ht="15.4" x14ac:dyDescent="0.4">
      <c r="A91" s="43">
        <v>20</v>
      </c>
      <c r="B91" s="2">
        <v>7.8181818181818148</v>
      </c>
      <c r="D91" s="43">
        <v>20</v>
      </c>
      <c r="E91" s="2">
        <v>22.674913217001354</v>
      </c>
      <c r="G91" s="43">
        <v>20</v>
      </c>
      <c r="H91" s="2">
        <v>18.164021876462051</v>
      </c>
      <c r="J91" s="43">
        <v>20</v>
      </c>
      <c r="K91" s="2">
        <v>10.538992026568152</v>
      </c>
      <c r="M91" s="43">
        <v>20</v>
      </c>
      <c r="N91" s="2">
        <v>31.458961921662933</v>
      </c>
      <c r="P91" s="43">
        <v>20</v>
      </c>
      <c r="Q91" s="2">
        <v>5.2494528197810011</v>
      </c>
    </row>
    <row r="92" spans="1:17" ht="15.4" x14ac:dyDescent="0.4">
      <c r="A92" s="43">
        <v>20</v>
      </c>
      <c r="B92" s="2">
        <v>1.91578947368421</v>
      </c>
      <c r="D92" s="43">
        <v>20</v>
      </c>
      <c r="E92" s="2">
        <v>58.998473136431251</v>
      </c>
      <c r="G92" s="43">
        <v>20</v>
      </c>
      <c r="H92" s="2">
        <v>67.824667454488832</v>
      </c>
      <c r="J92" s="43">
        <v>20</v>
      </c>
      <c r="K92" s="2">
        <v>63.216942880762097</v>
      </c>
      <c r="M92" s="43">
        <v>20</v>
      </c>
      <c r="N92" s="2">
        <v>56.058758894493231</v>
      </c>
      <c r="P92" s="43">
        <v>20</v>
      </c>
      <c r="Q92" s="2">
        <v>59.722501239778545</v>
      </c>
    </row>
    <row r="93" spans="1:17" ht="15.4" x14ac:dyDescent="0.4">
      <c r="A93" s="43">
        <v>20</v>
      </c>
      <c r="B93" s="2">
        <v>42.930297969587791</v>
      </c>
      <c r="D93" s="43">
        <v>20</v>
      </c>
      <c r="E93" s="2">
        <v>47.288026623506845</v>
      </c>
      <c r="G93" s="43">
        <v>20</v>
      </c>
      <c r="H93" s="2">
        <v>1.649184241554465E-14</v>
      </c>
      <c r="J93" s="43">
        <v>20</v>
      </c>
      <c r="K93" s="2">
        <v>32.45765805511855</v>
      </c>
      <c r="M93" s="43">
        <v>20</v>
      </c>
      <c r="N93" s="2">
        <v>57.843245959565913</v>
      </c>
      <c r="P93" s="43">
        <v>20</v>
      </c>
      <c r="Q93" s="2">
        <v>28.61876095158355</v>
      </c>
    </row>
    <row r="94" spans="1:17" ht="15.4" x14ac:dyDescent="0.4">
      <c r="A94" s="43">
        <v>20</v>
      </c>
      <c r="B94" s="2">
        <v>2.1054852320675104</v>
      </c>
      <c r="D94" s="43">
        <v>20</v>
      </c>
      <c r="E94" s="2">
        <v>44.245048759834674</v>
      </c>
      <c r="G94" s="43">
        <v>20</v>
      </c>
      <c r="H94" s="2">
        <v>7.7098032124954665</v>
      </c>
      <c r="J94" s="43">
        <v>20</v>
      </c>
      <c r="K94" s="2">
        <v>30.547599729992967</v>
      </c>
      <c r="M94" s="43">
        <v>20</v>
      </c>
      <c r="N94" s="2">
        <v>54.538653647760938</v>
      </c>
      <c r="P94" s="43">
        <v>20</v>
      </c>
      <c r="Q94" s="2">
        <v>18.403157061945347</v>
      </c>
    </row>
    <row r="95" spans="1:17" ht="15.4" x14ac:dyDescent="0.4">
      <c r="A95" s="43">
        <v>20</v>
      </c>
      <c r="B95" s="2">
        <v>38.251309416933417</v>
      </c>
      <c r="D95" s="43">
        <v>20</v>
      </c>
      <c r="E95" s="2">
        <v>40.472816555594513</v>
      </c>
      <c r="G95" s="43">
        <v>20</v>
      </c>
      <c r="H95" s="2">
        <v>3.7202837492697221</v>
      </c>
      <c r="J95" s="43">
        <v>20</v>
      </c>
      <c r="K95" s="2">
        <v>27.126424470245187</v>
      </c>
      <c r="M95" s="43">
        <v>20</v>
      </c>
      <c r="N95" s="2">
        <v>50.488760584786583</v>
      </c>
      <c r="P95" s="43">
        <v>20</v>
      </c>
      <c r="Q95" s="2">
        <v>31.004419331720108</v>
      </c>
    </row>
    <row r="96" spans="1:17" ht="15.4" x14ac:dyDescent="0.4">
      <c r="A96" s="43">
        <v>20</v>
      </c>
      <c r="B96" s="2">
        <v>44.504234573568397</v>
      </c>
      <c r="D96" s="43">
        <v>20</v>
      </c>
      <c r="E96" s="2">
        <v>9.0632198772662971</v>
      </c>
      <c r="G96" s="43">
        <v>20</v>
      </c>
      <c r="H96" s="2">
        <v>14.039721327106855</v>
      </c>
      <c r="J96" s="43">
        <v>20</v>
      </c>
      <c r="K96" s="2">
        <v>2.1441894606906171</v>
      </c>
      <c r="M96" s="43">
        <v>20</v>
      </c>
      <c r="N96" s="2">
        <v>16.882717838157539</v>
      </c>
      <c r="P96" s="43">
        <v>20</v>
      </c>
      <c r="Q96" s="2">
        <v>7.46153966592657</v>
      </c>
    </row>
    <row r="97" spans="1:17" ht="15.4" x14ac:dyDescent="0.4">
      <c r="A97" s="43">
        <v>20</v>
      </c>
      <c r="B97" s="2">
        <v>4.9899799599198467</v>
      </c>
      <c r="D97" s="43">
        <v>20</v>
      </c>
      <c r="E97" s="2">
        <v>5.1181993156162422</v>
      </c>
      <c r="G97" s="43">
        <v>20</v>
      </c>
      <c r="H97" s="2">
        <v>27.840675218253192</v>
      </c>
      <c r="J97" s="43">
        <v>20</v>
      </c>
      <c r="K97" s="2">
        <v>5.2956508922236374</v>
      </c>
      <c r="M97" s="43">
        <v>20</v>
      </c>
      <c r="N97" s="2">
        <v>12.645723704607747</v>
      </c>
      <c r="P97" s="43">
        <v>20</v>
      </c>
      <c r="Q97" s="2">
        <v>7.4372299526762564</v>
      </c>
    </row>
    <row r="98" spans="1:17" ht="15.4" x14ac:dyDescent="0.4">
      <c r="A98" s="43">
        <v>20</v>
      </c>
      <c r="B98" s="2">
        <v>3.9633556502178438E-2</v>
      </c>
      <c r="D98" s="43">
        <v>20</v>
      </c>
      <c r="E98" s="2">
        <v>19.602409638554214</v>
      </c>
      <c r="G98" s="43">
        <v>20</v>
      </c>
      <c r="H98" s="2">
        <v>41.283479006255789</v>
      </c>
      <c r="J98" s="43">
        <v>20</v>
      </c>
      <c r="K98" s="2">
        <v>27.545466484427816</v>
      </c>
      <c r="M98" s="43">
        <v>20</v>
      </c>
      <c r="N98" s="2">
        <v>14.543719246244191</v>
      </c>
      <c r="P98" s="43">
        <v>20</v>
      </c>
      <c r="Q98" s="2">
        <v>25.978525436435145</v>
      </c>
    </row>
    <row r="99" spans="1:17" ht="15.4" x14ac:dyDescent="0.4">
      <c r="A99" s="43">
        <v>20</v>
      </c>
      <c r="B99" s="2">
        <v>7.9101422735610841E-2</v>
      </c>
      <c r="D99" s="43">
        <v>20</v>
      </c>
      <c r="E99" s="2">
        <v>4.2247191011235916</v>
      </c>
      <c r="G99" s="43">
        <v>20</v>
      </c>
      <c r="H99" s="2">
        <v>32.021060658668084</v>
      </c>
      <c r="J99" s="43">
        <v>20</v>
      </c>
      <c r="K99" s="2">
        <v>13.56542617046818</v>
      </c>
      <c r="M99" s="43">
        <v>20</v>
      </c>
      <c r="N99" s="2">
        <v>1.556786530469666</v>
      </c>
      <c r="P99" s="43">
        <v>20</v>
      </c>
      <c r="Q99" s="2">
        <v>14.126541476130511</v>
      </c>
    </row>
    <row r="100" spans="1:17" ht="15.4" x14ac:dyDescent="0.4">
      <c r="A100" s="43">
        <v>20</v>
      </c>
      <c r="B100" s="2">
        <v>0.17186335821999055</v>
      </c>
      <c r="D100" s="43">
        <v>20</v>
      </c>
      <c r="E100" s="2">
        <v>3.4680851063829747</v>
      </c>
      <c r="G100" s="43">
        <v>20</v>
      </c>
      <c r="H100" s="2">
        <v>31.435427794785131</v>
      </c>
      <c r="J100" s="43">
        <v>20</v>
      </c>
      <c r="K100" s="2">
        <v>12.839325018341896</v>
      </c>
      <c r="M100" s="43">
        <v>20</v>
      </c>
      <c r="N100" s="2">
        <v>2.29435889798645</v>
      </c>
      <c r="P100" s="43">
        <v>20</v>
      </c>
      <c r="Q100" s="2">
        <v>13.476273580098278</v>
      </c>
    </row>
    <row r="101" spans="1:17" ht="15.4" x14ac:dyDescent="0.4">
      <c r="A101" s="43">
        <v>20</v>
      </c>
      <c r="B101" s="2">
        <v>31.209532374100728</v>
      </c>
      <c r="D101" s="43">
        <v>20</v>
      </c>
      <c r="E101" s="2">
        <v>48.732320379796718</v>
      </c>
      <c r="G101" s="43">
        <v>20</v>
      </c>
      <c r="H101" s="2">
        <v>57.965785852836724</v>
      </c>
      <c r="J101" s="43">
        <v>20</v>
      </c>
      <c r="K101" s="2">
        <v>53.526230110801876</v>
      </c>
      <c r="M101" s="43">
        <v>20</v>
      </c>
      <c r="N101" s="2">
        <v>45.080317927785721</v>
      </c>
      <c r="P101" s="43">
        <v>20</v>
      </c>
      <c r="Q101" s="2">
        <v>48.436696377070341</v>
      </c>
    </row>
    <row r="102" spans="1:17" ht="15.4" x14ac:dyDescent="0.4">
      <c r="A102" s="43">
        <v>20</v>
      </c>
      <c r="B102" s="2">
        <v>1.8517346915315025</v>
      </c>
      <c r="D102" s="43">
        <v>20</v>
      </c>
      <c r="E102" s="2">
        <v>9.9309749784296688</v>
      </c>
      <c r="G102" s="43">
        <v>20</v>
      </c>
      <c r="H102" s="2">
        <v>5.7766731298301126</v>
      </c>
      <c r="J102" s="43">
        <v>20</v>
      </c>
      <c r="K102" s="2">
        <v>7.0672424423533071</v>
      </c>
      <c r="M102" s="43">
        <v>20</v>
      </c>
      <c r="N102" s="2">
        <v>13.089049907894076</v>
      </c>
      <c r="P102" s="43">
        <v>20</v>
      </c>
      <c r="Q102" s="2">
        <v>6.2127067661598074</v>
      </c>
    </row>
    <row r="103" spans="1:17" ht="15.4" x14ac:dyDescent="0.4">
      <c r="A103" s="43">
        <v>20</v>
      </c>
      <c r="B103" s="2">
        <v>1.7638539425348738</v>
      </c>
      <c r="D103" s="43">
        <v>20</v>
      </c>
      <c r="E103" s="2">
        <v>26.936738484754517</v>
      </c>
      <c r="G103" s="43">
        <v>20</v>
      </c>
      <c r="H103" s="2">
        <v>3.2882251353578709</v>
      </c>
      <c r="J103" s="43">
        <v>20</v>
      </c>
      <c r="K103" s="2">
        <v>23.080486247760511</v>
      </c>
      <c r="M103" s="43">
        <v>20</v>
      </c>
      <c r="N103" s="2">
        <v>31.391247803251645</v>
      </c>
      <c r="P103" s="43">
        <v>20</v>
      </c>
      <c r="Q103" s="2">
        <v>18.893118130640065</v>
      </c>
    </row>
    <row r="104" spans="1:17" ht="15.4" x14ac:dyDescent="0.4">
      <c r="A104" s="43">
        <v>20</v>
      </c>
      <c r="B104" s="2">
        <v>0.33132056092570261</v>
      </c>
      <c r="D104" s="43">
        <v>20</v>
      </c>
      <c r="E104" s="2">
        <v>9.621272988815182</v>
      </c>
      <c r="G104" s="43">
        <v>20</v>
      </c>
      <c r="H104" s="2">
        <v>7.1887543056288168</v>
      </c>
      <c r="J104" s="43">
        <v>20</v>
      </c>
      <c r="K104" s="2">
        <v>6.2910528789293405</v>
      </c>
      <c r="M104" s="43">
        <v>20</v>
      </c>
      <c r="N104" s="2">
        <v>13.468141813894071</v>
      </c>
      <c r="P104" s="43">
        <v>20</v>
      </c>
      <c r="Q104" s="2">
        <v>5.6980961522977953</v>
      </c>
    </row>
    <row r="105" spans="1:17" ht="15.4" x14ac:dyDescent="0.4">
      <c r="A105" s="43">
        <v>21</v>
      </c>
      <c r="B105" s="2">
        <v>4.9909331216568509</v>
      </c>
      <c r="D105" s="43">
        <v>21</v>
      </c>
      <c r="E105" s="2">
        <v>24.126882918689688</v>
      </c>
      <c r="G105" s="43"/>
      <c r="H105" s="2"/>
      <c r="J105" s="43">
        <v>21</v>
      </c>
      <c r="K105" s="2">
        <v>32.666099748552938</v>
      </c>
      <c r="M105" s="43">
        <v>21</v>
      </c>
      <c r="N105" s="2">
        <v>17.710906391975531</v>
      </c>
      <c r="P105" s="43">
        <v>21</v>
      </c>
      <c r="Q105" s="2">
        <v>24.639172501650229</v>
      </c>
    </row>
    <row r="106" spans="1:17" ht="15.4" x14ac:dyDescent="0.4">
      <c r="A106" s="43">
        <v>23</v>
      </c>
      <c r="B106" s="2">
        <v>36.084430239936466</v>
      </c>
      <c r="D106" s="43">
        <v>23</v>
      </c>
      <c r="E106" s="2">
        <v>15.682352941176466</v>
      </c>
      <c r="G106" s="43"/>
      <c r="H106" s="2"/>
      <c r="J106" s="43">
        <v>23</v>
      </c>
      <c r="K106" s="2">
        <v>25.688274890813222</v>
      </c>
      <c r="M106" s="43">
        <v>23</v>
      </c>
      <c r="N106" s="2">
        <v>6.3297581585418978</v>
      </c>
      <c r="P106" s="43">
        <v>23</v>
      </c>
      <c r="Q106" s="2">
        <v>29.219034921886156</v>
      </c>
    </row>
    <row r="107" spans="1:17" ht="15.4" x14ac:dyDescent="0.4">
      <c r="A107" s="43">
        <v>24.667931688804558</v>
      </c>
      <c r="B107" s="2">
        <v>13.838551568524448</v>
      </c>
      <c r="D107" s="43">
        <v>24.667931688804558</v>
      </c>
      <c r="E107" s="2">
        <v>43.092550790067719</v>
      </c>
      <c r="G107" s="43"/>
      <c r="H107" s="2"/>
      <c r="J107" s="43">
        <v>24.667931688804558</v>
      </c>
      <c r="K107" s="2">
        <v>50.810530542960628</v>
      </c>
      <c r="M107" s="43">
        <v>24.667931688804558</v>
      </c>
      <c r="N107" s="2">
        <v>35.387968459139458</v>
      </c>
      <c r="P107" s="43">
        <v>24.667931688804558</v>
      </c>
      <c r="Q107" s="2">
        <v>45.155260024609149</v>
      </c>
    </row>
    <row r="108" spans="1:17" ht="15.4" x14ac:dyDescent="0.4">
      <c r="A108" s="43">
        <v>24.667931688804558</v>
      </c>
      <c r="B108" s="2">
        <v>33.080053061729565</v>
      </c>
      <c r="D108" s="43">
        <v>24.667931688804558</v>
      </c>
      <c r="E108" s="2">
        <v>43.092550790067719</v>
      </c>
      <c r="G108" s="43"/>
      <c r="H108" s="2"/>
      <c r="J108" s="43">
        <v>24.667931688804558</v>
      </c>
      <c r="K108" s="2">
        <v>50.810530542960628</v>
      </c>
      <c r="M108" s="43">
        <v>24.667931688804558</v>
      </c>
      <c r="N108" s="2">
        <v>35.387968459139458</v>
      </c>
      <c r="P108" s="43">
        <v>24.667931688804558</v>
      </c>
      <c r="Q108" s="2">
        <v>47.780213042068162</v>
      </c>
    </row>
    <row r="109" spans="1:17" ht="15.4" x14ac:dyDescent="0.4">
      <c r="A109" s="43">
        <v>24.667931688804558</v>
      </c>
      <c r="B109" s="2">
        <v>33.455890220138031</v>
      </c>
      <c r="D109" s="43">
        <v>24.667931688804558</v>
      </c>
      <c r="E109" s="2">
        <v>53.601226993865026</v>
      </c>
      <c r="G109" s="43"/>
      <c r="H109" s="2"/>
      <c r="J109" s="43">
        <v>24.667931688804558</v>
      </c>
      <c r="K109" s="2">
        <v>59.893984718769744</v>
      </c>
      <c r="M109" s="43">
        <v>24.667931688804558</v>
      </c>
      <c r="N109" s="2">
        <v>47.319392688464006</v>
      </c>
      <c r="P109" s="43">
        <v>24.667931688804558</v>
      </c>
      <c r="Q109" s="2">
        <v>55.031129132613643</v>
      </c>
    </row>
    <row r="110" spans="1:17" ht="15.4" x14ac:dyDescent="0.4">
      <c r="A110" s="43">
        <v>24.807747080603818</v>
      </c>
      <c r="B110" s="2">
        <v>9.222732940966246</v>
      </c>
      <c r="D110" s="43">
        <v>24.807747080603818</v>
      </c>
      <c r="E110" s="2">
        <v>21.668633579563277</v>
      </c>
      <c r="G110" s="43"/>
      <c r="H110" s="2"/>
      <c r="J110" s="43">
        <v>24.807747080603818</v>
      </c>
      <c r="K110" s="2">
        <v>32.522583386870409</v>
      </c>
      <c r="M110" s="43">
        <v>24.807747080603818</v>
      </c>
      <c r="N110" s="2">
        <v>10.722938381844934</v>
      </c>
      <c r="P110" s="43">
        <v>24.807747080603818</v>
      </c>
      <c r="Q110" s="2">
        <v>18.349473016398797</v>
      </c>
    </row>
    <row r="111" spans="1:17" ht="15.4" x14ac:dyDescent="0.4">
      <c r="A111" s="43">
        <v>25</v>
      </c>
      <c r="B111" s="2">
        <v>3.3306333313730465</v>
      </c>
      <c r="D111" s="43">
        <v>25</v>
      </c>
      <c r="E111" s="2">
        <v>11.763540290620874</v>
      </c>
      <c r="G111" s="43"/>
      <c r="H111" s="2"/>
      <c r="J111" s="43">
        <v>25</v>
      </c>
      <c r="K111" s="2">
        <v>7.5451642687994491</v>
      </c>
      <c r="M111" s="43">
        <v>25</v>
      </c>
      <c r="N111" s="2">
        <v>17.989625330155675</v>
      </c>
      <c r="P111" s="43">
        <v>25</v>
      </c>
      <c r="Q111" s="2">
        <v>8.4247907301686151</v>
      </c>
    </row>
    <row r="112" spans="1:17" ht="15.4" x14ac:dyDescent="0.4">
      <c r="A112" s="43">
        <v>25</v>
      </c>
      <c r="B112" s="2">
        <v>1.6170074043665494</v>
      </c>
      <c r="D112" s="43">
        <v>25</v>
      </c>
      <c r="E112" s="2">
        <v>33.487477776335602</v>
      </c>
      <c r="G112" s="43"/>
      <c r="H112" s="2"/>
      <c r="J112" s="43">
        <v>25</v>
      </c>
      <c r="K112" s="2">
        <v>27.601961100555172</v>
      </c>
      <c r="M112" s="43">
        <v>25</v>
      </c>
      <c r="N112" s="2">
        <v>42.370448018469695</v>
      </c>
      <c r="P112" s="43">
        <v>25</v>
      </c>
      <c r="Q112" s="2">
        <v>24.381106843311596</v>
      </c>
    </row>
    <row r="113" spans="1:17" ht="15.4" x14ac:dyDescent="0.4">
      <c r="A113" s="43">
        <v>25</v>
      </c>
      <c r="B113" s="2">
        <v>0.10417926035297871</v>
      </c>
      <c r="D113" s="43">
        <v>25</v>
      </c>
      <c r="E113" s="2">
        <v>13.756549788683289</v>
      </c>
      <c r="G113" s="43"/>
      <c r="H113" s="2"/>
      <c r="J113" s="43">
        <v>25</v>
      </c>
      <c r="K113" s="2">
        <v>8.740977677250136</v>
      </c>
      <c r="M113" s="43">
        <v>25</v>
      </c>
      <c r="N113" s="2">
        <v>21.32651862361665</v>
      </c>
      <c r="P113" s="43">
        <v>25</v>
      </c>
      <c r="Q113" s="2">
        <v>10.195053033687069</v>
      </c>
    </row>
    <row r="114" spans="1:17" ht="15.4" x14ac:dyDescent="0.4">
      <c r="A114" s="43">
        <v>25.8</v>
      </c>
      <c r="B114" s="2">
        <v>5.2500948033650123E-2</v>
      </c>
      <c r="D114" s="43">
        <v>25.8</v>
      </c>
      <c r="E114" s="2">
        <v>54.011511216056654</v>
      </c>
      <c r="G114" s="43"/>
      <c r="H114" s="2"/>
      <c r="J114" s="43">
        <v>25.8</v>
      </c>
      <c r="K114" s="2">
        <v>41.179969609898279</v>
      </c>
      <c r="M114" s="43">
        <v>25.8</v>
      </c>
      <c r="N114" s="2">
        <v>72.23818992090213</v>
      </c>
      <c r="P114" s="43">
        <v>25.8</v>
      </c>
      <c r="Q114" s="2">
        <v>31.839597900552612</v>
      </c>
    </row>
    <row r="115" spans="1:17" ht="15.4" x14ac:dyDescent="0.4">
      <c r="A115" s="43">
        <v>26</v>
      </c>
      <c r="B115" s="1">
        <v>34.605234825041819</v>
      </c>
      <c r="D115" s="43">
        <v>26</v>
      </c>
      <c r="E115" s="1">
        <v>30.356156188579824</v>
      </c>
      <c r="G115" s="43"/>
      <c r="H115" s="1"/>
      <c r="J115" s="43">
        <v>26</v>
      </c>
      <c r="K115" s="1">
        <v>10.489115725459268</v>
      </c>
      <c r="M115" s="43">
        <v>26</v>
      </c>
      <c r="N115" s="1">
        <v>51.344568927379086</v>
      </c>
      <c r="P115" s="43">
        <v>26</v>
      </c>
      <c r="Q115" s="1">
        <v>24.794471955057844</v>
      </c>
    </row>
    <row r="116" spans="1:17" ht="15.4" x14ac:dyDescent="0.4">
      <c r="A116" s="43">
        <v>26.905829596412556</v>
      </c>
      <c r="B116" s="2">
        <v>22.071243895432346</v>
      </c>
      <c r="D116" s="43">
        <v>26.905829596412556</v>
      </c>
      <c r="E116" s="2">
        <v>83.913598085118522</v>
      </c>
      <c r="G116" s="43"/>
      <c r="H116" s="2"/>
      <c r="J116" s="43">
        <v>26.905829596412556</v>
      </c>
      <c r="K116" s="2">
        <v>86.737731634482003</v>
      </c>
      <c r="M116" s="43">
        <v>26.905829596412556</v>
      </c>
      <c r="N116" s="2">
        <v>80.988473876509246</v>
      </c>
      <c r="P116" s="43">
        <v>26.905829596412556</v>
      </c>
      <c r="Q116" s="2">
        <v>81.702735429850875</v>
      </c>
    </row>
    <row r="117" spans="1:17" ht="15.4" x14ac:dyDescent="0.4">
      <c r="A117" s="43">
        <v>27.027027027027025</v>
      </c>
      <c r="B117" s="2">
        <v>15.723404255319142</v>
      </c>
      <c r="D117" s="43">
        <v>27.027027027027025</v>
      </c>
      <c r="E117" s="2">
        <v>20.112198105675105</v>
      </c>
      <c r="G117" s="43"/>
      <c r="H117" s="2"/>
      <c r="J117" s="43">
        <v>27.027027027027025</v>
      </c>
      <c r="K117" s="2">
        <v>0.33121169949461143</v>
      </c>
      <c r="M117" s="43">
        <v>27.027027027027025</v>
      </c>
      <c r="N117" s="2">
        <v>41.844352145394154</v>
      </c>
      <c r="P117" s="43">
        <v>27.027027027027025</v>
      </c>
      <c r="Q117" s="2">
        <v>1.2718877515945939</v>
      </c>
    </row>
    <row r="118" spans="1:17" ht="15.4" x14ac:dyDescent="0.4">
      <c r="A118" s="43">
        <v>27.027027027027028</v>
      </c>
      <c r="B118" s="2">
        <v>46.316725978647675</v>
      </c>
      <c r="D118" s="43">
        <v>27.027027027027028</v>
      </c>
      <c r="E118" s="2">
        <v>24.699724873413885</v>
      </c>
      <c r="G118" s="43"/>
      <c r="H118" s="2"/>
      <c r="J118" s="43">
        <v>27.027027027027028</v>
      </c>
      <c r="K118" s="2">
        <v>38.114975632805496</v>
      </c>
      <c r="M118" s="43">
        <v>27.027027027027028</v>
      </c>
      <c r="N118" s="2">
        <v>10.801186745649808</v>
      </c>
      <c r="P118" s="43">
        <v>27.027027027027028</v>
      </c>
      <c r="Q118" s="2">
        <v>23.537085907511692</v>
      </c>
    </row>
    <row r="119" spans="1:17" ht="15.4" x14ac:dyDescent="0.4">
      <c r="A119" s="43">
        <v>27.027027027027028</v>
      </c>
      <c r="B119" s="2">
        <v>3.0813397129186613</v>
      </c>
      <c r="D119" s="43">
        <v>27.027027027027028</v>
      </c>
      <c r="E119" s="2">
        <v>48.506168922760004</v>
      </c>
      <c r="G119" s="43"/>
      <c r="H119" s="2"/>
      <c r="J119" s="43">
        <v>27.027027027027028</v>
      </c>
      <c r="K119" s="2">
        <v>57.659333130686804</v>
      </c>
      <c r="M119" s="43">
        <v>27.027027027027028</v>
      </c>
      <c r="N119" s="2">
        <v>39.006444451686797</v>
      </c>
      <c r="P119" s="43">
        <v>27.027027027027028</v>
      </c>
      <c r="Q119" s="2">
        <v>47.922464898630082</v>
      </c>
    </row>
    <row r="120" spans="1:17" ht="15.4" x14ac:dyDescent="0.4">
      <c r="A120" s="43">
        <v>28.999999999999996</v>
      </c>
      <c r="B120" s="2">
        <v>23.074520170354866</v>
      </c>
      <c r="D120" s="43">
        <v>28.999999999999996</v>
      </c>
      <c r="E120" s="2">
        <v>12.881190798808301</v>
      </c>
      <c r="G120" s="43"/>
      <c r="H120" s="2"/>
      <c r="J120" s="43">
        <v>28.999999999999996</v>
      </c>
      <c r="K120" s="2">
        <v>30.401529333773613</v>
      </c>
      <c r="M120" s="43">
        <v>28.999999999999996</v>
      </c>
      <c r="N120" s="2">
        <v>6.9924376533579693</v>
      </c>
      <c r="P120" s="43">
        <v>28.999999999999996</v>
      </c>
      <c r="Q120" s="2">
        <v>9.0046857106127121</v>
      </c>
    </row>
    <row r="121" spans="1:17" ht="15.4" x14ac:dyDescent="0.4">
      <c r="A121" s="43">
        <v>30</v>
      </c>
      <c r="B121" s="2">
        <v>15.533333333333326</v>
      </c>
      <c r="D121" s="43">
        <v>30</v>
      </c>
      <c r="E121" s="2">
        <v>32.562347922342347</v>
      </c>
      <c r="G121" s="43"/>
      <c r="H121" s="2"/>
      <c r="J121" s="43">
        <v>30</v>
      </c>
      <c r="K121" s="2">
        <v>5.4847887940468283</v>
      </c>
      <c r="M121" s="43">
        <v>30</v>
      </c>
      <c r="N121" s="2">
        <v>65.658144534992687</v>
      </c>
      <c r="P121" s="43">
        <v>30</v>
      </c>
      <c r="Q121" s="2">
        <v>6.0269407346164225</v>
      </c>
    </row>
    <row r="122" spans="1:17" ht="15.4" x14ac:dyDescent="0.4">
      <c r="A122" s="43">
        <v>30</v>
      </c>
      <c r="B122" s="2">
        <v>48.413333333333327</v>
      </c>
      <c r="D122" s="43">
        <v>30</v>
      </c>
      <c r="E122" s="2">
        <v>22.697109774845462</v>
      </c>
      <c r="G122" s="43"/>
      <c r="H122" s="2"/>
      <c r="J122" s="43">
        <v>30</v>
      </c>
      <c r="K122" s="2">
        <v>39.194076605439278</v>
      </c>
      <c r="M122" s="43">
        <v>30</v>
      </c>
      <c r="N122" s="2">
        <v>3.1316758401341773</v>
      </c>
      <c r="P122" s="43">
        <v>30</v>
      </c>
      <c r="Q122" s="2">
        <v>18.752004134585754</v>
      </c>
    </row>
    <row r="123" spans="1:17" ht="15.4" x14ac:dyDescent="0.4">
      <c r="A123" s="43">
        <v>30</v>
      </c>
      <c r="B123" s="2">
        <v>36.329268292682919</v>
      </c>
      <c r="D123" s="43">
        <v>30</v>
      </c>
      <c r="E123" s="2">
        <v>64.648068494593957</v>
      </c>
      <c r="G123" s="43"/>
      <c r="H123" s="2"/>
      <c r="J123" s="43">
        <v>30</v>
      </c>
      <c r="K123" s="2">
        <v>72.192413081755774</v>
      </c>
      <c r="M123" s="43">
        <v>30</v>
      </c>
      <c r="N123" s="2">
        <v>55.700461512256481</v>
      </c>
      <c r="P123" s="43">
        <v>30</v>
      </c>
      <c r="Q123" s="2">
        <v>63.253368423921415</v>
      </c>
    </row>
    <row r="124" spans="1:17" ht="15.4" x14ac:dyDescent="0.4">
      <c r="A124" s="43">
        <v>30</v>
      </c>
      <c r="B124" s="2">
        <v>22.821444395214886</v>
      </c>
      <c r="D124" s="43">
        <v>30</v>
      </c>
      <c r="E124" s="2">
        <v>51.531752233305724</v>
      </c>
      <c r="G124" s="43"/>
      <c r="H124" s="2"/>
      <c r="J124" s="43">
        <v>30</v>
      </c>
      <c r="K124" s="2">
        <v>21.953161620651642</v>
      </c>
      <c r="M124" s="43">
        <v>30</v>
      </c>
      <c r="N124" s="2">
        <v>88.763026500708975</v>
      </c>
      <c r="P124" s="43">
        <v>30</v>
      </c>
      <c r="Q124" s="2">
        <v>12.077363618326016</v>
      </c>
    </row>
    <row r="125" spans="1:17" ht="15.4" x14ac:dyDescent="0.4">
      <c r="A125" s="43">
        <v>30</v>
      </c>
      <c r="B125" s="2">
        <v>18.674691358024678</v>
      </c>
      <c r="D125" s="43">
        <v>30</v>
      </c>
      <c r="E125" s="2">
        <v>15.671296296296292</v>
      </c>
      <c r="G125" s="43"/>
      <c r="H125" s="2"/>
      <c r="J125" s="43">
        <v>30</v>
      </c>
      <c r="K125" s="2">
        <v>6.9054794758690541</v>
      </c>
      <c r="M125" s="43">
        <v>30</v>
      </c>
      <c r="N125" s="2">
        <v>44.09469349740526</v>
      </c>
      <c r="P125" s="43">
        <v>30</v>
      </c>
      <c r="Q125" s="2">
        <v>8.3538533413898755</v>
      </c>
    </row>
    <row r="126" spans="1:17" ht="15.4" x14ac:dyDescent="0.4">
      <c r="A126" s="43">
        <v>30</v>
      </c>
      <c r="B126" s="2">
        <v>35.657191255547147</v>
      </c>
      <c r="D126" s="43">
        <v>30</v>
      </c>
      <c r="E126" s="2">
        <v>4.949705322870912E-2</v>
      </c>
      <c r="G126" s="43"/>
      <c r="H126" s="2"/>
      <c r="J126" s="43">
        <v>30</v>
      </c>
      <c r="K126" s="2">
        <v>21.35060573571818</v>
      </c>
      <c r="M126" s="43">
        <v>30</v>
      </c>
      <c r="N126" s="2">
        <v>25.237995114392177</v>
      </c>
      <c r="P126" s="43">
        <v>30</v>
      </c>
      <c r="Q126" s="2">
        <v>4.5403777075356162</v>
      </c>
    </row>
    <row r="127" spans="1:17" ht="15.4" x14ac:dyDescent="0.4">
      <c r="A127" s="43">
        <v>30</v>
      </c>
      <c r="B127" s="2">
        <v>16.886930983847297</v>
      </c>
      <c r="D127" s="43">
        <v>30</v>
      </c>
      <c r="E127" s="2">
        <v>13.53986929084331</v>
      </c>
      <c r="G127" s="43"/>
      <c r="H127" s="2"/>
      <c r="J127" s="43">
        <v>30</v>
      </c>
      <c r="K127" s="2">
        <v>9.6887582491981128</v>
      </c>
      <c r="M127" s="43">
        <v>30</v>
      </c>
      <c r="N127" s="2">
        <v>41.901346840999437</v>
      </c>
      <c r="P127" s="43">
        <v>30</v>
      </c>
      <c r="Q127" s="2">
        <v>4.7089069958623897</v>
      </c>
    </row>
    <row r="128" spans="1:17" ht="15.4" x14ac:dyDescent="0.4">
      <c r="A128" s="43">
        <v>30</v>
      </c>
      <c r="B128" s="2">
        <v>33.532591202533425</v>
      </c>
      <c r="D128" s="43">
        <v>30</v>
      </c>
      <c r="E128" s="2">
        <v>30.492857142857137</v>
      </c>
      <c r="G128" s="43"/>
      <c r="H128" s="2"/>
      <c r="J128" s="43">
        <v>30</v>
      </c>
      <c r="K128" s="2">
        <v>44.404952992432939</v>
      </c>
      <c r="M128" s="43">
        <v>30</v>
      </c>
      <c r="N128" s="2">
        <v>14.918477037881232</v>
      </c>
      <c r="P128" s="43">
        <v>30</v>
      </c>
      <c r="Q128" s="2">
        <v>36.493500725445472</v>
      </c>
    </row>
    <row r="129" spans="1:17" ht="15.4" x14ac:dyDescent="0.4">
      <c r="A129" s="43">
        <v>30</v>
      </c>
      <c r="B129" s="2">
        <v>0.72096128170893992</v>
      </c>
      <c r="D129" s="43">
        <v>30</v>
      </c>
      <c r="E129" s="2">
        <v>37.406756876538061</v>
      </c>
      <c r="G129" s="43"/>
      <c r="H129" s="2"/>
      <c r="J129" s="43">
        <v>30</v>
      </c>
      <c r="K129" s="2">
        <v>8.4277383395110927</v>
      </c>
      <c r="M129" s="43">
        <v>30</v>
      </c>
      <c r="N129" s="2">
        <v>72.062559384954909</v>
      </c>
      <c r="P129" s="43">
        <v>30</v>
      </c>
      <c r="Q129" s="2">
        <v>14.761631631799659</v>
      </c>
    </row>
    <row r="130" spans="1:17" ht="15.4" x14ac:dyDescent="0.4">
      <c r="A130" s="43">
        <v>30</v>
      </c>
      <c r="B130" s="2">
        <v>31.900208728261443</v>
      </c>
      <c r="D130" s="43">
        <v>30</v>
      </c>
      <c r="E130" s="2">
        <v>14.80689655172413</v>
      </c>
      <c r="G130" s="43"/>
      <c r="H130" s="2"/>
      <c r="J130" s="43">
        <v>30</v>
      </c>
      <c r="K130" s="2">
        <v>31.508650031689388</v>
      </c>
      <c r="M130" s="43">
        <v>30</v>
      </c>
      <c r="N130" s="2">
        <v>3.6008000056788232</v>
      </c>
      <c r="P130" s="43">
        <v>30</v>
      </c>
      <c r="Q130" s="2">
        <v>25.936703015196738</v>
      </c>
    </row>
    <row r="131" spans="1:17" ht="15.4" x14ac:dyDescent="0.4">
      <c r="A131" s="43">
        <v>30</v>
      </c>
      <c r="B131" s="1">
        <v>31.959612072884962</v>
      </c>
      <c r="D131" s="43">
        <v>30</v>
      </c>
      <c r="E131" s="1">
        <v>14.196078431372552</v>
      </c>
      <c r="G131" s="43"/>
      <c r="H131" s="1"/>
      <c r="J131" s="43">
        <v>30</v>
      </c>
      <c r="K131" s="1">
        <v>30.919077728811406</v>
      </c>
      <c r="M131" s="43">
        <v>30</v>
      </c>
      <c r="N131" s="1">
        <v>4.1349070101293073</v>
      </c>
      <c r="P131" s="43">
        <v>30</v>
      </c>
      <c r="Q131" s="1">
        <v>25.456010326703034</v>
      </c>
    </row>
    <row r="132" spans="1:17" ht="15.4" x14ac:dyDescent="0.4">
      <c r="A132" s="43">
        <v>30</v>
      </c>
      <c r="B132" s="2">
        <v>42.971217105263136</v>
      </c>
      <c r="D132" s="43">
        <v>30</v>
      </c>
      <c r="E132" s="2">
        <v>31.84632021746518</v>
      </c>
      <c r="G132" s="43"/>
      <c r="H132" s="2"/>
      <c r="J132" s="43">
        <v>30</v>
      </c>
      <c r="K132" s="2">
        <v>44.92520200917231</v>
      </c>
      <c r="M132" s="43">
        <v>30</v>
      </c>
      <c r="N132" s="2">
        <v>15.208537277037271</v>
      </c>
      <c r="P132" s="43">
        <v>30</v>
      </c>
      <c r="Q132" s="2">
        <v>25.812447838029879</v>
      </c>
    </row>
    <row r="133" spans="1:17" ht="15.4" x14ac:dyDescent="0.4">
      <c r="A133" s="43">
        <v>30</v>
      </c>
      <c r="B133" s="2">
        <v>10.197034133151314</v>
      </c>
      <c r="D133" s="43">
        <v>30</v>
      </c>
      <c r="E133" s="2">
        <v>7.5044776119402998</v>
      </c>
      <c r="G133" s="43"/>
      <c r="H133" s="2"/>
      <c r="J133" s="43">
        <v>30</v>
      </c>
      <c r="K133" s="2">
        <v>2.1108991699422215</v>
      </c>
      <c r="M133" s="43">
        <v>30</v>
      </c>
      <c r="N133" s="2">
        <v>16.955383366385469</v>
      </c>
      <c r="P133" s="43">
        <v>30</v>
      </c>
      <c r="Q133" s="2">
        <v>4.9607954913645145</v>
      </c>
    </row>
    <row r="134" spans="1:17" ht="15.4" x14ac:dyDescent="0.4">
      <c r="A134" s="43">
        <v>30</v>
      </c>
      <c r="B134" s="2">
        <v>1.9169035179790941</v>
      </c>
      <c r="D134" s="43">
        <v>30</v>
      </c>
      <c r="E134" s="2">
        <v>16.218791645536772</v>
      </c>
      <c r="G134" s="43"/>
      <c r="H134" s="2"/>
      <c r="J134" s="43">
        <v>30</v>
      </c>
      <c r="K134" s="2">
        <v>9.3919978733583385</v>
      </c>
      <c r="M134" s="43">
        <v>30</v>
      </c>
      <c r="N134" s="2">
        <v>28.361607593515981</v>
      </c>
      <c r="P134" s="43">
        <v>30</v>
      </c>
      <c r="Q134" s="2">
        <v>13.389866719250726</v>
      </c>
    </row>
    <row r="135" spans="1:17" ht="15.4" x14ac:dyDescent="0.4">
      <c r="A135" s="43">
        <v>32.5</v>
      </c>
      <c r="B135" s="2">
        <v>1.7122205364337518E-3</v>
      </c>
      <c r="D135" s="43">
        <v>32.5</v>
      </c>
      <c r="E135" s="2">
        <v>30.656690140845072</v>
      </c>
      <c r="G135" s="43"/>
      <c r="H135" s="2"/>
      <c r="J135" s="43">
        <v>32.5</v>
      </c>
      <c r="K135" s="2">
        <v>39.776590577950451</v>
      </c>
      <c r="M135" s="43"/>
      <c r="N135" s="2"/>
      <c r="P135" s="43">
        <v>32.5</v>
      </c>
      <c r="Q135" s="2">
        <v>56.392637961518545</v>
      </c>
    </row>
    <row r="136" spans="1:17" ht="15.4" x14ac:dyDescent="0.4">
      <c r="A136" s="43">
        <v>33.333333333333329</v>
      </c>
      <c r="B136" s="2">
        <v>14.937182755817529</v>
      </c>
      <c r="D136" s="43">
        <v>33.333333333333329</v>
      </c>
      <c r="E136" s="2">
        <v>10.075257731958779</v>
      </c>
      <c r="G136" s="43"/>
      <c r="H136" s="2"/>
      <c r="J136" s="43">
        <v>33.333333333333329</v>
      </c>
      <c r="K136" s="2">
        <v>17.880077750166084</v>
      </c>
      <c r="M136" s="43"/>
      <c r="N136" s="2"/>
      <c r="P136" s="43">
        <v>33.333333333333329</v>
      </c>
      <c r="Q136" s="2">
        <v>5.7199673372932667</v>
      </c>
    </row>
    <row r="137" spans="1:17" ht="15.4" x14ac:dyDescent="0.4">
      <c r="A137" s="43">
        <v>35</v>
      </c>
      <c r="B137" s="2">
        <v>38.785714285714285</v>
      </c>
      <c r="D137" s="43">
        <v>35</v>
      </c>
      <c r="E137" s="2">
        <v>13.980176164131548</v>
      </c>
      <c r="G137" s="43"/>
      <c r="H137" s="2"/>
      <c r="J137" s="43">
        <v>35</v>
      </c>
      <c r="K137" s="2">
        <v>37.905813049524248</v>
      </c>
      <c r="M137" s="43"/>
      <c r="N137" s="2"/>
      <c r="P137" s="43">
        <v>35</v>
      </c>
      <c r="Q137" s="2">
        <v>5.192950414708509</v>
      </c>
    </row>
    <row r="138" spans="1:17" ht="15.4" x14ac:dyDescent="0.4">
      <c r="A138" s="43">
        <v>35</v>
      </c>
      <c r="B138" s="2">
        <v>58.544189039050011</v>
      </c>
      <c r="D138" s="43">
        <v>35</v>
      </c>
      <c r="E138" s="2">
        <v>49.458048647171346</v>
      </c>
      <c r="G138" s="43"/>
      <c r="H138" s="2"/>
      <c r="J138" s="43">
        <v>35</v>
      </c>
      <c r="K138" s="2">
        <v>25.736064330600033</v>
      </c>
      <c r="M138" s="43"/>
      <c r="N138" s="2"/>
      <c r="P138" s="43">
        <v>35</v>
      </c>
      <c r="Q138" s="2">
        <v>57.394351845759864</v>
      </c>
    </row>
    <row r="139" spans="1:17" ht="15.4" x14ac:dyDescent="0.4">
      <c r="A139" s="43">
        <v>35</v>
      </c>
      <c r="B139" s="2">
        <v>13.573034960163302</v>
      </c>
      <c r="D139" s="43">
        <v>35</v>
      </c>
      <c r="E139" s="2">
        <v>7.5111018883585929</v>
      </c>
      <c r="G139" s="43"/>
      <c r="H139" s="2"/>
      <c r="J139" s="43">
        <v>35</v>
      </c>
      <c r="K139" s="2">
        <v>0.75560863781011645</v>
      </c>
      <c r="M139" s="43"/>
      <c r="N139" s="2"/>
      <c r="P139" s="43">
        <v>35</v>
      </c>
      <c r="Q139" s="2">
        <v>5.8400124116580159</v>
      </c>
    </row>
    <row r="140" spans="1:17" ht="15.4" x14ac:dyDescent="0.4">
      <c r="A140" s="43">
        <v>35</v>
      </c>
      <c r="B140" s="2">
        <v>4.1185352473414145</v>
      </c>
      <c r="D140" s="43">
        <v>35</v>
      </c>
      <c r="E140" s="2">
        <v>18.749621438274964</v>
      </c>
      <c r="G140" s="43"/>
      <c r="H140" s="2"/>
      <c r="J140" s="43">
        <v>35</v>
      </c>
      <c r="K140" s="2">
        <v>10.01467274343219</v>
      </c>
      <c r="M140" s="43"/>
      <c r="N140" s="2"/>
      <c r="P140" s="43">
        <v>35</v>
      </c>
      <c r="Q140" s="2">
        <v>16.967992324204687</v>
      </c>
    </row>
    <row r="141" spans="1:17" ht="15.4" x14ac:dyDescent="0.4">
      <c r="A141" s="43">
        <v>35.573122529644266</v>
      </c>
      <c r="B141" s="2">
        <v>9.0336715867158492</v>
      </c>
      <c r="D141" s="43">
        <v>35.573122529644266</v>
      </c>
      <c r="E141" s="2">
        <v>81.225633319821981</v>
      </c>
      <c r="G141" s="43"/>
      <c r="H141" s="2"/>
      <c r="J141" s="43">
        <v>35.573122529644266</v>
      </c>
      <c r="K141" s="2">
        <v>86.57215064215616</v>
      </c>
      <c r="M141" s="43"/>
      <c r="N141" s="2"/>
      <c r="P141" s="43">
        <v>35.573122529644266</v>
      </c>
      <c r="Q141" s="2">
        <v>74.845524553695171</v>
      </c>
    </row>
    <row r="142" spans="1:17" ht="15.4" x14ac:dyDescent="0.4">
      <c r="A142" s="43">
        <v>35.714285714285722</v>
      </c>
      <c r="B142" s="2">
        <v>32.351046698872786</v>
      </c>
      <c r="D142" s="43">
        <v>35.714285714285722</v>
      </c>
      <c r="E142" s="2">
        <v>29.724526592183743</v>
      </c>
      <c r="G142" s="43"/>
      <c r="H142" s="2"/>
      <c r="J142" s="43">
        <v>35.714285714285722</v>
      </c>
      <c r="K142" s="2">
        <v>4.6160055641444178</v>
      </c>
      <c r="M142" s="43"/>
      <c r="N142" s="2"/>
      <c r="P142" s="43">
        <v>35.714285714285722</v>
      </c>
      <c r="Q142" s="2">
        <v>0.31073187866495661</v>
      </c>
    </row>
    <row r="143" spans="1:17" ht="15.4" x14ac:dyDescent="0.4">
      <c r="A143" s="43">
        <v>36</v>
      </c>
      <c r="B143" s="2">
        <v>32.644444444444446</v>
      </c>
      <c r="D143" s="43">
        <v>36</v>
      </c>
      <c r="E143" s="2">
        <v>33.813315872919993</v>
      </c>
      <c r="G143" s="43"/>
      <c r="H143" s="2"/>
      <c r="J143" s="43">
        <v>36</v>
      </c>
      <c r="K143" s="2">
        <v>3.0218383411436798</v>
      </c>
      <c r="M143" s="43"/>
      <c r="N143" s="2"/>
      <c r="P143" s="43">
        <v>36</v>
      </c>
      <c r="Q143" s="2">
        <v>1.0228206008338685</v>
      </c>
    </row>
    <row r="144" spans="1:17" ht="15.4" x14ac:dyDescent="0.4">
      <c r="A144" s="43">
        <v>36</v>
      </c>
      <c r="B144" s="2">
        <v>40.463414634146361</v>
      </c>
      <c r="D144" s="43">
        <v>36</v>
      </c>
      <c r="E144" s="2">
        <v>46.317474039551712</v>
      </c>
      <c r="G144" s="43"/>
      <c r="H144" s="2"/>
      <c r="J144" s="43">
        <v>36</v>
      </c>
      <c r="K144" s="2">
        <v>7.4811139585485602</v>
      </c>
      <c r="M144" s="43"/>
      <c r="N144" s="2"/>
      <c r="P144" s="43">
        <v>36</v>
      </c>
      <c r="Q144" s="2">
        <v>44.446808185754293</v>
      </c>
    </row>
    <row r="145" spans="1:17" ht="15.4" x14ac:dyDescent="0.4">
      <c r="A145" s="43">
        <v>36.84210526315789</v>
      </c>
      <c r="B145" s="2">
        <v>30.881749829118249</v>
      </c>
      <c r="D145" s="43">
        <v>36.84210526315789</v>
      </c>
      <c r="E145" s="2">
        <v>65.960355434039641</v>
      </c>
      <c r="G145" s="43"/>
      <c r="H145" s="2"/>
      <c r="J145" s="43">
        <v>36.84210526315789</v>
      </c>
      <c r="K145" s="2">
        <v>43.481502136261788</v>
      </c>
      <c r="M145" s="43"/>
      <c r="N145" s="2"/>
      <c r="P145" s="43">
        <v>36.84210526315789</v>
      </c>
      <c r="Q145" s="2">
        <v>24.309901407126542</v>
      </c>
    </row>
    <row r="146" spans="1:17" ht="15.4" x14ac:dyDescent="0.4">
      <c r="A146" s="43">
        <v>37.5</v>
      </c>
      <c r="B146" s="2">
        <v>0.89344636783592557</v>
      </c>
      <c r="D146" s="43">
        <v>37.5</v>
      </c>
      <c r="E146" s="2">
        <v>1.4357459069338367</v>
      </c>
      <c r="G146" s="43"/>
      <c r="H146" s="2"/>
      <c r="J146" s="43">
        <v>37.5</v>
      </c>
      <c r="K146" s="2">
        <v>6.7815239208838296</v>
      </c>
      <c r="M146" s="43"/>
      <c r="N146" s="2"/>
      <c r="P146" s="43">
        <v>37.5</v>
      </c>
      <c r="Q146" s="2">
        <v>8.2189842196488136</v>
      </c>
    </row>
    <row r="147" spans="1:17" ht="15.4" x14ac:dyDescent="0.4">
      <c r="A147" s="43">
        <v>37.938677502770595</v>
      </c>
      <c r="B147" s="2">
        <v>16.914438598147417</v>
      </c>
      <c r="D147" s="43">
        <v>37.938677502770595</v>
      </c>
      <c r="E147" s="2">
        <v>11.767271470141008</v>
      </c>
      <c r="G147" s="43"/>
      <c r="H147" s="2"/>
      <c r="J147" s="43">
        <v>37.938677502770595</v>
      </c>
      <c r="K147" s="2">
        <v>36.911062848900123</v>
      </c>
      <c r="M147" s="43"/>
      <c r="N147" s="2"/>
      <c r="P147" s="43">
        <v>37.938677502770595</v>
      </c>
      <c r="Q147" s="2">
        <v>7.4442792108970215</v>
      </c>
    </row>
    <row r="148" spans="1:17" ht="15.4" x14ac:dyDescent="0.4">
      <c r="A148" s="43">
        <v>38</v>
      </c>
      <c r="B148" s="2">
        <v>17.557615578447567</v>
      </c>
      <c r="D148" s="43">
        <v>38</v>
      </c>
      <c r="E148" s="2">
        <v>19.296073850347966</v>
      </c>
      <c r="G148" s="43"/>
      <c r="H148" s="2"/>
      <c r="J148" s="43">
        <v>38</v>
      </c>
      <c r="K148" s="2">
        <v>45.051520049718313</v>
      </c>
      <c r="M148" s="43"/>
      <c r="N148" s="2"/>
      <c r="P148" s="43">
        <v>38</v>
      </c>
      <c r="Q148" s="2">
        <v>7.3770782134579731</v>
      </c>
    </row>
    <row r="149" spans="1:17" ht="15.4" x14ac:dyDescent="0.4">
      <c r="A149" s="43">
        <v>40</v>
      </c>
      <c r="B149" s="2">
        <v>11.458715596330276</v>
      </c>
      <c r="D149" s="43">
        <v>40</v>
      </c>
      <c r="E149" s="2">
        <v>15.962930459599731</v>
      </c>
      <c r="G149" s="43"/>
      <c r="H149" s="2"/>
      <c r="J149" s="43">
        <v>40</v>
      </c>
      <c r="K149" s="2">
        <v>45.136883658028431</v>
      </c>
      <c r="M149" s="43"/>
      <c r="N149" s="2"/>
      <c r="P149" s="43">
        <v>40</v>
      </c>
      <c r="Q149" s="2">
        <v>0.85912157892562846</v>
      </c>
    </row>
    <row r="150" spans="1:17" ht="15.4" x14ac:dyDescent="0.4">
      <c r="A150" s="43">
        <v>40</v>
      </c>
      <c r="B150" s="2">
        <v>55.696498054474709</v>
      </c>
      <c r="D150" s="43">
        <v>40</v>
      </c>
      <c r="E150" s="2">
        <v>64.357818755238796</v>
      </c>
      <c r="G150" s="43"/>
      <c r="H150" s="2"/>
      <c r="J150" s="43">
        <v>40</v>
      </c>
      <c r="K150" s="2">
        <v>76.731207465856414</v>
      </c>
      <c r="M150" s="43"/>
      <c r="N150" s="2"/>
      <c r="P150" s="43">
        <v>40</v>
      </c>
      <c r="Q150" s="2">
        <v>58.849808928559874</v>
      </c>
    </row>
    <row r="151" spans="1:17" ht="15.4" x14ac:dyDescent="0.4">
      <c r="A151" s="43">
        <v>40</v>
      </c>
      <c r="B151" s="2">
        <v>43.130629370629364</v>
      </c>
      <c r="D151" s="43">
        <v>40</v>
      </c>
      <c r="E151" s="2">
        <v>61.362525006949923</v>
      </c>
      <c r="G151" s="43"/>
      <c r="H151" s="2"/>
      <c r="J151" s="43">
        <v>40</v>
      </c>
      <c r="K151" s="2">
        <v>10.725629605052005</v>
      </c>
      <c r="M151" s="43"/>
      <c r="N151" s="2"/>
      <c r="P151" s="43">
        <v>40</v>
      </c>
      <c r="Q151" s="2">
        <v>4.6318840269886348</v>
      </c>
    </row>
    <row r="152" spans="1:17" ht="15.4" x14ac:dyDescent="0.4">
      <c r="A152" s="43">
        <v>40</v>
      </c>
      <c r="B152" s="2">
        <v>31.015294117647063</v>
      </c>
      <c r="D152" s="43">
        <v>40</v>
      </c>
      <c r="E152" s="2">
        <v>43.330714982348603</v>
      </c>
      <c r="G152" s="43"/>
      <c r="H152" s="2"/>
      <c r="J152" s="43">
        <v>40</v>
      </c>
      <c r="K152" s="2">
        <v>5.0765377529541533</v>
      </c>
      <c r="M152" s="43"/>
      <c r="N152" s="2"/>
      <c r="P152" s="43">
        <v>40</v>
      </c>
      <c r="Q152" s="2">
        <v>10.068246550226137</v>
      </c>
    </row>
    <row r="153" spans="1:17" ht="15.4" x14ac:dyDescent="0.4">
      <c r="A153" s="43">
        <v>40</v>
      </c>
      <c r="B153" s="2">
        <v>8.6656250000000039</v>
      </c>
      <c r="D153" s="43">
        <v>40</v>
      </c>
      <c r="E153" s="2">
        <v>24.712499999999991</v>
      </c>
      <c r="G153" s="43"/>
      <c r="H153" s="2"/>
      <c r="J153" s="43">
        <v>40</v>
      </c>
      <c r="K153" s="2">
        <v>14.420491662368926</v>
      </c>
      <c r="M153" s="43"/>
      <c r="N153" s="2"/>
      <c r="P153" s="43">
        <v>40</v>
      </c>
      <c r="Q153" s="2">
        <v>18.941330928426652</v>
      </c>
    </row>
    <row r="154" spans="1:17" ht="15.4" x14ac:dyDescent="0.4">
      <c r="A154" s="43">
        <v>40</v>
      </c>
      <c r="B154" s="2">
        <v>42.821969696969688</v>
      </c>
      <c r="D154" s="43">
        <v>40</v>
      </c>
      <c r="E154" s="2">
        <v>10.897687075073865</v>
      </c>
      <c r="G154" s="43"/>
      <c r="H154" s="2"/>
      <c r="J154" s="43">
        <v>40</v>
      </c>
      <c r="K154" s="2">
        <v>27.541359995131025</v>
      </c>
      <c r="M154" s="43"/>
      <c r="N154" s="2"/>
      <c r="P154" s="43">
        <v>40</v>
      </c>
      <c r="Q154" s="2">
        <v>29.582744084418582</v>
      </c>
    </row>
    <row r="155" spans="1:17" ht="15.4" x14ac:dyDescent="0.4">
      <c r="A155" s="43">
        <v>40</v>
      </c>
      <c r="B155" s="2">
        <v>1.0245351239669445</v>
      </c>
      <c r="D155" s="43">
        <v>40</v>
      </c>
      <c r="E155" s="2">
        <v>34.985243511083965</v>
      </c>
      <c r="G155" s="43"/>
      <c r="H155" s="2"/>
      <c r="J155" s="43">
        <v>40</v>
      </c>
      <c r="K155" s="2">
        <v>55.002383979656713</v>
      </c>
      <c r="M155" s="43"/>
      <c r="N155" s="2"/>
      <c r="P155" s="43">
        <v>40</v>
      </c>
      <c r="Q155" s="2">
        <v>18.384847848023682</v>
      </c>
    </row>
    <row r="156" spans="1:17" ht="15.4" x14ac:dyDescent="0.4">
      <c r="A156" s="43">
        <v>40</v>
      </c>
      <c r="B156" s="2">
        <v>45.314162312310366</v>
      </c>
      <c r="D156" s="43">
        <v>40</v>
      </c>
      <c r="E156" s="2">
        <v>50.593698565718313</v>
      </c>
      <c r="G156" s="43"/>
      <c r="H156" s="2"/>
      <c r="J156" s="43">
        <v>40</v>
      </c>
      <c r="K156" s="2">
        <v>21.523610825280219</v>
      </c>
      <c r="M156" s="43"/>
      <c r="N156" s="2"/>
      <c r="P156" s="43">
        <v>40</v>
      </c>
      <c r="Q156" s="2">
        <v>64.821392871804633</v>
      </c>
    </row>
    <row r="157" spans="1:17" ht="15.4" x14ac:dyDescent="0.4">
      <c r="A157" s="43">
        <v>40</v>
      </c>
      <c r="B157" s="2">
        <v>22.337768948453338</v>
      </c>
      <c r="D157" s="43">
        <v>40</v>
      </c>
      <c r="E157" s="2">
        <v>0.73369660748813614</v>
      </c>
      <c r="G157" s="43"/>
      <c r="H157" s="2"/>
      <c r="J157" s="43">
        <v>40</v>
      </c>
      <c r="K157" s="2">
        <v>6.8318850492222376</v>
      </c>
      <c r="M157" s="43"/>
      <c r="N157" s="2"/>
      <c r="P157" s="43">
        <v>40</v>
      </c>
      <c r="Q157" s="2">
        <v>0.18489156661628625</v>
      </c>
    </row>
    <row r="158" spans="1:17" ht="15.4" x14ac:dyDescent="0.4">
      <c r="A158" s="43">
        <v>40</v>
      </c>
      <c r="B158" s="2">
        <v>3.1897159869087357</v>
      </c>
      <c r="D158" s="43">
        <v>40</v>
      </c>
      <c r="E158" s="2">
        <v>1.0370252887463629</v>
      </c>
      <c r="G158" s="43"/>
      <c r="H158" s="2"/>
      <c r="J158" s="43">
        <v>40</v>
      </c>
      <c r="K158" s="2">
        <v>7.8734986184502782</v>
      </c>
      <c r="M158" s="43"/>
      <c r="N158" s="2"/>
      <c r="P158" s="43">
        <v>40</v>
      </c>
      <c r="Q158" s="2">
        <v>9.2413532415951405</v>
      </c>
    </row>
    <row r="159" spans="1:17" ht="15.4" x14ac:dyDescent="0.4">
      <c r="A159" s="43">
        <v>40</v>
      </c>
      <c r="B159" s="2">
        <v>16.403682418718258</v>
      </c>
      <c r="D159" s="43">
        <v>40</v>
      </c>
      <c r="E159" s="2">
        <v>42.618206190592247</v>
      </c>
      <c r="G159" s="43"/>
      <c r="H159" s="2"/>
      <c r="J159" s="43">
        <v>40</v>
      </c>
      <c r="K159" s="2">
        <v>1.1766023016954417</v>
      </c>
      <c r="M159" s="43"/>
      <c r="N159" s="2"/>
      <c r="P159" s="43">
        <v>40</v>
      </c>
      <c r="Q159" s="2">
        <v>32.19321480449004</v>
      </c>
    </row>
    <row r="160" spans="1:17" ht="15.4" x14ac:dyDescent="0.4">
      <c r="A160" s="43">
        <v>41.099999999999994</v>
      </c>
      <c r="B160" s="2">
        <v>7.5489332931334377E-2</v>
      </c>
      <c r="D160" s="43"/>
      <c r="E160" s="2"/>
      <c r="G160" s="43"/>
      <c r="H160" s="2"/>
      <c r="J160" s="43"/>
      <c r="K160" s="2"/>
      <c r="M160" s="43"/>
      <c r="N160" s="2"/>
      <c r="P160" s="43"/>
      <c r="Q160" s="2"/>
    </row>
    <row r="161" spans="1:17" ht="15.4" x14ac:dyDescent="0.4">
      <c r="A161" s="43">
        <v>41.099999999999994</v>
      </c>
      <c r="B161" s="2">
        <v>8.367548617004017</v>
      </c>
      <c r="D161" s="43"/>
      <c r="E161" s="2"/>
      <c r="G161" s="43"/>
      <c r="H161" s="2"/>
      <c r="J161" s="43"/>
      <c r="K161" s="2"/>
      <c r="M161" s="43"/>
      <c r="N161" s="2"/>
      <c r="P161" s="43"/>
      <c r="Q161" s="2"/>
    </row>
    <row r="162" spans="1:17" ht="15.4" x14ac:dyDescent="0.4">
      <c r="A162" s="43">
        <v>42</v>
      </c>
      <c r="B162" s="2">
        <v>6.2166539114387094</v>
      </c>
      <c r="D162" s="43"/>
      <c r="E162" s="2"/>
      <c r="G162" s="43"/>
      <c r="H162" s="2"/>
      <c r="J162" s="43"/>
      <c r="K162" s="2"/>
      <c r="M162" s="43"/>
      <c r="N162" s="2"/>
      <c r="P162" s="43"/>
      <c r="Q162" s="2"/>
    </row>
    <row r="163" spans="1:17" ht="15.4" x14ac:dyDescent="0.4">
      <c r="A163" s="43">
        <v>42.199999999999996</v>
      </c>
      <c r="B163" s="2">
        <v>56.528459642872775</v>
      </c>
      <c r="D163" s="43"/>
      <c r="E163" s="2"/>
      <c r="G163" s="43"/>
      <c r="H163" s="2"/>
      <c r="J163" s="43"/>
      <c r="K163" s="2"/>
      <c r="M163" s="43"/>
      <c r="N163" s="2"/>
      <c r="P163" s="43"/>
      <c r="Q163" s="2"/>
    </row>
    <row r="164" spans="1:17" ht="15.4" x14ac:dyDescent="0.4">
      <c r="A164" s="43">
        <v>42.199999999999996</v>
      </c>
      <c r="B164" s="2">
        <v>9.9009152106497389</v>
      </c>
      <c r="D164" s="43"/>
      <c r="E164" s="2"/>
      <c r="G164" s="43"/>
      <c r="H164" s="2"/>
      <c r="J164" s="43"/>
      <c r="K164" s="2"/>
      <c r="M164" s="43"/>
      <c r="N164" s="2"/>
      <c r="P164" s="43"/>
      <c r="Q164" s="2"/>
    </row>
    <row r="165" spans="1:17" ht="15.4" x14ac:dyDescent="0.4">
      <c r="A165" s="43">
        <v>42.5</v>
      </c>
      <c r="B165" s="2">
        <v>0.78804925044177987</v>
      </c>
      <c r="D165" s="43"/>
      <c r="E165" s="2"/>
      <c r="G165" s="43"/>
      <c r="H165" s="2"/>
      <c r="J165" s="43"/>
      <c r="K165" s="2"/>
      <c r="M165" s="43"/>
      <c r="N165" s="2"/>
      <c r="P165" s="43"/>
      <c r="Q165" s="2"/>
    </row>
    <row r="166" spans="1:17" ht="15.4" x14ac:dyDescent="0.4">
      <c r="A166" s="43">
        <v>43</v>
      </c>
      <c r="B166" s="2">
        <v>56.551874091060071</v>
      </c>
      <c r="D166" s="43"/>
      <c r="E166" s="2"/>
      <c r="G166" s="43"/>
      <c r="H166" s="2"/>
      <c r="J166" s="43"/>
      <c r="K166" s="2"/>
      <c r="M166" s="43"/>
      <c r="N166" s="2"/>
      <c r="P166" s="43"/>
      <c r="Q166" s="2"/>
    </row>
    <row r="167" spans="1:17" ht="15.4" x14ac:dyDescent="0.4">
      <c r="A167" s="43">
        <v>44.239442394423946</v>
      </c>
      <c r="B167" s="2">
        <v>42.975297912794261</v>
      </c>
      <c r="D167" s="43"/>
      <c r="E167" s="2"/>
      <c r="G167" s="43"/>
      <c r="H167" s="2"/>
      <c r="J167" s="43"/>
      <c r="K167" s="2"/>
      <c r="M167" s="43"/>
      <c r="N167" s="2"/>
      <c r="P167" s="43"/>
      <c r="Q167" s="2"/>
    </row>
    <row r="168" spans="1:17" ht="15.4" x14ac:dyDescent="0.4">
      <c r="A168" s="43">
        <v>45</v>
      </c>
      <c r="B168" s="2">
        <v>0.21935310005292344</v>
      </c>
      <c r="D168" s="43"/>
      <c r="E168" s="2"/>
      <c r="G168" s="43"/>
      <c r="H168" s="2"/>
      <c r="J168" s="43"/>
      <c r="K168" s="2"/>
      <c r="M168" s="43"/>
      <c r="N168" s="2"/>
      <c r="P168" s="43"/>
      <c r="Q168" s="2"/>
    </row>
    <row r="169" spans="1:17" ht="15.4" x14ac:dyDescent="0.4">
      <c r="A169" s="43">
        <v>45</v>
      </c>
      <c r="B169" s="2">
        <v>8.6896551724137936</v>
      </c>
      <c r="D169" s="43"/>
      <c r="E169" s="2"/>
      <c r="G169" s="43"/>
      <c r="H169" s="2"/>
      <c r="J169" s="43"/>
      <c r="K169" s="2"/>
      <c r="M169" s="43"/>
      <c r="N169" s="2"/>
      <c r="P169" s="43"/>
      <c r="Q169" s="2"/>
    </row>
    <row r="170" spans="1:17" ht="15.4" x14ac:dyDescent="0.4">
      <c r="A170" s="43">
        <v>45</v>
      </c>
      <c r="B170" s="2">
        <v>13.58764237631066</v>
      </c>
      <c r="D170" s="43"/>
      <c r="E170" s="2"/>
      <c r="G170" s="43"/>
      <c r="H170" s="2"/>
      <c r="J170" s="43"/>
      <c r="K170" s="2"/>
      <c r="M170" s="43"/>
      <c r="N170" s="2"/>
      <c r="P170" s="43"/>
      <c r="Q170" s="2"/>
    </row>
    <row r="171" spans="1:17" ht="15.4" x14ac:dyDescent="0.4">
      <c r="A171" s="43">
        <v>45</v>
      </c>
      <c r="B171" s="2">
        <v>22.078246773257789</v>
      </c>
      <c r="D171" s="43"/>
      <c r="E171" s="2"/>
      <c r="G171" s="43"/>
      <c r="H171" s="2"/>
      <c r="J171" s="43"/>
      <c r="K171" s="2"/>
      <c r="M171" s="43"/>
      <c r="N171" s="2"/>
      <c r="P171" s="43"/>
      <c r="Q171" s="2"/>
    </row>
    <row r="172" spans="1:17" ht="15.4" x14ac:dyDescent="0.4">
      <c r="A172" s="43">
        <v>45</v>
      </c>
      <c r="B172" s="2">
        <v>8.3853358136207667</v>
      </c>
      <c r="D172" s="43"/>
      <c r="E172" s="2"/>
      <c r="G172" s="43"/>
      <c r="H172" s="2"/>
      <c r="J172" s="43"/>
      <c r="K172" s="2"/>
      <c r="M172" s="43"/>
      <c r="N172" s="2"/>
      <c r="P172" s="43"/>
      <c r="Q172" s="2"/>
    </row>
    <row r="173" spans="1:17" ht="15.4" x14ac:dyDescent="0.4">
      <c r="A173" s="43">
        <v>45</v>
      </c>
      <c r="B173" s="2">
        <v>2.6994738241069296</v>
      </c>
      <c r="D173" s="43"/>
      <c r="E173" s="2"/>
      <c r="G173" s="43"/>
      <c r="H173" s="2"/>
      <c r="J173" s="43"/>
      <c r="K173" s="2"/>
      <c r="M173" s="43"/>
      <c r="N173" s="2"/>
      <c r="P173" s="43"/>
      <c r="Q173" s="2"/>
    </row>
    <row r="174" spans="1:17" ht="15.4" x14ac:dyDescent="0.4">
      <c r="A174" s="43">
        <v>46</v>
      </c>
      <c r="B174" s="2">
        <v>21.654970760233919</v>
      </c>
      <c r="D174" s="43"/>
      <c r="E174" s="2"/>
      <c r="G174" s="43"/>
      <c r="H174" s="2"/>
      <c r="J174" s="43"/>
      <c r="K174" s="2"/>
      <c r="M174" s="43"/>
      <c r="N174" s="2"/>
      <c r="P174" s="43"/>
      <c r="Q174" s="2"/>
    </row>
    <row r="175" spans="1:17" ht="15.4" x14ac:dyDescent="0.4">
      <c r="A175" s="43">
        <v>46.204620462046208</v>
      </c>
      <c r="B175" s="2">
        <v>5.5358114233907507</v>
      </c>
      <c r="D175" s="43"/>
      <c r="E175" s="2"/>
      <c r="G175" s="43"/>
      <c r="H175" s="2"/>
      <c r="J175" s="43"/>
      <c r="K175" s="2"/>
      <c r="M175" s="43"/>
      <c r="N175" s="2"/>
      <c r="P175" s="43"/>
      <c r="Q175" s="2"/>
    </row>
    <row r="176" spans="1:17" ht="15.4" x14ac:dyDescent="0.4">
      <c r="A176" s="43">
        <v>46.357615894039732</v>
      </c>
      <c r="B176" s="2">
        <v>12.313974591651546</v>
      </c>
      <c r="D176" s="43"/>
      <c r="E176" s="2"/>
      <c r="G176" s="43"/>
      <c r="H176" s="2"/>
      <c r="J176" s="43"/>
      <c r="K176" s="2"/>
      <c r="M176" s="43"/>
      <c r="N176" s="2"/>
      <c r="P176" s="43"/>
      <c r="Q176" s="2"/>
    </row>
    <row r="177" spans="1:17" ht="15.4" x14ac:dyDescent="0.4">
      <c r="A177" s="43">
        <v>46.357615894039732</v>
      </c>
      <c r="B177" s="2">
        <v>34.879649890590819</v>
      </c>
      <c r="D177" s="43"/>
      <c r="E177" s="2"/>
      <c r="G177" s="43"/>
      <c r="H177" s="2"/>
      <c r="J177" s="43"/>
      <c r="K177" s="2"/>
      <c r="M177" s="43"/>
      <c r="N177" s="2"/>
      <c r="P177" s="43"/>
      <c r="Q177" s="2"/>
    </row>
    <row r="178" spans="1:17" ht="15.4" x14ac:dyDescent="0.4">
      <c r="A178" s="43">
        <v>47.5</v>
      </c>
      <c r="B178" s="2">
        <v>5.375034157648817</v>
      </c>
      <c r="D178" s="43"/>
      <c r="E178" s="2"/>
      <c r="G178" s="43"/>
      <c r="H178" s="2"/>
      <c r="J178" s="43"/>
      <c r="K178" s="2"/>
      <c r="M178" s="43"/>
      <c r="N178" s="2"/>
      <c r="P178" s="43"/>
      <c r="Q178" s="2"/>
    </row>
    <row r="179" spans="1:17" ht="15.4" x14ac:dyDescent="0.4">
      <c r="A179" s="43">
        <v>48</v>
      </c>
      <c r="B179" s="2">
        <v>30.497496631736322</v>
      </c>
      <c r="D179" s="43"/>
      <c r="E179" s="2"/>
      <c r="G179" s="43"/>
      <c r="H179" s="2"/>
      <c r="J179" s="43"/>
      <c r="K179" s="2"/>
      <c r="M179" s="43"/>
      <c r="N179" s="2"/>
      <c r="P179" s="43"/>
      <c r="Q179" s="2"/>
    </row>
    <row r="180" spans="1:17" ht="15.4" x14ac:dyDescent="0.4">
      <c r="A180" s="43">
        <v>48</v>
      </c>
      <c r="B180" s="2">
        <v>61.453686570983443</v>
      </c>
      <c r="D180" s="43"/>
      <c r="E180" s="2"/>
      <c r="G180" s="43"/>
      <c r="H180" s="2"/>
      <c r="J180" s="43"/>
      <c r="K180" s="2"/>
      <c r="M180" s="43"/>
      <c r="N180" s="2"/>
      <c r="P180" s="43"/>
      <c r="Q180" s="2"/>
    </row>
    <row r="181" spans="1:17" ht="15.4" x14ac:dyDescent="0.4">
      <c r="A181" s="43">
        <v>48</v>
      </c>
      <c r="B181" s="2">
        <v>0.94028589163504139</v>
      </c>
      <c r="D181" s="43"/>
      <c r="E181" s="2"/>
      <c r="G181" s="43"/>
      <c r="H181" s="2"/>
      <c r="J181" s="43"/>
      <c r="K181" s="2"/>
      <c r="M181" s="43"/>
      <c r="N181" s="2"/>
      <c r="P181" s="43"/>
      <c r="Q181" s="2"/>
    </row>
    <row r="182" spans="1:17" ht="15.4" x14ac:dyDescent="0.4">
      <c r="A182" s="43">
        <v>48</v>
      </c>
      <c r="B182" s="2">
        <v>16.784169488597438</v>
      </c>
      <c r="D182" s="43"/>
      <c r="E182" s="2"/>
      <c r="G182" s="43"/>
      <c r="H182" s="2"/>
      <c r="J182" s="43"/>
      <c r="K182" s="2"/>
      <c r="M182" s="43"/>
      <c r="N182" s="2"/>
      <c r="P182" s="43"/>
      <c r="Q182" s="2"/>
    </row>
    <row r="183" spans="1:17" ht="15.4" x14ac:dyDescent="0.4">
      <c r="A183" s="43">
        <v>48</v>
      </c>
      <c r="B183" s="2">
        <v>24.330503262454677</v>
      </c>
      <c r="D183" s="43"/>
      <c r="E183" s="2"/>
      <c r="G183" s="43"/>
      <c r="H183" s="2"/>
      <c r="J183" s="43"/>
      <c r="K183" s="2"/>
      <c r="M183" s="43"/>
      <c r="N183" s="2"/>
      <c r="P183" s="43"/>
      <c r="Q183" s="2"/>
    </row>
    <row r="184" spans="1:17" ht="15.4" x14ac:dyDescent="0.4">
      <c r="A184" s="43">
        <v>49</v>
      </c>
      <c r="B184" s="2">
        <v>22.117575505820771</v>
      </c>
      <c r="D184" s="43"/>
      <c r="E184" s="2"/>
      <c r="G184" s="43"/>
      <c r="H184" s="2"/>
      <c r="J184" s="43"/>
      <c r="K184" s="2"/>
      <c r="M184" s="43"/>
      <c r="N184" s="2"/>
      <c r="P184" s="43"/>
      <c r="Q184" s="2"/>
    </row>
    <row r="185" spans="1:17" ht="15.4" x14ac:dyDescent="0.4">
      <c r="A185" s="43">
        <v>49.243098842386459</v>
      </c>
      <c r="B185" s="2">
        <v>9.2085663730791467E-2</v>
      </c>
      <c r="D185" s="43"/>
      <c r="E185" s="2"/>
      <c r="G185" s="43"/>
      <c r="H185" s="2"/>
      <c r="J185" s="43"/>
      <c r="K185" s="2"/>
      <c r="M185" s="43"/>
      <c r="N185" s="2"/>
      <c r="P185" s="43"/>
      <c r="Q185" s="2"/>
    </row>
    <row r="186" spans="1:17" ht="15.4" x14ac:dyDescent="0.4">
      <c r="A186" s="43">
        <v>49.243098842386459</v>
      </c>
      <c r="B186" s="2">
        <v>9.4006373538803208E-3</v>
      </c>
      <c r="D186" s="43"/>
      <c r="E186" s="2"/>
      <c r="G186" s="43"/>
      <c r="H186" s="2"/>
      <c r="J186" s="43"/>
      <c r="K186" s="2"/>
      <c r="M186" s="43"/>
      <c r="N186" s="2"/>
      <c r="P186" s="43"/>
      <c r="Q186" s="2"/>
    </row>
    <row r="187" spans="1:17" ht="15.4" x14ac:dyDescent="0.4">
      <c r="A187" s="43">
        <v>49.243098842386459</v>
      </c>
      <c r="B187" s="2">
        <v>0.14273000138481437</v>
      </c>
      <c r="D187" s="43"/>
      <c r="E187" s="2"/>
      <c r="G187" s="43"/>
      <c r="H187" s="2"/>
      <c r="J187" s="43"/>
      <c r="K187" s="2"/>
      <c r="M187" s="43"/>
      <c r="N187" s="2"/>
      <c r="P187" s="43"/>
      <c r="Q187" s="2"/>
    </row>
    <row r="188" spans="1:17" ht="15.4" x14ac:dyDescent="0.4">
      <c r="A188" s="43">
        <v>50</v>
      </c>
      <c r="B188" s="2">
        <v>8.4166946501475817</v>
      </c>
      <c r="D188" s="43"/>
      <c r="E188" s="2"/>
      <c r="G188" s="43"/>
      <c r="H188" s="2"/>
      <c r="J188" s="43"/>
      <c r="K188" s="2"/>
      <c r="M188" s="43"/>
      <c r="N188" s="2"/>
      <c r="P188" s="43"/>
      <c r="Q188" s="2"/>
    </row>
    <row r="189" spans="1:17" ht="15.4" x14ac:dyDescent="0.4">
      <c r="A189" s="43">
        <v>50</v>
      </c>
      <c r="B189" s="2">
        <v>5.4927536231883973</v>
      </c>
      <c r="D189" s="43"/>
      <c r="E189" s="2"/>
      <c r="G189" s="43"/>
      <c r="H189" s="2"/>
      <c r="J189" s="43"/>
      <c r="K189" s="2"/>
      <c r="M189" s="43"/>
      <c r="N189" s="2"/>
      <c r="P189" s="43"/>
      <c r="Q189" s="2"/>
    </row>
    <row r="190" spans="1:17" ht="15.4" x14ac:dyDescent="0.4">
      <c r="A190" s="43">
        <v>50</v>
      </c>
      <c r="B190" s="2">
        <v>52.975681818181819</v>
      </c>
      <c r="D190" s="43"/>
      <c r="E190" s="2"/>
      <c r="G190" s="43"/>
      <c r="H190" s="2"/>
      <c r="J190" s="43"/>
      <c r="K190" s="2"/>
      <c r="M190" s="43"/>
      <c r="N190" s="2"/>
      <c r="P190" s="43"/>
      <c r="Q190" s="2"/>
    </row>
    <row r="191" spans="1:17" ht="15.4" x14ac:dyDescent="0.4">
      <c r="A191" s="43">
        <v>50</v>
      </c>
      <c r="B191" s="2">
        <v>45.455714285714279</v>
      </c>
      <c r="D191" s="43"/>
      <c r="E191" s="2"/>
      <c r="G191" s="43"/>
      <c r="H191" s="2"/>
      <c r="J191" s="43"/>
      <c r="K191" s="2"/>
      <c r="M191" s="43"/>
      <c r="N191" s="2"/>
      <c r="P191" s="43"/>
      <c r="Q191" s="2"/>
    </row>
    <row r="192" spans="1:17" ht="15.4" x14ac:dyDescent="0.4">
      <c r="A192" s="43">
        <v>50</v>
      </c>
      <c r="B192" s="2">
        <v>22.592551724137927</v>
      </c>
      <c r="D192" s="43"/>
      <c r="E192" s="2"/>
      <c r="G192" s="43"/>
      <c r="H192" s="2"/>
      <c r="J192" s="43"/>
      <c r="K192" s="2"/>
      <c r="M192" s="43"/>
      <c r="N192" s="2"/>
      <c r="P192" s="43"/>
      <c r="Q192" s="2"/>
    </row>
    <row r="193" spans="1:17" ht="15.4" x14ac:dyDescent="0.4">
      <c r="A193" s="43">
        <v>50</v>
      </c>
      <c r="B193" s="2">
        <v>10.821355236139624</v>
      </c>
      <c r="D193" s="43"/>
      <c r="E193" s="2"/>
      <c r="G193" s="43"/>
      <c r="H193" s="2"/>
      <c r="J193" s="43"/>
      <c r="K193" s="2"/>
      <c r="M193" s="43"/>
      <c r="N193" s="2"/>
      <c r="P193" s="43"/>
      <c r="Q193" s="2"/>
    </row>
    <row r="194" spans="1:17" ht="15.4" x14ac:dyDescent="0.4">
      <c r="A194" s="43">
        <v>50</v>
      </c>
      <c r="B194" s="2">
        <v>3.0918404683497913</v>
      </c>
      <c r="D194" s="43"/>
      <c r="E194" s="2"/>
      <c r="G194" s="43"/>
      <c r="H194" s="2"/>
      <c r="J194" s="43"/>
      <c r="K194" s="2"/>
      <c r="M194" s="43"/>
      <c r="N194" s="2"/>
      <c r="P194" s="43"/>
      <c r="Q194" s="2"/>
    </row>
    <row r="195" spans="1:17" ht="15.4" x14ac:dyDescent="0.4">
      <c r="A195" s="43">
        <v>50</v>
      </c>
      <c r="B195" s="2">
        <v>14.269399806215805</v>
      </c>
      <c r="D195" s="43"/>
      <c r="E195" s="2"/>
      <c r="G195" s="43"/>
      <c r="H195" s="2"/>
      <c r="J195" s="43"/>
      <c r="K195" s="2"/>
      <c r="M195" s="43"/>
      <c r="N195" s="2"/>
      <c r="P195" s="43"/>
      <c r="Q195" s="2"/>
    </row>
    <row r="196" spans="1:17" ht="15.4" x14ac:dyDescent="0.4">
      <c r="A196" s="43">
        <v>50</v>
      </c>
      <c r="B196" s="2">
        <v>4.3660866871022508</v>
      </c>
      <c r="D196" s="43"/>
      <c r="E196" s="2"/>
      <c r="G196" s="43"/>
      <c r="H196" s="2"/>
      <c r="J196" s="43"/>
      <c r="K196" s="2"/>
      <c r="M196" s="43"/>
      <c r="N196" s="2"/>
      <c r="P196" s="43"/>
      <c r="Q196" s="2"/>
    </row>
    <row r="197" spans="1:17" ht="15.4" x14ac:dyDescent="0.4">
      <c r="A197" s="43">
        <v>50</v>
      </c>
      <c r="B197" s="2">
        <v>4.0764175575179191</v>
      </c>
      <c r="D197" s="43"/>
      <c r="E197" s="2"/>
      <c r="G197" s="43"/>
      <c r="H197" s="2"/>
      <c r="J197" s="43"/>
      <c r="K197" s="2"/>
      <c r="M197" s="43"/>
      <c r="N197" s="2"/>
      <c r="P197" s="43"/>
      <c r="Q197" s="2"/>
    </row>
    <row r="198" spans="1:17" ht="15.4" x14ac:dyDescent="0.4">
      <c r="A198" s="43">
        <v>50</v>
      </c>
      <c r="B198" s="2">
        <v>7.6273087373889288</v>
      </c>
      <c r="D198" s="43"/>
      <c r="E198" s="2"/>
      <c r="G198" s="43"/>
      <c r="H198" s="2"/>
      <c r="J198" s="43"/>
      <c r="K198" s="2"/>
      <c r="M198" s="43"/>
      <c r="N198" s="2"/>
      <c r="P198" s="43"/>
      <c r="Q198" s="2"/>
    </row>
    <row r="199" spans="1:17" ht="15.4" x14ac:dyDescent="0.4">
      <c r="A199" s="43">
        <v>50</v>
      </c>
      <c r="B199" s="2">
        <v>18.849128804224318</v>
      </c>
      <c r="D199" s="43"/>
      <c r="E199" s="2"/>
      <c r="G199" s="43"/>
      <c r="H199" s="2"/>
      <c r="J199" s="43"/>
      <c r="K199" s="2"/>
      <c r="M199" s="43"/>
      <c r="N199" s="2"/>
      <c r="P199" s="43"/>
      <c r="Q199" s="2"/>
    </row>
    <row r="200" spans="1:17" ht="15.4" x14ac:dyDescent="0.4">
      <c r="A200" s="43">
        <v>50.000000000000014</v>
      </c>
      <c r="B200" s="2">
        <v>39.806659505907625</v>
      </c>
      <c r="D200" s="43"/>
      <c r="E200" s="2"/>
      <c r="G200" s="43"/>
      <c r="H200" s="2"/>
      <c r="J200" s="43"/>
      <c r="K200" s="2"/>
      <c r="M200" s="43"/>
      <c r="N200" s="2"/>
      <c r="P200" s="43"/>
      <c r="Q200" s="2"/>
    </row>
    <row r="201" spans="1:17" ht="15.4" x14ac:dyDescent="0.4">
      <c r="A201" s="43">
        <v>51</v>
      </c>
      <c r="B201" s="2">
        <v>2.6521084337349388</v>
      </c>
      <c r="D201" s="43"/>
      <c r="E201" s="2"/>
      <c r="G201" s="43"/>
      <c r="H201" s="2"/>
      <c r="J201" s="43"/>
      <c r="K201" s="2"/>
      <c r="M201" s="43"/>
      <c r="N201" s="2"/>
      <c r="P201" s="43"/>
      <c r="Q201" s="2"/>
    </row>
    <row r="202" spans="1:17" ht="15.4" x14ac:dyDescent="0.4">
      <c r="A202" s="43">
        <v>51.2</v>
      </c>
      <c r="B202" s="2">
        <v>12.894867575891272</v>
      </c>
      <c r="D202" s="43"/>
      <c r="E202" s="2"/>
      <c r="G202" s="43"/>
      <c r="H202" s="2"/>
      <c r="J202" s="43"/>
      <c r="K202" s="2"/>
      <c r="M202" s="43"/>
      <c r="N202" s="2"/>
      <c r="P202" s="43"/>
      <c r="Q202" s="2"/>
    </row>
    <row r="203" spans="1:17" ht="15.4" x14ac:dyDescent="0.4">
      <c r="A203" s="43">
        <v>51.2</v>
      </c>
      <c r="B203" s="2">
        <v>35.465514038589383</v>
      </c>
      <c r="D203" s="43"/>
      <c r="E203" s="2"/>
      <c r="G203" s="43"/>
      <c r="H203" s="2"/>
      <c r="J203" s="43"/>
      <c r="K203" s="2"/>
      <c r="M203" s="43"/>
      <c r="N203" s="2"/>
      <c r="P203" s="43"/>
      <c r="Q203" s="2"/>
    </row>
    <row r="204" spans="1:17" ht="15.4" x14ac:dyDescent="0.4">
      <c r="A204" s="43">
        <v>52.095808383233546</v>
      </c>
      <c r="B204" s="2">
        <v>25.931989822159945</v>
      </c>
      <c r="D204" s="43"/>
      <c r="E204" s="2"/>
      <c r="G204" s="43"/>
      <c r="H204" s="2"/>
      <c r="J204" s="43"/>
      <c r="K204" s="2"/>
      <c r="M204" s="43"/>
      <c r="N204" s="2"/>
      <c r="P204" s="43"/>
      <c r="Q204" s="2"/>
    </row>
    <row r="205" spans="1:17" ht="15.4" x14ac:dyDescent="0.4">
      <c r="A205" s="43">
        <v>53.5</v>
      </c>
      <c r="B205" s="2">
        <v>2.1864740643466911</v>
      </c>
      <c r="D205" s="43"/>
      <c r="E205" s="2"/>
      <c r="G205" s="43"/>
      <c r="H205" s="2"/>
      <c r="J205" s="43"/>
      <c r="K205" s="2"/>
      <c r="M205" s="43"/>
      <c r="N205" s="2"/>
      <c r="P205" s="43"/>
      <c r="Q205" s="2"/>
    </row>
    <row r="206" spans="1:17" ht="15.4" x14ac:dyDescent="0.4">
      <c r="A206" s="43">
        <v>53.5</v>
      </c>
      <c r="B206" s="2">
        <v>28.039830479275047</v>
      </c>
      <c r="D206" s="43"/>
      <c r="E206" s="2"/>
      <c r="G206" s="43"/>
      <c r="H206" s="2"/>
      <c r="J206" s="43"/>
      <c r="K206" s="2"/>
      <c r="M206" s="43"/>
      <c r="N206" s="2"/>
      <c r="P206" s="43"/>
      <c r="Q206" s="2"/>
    </row>
    <row r="207" spans="1:17" ht="15.4" x14ac:dyDescent="0.4">
      <c r="A207" s="43">
        <v>55.000000000000007</v>
      </c>
      <c r="B207" s="2">
        <v>14.971412039734014</v>
      </c>
      <c r="D207" s="43"/>
      <c r="E207" s="2"/>
      <c r="G207" s="43"/>
      <c r="H207" s="2"/>
      <c r="J207" s="43"/>
      <c r="K207" s="2"/>
      <c r="M207" s="43"/>
      <c r="N207" s="2"/>
      <c r="P207" s="43"/>
      <c r="Q207" s="2"/>
    </row>
    <row r="208" spans="1:17" ht="15.4" x14ac:dyDescent="0.4">
      <c r="A208" s="43">
        <v>55.000000000000007</v>
      </c>
      <c r="B208" s="2">
        <v>17.466257668711656</v>
      </c>
      <c r="D208" s="43"/>
      <c r="E208" s="2"/>
      <c r="G208" s="43"/>
      <c r="H208" s="2"/>
      <c r="J208" s="43"/>
      <c r="K208" s="2"/>
      <c r="M208" s="43"/>
      <c r="N208" s="2"/>
      <c r="P208" s="43"/>
      <c r="Q208" s="2"/>
    </row>
    <row r="209" spans="1:17" ht="15.4" x14ac:dyDescent="0.4">
      <c r="A209" s="43">
        <v>55.000000000000007</v>
      </c>
      <c r="B209" s="2">
        <v>15.582301260309128</v>
      </c>
      <c r="D209" s="43"/>
      <c r="E209" s="2"/>
      <c r="G209" s="43"/>
      <c r="H209" s="2"/>
      <c r="J209" s="43"/>
      <c r="K209" s="2"/>
      <c r="M209" s="43"/>
      <c r="N209" s="2"/>
      <c r="P209" s="43"/>
      <c r="Q209" s="2"/>
    </row>
    <row r="210" spans="1:17" ht="15.4" x14ac:dyDescent="0.4">
      <c r="A210" s="43">
        <v>56.000000000000007</v>
      </c>
      <c r="B210" s="2">
        <v>5.692090395480232</v>
      </c>
      <c r="D210" s="43"/>
      <c r="E210" s="2"/>
      <c r="G210" s="43"/>
      <c r="H210" s="2"/>
      <c r="J210" s="43"/>
      <c r="K210" s="2"/>
      <c r="M210" s="43"/>
      <c r="N210" s="2"/>
      <c r="P210" s="43"/>
      <c r="Q210" s="2"/>
    </row>
    <row r="211" spans="1:17" ht="15.4" x14ac:dyDescent="0.4">
      <c r="A211" s="43">
        <v>56.799214531173291</v>
      </c>
      <c r="B211" s="2">
        <v>2.8537445586611221</v>
      </c>
      <c r="D211" s="43"/>
      <c r="E211" s="2"/>
      <c r="G211" s="43"/>
      <c r="H211" s="2"/>
      <c r="J211" s="43"/>
      <c r="K211" s="2"/>
      <c r="M211" s="43"/>
      <c r="N211" s="2"/>
      <c r="P211" s="43"/>
      <c r="Q211" s="2"/>
    </row>
    <row r="212" spans="1:17" ht="15.4" x14ac:dyDescent="0.4">
      <c r="A212" s="43">
        <v>58.4</v>
      </c>
      <c r="B212" s="2">
        <v>12.755991285403059</v>
      </c>
      <c r="D212" s="43"/>
      <c r="E212" s="2"/>
      <c r="G212" s="43"/>
      <c r="H212" s="2"/>
      <c r="J212" s="43"/>
      <c r="K212" s="2"/>
      <c r="M212" s="43"/>
      <c r="N212" s="2"/>
      <c r="P212" s="43"/>
      <c r="Q212" s="2"/>
    </row>
    <row r="213" spans="1:17" ht="15.4" x14ac:dyDescent="0.4">
      <c r="A213" s="43">
        <v>58.4</v>
      </c>
      <c r="B213" s="2">
        <v>40.874071356507393</v>
      </c>
      <c r="D213" s="43"/>
      <c r="E213" s="2"/>
      <c r="G213" s="43"/>
      <c r="H213" s="2"/>
      <c r="J213" s="43"/>
      <c r="K213" s="2"/>
      <c r="M213" s="43"/>
      <c r="N213" s="2"/>
      <c r="P213" s="43"/>
      <c r="Q213" s="2"/>
    </row>
    <row r="214" spans="1:17" ht="15.4" x14ac:dyDescent="0.4">
      <c r="A214" s="43">
        <v>59.553349875930515</v>
      </c>
      <c r="B214" s="2">
        <v>16.531505250875146</v>
      </c>
      <c r="D214" s="43"/>
      <c r="E214" s="2"/>
      <c r="G214" s="43"/>
      <c r="H214" s="2"/>
      <c r="J214" s="43"/>
      <c r="K214" s="2"/>
      <c r="M214" s="43"/>
      <c r="N214" s="2"/>
      <c r="P214" s="43"/>
      <c r="Q214" s="2"/>
    </row>
    <row r="215" spans="1:17" ht="15.4" x14ac:dyDescent="0.4">
      <c r="A215" s="43">
        <v>60</v>
      </c>
      <c r="B215" s="2">
        <v>26.429442447575944</v>
      </c>
      <c r="D215" s="43"/>
      <c r="E215" s="2"/>
      <c r="G215" s="43"/>
      <c r="H215" s="2"/>
      <c r="J215" s="43"/>
      <c r="K215" s="2"/>
      <c r="M215" s="43"/>
      <c r="N215" s="2"/>
      <c r="P215" s="43"/>
      <c r="Q215" s="2"/>
    </row>
    <row r="216" spans="1:17" ht="15.4" x14ac:dyDescent="0.4">
      <c r="A216" s="43">
        <v>60</v>
      </c>
      <c r="B216" s="2">
        <v>8.447949526813888</v>
      </c>
      <c r="D216" s="43"/>
      <c r="E216" s="2"/>
      <c r="G216" s="43"/>
      <c r="H216" s="2"/>
      <c r="J216" s="43"/>
      <c r="K216" s="2"/>
      <c r="M216" s="43"/>
      <c r="N216" s="2"/>
      <c r="P216" s="43"/>
      <c r="Q216" s="2"/>
    </row>
    <row r="217" spans="1:17" ht="15.4" x14ac:dyDescent="0.4">
      <c r="A217" s="43">
        <v>60</v>
      </c>
      <c r="B217" s="2">
        <v>0.38500167392031615</v>
      </c>
      <c r="D217" s="43"/>
      <c r="E217" s="2"/>
      <c r="G217" s="43"/>
      <c r="H217" s="2"/>
      <c r="J217" s="43"/>
      <c r="K217" s="2"/>
      <c r="M217" s="43"/>
      <c r="N217" s="2"/>
      <c r="P217" s="43"/>
      <c r="Q217" s="2"/>
    </row>
    <row r="218" spans="1:17" ht="15.4" x14ac:dyDescent="0.4">
      <c r="A218" s="43">
        <v>60</v>
      </c>
      <c r="B218" s="2">
        <v>54.616925388082116</v>
      </c>
      <c r="D218" s="43"/>
      <c r="E218" s="2"/>
      <c r="G218" s="43"/>
      <c r="H218" s="2"/>
      <c r="J218" s="43"/>
      <c r="K218" s="2"/>
      <c r="M218" s="43"/>
      <c r="N218" s="2"/>
      <c r="P218" s="43"/>
      <c r="Q218" s="2"/>
    </row>
    <row r="219" spans="1:17" ht="15.4" x14ac:dyDescent="0.4">
      <c r="A219" s="43">
        <v>60</v>
      </c>
      <c r="B219" s="2">
        <v>18.583347327959419</v>
      </c>
      <c r="D219" s="43"/>
      <c r="E219" s="2"/>
      <c r="G219" s="43"/>
      <c r="H219" s="2"/>
      <c r="J219" s="43"/>
      <c r="K219" s="2"/>
      <c r="M219" s="43"/>
      <c r="N219" s="2"/>
      <c r="P219" s="43"/>
      <c r="Q219" s="2"/>
    </row>
    <row r="220" spans="1:17" ht="15.4" x14ac:dyDescent="0.4">
      <c r="A220" s="43">
        <v>60</v>
      </c>
      <c r="B220" s="2">
        <v>0.85116472706035196</v>
      </c>
      <c r="D220" s="43"/>
      <c r="E220" s="2"/>
      <c r="G220" s="43"/>
      <c r="H220" s="2"/>
      <c r="J220" s="43"/>
      <c r="K220" s="2"/>
      <c r="M220" s="43"/>
      <c r="N220" s="2"/>
      <c r="P220" s="43"/>
      <c r="Q220" s="2"/>
    </row>
    <row r="221" spans="1:17" ht="15.4" x14ac:dyDescent="0.4">
      <c r="A221" s="43">
        <v>60</v>
      </c>
      <c r="B221" s="2">
        <v>0.13769589992133816</v>
      </c>
      <c r="D221" s="43"/>
      <c r="E221" s="2"/>
      <c r="G221" s="43"/>
      <c r="H221" s="2"/>
      <c r="J221" s="43"/>
      <c r="K221" s="2"/>
      <c r="M221" s="43"/>
      <c r="N221" s="2"/>
      <c r="P221" s="43"/>
      <c r="Q221" s="2"/>
    </row>
    <row r="222" spans="1:17" ht="15.4" x14ac:dyDescent="0.4">
      <c r="A222" s="43">
        <v>61</v>
      </c>
      <c r="B222" s="2">
        <v>18.078571428571429</v>
      </c>
      <c r="D222" s="43"/>
      <c r="E222" s="2"/>
      <c r="G222" s="43"/>
      <c r="H222" s="2"/>
      <c r="J222" s="43"/>
      <c r="K222" s="2"/>
      <c r="M222" s="43"/>
      <c r="N222" s="2"/>
      <c r="P222" s="43"/>
      <c r="Q222" s="2"/>
    </row>
    <row r="223" spans="1:17" ht="15.4" x14ac:dyDescent="0.4">
      <c r="A223" s="43">
        <v>61.878829135466304</v>
      </c>
      <c r="B223" s="2">
        <v>0.4338759990993476</v>
      </c>
      <c r="D223" s="43"/>
      <c r="E223" s="2"/>
      <c r="G223" s="43"/>
      <c r="H223" s="2"/>
      <c r="J223" s="43"/>
      <c r="K223" s="2"/>
      <c r="M223" s="43"/>
      <c r="N223" s="2"/>
      <c r="P223" s="43"/>
      <c r="Q223" s="2"/>
    </row>
    <row r="224" spans="1:17" ht="15.4" x14ac:dyDescent="0.4">
      <c r="A224" s="43">
        <v>64.004096262160772</v>
      </c>
      <c r="B224" s="2">
        <v>0.73928003588724511</v>
      </c>
      <c r="D224" s="43"/>
      <c r="E224" s="2"/>
      <c r="G224" s="43"/>
      <c r="H224" s="2"/>
      <c r="J224" s="43"/>
      <c r="K224" s="2"/>
      <c r="M224" s="43"/>
      <c r="N224" s="2"/>
      <c r="P224" s="43"/>
      <c r="Q224" s="2"/>
    </row>
    <row r="225" spans="1:17" ht="15.4" x14ac:dyDescent="0.4">
      <c r="A225" s="43">
        <v>64.004096262160772</v>
      </c>
      <c r="B225" s="2">
        <v>21.837470315114192</v>
      </c>
      <c r="D225" s="43"/>
      <c r="E225" s="2"/>
      <c r="G225" s="43"/>
      <c r="H225" s="2"/>
      <c r="J225" s="43"/>
      <c r="K225" s="2"/>
      <c r="M225" s="43"/>
      <c r="N225" s="2"/>
      <c r="P225" s="43"/>
      <c r="Q225" s="2"/>
    </row>
    <row r="226" spans="1:17" ht="15.4" x14ac:dyDescent="0.4">
      <c r="A226" s="43">
        <v>64.004096262160772</v>
      </c>
      <c r="B226" s="2">
        <v>0.52311000139038077</v>
      </c>
      <c r="D226" s="43"/>
      <c r="E226" s="2"/>
      <c r="G226" s="43"/>
      <c r="H226" s="2"/>
      <c r="J226" s="43"/>
      <c r="K226" s="2"/>
      <c r="M226" s="43"/>
      <c r="N226" s="2"/>
      <c r="P226" s="43"/>
      <c r="Q226" s="2"/>
    </row>
    <row r="227" spans="1:17" ht="15.4" x14ac:dyDescent="0.4">
      <c r="A227" s="43">
        <v>64.004096262160772</v>
      </c>
      <c r="B227" s="2">
        <v>51.041031491513031</v>
      </c>
      <c r="D227" s="43"/>
      <c r="E227" s="2"/>
      <c r="G227" s="43"/>
      <c r="H227" s="2"/>
      <c r="J227" s="43"/>
      <c r="K227" s="2"/>
      <c r="M227" s="43"/>
      <c r="N227" s="2"/>
      <c r="P227" s="43"/>
      <c r="Q227" s="2"/>
    </row>
    <row r="228" spans="1:17" ht="15.4" x14ac:dyDescent="0.4">
      <c r="A228" s="43">
        <v>64.004096262160772</v>
      </c>
      <c r="B228" s="2">
        <v>35.391244272852035</v>
      </c>
      <c r="D228" s="43"/>
      <c r="E228" s="2"/>
      <c r="G228" s="43"/>
      <c r="H228" s="2"/>
      <c r="J228" s="43"/>
      <c r="K228" s="2"/>
      <c r="M228" s="43"/>
      <c r="N228" s="2"/>
      <c r="P228" s="43"/>
      <c r="Q228" s="2"/>
    </row>
    <row r="229" spans="1:17" ht="15.4" x14ac:dyDescent="0.4">
      <c r="A229" s="43">
        <v>64.600000000000009</v>
      </c>
      <c r="B229" s="2">
        <v>2.7843703846744896</v>
      </c>
      <c r="D229" s="43"/>
      <c r="E229" s="2"/>
      <c r="G229" s="43"/>
      <c r="H229" s="2"/>
      <c r="J229" s="43"/>
      <c r="K229" s="2"/>
      <c r="M229" s="43"/>
      <c r="N229" s="2"/>
      <c r="P229" s="43"/>
      <c r="Q229" s="2"/>
    </row>
    <row r="230" spans="1:17" ht="15.4" x14ac:dyDescent="0.4">
      <c r="A230" s="43">
        <v>65</v>
      </c>
      <c r="B230" s="2">
        <v>34.945923116319278</v>
      </c>
      <c r="D230" s="43"/>
      <c r="E230" s="2"/>
      <c r="G230" s="43"/>
      <c r="H230" s="2"/>
      <c r="J230" s="43"/>
      <c r="K230" s="2"/>
      <c r="M230" s="43"/>
      <c r="N230" s="2"/>
      <c r="P230" s="43"/>
      <c r="Q230" s="2"/>
    </row>
    <row r="231" spans="1:17" ht="15.4" x14ac:dyDescent="0.4">
      <c r="A231" s="43">
        <v>65</v>
      </c>
      <c r="B231" s="2">
        <v>19.944865898626983</v>
      </c>
      <c r="D231" s="43"/>
      <c r="E231" s="2"/>
      <c r="G231" s="43"/>
      <c r="H231" s="2"/>
      <c r="J231" s="43"/>
      <c r="K231" s="2"/>
      <c r="M231" s="43"/>
      <c r="N231" s="2"/>
      <c r="P231" s="43"/>
      <c r="Q231" s="2"/>
    </row>
    <row r="232" spans="1:17" ht="15.4" x14ac:dyDescent="0.4">
      <c r="A232" s="43">
        <v>65</v>
      </c>
      <c r="B232" s="2">
        <v>4.3545276722381603</v>
      </c>
      <c r="D232" s="43"/>
      <c r="E232" s="2"/>
      <c r="G232" s="43"/>
      <c r="H232" s="2"/>
      <c r="J232" s="43"/>
      <c r="K232" s="2"/>
      <c r="M232" s="43"/>
      <c r="N232" s="2"/>
      <c r="P232" s="43"/>
      <c r="Q232" s="2"/>
    </row>
    <row r="233" spans="1:17" ht="15.4" x14ac:dyDescent="0.4">
      <c r="A233" s="43">
        <v>66</v>
      </c>
      <c r="B233" s="2">
        <v>29.217000000000006</v>
      </c>
      <c r="D233" s="43"/>
      <c r="E233" s="2"/>
      <c r="G233" s="43"/>
      <c r="H233" s="2"/>
      <c r="J233" s="43"/>
      <c r="K233" s="2"/>
      <c r="M233" s="43"/>
      <c r="N233" s="2"/>
      <c r="P233" s="43"/>
      <c r="Q233" s="2"/>
    </row>
    <row r="234" spans="1:17" ht="15.4" x14ac:dyDescent="0.4">
      <c r="A234" s="43">
        <v>66.2</v>
      </c>
      <c r="B234" s="2">
        <v>12.398988548693209</v>
      </c>
      <c r="D234" s="43"/>
      <c r="E234" s="2"/>
      <c r="G234" s="43"/>
      <c r="H234" s="2"/>
      <c r="J234" s="43"/>
      <c r="K234" s="2"/>
      <c r="M234" s="43"/>
      <c r="N234" s="2"/>
      <c r="P234" s="43"/>
      <c r="Q234" s="2"/>
    </row>
    <row r="235" spans="1:17" ht="15.4" x14ac:dyDescent="0.4">
      <c r="A235" s="43">
        <v>66.666666666666657</v>
      </c>
      <c r="B235" s="2">
        <v>4.195360530682203</v>
      </c>
      <c r="D235" s="43"/>
      <c r="E235" s="2"/>
      <c r="G235" s="43"/>
      <c r="H235" s="2"/>
      <c r="J235" s="43"/>
      <c r="K235" s="2"/>
      <c r="M235" s="43"/>
      <c r="N235" s="2"/>
      <c r="P235" s="43"/>
      <c r="Q235" s="2"/>
    </row>
    <row r="236" spans="1:17" ht="15.4" x14ac:dyDescent="0.4">
      <c r="A236" s="43">
        <v>68</v>
      </c>
      <c r="B236" s="2">
        <v>5.9457018748624764</v>
      </c>
      <c r="D236" s="43"/>
      <c r="E236" s="2"/>
      <c r="G236" s="43"/>
      <c r="H236" s="2"/>
      <c r="J236" s="43"/>
      <c r="K236" s="2"/>
      <c r="M236" s="43"/>
      <c r="N236" s="2"/>
      <c r="P236" s="43"/>
      <c r="Q236" s="2"/>
    </row>
    <row r="237" spans="1:17" ht="15.4" x14ac:dyDescent="0.4">
      <c r="A237" s="43">
        <v>68.300000000000011</v>
      </c>
      <c r="B237" s="2">
        <v>3.8618641946996388</v>
      </c>
      <c r="D237" s="43"/>
      <c r="E237" s="2"/>
      <c r="G237" s="43"/>
      <c r="H237" s="2"/>
      <c r="J237" s="43"/>
      <c r="K237" s="2"/>
      <c r="M237" s="43"/>
      <c r="N237" s="2"/>
      <c r="P237" s="43"/>
      <c r="Q237" s="2"/>
    </row>
    <row r="238" spans="1:17" ht="15.4" x14ac:dyDescent="0.4">
      <c r="A238" s="43">
        <v>68.7</v>
      </c>
      <c r="B238" s="2">
        <v>9.137805140955642</v>
      </c>
      <c r="D238" s="43"/>
      <c r="E238" s="2"/>
      <c r="G238" s="43"/>
      <c r="H238" s="2"/>
      <c r="J238" s="43"/>
      <c r="K238" s="2"/>
      <c r="M238" s="43"/>
      <c r="N238" s="2"/>
      <c r="P238" s="43"/>
      <c r="Q238" s="2"/>
    </row>
    <row r="239" spans="1:17" ht="15.4" x14ac:dyDescent="0.4">
      <c r="A239" s="43">
        <v>70</v>
      </c>
      <c r="B239" s="2">
        <v>26.732206768806506</v>
      </c>
      <c r="D239" s="43"/>
      <c r="E239" s="2"/>
      <c r="G239" s="43"/>
      <c r="H239" s="2"/>
      <c r="J239" s="43"/>
      <c r="K239" s="2"/>
      <c r="M239" s="43"/>
      <c r="N239" s="2"/>
      <c r="P239" s="43"/>
      <c r="Q239" s="2"/>
    </row>
    <row r="240" spans="1:17" ht="15.4" x14ac:dyDescent="0.4">
      <c r="A240" s="43">
        <v>70</v>
      </c>
      <c r="B240" s="2">
        <v>22.967455571740324</v>
      </c>
      <c r="D240" s="43"/>
      <c r="E240" s="2"/>
      <c r="G240" s="43"/>
      <c r="H240" s="2"/>
      <c r="J240" s="43"/>
      <c r="K240" s="2"/>
      <c r="M240" s="43"/>
      <c r="N240" s="2"/>
      <c r="P240" s="43"/>
      <c r="Q240" s="2"/>
    </row>
    <row r="241" spans="1:17" ht="15.4" x14ac:dyDescent="0.4">
      <c r="A241" s="43">
        <v>71</v>
      </c>
      <c r="B241" s="2">
        <v>38.91092436974791</v>
      </c>
      <c r="D241" s="43"/>
      <c r="E241" s="2"/>
      <c r="G241" s="43"/>
      <c r="H241" s="2"/>
      <c r="J241" s="43"/>
      <c r="K241" s="2"/>
      <c r="M241" s="43"/>
      <c r="N241" s="2"/>
      <c r="P241" s="43"/>
      <c r="Q241" s="2"/>
    </row>
    <row r="242" spans="1:17" ht="15.4" x14ac:dyDescent="0.4">
      <c r="A242" s="43">
        <v>71.428571428571431</v>
      </c>
      <c r="B242" s="2">
        <v>16.006222476928524</v>
      </c>
      <c r="D242" s="43"/>
      <c r="E242" s="2"/>
      <c r="G242" s="43"/>
      <c r="H242" s="2"/>
      <c r="J242" s="43"/>
      <c r="K242" s="2"/>
      <c r="M242" s="43"/>
      <c r="N242" s="2"/>
      <c r="P242" s="43"/>
      <c r="Q242" s="2"/>
    </row>
    <row r="243" spans="1:17" ht="15.4" x14ac:dyDescent="0.4">
      <c r="A243" s="43">
        <v>75</v>
      </c>
      <c r="B243" s="2">
        <v>24.376771373060127</v>
      </c>
      <c r="D243" s="43"/>
      <c r="E243" s="2"/>
      <c r="G243" s="43"/>
      <c r="H243" s="2"/>
      <c r="J243" s="43"/>
      <c r="K243" s="2"/>
      <c r="M243" s="43"/>
      <c r="N243" s="2"/>
      <c r="P243" s="43"/>
      <c r="Q243" s="2"/>
    </row>
  </sheetData>
  <sortState xmlns:xlrd2="http://schemas.microsoft.com/office/spreadsheetml/2017/richdata2" ref="S2:T243">
    <sortCondition ref="S1:S24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fig2a</vt:lpstr>
      <vt:lpstr>fig2b</vt:lpstr>
      <vt:lpstr>fig3a</vt:lpstr>
      <vt:lpstr>fig3b</vt:lpstr>
      <vt:lpstr>fig3c</vt:lpstr>
      <vt:lpstr>fig4b</vt:lpstr>
      <vt:lpstr>SI_fig1</vt:lpstr>
      <vt:lpstr>SI_fig9</vt:lpstr>
      <vt:lpstr>SI_fig10</vt:lpstr>
      <vt:lpstr>SI_fig11</vt:lpstr>
      <vt:lpstr>SI_fig12-18</vt:lpstr>
      <vt:lpstr>SI_fig19</vt:lpstr>
      <vt:lpstr>SI_fig20</vt:lpstr>
      <vt:lpstr>SI_fig21</vt:lpstr>
      <vt:lpstr>SI_fig22</vt:lpstr>
      <vt:lpstr>SI_fig23</vt:lpstr>
      <vt:lpstr>SI_fig24</vt:lpstr>
      <vt:lpstr>TableS4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he</dc:creator>
  <cp:lastModifiedBy>lu he</cp:lastModifiedBy>
  <dcterms:created xsi:type="dcterms:W3CDTF">2025-07-23T08:04:38Z</dcterms:created>
  <dcterms:modified xsi:type="dcterms:W3CDTF">2025-10-22T02:48:17Z</dcterms:modified>
</cp:coreProperties>
</file>